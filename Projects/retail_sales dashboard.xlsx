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7B96DE04A27F2187/Documents/"/>
    </mc:Choice>
  </mc:AlternateContent>
  <xr:revisionPtr revIDLastSave="1079" documentId="8_{A4A7ABD8-FA1E-4B3B-99F9-5817C5936068}" xr6:coauthVersionLast="47" xr6:coauthVersionMax="47" xr10:uidLastSave="{E01A4E84-48ED-4859-8B46-F3B91500207D}"/>
  <bookViews>
    <workbookView xWindow="-110" yWindow="-110" windowWidth="19420" windowHeight="10300" firstSheet="3" activeTab="3" xr2:uid="{CA5F8C7C-DD5E-47D1-A8B8-0579D4B0FE5A}"/>
  </bookViews>
  <sheets>
    <sheet name="retail_sales_dataset(1)" sheetId="1" r:id="rId1"/>
    <sheet name="Cleaned data" sheetId="3" r:id="rId2"/>
    <sheet name="pivote table" sheetId="4" r:id="rId3"/>
    <sheet name="Sheet5" sheetId="6" r:id="rId4"/>
  </sheets>
  <definedNames>
    <definedName name="Slicer_Category">#N/A</definedName>
    <definedName name="Slicer_Payment_Mode">#N/A</definedName>
    <definedName name="Slicer_Region">#N/A</definedName>
  </definedNames>
  <calcPr calcId="191028"/>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 i="3" l="1"/>
  <c r="K13" i="3"/>
  <c r="K10" i="3"/>
  <c r="L7" i="3"/>
  <c r="L6" i="3"/>
  <c r="L5" i="3"/>
  <c r="L4" i="3"/>
</calcChain>
</file>

<file path=xl/sharedStrings.xml><?xml version="1.0" encoding="utf-8"?>
<sst xmlns="http://schemas.openxmlformats.org/spreadsheetml/2006/main" count="59981" uniqueCount="5063">
  <si>
    <t>Order ID</t>
  </si>
  <si>
    <t>Order Date</t>
  </si>
  <si>
    <t>Region</t>
  </si>
  <si>
    <t>Product</t>
  </si>
  <si>
    <t>Category</t>
  </si>
  <si>
    <t>Sales</t>
  </si>
  <si>
    <t>Profit</t>
  </si>
  <si>
    <t>Customer Segment</t>
  </si>
  <si>
    <t>Payment Mode</t>
  </si>
  <si>
    <t>ORD00001</t>
  </si>
  <si>
    <t>East</t>
  </si>
  <si>
    <t>Keyboard</t>
  </si>
  <si>
    <t>Technology</t>
  </si>
  <si>
    <t>Home Office</t>
  </si>
  <si>
    <t>Credit Card</t>
  </si>
  <si>
    <t>ORD00002</t>
  </si>
  <si>
    <t>North</t>
  </si>
  <si>
    <t>Paper</t>
  </si>
  <si>
    <t>Office Supplies</t>
  </si>
  <si>
    <t>Consumer</t>
  </si>
  <si>
    <t>Prepaid</t>
  </si>
  <si>
    <t>ORD00003</t>
  </si>
  <si>
    <t>West</t>
  </si>
  <si>
    <t>Notebook</t>
  </si>
  <si>
    <t>ORD00004</t>
  </si>
  <si>
    <t>South</t>
  </si>
  <si>
    <t>Cabinet</t>
  </si>
  <si>
    <t>Furniture</t>
  </si>
  <si>
    <t>Corporate</t>
  </si>
  <si>
    <t>UPI</t>
  </si>
  <si>
    <t>ORD00005</t>
  </si>
  <si>
    <t>Laptop</t>
  </si>
  <si>
    <t>ORD00006</t>
  </si>
  <si>
    <t>Stapler</t>
  </si>
  <si>
    <t>Cash on Delivery</t>
  </si>
  <si>
    <t>ORD00007</t>
  </si>
  <si>
    <t>ORD00008</t>
  </si>
  <si>
    <t>ORD00009</t>
  </si>
  <si>
    <t>Printer</t>
  </si>
  <si>
    <t>ORD00010</t>
  </si>
  <si>
    <t>ORD00011</t>
  </si>
  <si>
    <t>Mouse</t>
  </si>
  <si>
    <t>ORD00012</t>
  </si>
  <si>
    <t>ORD00013</t>
  </si>
  <si>
    <t>ORD00014</t>
  </si>
  <si>
    <t>ORD00015</t>
  </si>
  <si>
    <t>Pen</t>
  </si>
  <si>
    <t>ORD00016</t>
  </si>
  <si>
    <t>ORD00017</t>
  </si>
  <si>
    <t>ORD00018</t>
  </si>
  <si>
    <t>Monitor</t>
  </si>
  <si>
    <t>ORD00019</t>
  </si>
  <si>
    <t>ORD00020</t>
  </si>
  <si>
    <t>ORD00021</t>
  </si>
  <si>
    <t>ORD00022</t>
  </si>
  <si>
    <t>ORD00023</t>
  </si>
  <si>
    <t>ORD00024</t>
  </si>
  <si>
    <t>Chair</t>
  </si>
  <si>
    <t>ORD00025</t>
  </si>
  <si>
    <t>ORD00026</t>
  </si>
  <si>
    <t>ORD00027</t>
  </si>
  <si>
    <t>ORD00028</t>
  </si>
  <si>
    <t>Table</t>
  </si>
  <si>
    <t>ORD00029</t>
  </si>
  <si>
    <t>ORD00030</t>
  </si>
  <si>
    <t>ORD00031</t>
  </si>
  <si>
    <t>ORD00032</t>
  </si>
  <si>
    <t>ORD00033</t>
  </si>
  <si>
    <t>ORD00034</t>
  </si>
  <si>
    <t>ORD00035</t>
  </si>
  <si>
    <t>ORD00036</t>
  </si>
  <si>
    <t>ORD00037</t>
  </si>
  <si>
    <t>ORD00038</t>
  </si>
  <si>
    <t>Desk</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</si>
  <si>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</si>
  <si>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</si>
  <si>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</si>
  <si>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</si>
  <si>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</si>
  <si>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</si>
  <si>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</si>
  <si>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</si>
  <si>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</si>
  <si>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</si>
  <si>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</si>
  <si>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</si>
  <si>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</si>
  <si>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</si>
  <si>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</si>
  <si>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</si>
  <si>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</si>
  <si>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</si>
  <si>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</si>
  <si>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</si>
  <si>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</si>
  <si>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File Folder</t>
  </si>
  <si>
    <t>ORD00060</t>
  </si>
  <si>
    <t>Bookshelf</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</si>
  <si>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</si>
  <si>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</si>
  <si>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</si>
  <si>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</si>
  <si>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</si>
  <si>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</si>
  <si>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</si>
  <si>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</si>
  <si>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</si>
  <si>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</si>
  <si>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</si>
  <si>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</si>
  <si>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</si>
  <si>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</si>
  <si>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</si>
  <si>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</si>
  <si>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</si>
  <si>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</si>
  <si>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</si>
  <si>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</si>
  <si>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</si>
  <si>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</si>
  <si>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</si>
  <si>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</si>
  <si>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</si>
  <si>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</si>
  <si>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</si>
  <si>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</si>
  <si>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</si>
  <si>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</si>
  <si>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</si>
  <si>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</si>
  <si>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</si>
  <si>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</si>
  <si>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</si>
  <si>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</si>
  <si>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</si>
  <si>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</si>
  <si>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</si>
  <si>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</si>
  <si>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</si>
  <si>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</si>
  <si>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</si>
  <si>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</si>
  <si>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</si>
  <si>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</si>
  <si>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</si>
  <si>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</si>
  <si>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</si>
  <si>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</si>
  <si>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</si>
  <si>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</si>
  <si>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</si>
  <si>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</si>
  <si>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</si>
  <si>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</si>
  <si>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</si>
  <si>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</si>
  <si>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</si>
  <si>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</si>
  <si>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</si>
  <si>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</si>
  <si>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</si>
  <si>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</si>
  <si>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</si>
  <si>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</si>
  <si>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</si>
  <si>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</si>
  <si>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</si>
  <si>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</si>
  <si>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</si>
  <si>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</si>
  <si>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</si>
  <si>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</si>
  <si>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</si>
  <si>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</si>
  <si>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</si>
  <si>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</si>
  <si>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</si>
  <si>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</si>
  <si>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</si>
  <si>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</si>
  <si>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</si>
  <si>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</si>
  <si>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</si>
  <si>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</si>
  <si>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</si>
  <si>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</si>
  <si>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</si>
  <si>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</si>
  <si>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</si>
  <si>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</si>
  <si>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</si>
  <si>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</si>
  <si>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</si>
  <si>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</si>
  <si>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</si>
  <si>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</si>
  <si>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</si>
  <si>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</si>
  <si>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</si>
  <si>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</si>
  <si>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</si>
  <si>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</si>
  <si>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</si>
  <si>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</si>
  <si>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</si>
  <si>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</si>
  <si>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</si>
  <si>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</si>
  <si>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</si>
  <si>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</si>
  <si>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</si>
  <si>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</si>
  <si>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</si>
  <si>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</si>
  <si>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</si>
  <si>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</si>
  <si>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</si>
  <si>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</si>
  <si>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</si>
  <si>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</si>
  <si>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</si>
  <si>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</si>
  <si>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</si>
  <si>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</si>
  <si>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</si>
  <si>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</si>
  <si>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</si>
  <si>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</si>
  <si>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</si>
  <si>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</si>
  <si>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</si>
  <si>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</si>
  <si>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</si>
  <si>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</si>
  <si>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</si>
  <si>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</si>
  <si>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</si>
  <si>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</si>
  <si>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</si>
  <si>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</si>
  <si>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</si>
  <si>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</si>
  <si>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</si>
  <si>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</si>
  <si>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</si>
  <si>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</si>
  <si>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</si>
  <si>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</si>
  <si>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</si>
  <si>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</si>
  <si>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</si>
  <si>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</si>
  <si>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</si>
  <si>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</si>
  <si>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</si>
  <si>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</si>
  <si>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</si>
  <si>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</si>
  <si>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</si>
  <si>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</si>
  <si>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</si>
  <si>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</si>
  <si>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</si>
  <si>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</si>
  <si>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</si>
  <si>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</si>
  <si>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</si>
  <si>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</si>
  <si>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</si>
  <si>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</si>
  <si>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</si>
  <si>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</si>
  <si>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</si>
  <si>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</si>
  <si>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</si>
  <si>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</si>
  <si>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</si>
  <si>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</si>
  <si>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</si>
  <si>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</si>
  <si>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</si>
  <si>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</si>
  <si>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</si>
  <si>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</si>
  <si>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</si>
  <si>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</si>
  <si>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</si>
  <si>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</si>
  <si>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</si>
  <si>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</si>
  <si>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</si>
  <si>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</si>
  <si>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</si>
  <si>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</si>
  <si>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</si>
  <si>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</si>
  <si>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</si>
  <si>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</si>
  <si>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</si>
  <si>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</si>
  <si>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</si>
  <si>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</si>
  <si>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</si>
  <si>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</si>
  <si>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</si>
  <si>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</si>
  <si>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</si>
  <si>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</si>
  <si>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</si>
  <si>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</si>
  <si>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</si>
  <si>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</si>
  <si>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</si>
  <si>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</si>
  <si>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</si>
  <si>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</si>
  <si>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</si>
  <si>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</si>
  <si>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</si>
  <si>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</si>
  <si>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</si>
  <si>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</si>
  <si>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</si>
  <si>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</si>
  <si>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</si>
  <si>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</si>
  <si>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</si>
  <si>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</si>
  <si>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</si>
  <si>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</si>
  <si>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</si>
  <si>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</si>
  <si>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</si>
  <si>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</si>
  <si>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</si>
  <si>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</si>
  <si>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</si>
  <si>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</si>
  <si>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</si>
  <si>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</si>
  <si>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</si>
  <si>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</si>
  <si>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</si>
  <si>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</si>
  <si>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</si>
  <si>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</si>
  <si>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</si>
  <si>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</si>
  <si>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</si>
  <si>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</si>
  <si>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</si>
  <si>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</si>
  <si>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</si>
  <si>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</si>
  <si>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</si>
  <si>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</si>
  <si>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</si>
  <si>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</si>
  <si>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</si>
  <si>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</si>
  <si>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</si>
  <si>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</si>
  <si>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</si>
  <si>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</si>
  <si>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</si>
  <si>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</si>
  <si>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</si>
  <si>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</si>
  <si>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</si>
  <si>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</si>
  <si>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</si>
  <si>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</si>
  <si>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</si>
  <si>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</si>
  <si>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</si>
  <si>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</si>
  <si>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</si>
  <si>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</si>
  <si>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</si>
  <si>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</si>
  <si>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</si>
  <si>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</si>
  <si>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</si>
  <si>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</si>
  <si>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</si>
  <si>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</si>
  <si>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</si>
  <si>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</si>
  <si>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</si>
  <si>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</si>
  <si>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</si>
  <si>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</si>
  <si>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</si>
  <si>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</si>
  <si>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</si>
  <si>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</si>
  <si>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</si>
  <si>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</si>
  <si>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</si>
  <si>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</si>
  <si>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</si>
  <si>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</si>
  <si>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</si>
  <si>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</si>
  <si>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</si>
  <si>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</si>
  <si>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</si>
  <si>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</si>
  <si>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</si>
  <si>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</si>
  <si>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</si>
  <si>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</si>
  <si>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</si>
  <si>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</si>
  <si>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</si>
  <si>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</si>
  <si>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</si>
  <si>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</si>
  <si>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</si>
  <si>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</si>
  <si>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</si>
  <si>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</si>
  <si>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</si>
  <si>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</si>
  <si>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</si>
  <si>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</si>
  <si>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</si>
  <si>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</si>
  <si>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</si>
  <si>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</si>
  <si>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</si>
  <si>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</si>
  <si>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</si>
  <si>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</si>
  <si>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</si>
  <si>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</si>
  <si>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</si>
  <si>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</si>
  <si>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</si>
  <si>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</si>
  <si>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</si>
  <si>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</si>
  <si>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</si>
  <si>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</si>
  <si>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</si>
  <si>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</si>
  <si>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</si>
  <si>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</si>
  <si>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</si>
  <si>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</si>
  <si>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</si>
  <si>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</si>
  <si>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</si>
  <si>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</si>
  <si>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</si>
  <si>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</si>
  <si>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</si>
  <si>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</si>
  <si>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</si>
  <si>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</si>
  <si>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</si>
  <si>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</si>
  <si>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</si>
  <si>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</si>
  <si>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</si>
  <si>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</si>
  <si>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</si>
  <si>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</si>
  <si>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</si>
  <si>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</si>
  <si>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</si>
  <si>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</si>
  <si>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</si>
  <si>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</si>
  <si>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</si>
  <si>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</si>
  <si>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</si>
  <si>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</si>
  <si>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</si>
  <si>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</si>
  <si>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</si>
  <si>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</si>
  <si>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</si>
  <si>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</si>
  <si>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</si>
  <si>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</si>
  <si>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</si>
  <si>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</si>
  <si>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</si>
  <si>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</si>
  <si>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</si>
  <si>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</si>
  <si>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</si>
  <si>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</si>
  <si>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</si>
  <si>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</si>
  <si>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</si>
  <si>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</si>
  <si>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</si>
  <si>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</si>
  <si>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</si>
  <si>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</si>
  <si>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</si>
  <si>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</si>
  <si>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</si>
  <si>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</si>
  <si>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</si>
  <si>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</si>
  <si>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</si>
  <si>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</si>
  <si>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</si>
  <si>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</si>
  <si>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</si>
  <si>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</si>
  <si>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</si>
  <si>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</si>
  <si>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</si>
  <si>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</si>
  <si>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</si>
  <si>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</si>
  <si>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</si>
  <si>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</si>
  <si>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</si>
  <si>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</si>
  <si>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</si>
  <si>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</si>
  <si>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</si>
  <si>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</si>
  <si>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</si>
  <si>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</si>
  <si>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</si>
  <si>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</si>
  <si>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</si>
  <si>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</si>
  <si>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</si>
  <si>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</si>
  <si>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</si>
  <si>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</si>
  <si>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</si>
  <si>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</si>
  <si>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</si>
  <si>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</si>
  <si>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</si>
  <si>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</si>
  <si>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</si>
  <si>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</si>
  <si>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</si>
  <si>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</si>
  <si>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</si>
  <si>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</si>
  <si>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</si>
  <si>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</si>
  <si>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</si>
  <si>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</si>
  <si>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</si>
  <si>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</si>
  <si>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</si>
  <si>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</si>
  <si>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</si>
  <si>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</si>
  <si>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</si>
  <si>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</si>
  <si>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</si>
  <si>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</si>
  <si>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</si>
  <si>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</si>
  <si>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</si>
  <si>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</si>
  <si>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</si>
  <si>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</si>
  <si>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</si>
  <si>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</si>
  <si>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</si>
  <si>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</si>
  <si>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</si>
  <si>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</si>
  <si>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</si>
  <si>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</si>
  <si>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</si>
  <si>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</si>
  <si>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</si>
  <si>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</si>
  <si>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</si>
  <si>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</si>
  <si>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</si>
  <si>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</si>
  <si>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</si>
  <si>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</si>
  <si>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</si>
  <si>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</si>
  <si>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</si>
  <si>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</si>
  <si>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</si>
  <si>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</si>
  <si>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</si>
  <si>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</si>
  <si>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</si>
  <si>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</si>
  <si>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</si>
  <si>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</si>
  <si>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</si>
  <si>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</si>
  <si>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</si>
  <si>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</si>
  <si>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</si>
  <si>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</si>
  <si>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</si>
  <si>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</si>
  <si>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</si>
  <si>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</si>
  <si>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</si>
  <si>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</si>
  <si>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</si>
  <si>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</si>
  <si>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</si>
  <si>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</si>
  <si>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</si>
  <si>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</si>
  <si>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</si>
  <si>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</si>
  <si>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</si>
  <si>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</si>
  <si>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</si>
  <si>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</si>
  <si>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</si>
  <si>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</si>
  <si>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</si>
  <si>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</si>
  <si>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</si>
  <si>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</si>
  <si>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</si>
  <si>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</si>
  <si>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</si>
  <si>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</si>
  <si>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</si>
  <si>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</si>
  <si>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</si>
  <si>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</si>
  <si>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</si>
  <si>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</si>
  <si>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</si>
  <si>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</si>
  <si>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</si>
  <si>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</si>
  <si>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</si>
  <si>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</si>
  <si>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</si>
  <si>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</si>
  <si>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</si>
  <si>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</si>
  <si>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</si>
  <si>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</si>
  <si>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</si>
  <si>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</si>
  <si>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</si>
  <si>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</si>
  <si>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</si>
  <si>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</si>
  <si>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</si>
  <si>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</si>
  <si>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</si>
  <si>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</si>
  <si>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</si>
  <si>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</si>
  <si>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</si>
  <si>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</si>
  <si>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</si>
  <si>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</si>
  <si>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</si>
  <si>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</si>
  <si>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</si>
  <si>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</si>
  <si>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</si>
  <si>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</si>
  <si>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</si>
  <si>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</si>
  <si>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</si>
  <si>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</si>
  <si>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</si>
  <si>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</si>
  <si>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</si>
  <si>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</si>
  <si>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</si>
  <si>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</si>
  <si>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</si>
  <si>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</si>
  <si>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</si>
  <si>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</si>
  <si>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</si>
  <si>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</si>
  <si>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</si>
  <si>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</si>
  <si>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</si>
  <si>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</si>
  <si>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</si>
  <si>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</si>
  <si>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</si>
  <si>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</si>
  <si>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</si>
  <si>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</si>
  <si>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</si>
  <si>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</si>
  <si>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</si>
  <si>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</si>
  <si>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</si>
  <si>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</si>
  <si>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</si>
  <si>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</si>
  <si>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</si>
  <si>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</si>
  <si>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</si>
  <si>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</si>
  <si>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</si>
  <si>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</si>
  <si>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</si>
  <si>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</si>
  <si>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</si>
  <si>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</si>
  <si>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</si>
  <si>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</si>
  <si>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</si>
  <si>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</si>
  <si>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</si>
  <si>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</si>
  <si>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</si>
  <si>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</si>
  <si>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</si>
  <si>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</si>
  <si>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</si>
  <si>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</si>
  <si>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</si>
  <si>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</si>
  <si>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</si>
  <si>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</si>
  <si>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</si>
  <si>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</si>
  <si>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</si>
  <si>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</si>
  <si>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</si>
  <si>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</si>
  <si>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</si>
  <si>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</si>
  <si>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</si>
  <si>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</si>
  <si>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</si>
  <si>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</si>
  <si>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</si>
  <si>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</si>
  <si>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</si>
  <si>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</si>
  <si>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</si>
  <si>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</si>
  <si>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</si>
  <si>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</si>
  <si>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</si>
  <si>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</si>
  <si>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</si>
  <si>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</si>
  <si>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</si>
  <si>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</si>
  <si>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</si>
  <si>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</si>
  <si>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</si>
  <si>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</si>
  <si>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</si>
  <si>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</si>
  <si>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</si>
  <si>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</si>
  <si>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</si>
  <si>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</si>
  <si>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</si>
  <si>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</si>
  <si>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</si>
  <si>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</si>
  <si>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</si>
  <si>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</si>
  <si>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</si>
  <si>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</si>
  <si>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</si>
  <si>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</si>
  <si>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</si>
  <si>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</si>
  <si>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</si>
  <si>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</si>
  <si>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</si>
  <si>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</si>
  <si>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</si>
  <si>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</si>
  <si>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</si>
  <si>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</si>
  <si>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</si>
  <si>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</si>
  <si>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</si>
  <si>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</si>
  <si>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</si>
  <si>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</si>
  <si>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</si>
  <si>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</si>
  <si>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</si>
  <si>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</si>
  <si>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</si>
  <si>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</si>
  <si>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</si>
  <si>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</si>
  <si>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</si>
  <si>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</si>
  <si>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</si>
  <si>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</si>
  <si>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</si>
  <si>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</si>
  <si>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</si>
  <si>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</si>
  <si>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</si>
  <si>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</si>
  <si>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</si>
  <si>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</si>
  <si>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</si>
  <si>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</si>
  <si>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</si>
  <si>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</si>
  <si>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</si>
  <si>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</si>
  <si>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</si>
  <si>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</si>
  <si>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</si>
  <si>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</si>
  <si>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</si>
  <si>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</si>
  <si>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</si>
  <si>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</si>
  <si>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</si>
  <si>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</si>
  <si>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</si>
  <si>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</si>
  <si>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</si>
  <si>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</si>
  <si>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</si>
  <si>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</si>
  <si>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</si>
  <si>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</si>
  <si>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</si>
  <si>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</si>
  <si>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</si>
  <si>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</si>
  <si>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</si>
  <si>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</si>
  <si>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</si>
  <si>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</si>
  <si>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</si>
  <si>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</si>
  <si>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</si>
  <si>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</si>
  <si>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</si>
  <si>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</si>
  <si>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</si>
  <si>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</si>
  <si>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</si>
  <si>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</si>
  <si>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</si>
  <si>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</si>
  <si>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</si>
  <si>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</si>
  <si>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</si>
  <si>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</si>
  <si>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</si>
  <si>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</si>
  <si>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</si>
  <si>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</si>
  <si>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</si>
  <si>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</si>
  <si>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</si>
  <si>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</si>
  <si>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</si>
  <si>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</si>
  <si>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</si>
  <si>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</si>
  <si>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</si>
  <si>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</si>
  <si>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</si>
  <si>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</si>
  <si>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</si>
  <si>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</si>
  <si>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</si>
  <si>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</si>
  <si>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</si>
  <si>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</si>
  <si>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</si>
  <si>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</si>
  <si>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</si>
  <si>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</si>
  <si>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</si>
  <si>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</si>
  <si>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</si>
  <si>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</si>
  <si>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</si>
  <si>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</si>
  <si>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</si>
  <si>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</si>
  <si>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</si>
  <si>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</si>
  <si>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</si>
  <si>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</si>
  <si>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</si>
  <si>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</si>
  <si>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</si>
  <si>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</si>
  <si>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</si>
  <si>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</si>
  <si>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</si>
  <si>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</si>
  <si>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</si>
  <si>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</si>
  <si>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</si>
  <si>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</si>
  <si>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</si>
  <si>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</si>
  <si>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</si>
  <si>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</si>
  <si>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</si>
  <si>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</si>
  <si>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</si>
  <si>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</si>
  <si>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</si>
  <si>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</si>
  <si>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</si>
  <si>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</si>
  <si>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</si>
  <si>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</si>
  <si>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</si>
  <si>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</si>
  <si>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</si>
  <si>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</si>
  <si>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</si>
  <si>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</si>
  <si>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</si>
  <si>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</si>
  <si>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</si>
  <si>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</si>
  <si>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</si>
  <si>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</si>
  <si>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</si>
  <si>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</si>
  <si>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</si>
  <si>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</si>
  <si>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</si>
  <si>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</si>
  <si>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</si>
  <si>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</si>
  <si>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</si>
  <si>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</si>
  <si>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</si>
  <si>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</si>
  <si>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</si>
  <si>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</si>
  <si>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</si>
  <si>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</si>
  <si>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</si>
  <si>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</si>
  <si>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</si>
  <si>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</si>
  <si>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</si>
  <si>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</si>
  <si>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</si>
  <si>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</si>
  <si>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</si>
  <si>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</si>
  <si>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</si>
  <si>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</si>
  <si>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</si>
  <si>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</si>
  <si>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</si>
  <si>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</si>
  <si>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</si>
  <si>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</si>
  <si>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</si>
  <si>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</si>
  <si>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</si>
  <si>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</si>
  <si>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</si>
  <si>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</si>
  <si>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</si>
  <si>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</si>
  <si>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</si>
  <si>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</si>
  <si>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</si>
  <si>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</si>
  <si>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</si>
  <si>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</si>
  <si>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</si>
  <si>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</si>
  <si>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</si>
  <si>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</si>
  <si>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</si>
  <si>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</si>
  <si>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</si>
  <si>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</si>
  <si>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</si>
  <si>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</si>
  <si>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</si>
  <si>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</si>
  <si>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</si>
  <si>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</si>
  <si>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</si>
  <si>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</si>
  <si>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</si>
  <si>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</si>
  <si>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</si>
  <si>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</si>
  <si>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</si>
  <si>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</si>
  <si>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</si>
  <si>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</si>
  <si>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</si>
  <si>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</si>
  <si>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</si>
  <si>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</si>
  <si>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</si>
  <si>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</si>
  <si>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</si>
  <si>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</si>
  <si>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</si>
  <si>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</si>
  <si>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</si>
  <si>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</si>
  <si>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</si>
  <si>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</si>
  <si>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</si>
  <si>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</si>
  <si>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</si>
  <si>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</si>
  <si>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</si>
  <si>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</si>
  <si>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</si>
  <si>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</si>
  <si>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</si>
  <si>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</si>
  <si>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</si>
  <si>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</si>
  <si>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</si>
  <si>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</si>
  <si>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</si>
  <si>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</si>
  <si>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</si>
  <si>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</si>
  <si>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</si>
  <si>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</si>
  <si>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</si>
  <si>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</si>
  <si>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</si>
  <si>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</si>
  <si>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</si>
  <si>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</si>
  <si>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</si>
  <si>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</si>
  <si>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</si>
  <si>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</si>
  <si>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</si>
  <si>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</si>
  <si>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</si>
  <si>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</si>
  <si>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</si>
  <si>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</si>
  <si>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</si>
  <si>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</si>
  <si>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</si>
  <si>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</si>
  <si>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</si>
  <si>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</si>
  <si>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</si>
  <si>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</si>
  <si>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</si>
  <si>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</si>
  <si>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</si>
  <si>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</si>
  <si>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</si>
  <si>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</si>
  <si>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</si>
  <si>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</si>
  <si>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</si>
  <si>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</si>
  <si>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</si>
  <si>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</si>
  <si>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</si>
  <si>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</si>
  <si>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</si>
  <si>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</si>
  <si>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</si>
  <si>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</si>
  <si>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</si>
  <si>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</si>
  <si>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</si>
  <si>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</si>
  <si>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</si>
  <si>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</si>
  <si>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</si>
  <si>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</si>
  <si>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</si>
  <si>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</si>
  <si>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</si>
  <si>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</si>
  <si>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</si>
  <si>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</si>
  <si>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</si>
  <si>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</si>
  <si>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</si>
  <si>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</si>
  <si>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</si>
  <si>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</si>
  <si>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</si>
  <si>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</si>
  <si>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</si>
  <si>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</si>
  <si>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</si>
  <si>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</si>
  <si>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</si>
  <si>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</si>
  <si>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</si>
  <si>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</si>
  <si>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</si>
  <si>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</si>
  <si>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</si>
  <si>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</si>
  <si>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</si>
  <si>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</si>
  <si>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</si>
  <si>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</si>
  <si>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</si>
  <si>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</si>
  <si>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</si>
  <si>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</si>
  <si>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</si>
  <si>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</si>
  <si>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</si>
  <si>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</si>
  <si>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</si>
  <si>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</si>
  <si>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</si>
  <si>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</si>
  <si>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</si>
  <si>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</si>
  <si>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</si>
  <si>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</si>
  <si>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</si>
  <si>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</si>
  <si>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</si>
  <si>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</si>
  <si>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</si>
  <si>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</si>
  <si>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</si>
  <si>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</si>
  <si>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</si>
  <si>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</si>
  <si>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</si>
  <si>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</si>
  <si>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</si>
  <si>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</si>
  <si>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</si>
  <si>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</si>
  <si>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</si>
  <si>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</si>
  <si>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</si>
  <si>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</si>
  <si>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</si>
  <si>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</si>
  <si>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</si>
  <si>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</si>
  <si>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</si>
  <si>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</si>
  <si>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</si>
  <si>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</si>
  <si>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</si>
  <si>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</si>
  <si>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</si>
  <si>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</si>
  <si>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</si>
  <si>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</si>
  <si>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</si>
  <si>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</si>
  <si>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</si>
  <si>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</si>
  <si>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</si>
  <si>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</si>
  <si>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</si>
  <si>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</si>
  <si>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</si>
  <si>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</si>
  <si>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</si>
  <si>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</si>
  <si>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</si>
  <si>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</si>
  <si>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</si>
  <si>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</si>
  <si>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</si>
  <si>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</si>
  <si>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</si>
  <si>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</si>
  <si>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</si>
  <si>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</si>
  <si>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</si>
  <si>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</si>
  <si>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</si>
  <si>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</si>
  <si>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</si>
  <si>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</si>
  <si>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</si>
  <si>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</si>
  <si>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</si>
  <si>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</si>
  <si>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</si>
  <si>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</si>
  <si>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</si>
  <si>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</si>
  <si>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</si>
  <si>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</si>
  <si>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</si>
  <si>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</si>
  <si>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</si>
  <si>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</si>
  <si>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</si>
  <si>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</si>
  <si>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</si>
  <si>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</si>
  <si>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</si>
  <si>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</si>
  <si>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</si>
  <si>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</si>
  <si>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</si>
  <si>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</si>
  <si>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</si>
  <si>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</si>
  <si>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</si>
  <si>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</si>
  <si>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</si>
  <si>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</si>
  <si>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</si>
  <si>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</si>
  <si>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</si>
  <si>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</si>
  <si>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</si>
  <si>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</si>
  <si>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</si>
  <si>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</si>
  <si>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</si>
  <si>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</si>
  <si>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</si>
  <si>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</si>
  <si>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</si>
  <si>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</si>
  <si>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</si>
  <si>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</si>
  <si>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</si>
  <si>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</si>
  <si>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</si>
  <si>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</si>
  <si>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</si>
  <si>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</si>
  <si>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</si>
  <si>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</si>
  <si>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</si>
  <si>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</si>
  <si>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</si>
  <si>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</si>
  <si>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</si>
  <si>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</si>
  <si>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</si>
  <si>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</si>
  <si>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</si>
  <si>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</si>
  <si>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</si>
  <si>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</si>
  <si>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</si>
  <si>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</si>
  <si>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</si>
  <si>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</si>
  <si>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</si>
  <si>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</si>
  <si>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</si>
  <si>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</si>
  <si>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</si>
  <si>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</si>
  <si>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</si>
  <si>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</si>
  <si>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</si>
  <si>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</si>
  <si>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</si>
  <si>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</si>
  <si>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</si>
  <si>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</si>
  <si>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</si>
  <si>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</si>
  <si>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</si>
  <si>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</si>
  <si>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</si>
  <si>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</si>
  <si>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</si>
  <si>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</si>
  <si>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</si>
  <si>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</si>
  <si>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</si>
  <si>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</si>
  <si>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</si>
  <si>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</si>
  <si>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</si>
  <si>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</si>
  <si>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</si>
  <si>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</si>
  <si>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</si>
  <si>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</si>
  <si>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</si>
  <si>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</si>
  <si>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</si>
  <si>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</si>
  <si>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</si>
  <si>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</si>
  <si>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</si>
  <si>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</si>
  <si>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</si>
  <si>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</si>
  <si>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</si>
  <si>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</si>
  <si>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</si>
  <si>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</si>
  <si>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</si>
  <si>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</si>
  <si>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</si>
  <si>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</si>
  <si>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</si>
  <si>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</si>
  <si>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</si>
  <si>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</si>
  <si>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</si>
  <si>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</si>
  <si>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</si>
  <si>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</si>
  <si>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</si>
  <si>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</si>
  <si>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</si>
  <si>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</si>
  <si>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</si>
  <si>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</si>
  <si>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</si>
  <si>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</si>
  <si>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</si>
  <si>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</si>
  <si>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</si>
  <si>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</si>
  <si>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</si>
  <si>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</si>
  <si>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</si>
  <si>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</si>
  <si>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</si>
  <si>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</si>
  <si>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</si>
  <si>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</si>
  <si>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</si>
  <si>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</si>
  <si>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</si>
  <si>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</si>
  <si>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</si>
  <si>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</si>
  <si>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</si>
  <si>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</si>
  <si>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</si>
  <si>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</si>
  <si>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</si>
  <si>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</si>
  <si>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</si>
  <si>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</si>
  <si>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</si>
  <si>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</si>
  <si>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</si>
  <si>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</si>
  <si>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</si>
  <si>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</si>
  <si>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</si>
  <si>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</si>
  <si>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</si>
  <si>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</si>
  <si>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</si>
  <si>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</si>
  <si>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</si>
  <si>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</si>
  <si>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</si>
  <si>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</si>
  <si>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</si>
  <si>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</si>
  <si>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</si>
  <si>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</si>
  <si>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</si>
  <si>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</si>
  <si>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</si>
  <si>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</si>
  <si>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</si>
  <si>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</si>
  <si>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</si>
  <si>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</si>
  <si>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</si>
  <si>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</si>
  <si>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</si>
  <si>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</si>
  <si>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</si>
  <si>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</si>
  <si>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</si>
  <si>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</si>
  <si>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</si>
  <si>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</si>
  <si>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</si>
  <si>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</si>
  <si>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</si>
  <si>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</si>
  <si>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</si>
  <si>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</si>
  <si>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</si>
  <si>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</si>
  <si>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</si>
  <si>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</si>
  <si>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</si>
  <si>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</si>
  <si>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</si>
  <si>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</si>
  <si>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</si>
  <si>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</si>
  <si>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</si>
  <si>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</si>
  <si>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</si>
  <si>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</si>
  <si>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</si>
  <si>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</si>
  <si>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</si>
  <si>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</si>
  <si>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</si>
  <si>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</si>
  <si>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</si>
  <si>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</si>
  <si>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</si>
  <si>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</si>
  <si>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</si>
  <si>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</si>
  <si>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</si>
  <si>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</si>
  <si>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</si>
  <si>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</si>
  <si>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</si>
  <si>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</si>
  <si>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</si>
  <si>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</si>
  <si>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</si>
  <si>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</si>
  <si>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</si>
  <si>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</si>
  <si>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</si>
  <si>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</si>
  <si>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</si>
  <si>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</si>
  <si>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</si>
  <si>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</si>
  <si>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</si>
  <si>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</si>
  <si>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</si>
  <si>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</si>
  <si>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</si>
  <si>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</si>
  <si>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</si>
  <si>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</si>
  <si>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</si>
  <si>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</si>
  <si>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</si>
  <si>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</si>
  <si>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</si>
  <si>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</si>
  <si>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</si>
  <si>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</si>
  <si>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</si>
  <si>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</si>
  <si>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</si>
  <si>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</si>
  <si>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</si>
  <si>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</si>
  <si>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</si>
  <si>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</si>
  <si>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</si>
  <si>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</si>
  <si>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</si>
  <si>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</si>
  <si>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</si>
  <si>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</si>
  <si>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</si>
  <si>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</si>
  <si>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</si>
  <si>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</si>
  <si>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</si>
  <si>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</si>
  <si>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</si>
  <si>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</si>
  <si>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</si>
  <si>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</si>
  <si>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</si>
  <si>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</si>
  <si>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</si>
  <si>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</si>
  <si>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</si>
  <si>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</si>
  <si>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</si>
  <si>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</si>
  <si>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</si>
  <si>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</si>
  <si>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</si>
  <si>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</si>
  <si>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</si>
  <si>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</si>
  <si>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</si>
  <si>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</si>
  <si>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</si>
  <si>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</si>
  <si>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</si>
  <si>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</si>
  <si>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</si>
  <si>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</si>
  <si>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</si>
  <si>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</si>
  <si>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</si>
  <si>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</si>
  <si>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</si>
  <si>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</si>
  <si>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</si>
  <si>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</si>
  <si>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</si>
  <si>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</si>
  <si>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</si>
  <si>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</si>
  <si>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</si>
  <si>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</si>
  <si>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</si>
  <si>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</si>
  <si>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</si>
  <si>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</si>
  <si>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</si>
  <si>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</si>
  <si>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</si>
  <si>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</si>
  <si>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</si>
  <si>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</si>
  <si>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</si>
  <si>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</si>
  <si>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</si>
  <si>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</si>
  <si>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</si>
  <si>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</si>
  <si>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</si>
  <si>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</si>
  <si>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</si>
  <si>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</si>
  <si>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</si>
  <si>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</si>
  <si>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</si>
  <si>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</si>
  <si>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</si>
  <si>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</si>
  <si>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</si>
  <si>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</si>
  <si>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</si>
  <si>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</si>
  <si>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</si>
  <si>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</si>
  <si>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</si>
  <si>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</si>
  <si>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</si>
  <si>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</si>
  <si>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</si>
  <si>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</si>
  <si>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</si>
  <si>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</si>
  <si>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</si>
  <si>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</si>
  <si>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</si>
  <si>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</si>
  <si>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</si>
  <si>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</si>
  <si>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</si>
  <si>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</si>
  <si>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</si>
  <si>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</si>
  <si>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</si>
  <si>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</si>
  <si>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</si>
  <si>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</si>
  <si>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</si>
  <si>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</si>
  <si>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</si>
  <si>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</si>
  <si>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</si>
  <si>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</si>
  <si>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</si>
  <si>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</si>
  <si>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</si>
  <si>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</si>
  <si>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</si>
  <si>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</si>
  <si>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</si>
  <si>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</si>
  <si>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</si>
  <si>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</si>
  <si>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</si>
  <si>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</si>
  <si>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</si>
  <si>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</si>
  <si>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</si>
  <si>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</si>
  <si>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</si>
  <si>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</si>
  <si>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</si>
  <si>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</si>
  <si>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</si>
  <si>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</si>
  <si>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</si>
  <si>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</si>
  <si>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</si>
  <si>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</si>
  <si>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</si>
  <si>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</si>
  <si>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</si>
  <si>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</si>
  <si>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</si>
  <si>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</si>
  <si>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</si>
  <si>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</si>
  <si>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</si>
  <si>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</si>
  <si>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</si>
  <si>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</si>
  <si>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</si>
  <si>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</si>
  <si>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</si>
  <si>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</si>
  <si>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</si>
  <si>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</si>
  <si>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</si>
  <si>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</si>
  <si>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</si>
  <si>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</si>
  <si>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</si>
  <si>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</si>
  <si>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</si>
  <si>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</si>
  <si>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</si>
  <si>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</si>
  <si>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</si>
  <si>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</si>
  <si>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</si>
  <si>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</si>
  <si>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</si>
  <si>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</si>
  <si>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</si>
  <si>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</si>
  <si>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</si>
  <si>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</si>
  <si>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</si>
  <si>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</si>
  <si>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</si>
  <si>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</si>
  <si>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</si>
  <si>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</si>
  <si>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</si>
  <si>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</si>
  <si>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</si>
  <si>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</si>
  <si>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</si>
  <si>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</si>
  <si>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</si>
  <si>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</si>
  <si>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</si>
  <si>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</si>
  <si>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</si>
  <si>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</si>
  <si>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</si>
  <si>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</si>
  <si>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</si>
  <si>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</si>
  <si>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</si>
  <si>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</si>
  <si>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</si>
  <si>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</si>
  <si>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</si>
  <si>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</si>
  <si>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</si>
  <si>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</si>
  <si>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</si>
  <si>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</si>
  <si>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</si>
  <si>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</si>
  <si>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</si>
  <si>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</si>
  <si>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</si>
  <si>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</si>
  <si>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</si>
  <si>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</si>
  <si>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</si>
  <si>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</si>
  <si>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</si>
  <si>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</si>
  <si>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</si>
  <si>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</si>
  <si>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</si>
  <si>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</si>
  <si>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</si>
  <si>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</si>
  <si>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</si>
  <si>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</si>
  <si>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</si>
  <si>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</si>
  <si>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</si>
  <si>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</si>
  <si>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</si>
  <si>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</si>
  <si>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</si>
  <si>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</si>
  <si>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</si>
  <si>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</si>
  <si>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</si>
  <si>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</si>
  <si>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</si>
  <si>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</si>
  <si>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</si>
  <si>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</si>
  <si>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</si>
  <si>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</si>
  <si>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</si>
  <si>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</si>
  <si>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</si>
  <si>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</si>
  <si>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</si>
  <si>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</si>
  <si>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</si>
  <si>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</si>
  <si>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</si>
  <si>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</si>
  <si>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</si>
  <si>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</si>
  <si>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</si>
  <si>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</si>
  <si>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</si>
  <si>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</si>
  <si>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</si>
  <si>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</si>
  <si>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</si>
  <si>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</si>
  <si>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</si>
  <si>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</si>
  <si>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</si>
  <si>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</si>
  <si>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</si>
  <si>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</si>
  <si>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</si>
  <si>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</si>
  <si>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</si>
  <si>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</si>
  <si>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</si>
  <si>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</si>
  <si>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</si>
  <si>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</si>
  <si>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</si>
  <si>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</si>
  <si>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</si>
  <si>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</si>
  <si>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</si>
  <si>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</si>
  <si>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</si>
  <si>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</si>
  <si>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</si>
  <si>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</si>
  <si>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</si>
  <si>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</si>
  <si>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</si>
  <si>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</si>
  <si>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</si>
  <si>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</si>
  <si>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</si>
  <si>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</si>
  <si>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</si>
  <si>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</si>
  <si>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</si>
  <si>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</si>
  <si>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</si>
  <si>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</si>
  <si>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</si>
  <si>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</si>
  <si>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</si>
  <si>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</si>
  <si>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</si>
  <si>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</si>
  <si>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</si>
  <si>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</si>
  <si>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</si>
  <si>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</si>
  <si>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</si>
  <si>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</si>
  <si>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</si>
  <si>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</si>
  <si>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</si>
  <si>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</si>
  <si>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</si>
  <si>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</si>
  <si>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</si>
  <si>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</si>
  <si>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</si>
  <si>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</si>
  <si>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</si>
  <si>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</si>
  <si>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</si>
  <si>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</si>
  <si>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</si>
  <si>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</si>
  <si>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</si>
  <si>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</si>
  <si>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</si>
  <si>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</si>
  <si>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</si>
  <si>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</si>
  <si>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</si>
  <si>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</si>
  <si>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</si>
  <si>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</si>
  <si>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</si>
  <si>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</si>
  <si>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</si>
  <si>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</si>
  <si>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</si>
  <si>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</si>
  <si>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</si>
  <si>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</si>
  <si>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</si>
  <si>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</si>
  <si>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</si>
  <si>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</si>
  <si>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</si>
  <si>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</si>
  <si>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</si>
  <si>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</si>
  <si>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</si>
  <si>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</si>
  <si>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</si>
  <si>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</si>
  <si>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</si>
  <si>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</si>
  <si>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</si>
  <si>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</si>
  <si>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</si>
  <si>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</si>
  <si>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</si>
  <si>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</si>
  <si>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</si>
  <si>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</si>
  <si>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</si>
  <si>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</si>
  <si>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</si>
  <si>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</si>
  <si>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</si>
  <si>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</si>
  <si>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</si>
  <si>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</si>
  <si>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</si>
  <si>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</si>
  <si>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</si>
  <si>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</si>
  <si>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</si>
  <si>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</si>
  <si>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</si>
  <si>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</si>
  <si>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</si>
  <si>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</si>
  <si>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</si>
  <si>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</si>
  <si>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</si>
  <si>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</si>
  <si>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</si>
  <si>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</si>
  <si>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</si>
  <si>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</si>
  <si>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</si>
  <si>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</si>
  <si>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</si>
  <si>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</si>
  <si>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</si>
  <si>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</si>
  <si>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</si>
  <si>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</si>
  <si>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</si>
  <si>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</si>
  <si>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</si>
  <si>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</si>
  <si>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</si>
  <si>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</si>
  <si>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</si>
  <si>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</si>
  <si>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</si>
  <si>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</si>
  <si>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</si>
  <si>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</si>
  <si>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</si>
  <si>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</si>
  <si>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</si>
  <si>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</si>
  <si>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</si>
  <si>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</si>
  <si>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</si>
  <si>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</si>
  <si>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</si>
  <si>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</si>
  <si>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</si>
  <si>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</si>
  <si>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</si>
  <si>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</si>
  <si>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</si>
  <si>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</si>
  <si>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</si>
  <si>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</si>
  <si>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</si>
  <si>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</si>
  <si>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</si>
  <si>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</si>
  <si>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</si>
  <si>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</si>
  <si>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</si>
  <si>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</si>
  <si>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</si>
  <si>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</si>
  <si>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</si>
  <si>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</si>
  <si>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</si>
  <si>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</si>
  <si>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</si>
  <si>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</si>
  <si>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</si>
  <si>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</si>
  <si>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</si>
  <si>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</si>
  <si>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</si>
  <si>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</si>
  <si>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</si>
  <si>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</si>
  <si>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</si>
  <si>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</si>
  <si>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</si>
  <si>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</si>
  <si>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</si>
  <si>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</si>
  <si>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</si>
  <si>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</si>
  <si>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</si>
  <si>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</si>
  <si>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</si>
  <si>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</si>
  <si>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</si>
  <si>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</si>
  <si>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</si>
  <si>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</si>
  <si>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</si>
  <si>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</si>
  <si>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</si>
  <si>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</si>
  <si>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</si>
  <si>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</si>
  <si>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</si>
  <si>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</si>
  <si>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</si>
  <si>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</si>
  <si>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</si>
  <si>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</si>
  <si>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</si>
  <si>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</si>
  <si>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</si>
  <si>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</si>
  <si>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</si>
  <si>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</si>
  <si>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</si>
  <si>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</si>
  <si>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</si>
  <si>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</si>
  <si>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</si>
  <si>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</si>
  <si>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</si>
  <si>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</si>
  <si>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</si>
  <si>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</si>
  <si>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</si>
  <si>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</si>
  <si>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</si>
  <si>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</si>
  <si>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</si>
  <si>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</si>
  <si>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</si>
  <si>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</si>
  <si>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</si>
  <si>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</si>
  <si>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</si>
  <si>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</si>
  <si>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</si>
  <si>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</si>
  <si>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</si>
  <si>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</si>
  <si>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</si>
  <si>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</si>
  <si>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</si>
  <si>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</si>
  <si>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</si>
  <si>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</si>
  <si>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</si>
  <si>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</si>
  <si>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</si>
  <si>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</si>
  <si>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</si>
  <si>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</si>
  <si>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</si>
  <si>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</si>
  <si>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</si>
  <si>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</si>
  <si>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</si>
  <si>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</si>
  <si>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</si>
  <si>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</si>
  <si>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</si>
  <si>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</si>
  <si>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</si>
  <si>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</si>
  <si>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</si>
  <si>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</si>
  <si>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</si>
  <si>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</si>
  <si>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</si>
  <si>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</si>
  <si>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</si>
  <si>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</si>
  <si>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</si>
  <si>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</si>
  <si>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</si>
  <si>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</si>
  <si>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</si>
  <si>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</si>
  <si>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</si>
  <si>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</si>
  <si>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</si>
  <si>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</si>
  <si>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</si>
  <si>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</si>
  <si>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</si>
  <si>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</si>
  <si>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</si>
  <si>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</si>
  <si>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</si>
  <si>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</si>
  <si>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</si>
  <si>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</si>
  <si>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</si>
  <si>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</si>
  <si>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</si>
  <si>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</si>
  <si>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</si>
  <si>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</si>
  <si>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</si>
  <si>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</si>
  <si>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</si>
  <si>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</si>
  <si>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</si>
  <si>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</si>
  <si>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</si>
  <si>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</si>
  <si>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</si>
  <si>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</si>
  <si>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</si>
  <si>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</si>
  <si>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</si>
  <si>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</si>
  <si>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</si>
  <si>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</si>
  <si>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</si>
  <si>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</si>
  <si>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</si>
  <si>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</si>
  <si>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</si>
  <si>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</si>
  <si>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</si>
  <si>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</si>
  <si>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</si>
  <si>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</si>
  <si>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</si>
  <si>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</si>
  <si>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</si>
  <si>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</si>
  <si>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</si>
  <si>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</si>
  <si>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</si>
  <si>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</si>
  <si>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</si>
  <si>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</si>
  <si>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</si>
  <si>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</si>
  <si>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</si>
  <si>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</si>
  <si>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</si>
  <si>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</si>
  <si>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</si>
  <si>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</si>
  <si>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</si>
  <si>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</si>
  <si>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</si>
  <si>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</si>
  <si>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</si>
  <si>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</si>
  <si>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</si>
  <si>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</si>
  <si>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</si>
  <si>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</si>
  <si>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</si>
  <si>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</si>
  <si>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</si>
  <si>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</si>
  <si>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</si>
  <si>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</si>
  <si>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</si>
  <si>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</si>
  <si>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</si>
  <si>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</si>
  <si>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</si>
  <si>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</si>
  <si>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</si>
  <si>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</si>
  <si>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</si>
  <si>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</si>
  <si>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</si>
  <si>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</si>
  <si>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</si>
  <si>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</si>
  <si>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</si>
  <si>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</si>
  <si>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</si>
  <si>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</si>
  <si>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</si>
  <si>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</si>
  <si>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</si>
  <si>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</si>
  <si>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</si>
  <si>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</si>
  <si>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</si>
  <si>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</si>
  <si>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</si>
  <si>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</si>
  <si>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</si>
  <si>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</si>
  <si>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</si>
  <si>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</si>
  <si>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</si>
  <si>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</si>
  <si>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</si>
  <si>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</si>
  <si>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</si>
  <si>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</si>
  <si>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</si>
  <si>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</si>
  <si>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</si>
  <si>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</si>
  <si>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</si>
  <si>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</si>
  <si>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</si>
  <si>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</si>
  <si>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</si>
  <si>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</si>
  <si>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</si>
  <si>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</si>
  <si>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</si>
  <si>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</si>
  <si>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</si>
  <si>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</si>
  <si>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</si>
  <si>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</si>
  <si>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</si>
  <si>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</si>
  <si>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</si>
  <si>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</si>
  <si>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</si>
  <si>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</si>
  <si>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</si>
  <si>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</si>
  <si>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</si>
  <si>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</si>
  <si>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</si>
  <si>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</si>
  <si>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</si>
  <si>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</si>
  <si>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</si>
  <si>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</si>
  <si>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</si>
  <si>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</si>
  <si>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</si>
  <si>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</si>
  <si>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</si>
  <si>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</si>
  <si>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</si>
  <si>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</si>
  <si>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</si>
  <si>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</si>
  <si>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</si>
  <si>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</si>
  <si>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</si>
  <si>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</si>
  <si>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</si>
  <si>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</si>
  <si>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</si>
  <si>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</si>
  <si>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</si>
  <si>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</si>
  <si>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</si>
  <si>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</si>
  <si>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</si>
  <si>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</si>
  <si>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</si>
  <si>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</si>
  <si>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</si>
  <si>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</si>
  <si>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</si>
  <si>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</si>
  <si>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</si>
  <si>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</si>
  <si>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</si>
  <si>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</si>
  <si>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</si>
  <si>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</si>
  <si>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</si>
  <si>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</si>
  <si>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</si>
  <si>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</si>
  <si>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</si>
  <si>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</si>
  <si>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</si>
  <si>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</si>
  <si>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</si>
  <si>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</si>
  <si>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</si>
  <si>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</si>
  <si>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</si>
  <si>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</si>
  <si>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</si>
  <si>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</si>
  <si>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</si>
  <si>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</si>
  <si>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</si>
  <si>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</si>
  <si>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</si>
  <si>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</si>
  <si>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</si>
  <si>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</si>
  <si>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</si>
  <si>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</si>
  <si>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</si>
  <si>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</si>
  <si>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</si>
  <si>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</si>
  <si>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</si>
  <si>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</si>
  <si>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</si>
  <si>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</si>
  <si>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</si>
  <si>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</si>
  <si>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</si>
  <si>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</si>
  <si>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</si>
  <si>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</si>
  <si>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</si>
  <si>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</si>
  <si>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</si>
  <si>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</si>
  <si>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</si>
  <si>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</si>
  <si>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</si>
  <si>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</si>
  <si>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</si>
  <si>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</si>
  <si>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</si>
  <si>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</si>
  <si>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</si>
  <si>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</si>
  <si>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</si>
  <si>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</si>
  <si>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</si>
  <si>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</si>
  <si>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</si>
  <si>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</si>
  <si>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</si>
  <si>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</si>
  <si>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</si>
  <si>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</si>
  <si>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</si>
  <si>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</si>
  <si>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</si>
  <si>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</si>
  <si>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</si>
  <si>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</si>
  <si>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</si>
  <si>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</si>
  <si>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</si>
  <si>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</si>
  <si>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</si>
  <si>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</si>
  <si>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</si>
  <si>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</si>
  <si>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</si>
  <si>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</si>
  <si>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</si>
  <si>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</si>
  <si>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</si>
  <si>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</si>
  <si>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</si>
  <si>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</si>
  <si>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</si>
  <si>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</si>
  <si>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</si>
  <si>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</si>
  <si>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</si>
  <si>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</si>
  <si>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</si>
  <si>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</si>
  <si>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</si>
  <si>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</si>
  <si>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</si>
  <si>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</si>
  <si>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</si>
  <si>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</si>
  <si>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</si>
  <si>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</si>
  <si>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</si>
  <si>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</si>
  <si>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</si>
  <si>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</si>
  <si>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</si>
  <si>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</si>
  <si>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</si>
  <si>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</si>
  <si>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</si>
  <si>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</si>
  <si>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</si>
  <si>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</si>
  <si>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</si>
  <si>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</si>
  <si>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</si>
  <si>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</si>
  <si>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</si>
  <si>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</si>
  <si>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</si>
  <si>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</si>
  <si>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</si>
  <si>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</si>
  <si>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</si>
  <si>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</si>
  <si>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</si>
  <si>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</si>
  <si>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</si>
  <si>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</si>
  <si>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</si>
  <si>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</si>
  <si>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</si>
  <si>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</si>
  <si>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</si>
  <si>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</si>
  <si>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</si>
  <si>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</si>
  <si>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</si>
  <si>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</si>
  <si>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</si>
  <si>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</si>
  <si>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</si>
  <si>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</si>
  <si>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</si>
  <si>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</si>
  <si>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</si>
  <si>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</si>
  <si>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</si>
  <si>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</si>
  <si>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</si>
  <si>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</si>
  <si>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</si>
  <si>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</si>
  <si>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</si>
  <si>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</si>
  <si>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</si>
  <si>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</si>
  <si>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</si>
  <si>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</si>
  <si>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</si>
  <si>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</si>
  <si>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</si>
  <si>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</si>
  <si>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</si>
  <si>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</si>
  <si>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</si>
  <si>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</si>
  <si>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</si>
  <si>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</si>
  <si>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</si>
  <si>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</si>
  <si>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</si>
  <si>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</si>
  <si>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</si>
  <si>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</si>
  <si>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</si>
  <si>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</si>
  <si>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</si>
  <si>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</si>
  <si>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</si>
  <si>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</si>
  <si>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</si>
  <si>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</si>
  <si>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</si>
  <si>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</si>
  <si>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</si>
  <si>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</si>
  <si>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</si>
  <si>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</si>
  <si>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</si>
  <si>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</si>
  <si>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</si>
  <si>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</si>
  <si>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</si>
  <si>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</si>
  <si>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</si>
  <si>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</si>
  <si>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</si>
  <si>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</si>
  <si>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</si>
  <si>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</si>
  <si>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</si>
  <si>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</si>
  <si>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</si>
  <si>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</si>
  <si>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</si>
  <si>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</si>
  <si>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</si>
  <si>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</si>
  <si>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</si>
  <si>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</si>
  <si>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</si>
  <si>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</si>
  <si>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</si>
  <si>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</si>
  <si>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</si>
  <si>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</si>
  <si>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</si>
  <si>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</si>
  <si>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</si>
  <si>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</si>
  <si>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</si>
  <si>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</si>
  <si>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</si>
  <si>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</si>
  <si>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</si>
  <si>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</si>
  <si>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</si>
  <si>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</si>
  <si>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</si>
  <si>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</si>
  <si>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</si>
  <si>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</si>
  <si>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</si>
  <si>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</si>
  <si>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</si>
  <si>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</si>
  <si>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</si>
  <si>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</si>
  <si>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</si>
  <si>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</si>
  <si>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</si>
  <si>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</si>
  <si>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</si>
  <si>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</si>
  <si>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</si>
  <si>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</si>
  <si>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</si>
  <si>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</si>
  <si>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</si>
  <si>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</si>
  <si>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</si>
  <si>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</si>
  <si>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</si>
  <si>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</si>
  <si>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</si>
  <si>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</si>
  <si>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</si>
  <si>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</si>
  <si>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</si>
  <si>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</si>
  <si>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</si>
  <si>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</si>
  <si>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</si>
  <si>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</si>
  <si>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</si>
  <si>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</si>
  <si>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</si>
  <si>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</si>
  <si>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</si>
  <si>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</si>
  <si>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</si>
  <si>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</si>
  <si>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</si>
  <si>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</si>
  <si>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</si>
  <si>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</si>
  <si>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</si>
  <si>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</si>
  <si>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</si>
  <si>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</si>
  <si>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</si>
  <si>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</si>
  <si>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</si>
  <si>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</si>
  <si>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</si>
  <si>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</si>
  <si>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</si>
  <si>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</si>
  <si>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</si>
  <si>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</si>
  <si>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</si>
  <si>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</si>
  <si>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</si>
  <si>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</si>
  <si>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</si>
  <si>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</si>
  <si>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</si>
  <si>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</si>
  <si>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</si>
  <si>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</si>
  <si>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</si>
  <si>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</si>
  <si>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</si>
  <si>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</si>
  <si>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</si>
  <si>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</si>
  <si>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</si>
  <si>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</si>
  <si>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</si>
  <si>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</si>
  <si>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</si>
  <si>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</si>
  <si>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</si>
  <si>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</si>
  <si>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</si>
  <si>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</si>
  <si>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</si>
  <si>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</si>
  <si>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</si>
  <si>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</si>
  <si>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</si>
  <si>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</si>
  <si>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</si>
  <si>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</si>
  <si>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</si>
  <si>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</si>
  <si>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</si>
  <si>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</si>
  <si>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</si>
  <si>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</si>
  <si>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</si>
  <si>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</si>
  <si>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</si>
  <si>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</si>
  <si>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</si>
  <si>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</si>
  <si>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</si>
  <si>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</si>
  <si>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</si>
  <si>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</si>
  <si>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</si>
  <si>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</si>
  <si>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</si>
  <si>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</si>
  <si>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</si>
  <si>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</si>
  <si>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</si>
  <si>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</si>
  <si>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</si>
  <si>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</si>
  <si>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</si>
  <si>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</si>
  <si>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</si>
  <si>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</si>
  <si>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</si>
  <si>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</si>
  <si>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</si>
  <si>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</si>
  <si>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</si>
  <si>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</si>
  <si>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</si>
  <si>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</si>
  <si>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</si>
  <si>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</si>
  <si>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</si>
  <si>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</si>
  <si>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</si>
  <si>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</si>
  <si>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</si>
  <si>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</si>
  <si>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</si>
  <si>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</si>
  <si>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</si>
  <si>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</si>
  <si>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</si>
  <si>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</si>
  <si>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</si>
  <si>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</si>
  <si>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</si>
  <si>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</si>
  <si>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</si>
  <si>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</si>
  <si>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</si>
  <si>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</si>
  <si>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</si>
  <si>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</si>
  <si>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</si>
  <si>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</si>
  <si>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</si>
  <si>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</si>
  <si>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</si>
  <si>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</si>
  <si>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</si>
  <si>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</si>
  <si>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</si>
  <si>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</si>
  <si>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</si>
  <si>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</si>
  <si>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</si>
  <si>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</si>
  <si>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</si>
  <si>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</si>
  <si>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</si>
  <si>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</si>
  <si>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</si>
  <si>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</si>
  <si>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</si>
  <si>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</si>
  <si>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</si>
  <si>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</si>
  <si>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</si>
  <si>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</si>
  <si>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</si>
  <si>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</si>
  <si>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</si>
  <si>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</si>
  <si>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</si>
  <si>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</si>
  <si>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</si>
  <si>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</si>
  <si>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</si>
  <si>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</si>
  <si>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</si>
  <si>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</si>
  <si>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</si>
  <si>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</si>
  <si>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</si>
  <si>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</si>
  <si>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</si>
  <si>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</si>
  <si>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</si>
  <si>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</si>
  <si>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</si>
  <si>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</si>
  <si>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</si>
  <si>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</si>
  <si>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</si>
  <si>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</si>
  <si>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</si>
  <si>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</si>
  <si>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</si>
  <si>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</si>
  <si>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</si>
  <si>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</si>
  <si>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</si>
  <si>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</si>
  <si>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</si>
  <si>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</si>
  <si>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</si>
  <si>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</si>
  <si>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</si>
  <si>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</si>
  <si>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</si>
  <si>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</si>
  <si>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</si>
  <si>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</si>
  <si>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</si>
  <si>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</si>
  <si>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</si>
  <si>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</si>
  <si>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</si>
  <si>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</si>
  <si>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</si>
  <si>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</si>
  <si>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</si>
  <si>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</si>
  <si>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</si>
  <si>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</si>
  <si>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</si>
  <si>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</si>
  <si>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</si>
  <si>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</si>
  <si>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</si>
  <si>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</si>
  <si>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</si>
  <si>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</si>
  <si>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</si>
  <si>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</si>
  <si>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</si>
  <si>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</si>
  <si>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</si>
  <si>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</si>
  <si>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</si>
  <si>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</si>
  <si>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</si>
  <si>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</si>
  <si>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</si>
  <si>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</si>
  <si>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</si>
  <si>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</si>
  <si>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</si>
  <si>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</si>
  <si>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</si>
  <si>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</si>
  <si>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</si>
  <si>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</si>
  <si>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</si>
  <si>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</si>
  <si>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</si>
  <si>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</si>
  <si>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</si>
  <si>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</si>
  <si>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</si>
  <si>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</si>
  <si>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</si>
  <si>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</si>
  <si>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</si>
  <si>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</si>
  <si>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</si>
  <si>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</si>
  <si>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</si>
  <si>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</si>
  <si>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</si>
  <si>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</si>
  <si>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</si>
  <si>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</si>
  <si>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</si>
  <si>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</si>
  <si>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</si>
  <si>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</si>
  <si>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</si>
  <si>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</si>
  <si>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</si>
  <si>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</si>
  <si>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</si>
  <si>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</si>
  <si>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</si>
  <si>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</si>
  <si>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</si>
  <si>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</si>
  <si>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</si>
  <si>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</si>
  <si>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</si>
  <si>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</si>
  <si>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</si>
  <si>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</si>
  <si>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</si>
  <si>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</si>
  <si>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</si>
  <si>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</si>
  <si>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</si>
  <si>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</si>
  <si>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</si>
  <si>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</si>
  <si>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</si>
  <si>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</si>
  <si>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</si>
  <si>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</si>
  <si>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</si>
  <si>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</si>
  <si>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</si>
  <si>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</si>
  <si>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</si>
  <si>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</si>
  <si>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</si>
  <si>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</si>
  <si>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</si>
  <si>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</si>
  <si>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</si>
  <si>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</si>
  <si>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</si>
  <si>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</si>
  <si>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</si>
  <si>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</si>
  <si>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</si>
  <si>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</si>
  <si>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</si>
  <si>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</si>
  <si>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</si>
  <si>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</si>
  <si>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</si>
  <si>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</si>
  <si>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</si>
  <si>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</si>
  <si>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</si>
  <si>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</si>
  <si>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</si>
  <si>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</si>
  <si>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</si>
  <si>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</si>
  <si>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</si>
  <si>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</si>
  <si>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</si>
  <si>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</si>
  <si>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</si>
  <si>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</si>
  <si>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</si>
  <si>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</si>
  <si>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</si>
  <si>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</si>
  <si>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</si>
  <si>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</si>
  <si>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</si>
  <si>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</si>
  <si>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</si>
  <si>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</si>
  <si>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</si>
  <si>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</si>
  <si>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</si>
  <si>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</si>
  <si>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</si>
  <si>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</si>
  <si>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</si>
  <si>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</si>
  <si>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</si>
  <si>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</si>
  <si>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</si>
  <si>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</si>
  <si>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</si>
  <si>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</si>
  <si>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</si>
  <si>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</si>
  <si>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</si>
  <si>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</si>
  <si>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</si>
  <si>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</si>
  <si>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</si>
  <si>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</si>
  <si>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</si>
  <si>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</si>
  <si>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</si>
  <si>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</si>
  <si>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</si>
  <si>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</si>
  <si>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</si>
  <si>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</si>
  <si>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</si>
  <si>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</si>
  <si>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</si>
  <si>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</si>
  <si>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</si>
  <si>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</si>
  <si>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</si>
  <si>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</si>
  <si>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</si>
  <si>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</si>
  <si>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</si>
  <si>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</si>
  <si>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</si>
  <si>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</si>
  <si>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</si>
  <si>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</si>
  <si>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</si>
  <si>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</si>
  <si>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</si>
  <si>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</si>
  <si>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</si>
  <si>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</si>
  <si>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</si>
  <si>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</si>
  <si>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</si>
  <si>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</si>
  <si>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</si>
  <si>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</si>
  <si>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</si>
  <si>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</si>
  <si>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</si>
  <si>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</si>
  <si>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</si>
  <si>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</si>
  <si>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</si>
  <si>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</si>
  <si>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</si>
  <si>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</si>
  <si>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</si>
  <si>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</si>
  <si>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</si>
  <si>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</si>
  <si>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</si>
  <si>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</si>
  <si>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</si>
  <si>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</si>
  <si>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</si>
  <si>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</si>
  <si>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</si>
  <si>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</si>
  <si>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</si>
  <si>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</si>
  <si>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</si>
  <si>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</si>
  <si>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</si>
  <si>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</si>
  <si>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</si>
  <si>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</si>
  <si>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</si>
  <si>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</si>
  <si>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</si>
  <si>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</si>
  <si>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</si>
  <si>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</si>
  <si>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</si>
  <si>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</si>
  <si>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</si>
  <si>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</si>
  <si>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</si>
  <si>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</si>
  <si>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</si>
  <si>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</si>
  <si>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</si>
  <si>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</si>
  <si>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</si>
  <si>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</si>
  <si>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</si>
  <si>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</si>
  <si>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</si>
  <si>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</si>
  <si>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</si>
  <si>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</si>
  <si>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</si>
  <si>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</si>
  <si>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</si>
  <si>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</si>
  <si>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</si>
  <si>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</si>
  <si>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</si>
  <si>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</si>
  <si>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</si>
  <si>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</si>
  <si>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</si>
  <si>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</si>
  <si>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</si>
  <si>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</si>
  <si>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</si>
  <si>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</si>
  <si>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</si>
  <si>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</si>
  <si>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</si>
  <si>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</si>
  <si>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</si>
  <si>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</si>
  <si>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</si>
  <si>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</si>
  <si>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</si>
  <si>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</si>
  <si>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</si>
  <si>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</si>
  <si>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</si>
  <si>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</si>
  <si>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</si>
  <si>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</si>
  <si>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</si>
  <si>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</si>
  <si>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</si>
  <si>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</si>
  <si>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</si>
  <si>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</si>
  <si>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</si>
  <si>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</si>
  <si>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</si>
  <si>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</si>
  <si>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</si>
  <si>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</si>
  <si>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</si>
  <si>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</si>
  <si>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</si>
  <si>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</si>
  <si>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</si>
  <si>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</si>
  <si>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</si>
  <si>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</si>
  <si>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</si>
  <si>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</si>
  <si>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</si>
  <si>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</si>
  <si>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</si>
  <si>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</si>
  <si>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</si>
  <si>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</si>
  <si>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</si>
  <si>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</si>
  <si>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</si>
  <si>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</si>
  <si>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</si>
  <si>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</si>
  <si>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</si>
  <si>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</si>
  <si>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</si>
  <si>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</si>
  <si>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</si>
  <si>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</si>
  <si>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</si>
  <si>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</si>
  <si>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</si>
  <si>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</si>
  <si>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</si>
  <si>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</si>
  <si>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</si>
  <si>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</si>
  <si>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</si>
  <si>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</si>
  <si>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</si>
  <si>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</si>
  <si>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</si>
  <si>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</si>
  <si>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</si>
  <si>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</si>
  <si>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</si>
  <si>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</si>
  <si>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</si>
  <si>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</si>
  <si>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</si>
  <si>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</si>
  <si>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</si>
  <si>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</si>
  <si>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</si>
  <si>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</si>
  <si>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</si>
  <si>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</si>
  <si>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</si>
  <si>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</si>
  <si>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</si>
  <si>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</si>
  <si>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</si>
  <si>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</si>
  <si>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</si>
  <si>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</si>
  <si>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</si>
  <si>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</si>
  <si>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</si>
  <si>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</si>
  <si>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</si>
  <si>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</si>
  <si>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</si>
  <si>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</si>
  <si>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</si>
  <si>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</si>
  <si>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</si>
  <si>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</si>
  <si>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</si>
  <si>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</si>
  <si>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</si>
  <si>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</si>
  <si>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</si>
  <si>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</si>
  <si>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</si>
  <si>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</si>
  <si>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</si>
  <si>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</si>
  <si>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</si>
  <si>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</si>
  <si>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</si>
  <si>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</si>
  <si>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</si>
  <si>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</si>
  <si>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</si>
  <si>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</si>
  <si>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</si>
  <si>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</si>
  <si>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</si>
  <si>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</si>
  <si>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</si>
  <si>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</si>
  <si>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</si>
  <si>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</si>
  <si>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</si>
  <si>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</si>
  <si>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</si>
  <si>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</si>
  <si>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</si>
  <si>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</si>
  <si>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</si>
  <si>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</si>
  <si>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</si>
  <si>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</si>
  <si>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</si>
  <si>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</si>
  <si>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</si>
  <si>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</si>
  <si>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</si>
  <si>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</si>
  <si>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</si>
  <si>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</si>
  <si>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</si>
  <si>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</si>
  <si>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</si>
  <si>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</si>
  <si>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</si>
  <si>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</si>
  <si>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</si>
  <si>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</si>
  <si>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</si>
  <si>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</si>
  <si>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</si>
  <si>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</si>
  <si>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</si>
  <si>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</si>
  <si>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</si>
  <si>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</si>
  <si>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</si>
  <si>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</si>
  <si>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</si>
  <si>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</si>
  <si>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</si>
  <si>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</si>
  <si>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</si>
  <si>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</si>
  <si>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</si>
  <si>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</si>
  <si>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</si>
  <si>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</si>
  <si>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</si>
  <si>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</si>
  <si>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</si>
  <si>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</si>
  <si>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</si>
  <si>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</si>
  <si>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</si>
  <si>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</si>
  <si>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</si>
  <si>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</si>
  <si>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</si>
  <si>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</si>
  <si>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</si>
  <si>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</si>
  <si>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</si>
  <si>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</si>
  <si>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</si>
  <si>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</si>
  <si>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</si>
  <si>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</si>
  <si>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</si>
  <si>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</si>
  <si>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</si>
  <si>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</si>
  <si>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</si>
  <si>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</si>
  <si>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</si>
  <si>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</si>
  <si>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</si>
  <si>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</si>
  <si>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</si>
  <si>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</si>
  <si>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</si>
  <si>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</si>
  <si>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</si>
  <si>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</si>
  <si>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</si>
  <si>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</si>
  <si>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</si>
  <si>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</si>
  <si>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</si>
  <si>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</si>
  <si>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</si>
  <si>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</si>
  <si>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</si>
  <si>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</si>
  <si>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</si>
  <si>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</si>
  <si>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</si>
  <si>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</si>
  <si>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</si>
  <si>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</si>
  <si>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</si>
  <si>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</si>
  <si>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</si>
  <si>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</si>
  <si>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</si>
  <si>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</si>
  <si>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</si>
  <si>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</si>
  <si>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</si>
  <si>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</si>
  <si>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</si>
  <si>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</si>
  <si>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</si>
  <si>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</si>
  <si>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</si>
  <si>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</si>
  <si>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</si>
  <si>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</si>
  <si>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</si>
  <si>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</si>
  <si>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</si>
  <si>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</si>
  <si>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</si>
  <si>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</si>
  <si>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</si>
  <si>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</si>
  <si>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</si>
  <si>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</si>
  <si>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</si>
  <si>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</si>
  <si>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</si>
  <si>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</si>
  <si>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</si>
  <si>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</si>
  <si>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</si>
  <si>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</si>
  <si>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</si>
  <si>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</si>
  <si>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</si>
  <si>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</si>
  <si>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</si>
  <si>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</si>
  <si>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</si>
  <si>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</si>
  <si>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</si>
  <si>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</si>
  <si>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</si>
  <si>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</si>
  <si>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</si>
  <si>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</si>
  <si>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</si>
  <si>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</si>
  <si>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</si>
  <si>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</si>
  <si>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</si>
  <si>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</si>
  <si>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</si>
  <si>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</si>
  <si>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</si>
  <si>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</si>
  <si>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</si>
  <si>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</si>
  <si>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</si>
  <si>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</si>
  <si>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</si>
  <si>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</si>
  <si>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</si>
  <si>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</si>
  <si>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</si>
  <si>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</si>
  <si>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</si>
  <si>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</si>
  <si>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</si>
  <si>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</si>
  <si>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</si>
  <si>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</si>
  <si>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</si>
  <si>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</si>
  <si>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</si>
  <si>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</si>
  <si>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</si>
  <si>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</si>
  <si>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</si>
  <si>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</si>
  <si>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</si>
  <si>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</si>
  <si>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</si>
  <si>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</si>
  <si>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</si>
  <si>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</si>
  <si>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</si>
  <si>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</si>
  <si>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</si>
  <si>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</si>
  <si>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</si>
  <si>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</si>
  <si>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</si>
  <si>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</si>
  <si>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</si>
  <si>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</si>
  <si>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</si>
  <si>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</si>
  <si>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</si>
  <si>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</si>
  <si>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</si>
  <si>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</si>
  <si>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</si>
  <si>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</si>
  <si>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</si>
  <si>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</si>
  <si>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</si>
  <si>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</si>
  <si>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</si>
  <si>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</si>
  <si>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</si>
  <si>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</si>
  <si>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</si>
  <si>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</si>
  <si>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</si>
  <si>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</si>
  <si>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</si>
  <si>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</si>
  <si>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</si>
  <si>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</si>
  <si>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</si>
  <si>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</si>
  <si>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</si>
  <si>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</si>
  <si>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</si>
  <si>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</si>
  <si>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</si>
  <si>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</si>
  <si>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</si>
  <si>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</si>
  <si>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</si>
  <si>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</si>
  <si>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</si>
  <si>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</si>
  <si>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</si>
  <si>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</si>
  <si>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</si>
  <si>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</si>
  <si>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</si>
  <si>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</si>
  <si>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</si>
  <si>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</si>
  <si>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</si>
  <si>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</si>
  <si>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</si>
  <si>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</si>
  <si>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</si>
  <si>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</si>
  <si>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</si>
  <si>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</si>
  <si>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</si>
  <si>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</si>
  <si>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</si>
  <si>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</si>
  <si>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</si>
  <si>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</si>
  <si>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</si>
  <si>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</si>
  <si>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</si>
  <si>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</si>
  <si>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</si>
  <si>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</si>
  <si>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</si>
  <si>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</si>
  <si>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</si>
  <si>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</si>
  <si>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</si>
  <si>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</si>
  <si>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</si>
  <si>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</si>
  <si>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</si>
  <si>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</si>
  <si>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</si>
  <si>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</si>
  <si>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</si>
  <si>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</si>
  <si>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</si>
  <si>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</si>
  <si>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</si>
  <si>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</si>
  <si>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</si>
  <si>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</si>
  <si>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</si>
  <si>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</si>
  <si>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</si>
  <si>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</si>
  <si>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</si>
  <si>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</si>
  <si>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</si>
  <si>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</si>
  <si>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</si>
  <si>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</si>
  <si>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</si>
  <si>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</si>
  <si>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</si>
  <si>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</si>
  <si>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</si>
  <si>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</si>
  <si>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</si>
  <si>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</si>
  <si>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</si>
  <si>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</si>
  <si>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</si>
  <si>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</si>
  <si>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</si>
  <si>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</si>
  <si>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</si>
  <si>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</si>
  <si>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</si>
  <si>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</si>
  <si>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</si>
  <si>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</si>
  <si>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</si>
  <si>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</si>
  <si>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</si>
  <si>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</si>
  <si>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</si>
  <si>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</si>
  <si>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</si>
  <si>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</si>
  <si>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</si>
  <si>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</si>
  <si>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</si>
  <si>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</si>
  <si>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</si>
  <si>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</si>
  <si>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</si>
  <si>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</si>
  <si>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</si>
  <si>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</si>
  <si>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</si>
  <si>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</si>
  <si>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</si>
  <si>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</si>
  <si>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</si>
  <si>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</si>
  <si>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</si>
  <si>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</si>
  <si>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</si>
  <si>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</si>
  <si>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</si>
  <si>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</si>
  <si>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</si>
  <si>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</si>
  <si>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</si>
  <si>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</si>
  <si>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</si>
  <si>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</si>
  <si>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</si>
  <si>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</si>
  <si>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</si>
  <si>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</si>
  <si>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</si>
  <si>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</si>
  <si>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</si>
  <si>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</si>
  <si>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</si>
  <si>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</si>
  <si>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</si>
  <si>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</si>
  <si>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</si>
  <si>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</si>
  <si>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</si>
  <si>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</si>
  <si>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</si>
  <si>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</si>
  <si>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</si>
  <si>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</si>
  <si>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</si>
  <si>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</si>
  <si>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</si>
  <si>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</si>
  <si>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</si>
  <si>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</si>
  <si>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</si>
  <si>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</si>
  <si>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</si>
  <si>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</si>
  <si>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</si>
  <si>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</si>
  <si>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</si>
  <si>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</si>
  <si>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</si>
  <si>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</si>
  <si>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</si>
  <si>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</si>
  <si>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</si>
  <si>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</si>
  <si>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</si>
  <si>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</si>
  <si>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</si>
  <si>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</si>
  <si>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</si>
  <si>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</si>
  <si>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</si>
  <si>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</si>
  <si>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</si>
  <si>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</si>
  <si>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</si>
  <si>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</si>
  <si>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</si>
  <si>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</si>
  <si>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</si>
  <si>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</si>
  <si>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</si>
  <si>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</si>
  <si>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</si>
  <si>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</si>
  <si>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</si>
  <si>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</si>
  <si>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</si>
  <si>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</si>
  <si>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</si>
  <si>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</si>
  <si>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</si>
  <si>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</si>
  <si>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</si>
  <si>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</si>
  <si>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</si>
  <si>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</si>
  <si>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</si>
  <si>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</si>
  <si>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</si>
  <si>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</si>
  <si>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</si>
  <si>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</si>
  <si>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</si>
  <si>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</si>
  <si>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</si>
  <si>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</si>
  <si>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</si>
  <si>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</si>
  <si>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</si>
  <si>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</si>
  <si>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</si>
  <si>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</si>
  <si>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</si>
  <si>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</si>
  <si>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</si>
  <si>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</si>
  <si>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</si>
  <si>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</si>
  <si>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</si>
  <si>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</si>
  <si>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</si>
  <si>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</si>
  <si>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</si>
  <si>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</si>
  <si>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</si>
  <si>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</si>
  <si>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</si>
  <si>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</si>
  <si>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</si>
  <si>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</si>
  <si>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</si>
  <si>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</si>
  <si>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</si>
  <si>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</si>
  <si>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</si>
  <si>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</si>
  <si>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</si>
  <si>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</si>
  <si>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</si>
  <si>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</si>
  <si>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</si>
  <si>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</si>
  <si>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</si>
  <si>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</si>
  <si>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</si>
  <si>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</si>
  <si>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</si>
  <si>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</si>
  <si>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</si>
  <si>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</si>
  <si>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</si>
  <si>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</si>
  <si>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</si>
  <si>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</si>
  <si>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</si>
  <si>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</si>
  <si>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</si>
  <si>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</si>
  <si>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</si>
  <si>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</si>
  <si>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</si>
  <si>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</si>
  <si>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</si>
  <si>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</si>
  <si>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</si>
  <si>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</si>
  <si>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</si>
  <si>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</si>
  <si>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</si>
  <si>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</si>
  <si>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</si>
  <si>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</si>
  <si>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</si>
  <si>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</si>
  <si>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</si>
  <si>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</si>
  <si>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</si>
  <si>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</si>
  <si>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</si>
  <si>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</si>
  <si>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</si>
  <si>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</si>
  <si>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</si>
  <si>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</si>
  <si>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</si>
  <si>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</si>
  <si>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</si>
  <si>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</si>
  <si>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</si>
  <si>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</si>
  <si>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</si>
  <si>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</si>
  <si>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</si>
  <si>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</si>
  <si>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</si>
  <si>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</si>
  <si>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</si>
  <si>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</si>
  <si>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</si>
  <si>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</si>
  <si>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</si>
  <si>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</si>
  <si>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</si>
  <si>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</si>
  <si>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</si>
  <si>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</si>
  <si>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</si>
  <si>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</si>
  <si>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</si>
  <si>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</si>
  <si>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</si>
  <si>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</si>
  <si>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</si>
  <si>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</si>
  <si>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</si>
  <si>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</si>
  <si>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</si>
  <si>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</si>
  <si>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</si>
  <si>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</si>
  <si>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</si>
  <si>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</si>
  <si>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</si>
  <si>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</si>
  <si>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</si>
  <si>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</si>
  <si>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</si>
  <si>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</si>
  <si>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</si>
  <si>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</si>
  <si>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</si>
  <si>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</si>
  <si>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</si>
  <si>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</si>
  <si>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</si>
  <si>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</si>
  <si>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</si>
  <si>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</si>
  <si>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</si>
  <si>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</si>
  <si>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</si>
  <si>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</si>
  <si>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</si>
  <si>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</si>
  <si>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</si>
  <si>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</si>
  <si>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</si>
  <si>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</si>
  <si>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</si>
  <si>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</si>
  <si>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</si>
  <si>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</si>
  <si>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</si>
  <si>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</si>
  <si>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</si>
  <si>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</si>
  <si>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</si>
  <si>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</si>
  <si>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</si>
  <si>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</si>
  <si>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</si>
  <si>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</si>
  <si>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</si>
  <si>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</si>
  <si>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</si>
  <si>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</si>
  <si>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</si>
  <si>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</si>
  <si>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</si>
  <si>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</si>
  <si>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</si>
  <si>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</si>
  <si>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</si>
  <si>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</si>
  <si>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</si>
  <si>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</si>
  <si>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</si>
  <si>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</si>
  <si>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</si>
  <si>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</si>
  <si>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</si>
  <si>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</si>
  <si>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</si>
  <si>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</si>
  <si>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</si>
  <si>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</si>
  <si>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</si>
  <si>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</si>
  <si>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</si>
  <si>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</si>
  <si>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</si>
  <si>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</si>
  <si>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</si>
  <si>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</si>
  <si>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</si>
  <si>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</si>
  <si>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</si>
  <si>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</si>
  <si>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</si>
  <si>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</si>
  <si>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</si>
  <si>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</si>
  <si>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</si>
  <si>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</si>
  <si>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</si>
  <si>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</si>
  <si>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</si>
  <si>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</si>
  <si>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</si>
  <si>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</si>
  <si>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</si>
  <si>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</si>
  <si>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</si>
  <si>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</si>
  <si>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</si>
  <si>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</si>
  <si>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</si>
  <si>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</si>
  <si>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</si>
  <si>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</si>
  <si>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</si>
  <si>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</si>
  <si>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</si>
  <si>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</si>
  <si>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</si>
  <si>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</si>
  <si>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</si>
  <si>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</si>
  <si>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</si>
  <si>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</si>
  <si>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</si>
  <si>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</si>
  <si>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</si>
  <si>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</si>
  <si>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</si>
  <si>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</si>
  <si>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</si>
  <si>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</si>
  <si>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</si>
  <si>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</si>
  <si>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</si>
  <si>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</si>
  <si>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</si>
  <si>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</si>
  <si>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</si>
  <si>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</si>
  <si>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</si>
  <si>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</si>
  <si>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</si>
  <si>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</si>
  <si>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</si>
  <si>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</si>
  <si>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</si>
  <si>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</si>
  <si>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</si>
  <si>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</si>
  <si>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</si>
  <si>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</si>
  <si>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</si>
  <si>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</si>
  <si>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</si>
  <si>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</si>
  <si>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</si>
  <si>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</si>
  <si>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</si>
  <si>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</si>
  <si>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</si>
  <si>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</si>
  <si>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</si>
  <si>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</si>
  <si>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</si>
  <si>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</si>
  <si>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</si>
  <si>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</si>
  <si>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</si>
  <si>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</si>
  <si>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</si>
  <si>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</si>
  <si>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</si>
  <si>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</si>
  <si>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</si>
  <si>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</si>
  <si>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</si>
  <si>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</si>
  <si>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</si>
  <si>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</si>
  <si>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</si>
  <si>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</si>
  <si>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</si>
  <si>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</si>
  <si>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</si>
  <si>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</si>
  <si>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</si>
  <si>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</si>
  <si>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</si>
  <si>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</si>
  <si>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</si>
  <si>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</si>
  <si>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</si>
  <si>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</si>
  <si>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</si>
  <si>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</si>
  <si>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</si>
  <si>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</si>
  <si>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</si>
  <si>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</si>
  <si>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</si>
  <si>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</si>
  <si>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</si>
  <si>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</si>
  <si>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</si>
  <si>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</si>
  <si>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</si>
  <si>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</si>
  <si>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</si>
  <si>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</si>
  <si>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</si>
  <si>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</si>
  <si>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</si>
  <si>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</si>
  <si>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</si>
  <si>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</si>
  <si>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</si>
  <si>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</si>
  <si>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</si>
  <si>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</si>
  <si>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</si>
  <si>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</si>
  <si>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</si>
  <si>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</si>
  <si>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</si>
  <si>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</si>
  <si>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</si>
  <si>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</si>
  <si>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</si>
  <si>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</si>
  <si>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</si>
  <si>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</si>
  <si>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</si>
  <si>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</si>
  <si>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</si>
  <si>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</si>
  <si>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</si>
  <si>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</si>
  <si>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</si>
  <si>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</si>
  <si>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</si>
  <si>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</si>
  <si>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</si>
  <si>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</si>
  <si>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</si>
  <si>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</si>
  <si>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</si>
  <si>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</si>
  <si>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</si>
  <si>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</si>
  <si>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</si>
  <si>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</si>
  <si>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</si>
  <si>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</si>
  <si>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</si>
  <si>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</si>
  <si>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</si>
  <si>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</si>
  <si>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</si>
  <si>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</si>
  <si>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</si>
  <si>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</si>
  <si>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</si>
  <si>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</si>
  <si>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</si>
  <si>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</si>
  <si>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</si>
  <si>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</si>
  <si>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</si>
  <si>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</si>
  <si>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</si>
  <si>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</si>
  <si>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</si>
  <si>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</si>
  <si>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</si>
  <si>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</si>
  <si>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</si>
  <si>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</si>
  <si>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</si>
  <si>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</si>
  <si>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</si>
  <si>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</si>
  <si>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</si>
  <si>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</si>
  <si>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</si>
  <si>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</si>
  <si>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</si>
  <si>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</si>
  <si>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</si>
  <si>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</si>
  <si>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</si>
  <si>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</si>
  <si>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</si>
  <si>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</si>
  <si>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</si>
  <si>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</si>
  <si>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</si>
  <si>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</si>
  <si>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</si>
  <si>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</si>
  <si>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</si>
  <si>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</si>
  <si>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</si>
  <si>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</si>
  <si>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</si>
  <si>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</si>
  <si>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</si>
  <si>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</si>
  <si>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</si>
  <si>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</si>
  <si>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</si>
  <si>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</si>
  <si>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</si>
  <si>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</si>
  <si>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</si>
  <si>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</si>
  <si>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</si>
  <si>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</si>
  <si>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</si>
  <si>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</si>
  <si>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</si>
  <si>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</si>
  <si>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</si>
  <si>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</si>
  <si>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</si>
  <si>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</si>
  <si>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</si>
  <si>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</si>
  <si>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</si>
  <si>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</si>
  <si>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</si>
  <si>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</si>
  <si>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</si>
  <si>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</si>
  <si>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</si>
  <si>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</si>
  <si>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</si>
  <si>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</si>
  <si>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</si>
  <si>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</si>
  <si>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</si>
  <si>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</si>
  <si>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</si>
  <si>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</si>
  <si>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</si>
  <si>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</si>
  <si>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</si>
  <si>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</si>
  <si>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</si>
  <si>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</si>
  <si>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</si>
  <si>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</si>
  <si>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</si>
  <si>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</si>
  <si>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</si>
  <si>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</si>
  <si>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</si>
  <si>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</si>
  <si>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</si>
  <si>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</si>
  <si>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</si>
  <si>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</si>
  <si>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</si>
  <si>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</si>
  <si>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</si>
  <si>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</si>
  <si>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</si>
  <si>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</si>
  <si>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</si>
  <si>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</si>
  <si>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</si>
  <si>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</si>
  <si>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</si>
  <si>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</si>
  <si>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</si>
  <si>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</si>
  <si>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</si>
  <si>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</si>
  <si>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</si>
  <si>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</si>
  <si>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</si>
  <si>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</si>
  <si>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</si>
  <si>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</si>
  <si>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</si>
  <si>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</si>
  <si>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</si>
  <si>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</si>
  <si>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</si>
  <si>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</si>
  <si>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</si>
  <si>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</si>
  <si>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</si>
  <si>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</si>
  <si>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</si>
  <si>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</si>
  <si>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</si>
  <si>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</si>
  <si>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</si>
  <si>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</si>
  <si>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</si>
  <si>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</si>
  <si>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</si>
  <si>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</si>
  <si>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</si>
  <si>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</si>
  <si>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</si>
  <si>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</si>
  <si>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</si>
  <si>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</si>
  <si>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</si>
  <si>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</si>
  <si>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</si>
  <si>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</si>
  <si>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</si>
  <si>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</si>
  <si>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</si>
  <si>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</si>
  <si>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</si>
  <si>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</si>
  <si>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</si>
  <si>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</si>
  <si>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</si>
  <si>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</si>
  <si>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</si>
  <si>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</si>
  <si>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</si>
  <si>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</si>
  <si>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</si>
  <si>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</si>
  <si>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</si>
  <si>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</si>
  <si>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</si>
  <si>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</si>
  <si>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</si>
  <si>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</si>
  <si>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</si>
  <si>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</si>
  <si>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</si>
  <si>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</si>
  <si>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</si>
  <si>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</si>
  <si>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</si>
  <si>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</si>
  <si>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</si>
  <si>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</si>
  <si>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</si>
  <si>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</si>
  <si>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</si>
  <si>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</si>
  <si>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</si>
  <si>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</si>
  <si>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</si>
  <si>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</si>
  <si>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</si>
  <si>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</si>
  <si>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</si>
  <si>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</si>
  <si>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</si>
  <si>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</si>
  <si>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</si>
  <si>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</si>
  <si>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</si>
  <si>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</si>
  <si>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</si>
  <si>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</si>
  <si>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</si>
  <si>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</si>
  <si>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</si>
  <si>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</si>
  <si>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</si>
  <si>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</si>
  <si>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</si>
  <si>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</si>
  <si>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</si>
  <si>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</si>
  <si>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</si>
  <si>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</si>
  <si>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</si>
  <si>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</si>
  <si>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</si>
  <si>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</si>
  <si>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</si>
  <si>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</si>
  <si>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</si>
  <si>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</si>
  <si>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</si>
  <si>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</si>
  <si>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</si>
  <si>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</si>
  <si>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</si>
  <si>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</si>
  <si>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</si>
  <si>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</si>
  <si>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</si>
  <si>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</si>
  <si>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</si>
  <si>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</si>
  <si>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</si>
  <si>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</si>
  <si>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</si>
  <si>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</si>
  <si>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</si>
  <si>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</si>
  <si>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</si>
  <si>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</si>
  <si>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</si>
  <si>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</si>
  <si>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</si>
  <si>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</si>
  <si>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</si>
  <si>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</si>
  <si>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</si>
  <si>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</si>
  <si>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</si>
  <si>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</si>
  <si>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</si>
  <si>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</si>
  <si>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</si>
  <si>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</si>
  <si>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</si>
  <si>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</si>
  <si>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</si>
  <si>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</si>
  <si>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</si>
  <si>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</si>
  <si>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</si>
  <si>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</si>
  <si>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</si>
  <si>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</si>
  <si>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</si>
  <si>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</si>
  <si>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</si>
  <si>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</si>
  <si>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</si>
  <si>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</si>
  <si>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</si>
  <si>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</si>
  <si>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</si>
  <si>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</si>
  <si>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</si>
  <si>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</si>
  <si>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</si>
  <si>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</si>
  <si>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</si>
  <si>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</si>
  <si>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</si>
  <si>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</si>
  <si>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</si>
  <si>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</si>
  <si>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</si>
  <si>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</si>
  <si>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</si>
  <si>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</si>
  <si>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</si>
  <si>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</si>
  <si>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</si>
  <si>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</si>
  <si>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</si>
  <si>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</si>
  <si>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</si>
  <si>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</si>
  <si>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</si>
  <si>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</si>
  <si>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</si>
  <si>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</si>
  <si>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</si>
  <si>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</si>
  <si>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</si>
  <si>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</si>
  <si>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</si>
  <si>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</si>
  <si>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</si>
  <si>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</si>
  <si>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</si>
  <si>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</si>
  <si>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</si>
  <si>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</si>
  <si>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</si>
  <si>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</si>
  <si>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</si>
  <si>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</si>
  <si>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</si>
  <si>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</si>
  <si>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</si>
  <si>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</si>
  <si>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</si>
  <si>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</si>
  <si>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</si>
  <si>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</si>
  <si>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</si>
  <si>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</si>
  <si>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</si>
  <si>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</si>
  <si>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</si>
  <si>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</si>
  <si>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</si>
  <si>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</si>
  <si>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</si>
  <si>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</si>
  <si>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</si>
  <si>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</si>
  <si>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</si>
  <si>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</si>
  <si>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</si>
  <si>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</si>
  <si>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</si>
  <si>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</si>
  <si>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</si>
  <si>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</si>
  <si>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</si>
  <si>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</si>
  <si>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</si>
  <si>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</si>
  <si>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</si>
  <si>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</si>
  <si>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</si>
  <si>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</si>
  <si>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</si>
  <si>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</si>
  <si>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</si>
  <si>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</si>
  <si>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</si>
  <si>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</si>
  <si>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</si>
  <si>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</si>
  <si>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</si>
  <si>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</si>
  <si>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</si>
  <si>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</si>
  <si>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</si>
  <si>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</si>
  <si>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</si>
  <si>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</si>
  <si>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</si>
  <si>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</si>
  <si>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</si>
  <si>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</si>
  <si>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</si>
  <si>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</si>
  <si>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</si>
  <si>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</si>
  <si>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</si>
  <si>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</si>
  <si>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</si>
  <si>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</si>
  <si>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</si>
  <si>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</si>
  <si>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</si>
  <si>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</si>
  <si>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</si>
  <si>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</si>
  <si>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</si>
  <si>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</si>
  <si>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</si>
  <si>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</si>
  <si>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</si>
  <si>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</si>
  <si>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</si>
  <si>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</si>
  <si>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</si>
  <si>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</si>
  <si>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</si>
  <si>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</si>
  <si>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</si>
  <si>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</si>
  <si>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</si>
  <si>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</si>
  <si>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</si>
  <si>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</si>
  <si>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</si>
  <si>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</si>
  <si>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</si>
  <si>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</si>
  <si>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</si>
  <si>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</si>
  <si>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</si>
  <si>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</si>
  <si>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</si>
  <si>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</si>
  <si>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</si>
  <si>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</si>
  <si>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</si>
  <si>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</si>
  <si>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</si>
  <si>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</si>
  <si>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</si>
  <si>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</si>
  <si>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</si>
  <si>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</si>
  <si>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</si>
  <si>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</si>
  <si>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</si>
  <si>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</si>
  <si>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</si>
  <si>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</si>
  <si>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</si>
  <si>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</si>
  <si>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</si>
  <si>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</si>
  <si>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</si>
  <si>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</si>
  <si>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</si>
  <si>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</si>
  <si>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</si>
  <si>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</si>
  <si>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</si>
  <si>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</si>
  <si>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</si>
  <si>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</si>
  <si>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</si>
  <si>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</si>
  <si>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</si>
  <si>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</si>
  <si>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</si>
  <si>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</si>
  <si>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</si>
  <si>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</si>
  <si>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</si>
  <si>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</si>
  <si>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</si>
  <si>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</si>
  <si>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</si>
  <si>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</si>
  <si>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</si>
  <si>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</si>
  <si>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</si>
  <si>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</si>
  <si>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</si>
  <si>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</si>
  <si>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</si>
  <si>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</si>
  <si>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</si>
  <si>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</si>
  <si>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</si>
  <si>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</si>
  <si>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</si>
  <si>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</si>
  <si>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</si>
  <si>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</si>
  <si>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</si>
  <si>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</si>
  <si>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</si>
  <si>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</si>
  <si>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</si>
  <si>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</si>
  <si>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</si>
  <si>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</si>
  <si>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</si>
  <si>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</si>
  <si>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</si>
  <si>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</si>
  <si>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</si>
  <si>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</si>
  <si>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</si>
  <si>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</si>
  <si>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</si>
  <si>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</si>
  <si>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</si>
  <si>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</si>
  <si>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</si>
  <si>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</si>
  <si>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</si>
  <si>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</si>
  <si>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</si>
  <si>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</si>
  <si>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</si>
  <si>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</si>
  <si>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</si>
  <si>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</si>
  <si>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</si>
  <si>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</si>
  <si>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</si>
  <si>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</si>
  <si>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</si>
  <si>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</si>
  <si>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</si>
  <si>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</si>
  <si>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</si>
  <si>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</si>
  <si>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</si>
  <si>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</si>
  <si>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</si>
  <si>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</si>
  <si>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</si>
  <si>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</si>
  <si>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</si>
  <si>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</si>
  <si>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</si>
  <si>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</si>
  <si>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</si>
  <si>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</si>
  <si>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</si>
  <si>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</si>
  <si>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</si>
  <si>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</si>
  <si>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</si>
  <si>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</si>
  <si>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</si>
  <si>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</si>
  <si>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</si>
  <si>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</si>
  <si>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</si>
  <si>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</si>
  <si>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</si>
  <si>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</si>
  <si>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</si>
  <si>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</si>
  <si>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</si>
  <si>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</si>
  <si>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</si>
  <si>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</si>
  <si>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</si>
  <si>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</si>
  <si>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</si>
  <si>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</si>
  <si>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</si>
  <si>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</si>
  <si>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</si>
  <si>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</si>
  <si>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</si>
  <si>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</si>
  <si>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</si>
  <si>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</si>
  <si>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</si>
  <si>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</si>
  <si>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</si>
  <si>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</si>
  <si>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</si>
  <si>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</si>
  <si>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</si>
  <si>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</si>
  <si>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</si>
  <si>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</si>
  <si>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</si>
  <si>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</si>
  <si>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</si>
  <si>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</si>
  <si>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</si>
  <si>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</si>
  <si>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</si>
  <si>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</si>
  <si>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</si>
  <si>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</si>
  <si>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</si>
  <si>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</si>
  <si>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</si>
  <si>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</si>
  <si>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</si>
  <si>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</si>
  <si>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</si>
  <si>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</si>
  <si>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</si>
  <si>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</si>
  <si>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</si>
  <si>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</si>
  <si>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</si>
  <si>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</si>
  <si>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</si>
  <si>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</si>
  <si>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</si>
  <si>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</si>
  <si>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</si>
  <si>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</si>
  <si>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</si>
  <si>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</si>
  <si>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</si>
  <si>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</si>
  <si>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</si>
  <si>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</si>
  <si>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</si>
  <si>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</si>
  <si>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</si>
  <si>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</si>
  <si>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</si>
  <si>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</si>
  <si>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</si>
  <si>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</si>
  <si>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</si>
  <si>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</si>
  <si>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</si>
  <si>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</si>
  <si>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</si>
  <si>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</si>
  <si>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</si>
  <si>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</si>
  <si>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</si>
  <si>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</si>
  <si>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</si>
  <si>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</si>
  <si>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</si>
  <si>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</si>
  <si>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</si>
  <si>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</si>
  <si>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</si>
  <si>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</si>
  <si>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</si>
  <si>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</si>
  <si>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</si>
  <si>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</si>
  <si>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</si>
  <si>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</si>
  <si>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</si>
  <si>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</si>
  <si>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</si>
  <si>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</si>
  <si>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</si>
  <si>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</si>
  <si>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</si>
  <si>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</si>
  <si>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</si>
  <si>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</si>
  <si>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</si>
  <si>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</si>
  <si>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</si>
  <si>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</si>
  <si>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</si>
  <si>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</si>
  <si>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</si>
  <si>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</si>
  <si>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</si>
  <si>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</si>
  <si>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</si>
  <si>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</si>
  <si>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</si>
  <si>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</si>
  <si>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</si>
  <si>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</si>
  <si>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</si>
  <si>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</si>
  <si>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</si>
  <si>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</si>
  <si>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</si>
  <si>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</si>
  <si>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</si>
  <si>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</si>
  <si>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</si>
  <si>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</si>
  <si>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</si>
  <si>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</si>
  <si>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</si>
  <si>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</si>
  <si>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</si>
  <si>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</si>
  <si>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</si>
  <si>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</si>
  <si>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</si>
  <si>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</si>
  <si>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</si>
  <si>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</si>
  <si>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</si>
  <si>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</si>
  <si>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</si>
  <si>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</si>
  <si>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</si>
  <si>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</si>
  <si>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</si>
  <si>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</si>
  <si>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</si>
  <si>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</si>
  <si>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</si>
  <si>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</si>
  <si>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</si>
  <si>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</si>
  <si>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</si>
  <si>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</si>
  <si>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</si>
  <si>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</si>
  <si>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</si>
  <si>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</si>
  <si>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</si>
  <si>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</si>
  <si>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</si>
  <si>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</si>
  <si>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</si>
  <si>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</si>
  <si>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</si>
  <si>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</si>
  <si>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</si>
  <si>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</si>
  <si>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</si>
  <si>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</si>
  <si>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</si>
  <si>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</si>
  <si>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</si>
  <si>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</si>
  <si>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</si>
  <si>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</si>
  <si>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</si>
  <si>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</si>
  <si>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</si>
  <si>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</si>
  <si>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</si>
  <si>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</si>
  <si>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</si>
  <si>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</si>
  <si>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</si>
  <si>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</si>
  <si>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</si>
  <si>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</si>
  <si>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</si>
  <si>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</si>
  <si>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</si>
  <si>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</si>
  <si>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</si>
  <si>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</si>
  <si>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</si>
  <si>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</si>
  <si>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</si>
  <si>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</si>
  <si>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</si>
  <si>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</si>
  <si>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</si>
  <si>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</si>
  <si>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</si>
  <si>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</si>
  <si>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</si>
  <si>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</si>
  <si>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</si>
  <si>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</si>
  <si>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</si>
  <si>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</si>
  <si>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</si>
  <si>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</si>
  <si>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</si>
  <si>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</si>
  <si>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</si>
  <si>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</si>
  <si>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</si>
  <si>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</si>
  <si>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</si>
  <si>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</si>
  <si>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</si>
  <si>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</si>
  <si>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</si>
  <si>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</si>
  <si>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</si>
  <si>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</si>
  <si>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</si>
  <si>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</si>
  <si>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</si>
  <si>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</si>
  <si>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</si>
  <si>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</si>
  <si>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</si>
  <si>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</si>
  <si>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</si>
  <si>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</si>
  <si>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</si>
  <si>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</si>
  <si>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</si>
  <si>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</si>
  <si>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</si>
  <si>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</si>
  <si>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</si>
  <si>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</si>
  <si>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</si>
  <si>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</si>
  <si>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</si>
  <si>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</si>
  <si>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</si>
  <si>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</si>
  <si>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</si>
  <si>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</si>
  <si>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</si>
  <si>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</si>
  <si>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</si>
  <si>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</si>
  <si>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</si>
  <si>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</si>
  <si>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</si>
  <si>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</si>
  <si>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</si>
  <si>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</si>
  <si>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</si>
  <si>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</si>
  <si>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</si>
  <si>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</si>
  <si>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</si>
  <si>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</si>
  <si>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</si>
  <si>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</si>
  <si>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</si>
  <si>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</si>
  <si>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</si>
  <si>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</si>
  <si>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</si>
  <si>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</si>
  <si>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</si>
  <si>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</si>
  <si>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</si>
  <si>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</si>
  <si>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</si>
  <si>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</si>
  <si>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</si>
  <si>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</si>
  <si>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</si>
  <si>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</si>
  <si>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</si>
  <si>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</si>
  <si>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</si>
  <si>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</si>
  <si>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</si>
  <si>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</si>
  <si>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</si>
  <si>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</si>
  <si>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</si>
  <si>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</si>
  <si>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</si>
  <si>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</si>
  <si>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</si>
  <si>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</si>
  <si>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</si>
  <si>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</si>
  <si>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</si>
  <si>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</si>
  <si>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</si>
  <si>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</si>
  <si>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</si>
  <si>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</si>
  <si>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</si>
  <si>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</si>
  <si>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</si>
  <si>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</si>
  <si>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</si>
  <si>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</si>
  <si>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</si>
  <si>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</si>
  <si>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</si>
  <si>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</si>
  <si>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</si>
  <si>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</si>
  <si>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</si>
  <si>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</si>
  <si>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</si>
  <si>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</si>
  <si>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</si>
  <si>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</si>
  <si>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</si>
  <si>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</si>
  <si>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</si>
  <si>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</si>
  <si>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</si>
  <si>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</si>
  <si>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</si>
  <si>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</si>
  <si>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</si>
  <si>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</si>
  <si>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</si>
  <si>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</si>
  <si>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</si>
  <si>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</si>
  <si>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</si>
  <si>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</si>
  <si>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</si>
  <si>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</si>
  <si>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</si>
  <si>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</si>
  <si>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</si>
  <si>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</si>
  <si>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</si>
  <si>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</si>
  <si>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</si>
  <si>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</si>
  <si>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</si>
  <si>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</si>
  <si>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</si>
  <si>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</si>
  <si>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</si>
  <si>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</si>
  <si>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</si>
  <si>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</si>
  <si>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</si>
  <si>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</si>
  <si>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</si>
  <si>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</si>
  <si>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</si>
  <si>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</si>
  <si>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</si>
  <si>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</si>
  <si>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</si>
  <si>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</si>
  <si>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</si>
  <si>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</si>
  <si>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</si>
  <si>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</si>
  <si>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</si>
  <si>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</si>
  <si>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</si>
  <si>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</si>
  <si>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</si>
  <si>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</si>
  <si>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</si>
  <si>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</si>
  <si>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</si>
  <si>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</si>
  <si>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</si>
  <si>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</si>
  <si>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</si>
  <si>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</si>
  <si>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</si>
  <si>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</si>
  <si>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</si>
  <si>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</si>
  <si>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</si>
  <si>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</si>
  <si>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</si>
  <si>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</si>
  <si>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</si>
  <si>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</si>
  <si>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</si>
  <si>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</si>
  <si>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</si>
  <si>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</si>
  <si>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</si>
  <si>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</si>
  <si>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</si>
  <si>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</si>
  <si>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</si>
  <si>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</si>
  <si>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</si>
  <si>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</si>
  <si>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</si>
  <si>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</si>
  <si>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</si>
  <si>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</si>
  <si>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</si>
  <si>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</si>
  <si>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</si>
  <si>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</si>
  <si>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</si>
  <si>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</si>
  <si>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</si>
  <si>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</si>
  <si>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</si>
  <si>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</si>
  <si>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</si>
  <si>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</si>
  <si>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</si>
  <si>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</si>
  <si>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</si>
  <si>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</si>
  <si>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</si>
  <si>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</si>
  <si>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</si>
  <si>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</si>
  <si>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</si>
  <si>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</si>
  <si>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</si>
  <si>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</si>
  <si>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</si>
  <si>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</si>
  <si>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</si>
  <si>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</si>
  <si>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</si>
  <si>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</si>
  <si>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</si>
  <si>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</si>
  <si>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</si>
  <si>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</si>
  <si>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</si>
  <si>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</si>
  <si>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</si>
  <si>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</si>
  <si>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</si>
  <si>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</si>
  <si>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</si>
  <si>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</si>
  <si>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</si>
  <si>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</si>
  <si>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</si>
  <si>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</si>
  <si>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</si>
  <si>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</si>
  <si>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</si>
  <si>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</si>
  <si>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</si>
  <si>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</si>
  <si>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</si>
  <si>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</si>
  <si>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</si>
  <si>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</si>
  <si>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</si>
  <si>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</si>
  <si>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</si>
  <si>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</si>
  <si>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</si>
  <si>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</si>
  <si>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</si>
  <si>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</si>
  <si>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</si>
  <si>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</si>
  <si>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</si>
  <si>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</si>
  <si>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</si>
  <si>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</si>
  <si>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</si>
  <si>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</si>
  <si>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</si>
  <si>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</si>
  <si>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</si>
  <si>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</si>
  <si>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</si>
  <si>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</si>
  <si>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</si>
  <si>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</si>
  <si>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</si>
  <si>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</si>
  <si>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</si>
  <si>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</si>
  <si>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</si>
  <si>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</si>
  <si>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</si>
  <si>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</si>
  <si>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</si>
  <si>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</si>
  <si>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</si>
  <si>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</si>
  <si>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</si>
  <si>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</si>
  <si>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</si>
  <si>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</si>
  <si>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</si>
  <si>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</si>
  <si>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</si>
  <si>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</si>
  <si>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</si>
  <si>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</si>
  <si>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</si>
  <si>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</si>
  <si>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</si>
  <si>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</si>
  <si>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</si>
  <si>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</si>
  <si>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</si>
  <si>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</si>
  <si>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</si>
  <si>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</si>
  <si>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</si>
  <si>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</si>
  <si>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</si>
  <si>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</si>
  <si>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</si>
  <si>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</si>
  <si>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</si>
  <si>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</si>
  <si>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</si>
  <si>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</si>
  <si>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</si>
  <si>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</si>
  <si>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</si>
  <si>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</si>
  <si>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</si>
  <si>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</si>
  <si>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</si>
  <si>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</si>
  <si>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</si>
  <si>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</si>
  <si>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</si>
  <si>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</si>
  <si>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</si>
  <si>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</si>
  <si>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</si>
  <si>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</si>
  <si>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</si>
  <si>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</si>
  <si>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</si>
  <si>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</si>
  <si>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</si>
  <si>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</si>
  <si>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</si>
  <si>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</si>
  <si>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</si>
  <si>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</si>
  <si>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</si>
  <si>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</si>
  <si>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</si>
  <si>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</si>
  <si>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</si>
  <si>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</si>
  <si>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</si>
  <si>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</si>
  <si>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</si>
  <si>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</si>
  <si>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</si>
  <si>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</si>
  <si>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</si>
  <si>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</si>
  <si>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</si>
  <si>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</si>
  <si>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</si>
  <si>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</si>
  <si>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</si>
  <si>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</si>
  <si>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</si>
  <si>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</si>
  <si>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</si>
  <si>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</si>
  <si>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</si>
  <si>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</si>
  <si>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</si>
  <si>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</si>
  <si>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</si>
  <si>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</si>
  <si>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</si>
  <si>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</si>
  <si>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</si>
  <si>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</si>
  <si>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</si>
  <si>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</si>
  <si>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</si>
  <si>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</si>
  <si>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</si>
  <si>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</si>
  <si>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</si>
  <si>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</si>
  <si>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</si>
  <si>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</si>
  <si>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</si>
  <si>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</si>
  <si>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</si>
  <si>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</si>
  <si>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</si>
  <si>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</si>
  <si>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sum of sales</t>
  </si>
  <si>
    <t>total categories</t>
  </si>
  <si>
    <t>profit</t>
  </si>
  <si>
    <t>COUNT CS</t>
  </si>
  <si>
    <t>Sales&amp;profit by Region</t>
  </si>
  <si>
    <t>Salea &amp;profit by Category</t>
  </si>
  <si>
    <t>sales by product</t>
  </si>
  <si>
    <t>Monthly sales trend</t>
  </si>
  <si>
    <t>Row Labels</t>
  </si>
  <si>
    <t>Sum of Sales</t>
  </si>
  <si>
    <t>Sum of Profit</t>
  </si>
  <si>
    <t>Count of Months (Order Date)</t>
  </si>
  <si>
    <t>Jan</t>
  </si>
  <si>
    <t>Feb</t>
  </si>
  <si>
    <t>Mar</t>
  </si>
  <si>
    <t>Grand Total</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</si>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</sst>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left"/>
    </xf>
    <xf numFmtId="0" fontId="0" fillId="0" borderId="0" xfId="0" pivotButton="1"/>
    <xf numFmtId="0" fontId="18" fillId="0" borderId="0" xfId="0" applyFon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D29D9A"/>
      <color rgb="FF1A5B88"/>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 dashboard.xlsx]pivote table!ps1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t>Total</a:t>
            </a:r>
            <a:r>
              <a:rPr lang="en-US" sz="1400" baseline="0"/>
              <a:t> sales &amp; profit</a:t>
            </a:r>
            <a:endParaRPr lang="en-US" sz="1400"/>
          </a:p>
        </c:rich>
      </c:tx>
      <c:layout>
        <c:manualLayout>
          <c:xMode val="edge"/>
          <c:yMode val="edge"/>
          <c:x val="0.15840616797900262"/>
          <c:y val="0.18218747391558388"/>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table'!$C$2</c:f>
              <c:strCache>
                <c:ptCount val="1"/>
                <c:pt idx="0">
                  <c:v>Sum of Sales</c:v>
                </c:pt>
              </c:strCache>
            </c:strRef>
          </c:tx>
          <c:spPr>
            <a:solidFill>
              <a:schemeClr val="accent1"/>
            </a:solidFill>
            <a:ln>
              <a:noFill/>
            </a:ln>
            <a:effectLst/>
          </c:spPr>
          <c:invertIfNegative val="0"/>
          <c:cat>
            <c:strRef>
              <c:f>'pivote table'!$B$3:$B$7</c:f>
              <c:strCache>
                <c:ptCount val="4"/>
                <c:pt idx="0">
                  <c:v>West</c:v>
                </c:pt>
                <c:pt idx="1">
                  <c:v>South</c:v>
                </c:pt>
                <c:pt idx="2">
                  <c:v>North</c:v>
                </c:pt>
                <c:pt idx="3">
                  <c:v>East</c:v>
                </c:pt>
              </c:strCache>
            </c:strRef>
          </c:cat>
          <c:val>
            <c:numRef>
              <c:f>'pivote table'!$C$3:$C$7</c:f>
              <c:numCache>
                <c:formatCode>General</c:formatCode>
                <c:ptCount val="4"/>
                <c:pt idx="0">
                  <c:v>1278807.3800000004</c:v>
                </c:pt>
                <c:pt idx="1">
                  <c:v>1282733.4300000013</c:v>
                </c:pt>
                <c:pt idx="2">
                  <c:v>1293222.6400000011</c:v>
                </c:pt>
                <c:pt idx="3">
                  <c:v>1227821.4100000004</c:v>
                </c:pt>
              </c:numCache>
            </c:numRef>
          </c:val>
          <c:extLst>
            <c:ext xmlns:c16="http://schemas.microsoft.com/office/drawing/2014/chart" uri="{C3380CC4-5D6E-409C-BE32-E72D297353CC}">
              <c16:uniqueId val="{00000000-449D-4BCA-B063-A8574C44A5DD}"/>
            </c:ext>
          </c:extLst>
        </c:ser>
        <c:ser>
          <c:idx val="1"/>
          <c:order val="1"/>
          <c:tx>
            <c:strRef>
              <c:f>'pivote table'!$D$2</c:f>
              <c:strCache>
                <c:ptCount val="1"/>
                <c:pt idx="0">
                  <c:v>Sum of Profit</c:v>
                </c:pt>
              </c:strCache>
            </c:strRef>
          </c:tx>
          <c:spPr>
            <a:solidFill>
              <a:schemeClr val="accent2"/>
            </a:solidFill>
            <a:ln>
              <a:noFill/>
            </a:ln>
            <a:effectLst/>
          </c:spPr>
          <c:invertIfNegative val="0"/>
          <c:cat>
            <c:strRef>
              <c:f>'pivote table'!$B$3:$B$7</c:f>
              <c:strCache>
                <c:ptCount val="4"/>
                <c:pt idx="0">
                  <c:v>West</c:v>
                </c:pt>
                <c:pt idx="1">
                  <c:v>South</c:v>
                </c:pt>
                <c:pt idx="2">
                  <c:v>North</c:v>
                </c:pt>
                <c:pt idx="3">
                  <c:v>East</c:v>
                </c:pt>
              </c:strCache>
            </c:strRef>
          </c:cat>
          <c:val>
            <c:numRef>
              <c:f>'pivote table'!$D$3:$D$7</c:f>
              <c:numCache>
                <c:formatCode>General</c:formatCode>
                <c:ptCount val="4"/>
                <c:pt idx="0">
                  <c:v>225345.55999999971</c:v>
                </c:pt>
                <c:pt idx="1">
                  <c:v>222672.26999999993</c:v>
                </c:pt>
                <c:pt idx="2">
                  <c:v>218824.96000000008</c:v>
                </c:pt>
                <c:pt idx="3">
                  <c:v>214990.46999999986</c:v>
                </c:pt>
              </c:numCache>
            </c:numRef>
          </c:val>
          <c:extLst>
            <c:ext xmlns:c16="http://schemas.microsoft.com/office/drawing/2014/chart" uri="{C3380CC4-5D6E-409C-BE32-E72D297353CC}">
              <c16:uniqueId val="{00000001-449D-4BCA-B063-A8574C44A5DD}"/>
            </c:ext>
          </c:extLst>
        </c:ser>
        <c:dLbls>
          <c:showLegendKey val="0"/>
          <c:showVal val="0"/>
          <c:showCatName val="0"/>
          <c:showSerName val="0"/>
          <c:showPercent val="0"/>
          <c:showBubbleSize val="0"/>
        </c:dLbls>
        <c:gapWidth val="444"/>
        <c:overlap val="-90"/>
        <c:axId val="1316764464"/>
        <c:axId val="1316755344"/>
      </c:barChart>
      <c:catAx>
        <c:axId val="1316764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16755344"/>
        <c:crosses val="autoZero"/>
        <c:auto val="1"/>
        <c:lblAlgn val="ctr"/>
        <c:lblOffset val="100"/>
        <c:noMultiLvlLbl val="0"/>
      </c:catAx>
      <c:valAx>
        <c:axId val="1316755344"/>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76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 dashboard.xlsx]pivote table!ps2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Sales by Category</a:t>
            </a:r>
          </a:p>
        </c:rich>
      </c:tx>
      <c:layout>
        <c:manualLayout>
          <c:xMode val="edge"/>
          <c:yMode val="edge"/>
          <c:x val="0.31840355579231244"/>
          <c:y val="0.1776310219287105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s>
    <c:plotArea>
      <c:layout/>
      <c:pieChart>
        <c:varyColors val="1"/>
        <c:ser>
          <c:idx val="0"/>
          <c:order val="0"/>
          <c:tx>
            <c:strRef>
              <c:f>'pivote table'!$G$2</c:f>
              <c:strCache>
                <c:ptCount val="1"/>
                <c:pt idx="0">
                  <c:v>Sum of Sales</c:v>
                </c:pt>
              </c:strCache>
            </c:strRef>
          </c:tx>
          <c:explosion val="4"/>
          <c:dPt>
            <c:idx val="0"/>
            <c:bubble3D val="0"/>
            <c:explosion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4-96ED-472C-8AA5-BC4225B0A739}"/>
              </c:ext>
            </c:extLst>
          </c:dPt>
          <c:dPt>
            <c:idx val="1"/>
            <c:bubble3D val="0"/>
            <c:explosion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5-96ED-472C-8AA5-BC4225B0A739}"/>
              </c:ext>
            </c:extLst>
          </c:dPt>
          <c:dPt>
            <c:idx val="2"/>
            <c:bubble3D val="0"/>
            <c:explosion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3-96ED-472C-8AA5-BC4225B0A73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 table'!$F$3:$F$6</c:f>
              <c:strCache>
                <c:ptCount val="3"/>
                <c:pt idx="0">
                  <c:v>Furniture</c:v>
                </c:pt>
                <c:pt idx="1">
                  <c:v>Office Supplies</c:v>
                </c:pt>
                <c:pt idx="2">
                  <c:v>Technology</c:v>
                </c:pt>
              </c:strCache>
            </c:strRef>
          </c:cat>
          <c:val>
            <c:numRef>
              <c:f>'pivote table'!$G$3:$G$6</c:f>
              <c:numCache>
                <c:formatCode>General</c:formatCode>
                <c:ptCount val="3"/>
                <c:pt idx="0">
                  <c:v>1671923.5300000021</c:v>
                </c:pt>
                <c:pt idx="1">
                  <c:v>1690794.7199999967</c:v>
                </c:pt>
                <c:pt idx="2">
                  <c:v>1719866.6100000036</c:v>
                </c:pt>
              </c:numCache>
            </c:numRef>
          </c:val>
          <c:extLst>
            <c:ext xmlns:c16="http://schemas.microsoft.com/office/drawing/2014/chart" uri="{C3380CC4-5D6E-409C-BE32-E72D297353CC}">
              <c16:uniqueId val="{00000000-96ED-472C-8AA5-BC4225B0A739}"/>
            </c:ext>
          </c:extLst>
        </c:ser>
        <c:ser>
          <c:idx val="1"/>
          <c:order val="1"/>
          <c:tx>
            <c:strRef>
              <c:f>'pivote table'!$H$2</c:f>
              <c:strCache>
                <c:ptCount val="1"/>
                <c:pt idx="0">
                  <c:v>Sum of Profit</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7-84EB-49B7-B0D4-597CE64C83BC}"/>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9-84EB-49B7-B0D4-597CE64C83BC}"/>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B-84EB-49B7-B0D4-597CE64C83B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 table'!$F$3:$F$6</c:f>
              <c:strCache>
                <c:ptCount val="3"/>
                <c:pt idx="0">
                  <c:v>Furniture</c:v>
                </c:pt>
                <c:pt idx="1">
                  <c:v>Office Supplies</c:v>
                </c:pt>
                <c:pt idx="2">
                  <c:v>Technology</c:v>
                </c:pt>
              </c:strCache>
            </c:strRef>
          </c:cat>
          <c:val>
            <c:numRef>
              <c:f>'pivote table'!$H$3:$H$6</c:f>
              <c:numCache>
                <c:formatCode>General</c:formatCode>
                <c:ptCount val="3"/>
                <c:pt idx="0">
                  <c:v>290653.02999999985</c:v>
                </c:pt>
                <c:pt idx="1">
                  <c:v>293473.83999999991</c:v>
                </c:pt>
                <c:pt idx="2">
                  <c:v>297706.39</c:v>
                </c:pt>
              </c:numCache>
            </c:numRef>
          </c:val>
          <c:extLst>
            <c:ext xmlns:c16="http://schemas.microsoft.com/office/drawing/2014/chart" uri="{C3380CC4-5D6E-409C-BE32-E72D297353CC}">
              <c16:uniqueId val="{00000001-96ED-472C-8AA5-BC4225B0A73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29D9A"/>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 dashboard.xlsx]pivote table!ps3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5 PRODUCTS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table'!$K$2</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table'!$J$3:$J$8</c:f>
              <c:strCache>
                <c:ptCount val="5"/>
                <c:pt idx="0">
                  <c:v>Bookshelf</c:v>
                </c:pt>
                <c:pt idx="1">
                  <c:v>Laptop</c:v>
                </c:pt>
                <c:pt idx="2">
                  <c:v>Printer</c:v>
                </c:pt>
                <c:pt idx="3">
                  <c:v>Desk</c:v>
                </c:pt>
                <c:pt idx="4">
                  <c:v>File Folder</c:v>
                </c:pt>
              </c:strCache>
            </c:strRef>
          </c:cat>
          <c:val>
            <c:numRef>
              <c:f>'pivote table'!$K$3:$K$8</c:f>
              <c:numCache>
                <c:formatCode>General</c:formatCode>
                <c:ptCount val="5"/>
                <c:pt idx="0">
                  <c:v>367958.77000000014</c:v>
                </c:pt>
                <c:pt idx="1">
                  <c:v>363830.0099999996</c:v>
                </c:pt>
                <c:pt idx="2">
                  <c:v>363450.21000000025</c:v>
                </c:pt>
                <c:pt idx="3">
                  <c:v>361039.40999999992</c:v>
                </c:pt>
                <c:pt idx="4">
                  <c:v>358931.18999999994</c:v>
                </c:pt>
              </c:numCache>
            </c:numRef>
          </c:val>
          <c:extLst>
            <c:ext xmlns:c16="http://schemas.microsoft.com/office/drawing/2014/chart" uri="{C3380CC4-5D6E-409C-BE32-E72D297353CC}">
              <c16:uniqueId val="{00000000-780D-4F9A-AC00-1F5BFC05243B}"/>
            </c:ext>
          </c:extLst>
        </c:ser>
        <c:dLbls>
          <c:dLblPos val="outEnd"/>
          <c:showLegendKey val="0"/>
          <c:showVal val="1"/>
          <c:showCatName val="0"/>
          <c:showSerName val="0"/>
          <c:showPercent val="0"/>
          <c:showBubbleSize val="0"/>
        </c:dLbls>
        <c:gapWidth val="115"/>
        <c:overlap val="-20"/>
        <c:axId val="1447118048"/>
        <c:axId val="1447108448"/>
      </c:barChart>
      <c:catAx>
        <c:axId val="14471180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108448"/>
        <c:crosses val="autoZero"/>
        <c:auto val="1"/>
        <c:lblAlgn val="ctr"/>
        <c:lblOffset val="100"/>
        <c:noMultiLvlLbl val="0"/>
      </c:catAx>
      <c:valAx>
        <c:axId val="1447108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11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sq" cmpd="sng" algn="ctr">
      <a:solidFill>
        <a:schemeClr val="tx1"/>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 dashboard.xlsx]pivote table!ps4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table'!$N$2</c:f>
              <c:strCache>
                <c:ptCount val="1"/>
                <c:pt idx="0">
                  <c:v>Count of Months (Order Date)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'pivote table'!$M$3:$M$15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table'!$N$3:$N$15</c:f>
              <c:numCache>
                <c:formatCode>General</c:formatCode>
                <c:ptCount val="12"/>
                <c:pt idx="0">
                  <c:v>451</c:v>
                </c:pt>
                <c:pt idx="1">
                  <c:v>379</c:v>
                </c:pt>
                <c:pt idx="2">
                  <c:v>415</c:v>
                </c:pt>
                <c:pt idx="3">
                  <c:v>404</c:v>
                </c:pt>
                <c:pt idx="4">
                  <c:v>459</c:v>
                </c:pt>
                <c:pt idx="5">
                  <c:v>388</c:v>
                </c:pt>
                <c:pt idx="6">
                  <c:v>432</c:v>
                </c:pt>
                <c:pt idx="7">
                  <c:v>425</c:v>
                </c:pt>
                <c:pt idx="8">
                  <c:v>383</c:v>
                </c:pt>
                <c:pt idx="9">
                  <c:v>407</c:v>
                </c:pt>
                <c:pt idx="10">
                  <c:v>409</c:v>
                </c:pt>
                <c:pt idx="11">
                  <c:v>434</c:v>
                </c:pt>
              </c:numCache>
            </c:numRef>
          </c:val>
          <c:smooth val="0"/>
          <c:extLst>
            <c:ext xmlns:c16="http://schemas.microsoft.com/office/drawing/2014/chart" uri="{C3380CC4-5D6E-409C-BE32-E72D297353CC}">
              <c16:uniqueId val="{00000000-444D-44C1-9C60-7ECCFBFC7F5A}"/>
            </c:ext>
          </c:extLst>
        </c:ser>
        <c:ser>
          <c:idx val="1"/>
          <c:order val="1"/>
          <c:tx>
            <c:strRef>
              <c:f>'pivote table'!$O$2</c:f>
              <c:strCache>
                <c:ptCount val="1"/>
                <c:pt idx="0">
                  <c:v>Sum of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'pivote table'!$M$3:$M$15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table'!$O$3:$O$15</c:f>
              <c:numCache>
                <c:formatCode>General</c:formatCode>
                <c:ptCount val="12"/>
                <c:pt idx="0">
                  <c:v>452027.8699999997</c:v>
                </c:pt>
                <c:pt idx="1">
                  <c:v>397619.22999999992</c:v>
                </c:pt>
                <c:pt idx="2">
                  <c:v>403302.70000000024</c:v>
                </c:pt>
                <c:pt idx="3">
                  <c:v>402920.96000000014</c:v>
                </c:pt>
                <c:pt idx="4">
                  <c:v>484007.5</c:v>
                </c:pt>
                <c:pt idx="5">
                  <c:v>384417.68999999994</c:v>
                </c:pt>
                <c:pt idx="6">
                  <c:v>441730.28000000009</c:v>
                </c:pt>
                <c:pt idx="7">
                  <c:v>416987.60999999987</c:v>
                </c:pt>
                <c:pt idx="8">
                  <c:v>399644.33999999962</c:v>
                </c:pt>
                <c:pt idx="9">
                  <c:v>417305.19</c:v>
                </c:pt>
                <c:pt idx="10">
                  <c:v>428940.1399999999</c:v>
                </c:pt>
                <c:pt idx="11">
                  <c:v>453681.35000000009</c:v>
                </c:pt>
              </c:numCache>
            </c:numRef>
          </c:val>
          <c:smooth val="0"/>
          <c:extLst>
            <c:ext xmlns:c16="http://schemas.microsoft.com/office/drawing/2014/chart" uri="{C3380CC4-5D6E-409C-BE32-E72D297353CC}">
              <c16:uniqueId val="{00000001-444D-44C1-9C60-7ECCFBFC7F5A}"/>
            </c:ext>
          </c:extLst>
        </c:ser>
        <c:dLbls>
          <c:showLegendKey val="0"/>
          <c:showVal val="0"/>
          <c:showCatName val="0"/>
          <c:showSerName val="0"/>
          <c:showPercent val="0"/>
          <c:showBubbleSize val="0"/>
        </c:dLbls>
        <c:marker val="1"/>
        <c:smooth val="0"/>
        <c:axId val="1221163728"/>
        <c:axId val="1221166608"/>
      </c:lineChart>
      <c:catAx>
        <c:axId val="122116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166608"/>
        <c:crosses val="autoZero"/>
        <c:auto val="1"/>
        <c:lblAlgn val="ctr"/>
        <c:lblOffset val="100"/>
        <c:noMultiLvlLbl val="0"/>
      </c:catAx>
      <c:valAx>
        <c:axId val="122116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16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 dashboard.xlsx]pivote table!ps1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&amp; profit</a:t>
            </a:r>
          </a:p>
        </c:rich>
      </c:tx>
      <c:layout>
        <c:manualLayout>
          <c:xMode val="edge"/>
          <c:yMode val="edge"/>
          <c:x val="0.3910592828728563"/>
          <c:y val="6.818749442276325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36873374748836"/>
          <c:y val="0.18062141901799447"/>
          <c:w val="0.74964392172475924"/>
          <c:h val="0.67144254139299708"/>
        </c:manualLayout>
      </c:layout>
      <c:barChart>
        <c:barDir val="col"/>
        <c:grouping val="clustered"/>
        <c:varyColors val="0"/>
        <c:ser>
          <c:idx val="0"/>
          <c:order val="0"/>
          <c:tx>
            <c:strRef>
              <c:f>'pivote table'!$C$2</c:f>
              <c:strCache>
                <c:ptCount val="1"/>
                <c:pt idx="0">
                  <c:v>Sum of Sales</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'pivote table'!$B$3:$B$7</c:f>
              <c:strCache>
                <c:ptCount val="4"/>
                <c:pt idx="0">
                  <c:v>West</c:v>
                </c:pt>
                <c:pt idx="1">
                  <c:v>South</c:v>
                </c:pt>
                <c:pt idx="2">
                  <c:v>North</c:v>
                </c:pt>
                <c:pt idx="3">
                  <c:v>East</c:v>
                </c:pt>
              </c:strCache>
            </c:strRef>
          </c:cat>
          <c:val>
            <c:numRef>
              <c:f>'pivote table'!$C$3:$C$7</c:f>
              <c:numCache>
                <c:formatCode>General</c:formatCode>
                <c:ptCount val="4"/>
                <c:pt idx="0">
                  <c:v>1278807.3800000004</c:v>
                </c:pt>
                <c:pt idx="1">
                  <c:v>1282733.4300000013</c:v>
                </c:pt>
                <c:pt idx="2">
                  <c:v>1293222.6400000011</c:v>
                </c:pt>
                <c:pt idx="3">
                  <c:v>1227821.4100000004</c:v>
                </c:pt>
              </c:numCache>
            </c:numRef>
          </c:val>
          <c:extLst>
            <c:ext xmlns:c16="http://schemas.microsoft.com/office/drawing/2014/chart" uri="{C3380CC4-5D6E-409C-BE32-E72D297353CC}">
              <c16:uniqueId val="{00000000-D3F0-42DE-84F6-A02F6C82D96F}"/>
            </c:ext>
          </c:extLst>
        </c:ser>
        <c:ser>
          <c:idx val="1"/>
          <c:order val="1"/>
          <c:tx>
            <c:strRef>
              <c:f>'pivote table'!$D$2</c:f>
              <c:strCache>
                <c:ptCount val="1"/>
                <c:pt idx="0">
                  <c:v>Sum of Profit</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'pivote table'!$B$3:$B$7</c:f>
              <c:strCache>
                <c:ptCount val="4"/>
                <c:pt idx="0">
                  <c:v>West</c:v>
                </c:pt>
                <c:pt idx="1">
                  <c:v>South</c:v>
                </c:pt>
                <c:pt idx="2">
                  <c:v>North</c:v>
                </c:pt>
                <c:pt idx="3">
                  <c:v>East</c:v>
                </c:pt>
              </c:strCache>
            </c:strRef>
          </c:cat>
          <c:val>
            <c:numRef>
              <c:f>'pivote table'!$D$3:$D$7</c:f>
              <c:numCache>
                <c:formatCode>General</c:formatCode>
                <c:ptCount val="4"/>
                <c:pt idx="0">
                  <c:v>225345.55999999971</c:v>
                </c:pt>
                <c:pt idx="1">
                  <c:v>222672.26999999993</c:v>
                </c:pt>
                <c:pt idx="2">
                  <c:v>218824.96000000008</c:v>
                </c:pt>
                <c:pt idx="3">
                  <c:v>214990.46999999986</c:v>
                </c:pt>
              </c:numCache>
            </c:numRef>
          </c:val>
          <c:extLst>
            <c:ext xmlns:c16="http://schemas.microsoft.com/office/drawing/2014/chart" uri="{C3380CC4-5D6E-409C-BE32-E72D297353CC}">
              <c16:uniqueId val="{00000001-D3F0-42DE-84F6-A02F6C82D96F}"/>
            </c:ext>
          </c:extLst>
        </c:ser>
        <c:dLbls>
          <c:showLegendKey val="0"/>
          <c:showVal val="0"/>
          <c:showCatName val="0"/>
          <c:showSerName val="0"/>
          <c:showPercent val="0"/>
          <c:showBubbleSize val="0"/>
        </c:dLbls>
        <c:gapWidth val="100"/>
        <c:overlap val="-24"/>
        <c:axId val="1316764464"/>
        <c:axId val="1316755344"/>
      </c:barChart>
      <c:catAx>
        <c:axId val="13167644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755344"/>
        <c:crosses val="autoZero"/>
        <c:auto val="1"/>
        <c:lblAlgn val="ctr"/>
        <c:lblOffset val="100"/>
        <c:noMultiLvlLbl val="0"/>
      </c:catAx>
      <c:valAx>
        <c:axId val="1316755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76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 dashboard.xlsx]pivote table!ps2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t>Sales by Category</a:t>
            </a:r>
          </a:p>
        </c:rich>
      </c:tx>
      <c:layout>
        <c:manualLayout>
          <c:xMode val="edge"/>
          <c:yMode val="edge"/>
          <c:x val="0.41843100880927875"/>
          <c:y val="5.406792844710470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1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s>
    <c:plotArea>
      <c:layout>
        <c:manualLayout>
          <c:layoutTarget val="inner"/>
          <c:xMode val="edge"/>
          <c:yMode val="edge"/>
          <c:x val="0.13188791481614984"/>
          <c:y val="0.19542312124080535"/>
          <c:w val="0.3964858918977901"/>
          <c:h val="0.70749227312282759"/>
        </c:manualLayout>
      </c:layout>
      <c:pieChart>
        <c:varyColors val="1"/>
        <c:ser>
          <c:idx val="0"/>
          <c:order val="0"/>
          <c:tx>
            <c:strRef>
              <c:f>'pivote table'!$G$2</c:f>
              <c:strCache>
                <c:ptCount val="1"/>
                <c:pt idx="0">
                  <c:v>Sum of Sales</c:v>
                </c:pt>
              </c:strCache>
            </c:strRef>
          </c:tx>
          <c:explosion val="4"/>
          <c:dPt>
            <c:idx val="0"/>
            <c:bubble3D val="0"/>
            <c:explosion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1-D047-4808-B73E-C02C88655B25}"/>
              </c:ext>
            </c:extLst>
          </c:dPt>
          <c:dPt>
            <c:idx val="1"/>
            <c:bubble3D val="0"/>
            <c:explosion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3-D047-4808-B73E-C02C88655B25}"/>
              </c:ext>
            </c:extLst>
          </c:dPt>
          <c:dPt>
            <c:idx val="2"/>
            <c:bubble3D val="0"/>
            <c:explosion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5-D047-4808-B73E-C02C88655B2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 table'!$F$3:$F$6</c:f>
              <c:strCache>
                <c:ptCount val="3"/>
                <c:pt idx="0">
                  <c:v>Furniture</c:v>
                </c:pt>
                <c:pt idx="1">
                  <c:v>Office Supplies</c:v>
                </c:pt>
                <c:pt idx="2">
                  <c:v>Technology</c:v>
                </c:pt>
              </c:strCache>
            </c:strRef>
          </c:cat>
          <c:val>
            <c:numRef>
              <c:f>'pivote table'!$G$3:$G$6</c:f>
              <c:numCache>
                <c:formatCode>General</c:formatCode>
                <c:ptCount val="3"/>
                <c:pt idx="0">
                  <c:v>1671923.5300000021</c:v>
                </c:pt>
                <c:pt idx="1">
                  <c:v>1690794.7199999967</c:v>
                </c:pt>
                <c:pt idx="2">
                  <c:v>1719866.6100000036</c:v>
                </c:pt>
              </c:numCache>
            </c:numRef>
          </c:val>
          <c:extLst>
            <c:ext xmlns:c16="http://schemas.microsoft.com/office/drawing/2014/chart" uri="{C3380CC4-5D6E-409C-BE32-E72D297353CC}">
              <c16:uniqueId val="{00000006-D047-4808-B73E-C02C88655B25}"/>
            </c:ext>
          </c:extLst>
        </c:ser>
        <c:ser>
          <c:idx val="1"/>
          <c:order val="1"/>
          <c:tx>
            <c:strRef>
              <c:f>'pivote table'!$H$2</c:f>
              <c:strCache>
                <c:ptCount val="1"/>
                <c:pt idx="0">
                  <c:v>Sum of Profit</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8-D047-4808-B73E-C02C88655B25}"/>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A-D047-4808-B73E-C02C88655B25}"/>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C-D047-4808-B73E-C02C88655B2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 table'!$F$3:$F$6</c:f>
              <c:strCache>
                <c:ptCount val="3"/>
                <c:pt idx="0">
                  <c:v>Furniture</c:v>
                </c:pt>
                <c:pt idx="1">
                  <c:v>Office Supplies</c:v>
                </c:pt>
                <c:pt idx="2">
                  <c:v>Technology</c:v>
                </c:pt>
              </c:strCache>
            </c:strRef>
          </c:cat>
          <c:val>
            <c:numRef>
              <c:f>'pivote table'!$H$3:$H$6</c:f>
              <c:numCache>
                <c:formatCode>General</c:formatCode>
                <c:ptCount val="3"/>
                <c:pt idx="0">
                  <c:v>290653.02999999985</c:v>
                </c:pt>
                <c:pt idx="1">
                  <c:v>293473.83999999991</c:v>
                </c:pt>
                <c:pt idx="2">
                  <c:v>297706.39</c:v>
                </c:pt>
              </c:numCache>
            </c:numRef>
          </c:val>
          <c:extLst>
            <c:ext xmlns:c16="http://schemas.microsoft.com/office/drawing/2014/chart" uri="{C3380CC4-5D6E-409C-BE32-E72D297353CC}">
              <c16:uniqueId val="{0000000D-D047-4808-B73E-C02C88655B25}"/>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770748425050076"/>
          <c:y val="0.39180504789647491"/>
          <c:w val="0.28757519936539205"/>
          <c:h val="0.353243696216235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29D9A"/>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 dashboard.xlsx]pivote table!ps3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5 PRODUCTS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21093335442034"/>
          <c:y val="0.22315034054296748"/>
          <c:w val="0.66616210545675847"/>
          <c:h val="0.71838655241761551"/>
        </c:manualLayout>
      </c:layout>
      <c:barChart>
        <c:barDir val="bar"/>
        <c:grouping val="clustered"/>
        <c:varyColors val="0"/>
        <c:ser>
          <c:idx val="0"/>
          <c:order val="0"/>
          <c:tx>
            <c:strRef>
              <c:f>'pivote table'!$K$2</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table'!$J$3:$J$8</c:f>
              <c:strCache>
                <c:ptCount val="5"/>
                <c:pt idx="0">
                  <c:v>Bookshelf</c:v>
                </c:pt>
                <c:pt idx="1">
                  <c:v>Laptop</c:v>
                </c:pt>
                <c:pt idx="2">
                  <c:v>Printer</c:v>
                </c:pt>
                <c:pt idx="3">
                  <c:v>Desk</c:v>
                </c:pt>
                <c:pt idx="4">
                  <c:v>File Folder</c:v>
                </c:pt>
              </c:strCache>
            </c:strRef>
          </c:cat>
          <c:val>
            <c:numRef>
              <c:f>'pivote table'!$K$3:$K$8</c:f>
              <c:numCache>
                <c:formatCode>General</c:formatCode>
                <c:ptCount val="5"/>
                <c:pt idx="0">
                  <c:v>367958.77000000014</c:v>
                </c:pt>
                <c:pt idx="1">
                  <c:v>363830.0099999996</c:v>
                </c:pt>
                <c:pt idx="2">
                  <c:v>363450.21000000025</c:v>
                </c:pt>
                <c:pt idx="3">
                  <c:v>361039.40999999992</c:v>
                </c:pt>
                <c:pt idx="4">
                  <c:v>358931.18999999994</c:v>
                </c:pt>
              </c:numCache>
            </c:numRef>
          </c:val>
          <c:extLst>
            <c:ext xmlns:c16="http://schemas.microsoft.com/office/drawing/2014/chart" uri="{C3380CC4-5D6E-409C-BE32-E72D297353CC}">
              <c16:uniqueId val="{00000000-3882-4AC0-9B95-1D31C6392ED0}"/>
            </c:ext>
          </c:extLst>
        </c:ser>
        <c:dLbls>
          <c:dLblPos val="outEnd"/>
          <c:showLegendKey val="0"/>
          <c:showVal val="1"/>
          <c:showCatName val="0"/>
          <c:showSerName val="0"/>
          <c:showPercent val="0"/>
          <c:showBubbleSize val="0"/>
        </c:dLbls>
        <c:gapWidth val="115"/>
        <c:overlap val="-20"/>
        <c:axId val="1447118048"/>
        <c:axId val="1447108448"/>
      </c:barChart>
      <c:catAx>
        <c:axId val="14471180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108448"/>
        <c:crosses val="autoZero"/>
        <c:auto val="1"/>
        <c:lblAlgn val="ctr"/>
        <c:lblOffset val="100"/>
        <c:noMultiLvlLbl val="0"/>
      </c:catAx>
      <c:valAx>
        <c:axId val="1447108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11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sq" cmpd="sng" algn="ctr">
      <a:solidFill>
        <a:schemeClr val="tx1"/>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 dashboard.xlsx]pivote table!ps4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63500" dist="38100" dir="5400000" rotWithShape="0">
              <a:srgbClr val="000000">
                <a:alpha val="45000"/>
              </a:srgbClr>
            </a:outerShdw>
          </a:effectLst>
        </c:spPr>
        <c:marker>
          <c:symbol val="circle"/>
          <c:size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63500" dist="38100" dir="5400000" rotWithShape="0">
              <a:srgbClr val="000000">
                <a:alpha val="4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table'!$N$2</c:f>
              <c:strCache>
                <c:ptCount val="1"/>
                <c:pt idx="0">
                  <c:v>Count of Months (Order Date)</c:v>
                </c:pt>
              </c:strCache>
            </c:strRef>
          </c:tx>
          <c:spPr>
            <a:ln w="34925" cap="rnd">
              <a:solidFill>
                <a:schemeClr val="accent1"/>
              </a:solidFill>
              <a:round/>
            </a:ln>
            <a:effectLst>
              <a:outerShdw blurRad="63500" dist="38100" dir="5400000" rotWithShape="0">
                <a:srgbClr val="000000">
                  <a:alpha val="45000"/>
                </a:srgbClr>
              </a:outerShdw>
            </a:effectLst>
          </c:spPr>
          <c:marker>
            <c:symbol val="circle"/>
            <c:size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cat>
            <c:strRef>
              <c:f>'pivote table'!$M$3:$M$15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table'!$N$3:$N$15</c:f>
              <c:numCache>
                <c:formatCode>General</c:formatCode>
                <c:ptCount val="12"/>
                <c:pt idx="0">
                  <c:v>451</c:v>
                </c:pt>
                <c:pt idx="1">
                  <c:v>379</c:v>
                </c:pt>
                <c:pt idx="2">
                  <c:v>415</c:v>
                </c:pt>
                <c:pt idx="3">
                  <c:v>404</c:v>
                </c:pt>
                <c:pt idx="4">
                  <c:v>459</c:v>
                </c:pt>
                <c:pt idx="5">
                  <c:v>388</c:v>
                </c:pt>
                <c:pt idx="6">
                  <c:v>432</c:v>
                </c:pt>
                <c:pt idx="7">
                  <c:v>425</c:v>
                </c:pt>
                <c:pt idx="8">
                  <c:v>383</c:v>
                </c:pt>
                <c:pt idx="9">
                  <c:v>407</c:v>
                </c:pt>
                <c:pt idx="10">
                  <c:v>409</c:v>
                </c:pt>
                <c:pt idx="11">
                  <c:v>434</c:v>
                </c:pt>
              </c:numCache>
            </c:numRef>
          </c:val>
          <c:smooth val="0"/>
          <c:extLst>
            <c:ext xmlns:c16="http://schemas.microsoft.com/office/drawing/2014/chart" uri="{C3380CC4-5D6E-409C-BE32-E72D297353CC}">
              <c16:uniqueId val="{00000000-869E-42C1-BFE7-BFD8CECD80F1}"/>
            </c:ext>
          </c:extLst>
        </c:ser>
        <c:ser>
          <c:idx val="1"/>
          <c:order val="1"/>
          <c:tx>
            <c:strRef>
              <c:f>'pivote table'!$O$2</c:f>
              <c:strCache>
                <c:ptCount val="1"/>
                <c:pt idx="0">
                  <c:v>Sum of Sales</c:v>
                </c:pt>
              </c:strCache>
            </c:strRef>
          </c:tx>
          <c:spPr>
            <a:ln w="34925" cap="rnd">
              <a:solidFill>
                <a:schemeClr val="accent2"/>
              </a:solidFill>
              <a:round/>
            </a:ln>
            <a:effectLst>
              <a:outerShdw blurRad="63500" dist="38100" dir="5400000" rotWithShape="0">
                <a:srgbClr val="000000">
                  <a:alpha val="4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cat>
            <c:strRef>
              <c:f>'pivote table'!$M$3:$M$15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table'!$O$3:$O$15</c:f>
              <c:numCache>
                <c:formatCode>General</c:formatCode>
                <c:ptCount val="12"/>
                <c:pt idx="0">
                  <c:v>452027.8699999997</c:v>
                </c:pt>
                <c:pt idx="1">
                  <c:v>397619.22999999992</c:v>
                </c:pt>
                <c:pt idx="2">
                  <c:v>403302.70000000024</c:v>
                </c:pt>
                <c:pt idx="3">
                  <c:v>402920.96000000014</c:v>
                </c:pt>
                <c:pt idx="4">
                  <c:v>484007.5</c:v>
                </c:pt>
                <c:pt idx="5">
                  <c:v>384417.68999999994</c:v>
                </c:pt>
                <c:pt idx="6">
                  <c:v>441730.28000000009</c:v>
                </c:pt>
                <c:pt idx="7">
                  <c:v>416987.60999999987</c:v>
                </c:pt>
                <c:pt idx="8">
                  <c:v>399644.33999999962</c:v>
                </c:pt>
                <c:pt idx="9">
                  <c:v>417305.19</c:v>
                </c:pt>
                <c:pt idx="10">
                  <c:v>428940.1399999999</c:v>
                </c:pt>
                <c:pt idx="11">
                  <c:v>453681.35000000009</c:v>
                </c:pt>
              </c:numCache>
            </c:numRef>
          </c:val>
          <c:smooth val="0"/>
          <c:extLst>
            <c:ext xmlns:c16="http://schemas.microsoft.com/office/drawing/2014/chart" uri="{C3380CC4-5D6E-409C-BE32-E72D297353CC}">
              <c16:uniqueId val="{00000001-869E-42C1-BFE7-BFD8CECD80F1}"/>
            </c:ext>
          </c:extLst>
        </c:ser>
        <c:dLbls>
          <c:showLegendKey val="0"/>
          <c:showVal val="0"/>
          <c:showCatName val="0"/>
          <c:showSerName val="0"/>
          <c:showPercent val="0"/>
          <c:showBubbleSize val="0"/>
        </c:dLbls>
        <c:marker val="1"/>
        <c:smooth val="0"/>
        <c:axId val="1221163728"/>
        <c:axId val="1221166608"/>
      </c:lineChart>
      <c:catAx>
        <c:axId val="1221163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166608"/>
        <c:crosses val="autoZero"/>
        <c:auto val="1"/>
        <c:lblAlgn val="ctr"/>
        <c:lblOffset val="100"/>
        <c:noMultiLvlLbl val="0"/>
      </c:catAx>
      <c:valAx>
        <c:axId val="122116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16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7.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6.xml"/><Relationship Id="rId16" Type="http://schemas.openxmlformats.org/officeDocument/2006/relationships/image" Target="../media/image11.svg"/><Relationship Id="rId1" Type="http://schemas.openxmlformats.org/officeDocument/2006/relationships/chart" Target="../charts/chart5.xml"/><Relationship Id="rId6" Type="http://schemas.openxmlformats.org/officeDocument/2006/relationships/hyperlink" Target="https://www.dreamstime.com/business-graph-statistics-growth-sales-icon-logo-d-vector-image-man-image161404212" TargetMode="External"/><Relationship Id="rId11" Type="http://schemas.openxmlformats.org/officeDocument/2006/relationships/image" Target="../media/image6.png"/><Relationship Id="rId5" Type="http://schemas.openxmlformats.org/officeDocument/2006/relationships/image" Target="../media/image1.jpg"/><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8.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565150</xdr:colOff>
      <xdr:row>24</xdr:row>
      <xdr:rowOff>12700</xdr:rowOff>
    </xdr:from>
    <xdr:to>
      <xdr:col>4</xdr:col>
      <xdr:colOff>527050</xdr:colOff>
      <xdr:row>33</xdr:row>
      <xdr:rowOff>152400</xdr:rowOff>
    </xdr:to>
    <xdr:graphicFrame macro="">
      <xdr:nvGraphicFramePr>
        <xdr:cNvPr id="7" name="Chart 6">
          <a:extLst>
            <a:ext uri="{FF2B5EF4-FFF2-40B4-BE49-F238E27FC236}">
              <a16:creationId xmlns:a16="http://schemas.microsoft.com/office/drawing/2014/main" id="{7EA1CE6F-4EF4-8D4F-4751-73B7396EBD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127000</xdr:colOff>
      <xdr:row>23</xdr:row>
      <xdr:rowOff>95250</xdr:rowOff>
    </xdr:from>
    <xdr:to>
      <xdr:col>9</xdr:col>
      <xdr:colOff>139700</xdr:colOff>
      <xdr:row>35</xdr:row>
      <xdr:rowOff>165100</xdr:rowOff>
    </xdr:to>
    <xdr:graphicFrame macro="">
      <xdr:nvGraphicFramePr>
        <xdr:cNvPr id="8" name="Chart 7">
          <a:extLst>
            <a:ext uri="{FF2B5EF4-FFF2-40B4-BE49-F238E27FC236}">
              <a16:creationId xmlns:a16="http://schemas.microsoft.com/office/drawing/2014/main" id="{E963C6DA-D9B3-F6BE-60EC-60C4295A2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590550</xdr:colOff>
      <xdr:row>24</xdr:row>
      <xdr:rowOff>19050</xdr:rowOff>
    </xdr:from>
    <xdr:to>
      <xdr:col>13</xdr:col>
      <xdr:colOff>1003300</xdr:colOff>
      <xdr:row>35</xdr:row>
      <xdr:rowOff>69850</xdr:rowOff>
    </xdr:to>
    <xdr:graphicFrame macro="">
      <xdr:nvGraphicFramePr>
        <xdr:cNvPr id="13" name="Chart 12">
          <a:extLst>
            <a:ext uri="{FF2B5EF4-FFF2-40B4-BE49-F238E27FC236}">
              <a16:creationId xmlns:a16="http://schemas.microsoft.com/office/drawing/2014/main" id="{CD2DF5CB-E6A1-6924-FC0D-C58ABA10E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1120775</xdr:colOff>
      <xdr:row>23</xdr:row>
      <xdr:rowOff>165100</xdr:rowOff>
    </xdr:from>
    <xdr:to>
      <xdr:col>18</xdr:col>
      <xdr:colOff>76200</xdr:colOff>
      <xdr:row>35</xdr:row>
      <xdr:rowOff>31750</xdr:rowOff>
    </xdr:to>
    <xdr:graphicFrame macro="">
      <xdr:nvGraphicFramePr>
        <xdr:cNvPr id="14" name="Chart 13">
          <a:extLst>
            <a:ext uri="{FF2B5EF4-FFF2-40B4-BE49-F238E27FC236}">
              <a16:creationId xmlns:a16="http://schemas.microsoft.com/office/drawing/2014/main" id="{A50D1436-1994-DDCD-7A2B-D42342718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26</xdr:col>
      <xdr:colOff>57940</xdr:colOff>
      <xdr:row>1</xdr:row>
      <xdr:rowOff>134697</xdr:rowOff>
    </xdr:from>
    <xdr:to>
      <xdr:col>59</xdr:col>
      <xdr:colOff>2522</xdr:colOff>
      <xdr:row>71</xdr:row>
      <xdr:rowOff>169734</xdr:rowOff>
    </xdr:to>
    <xdr:sp macro="" textlink="">
      <xdr:nvSpPr>
        <xdr:cNvPr id="2" name="Rectangle 1">
          <a:extLst>
            <a:ext uri="{FF2B5EF4-FFF2-40B4-BE49-F238E27FC236}">
              <a16:creationId xmlns:a16="http://schemas.microsoft.com/office/drawing/2014/main" id="{ADD241D6-6C92-EE10-6D55-3BE3C73D8BD6}"/>
            </a:ext>
          </a:extLst>
        </xdr:cNvPr>
        <xdr:cNvSpPr/>
      </xdr:nvSpPr>
      <xdr:spPr>
        <a:xfrm>
          <a:off x="15817485" y="317500"/>
          <a:ext cx="19947082" cy="12831249"/>
        </a:xfrm>
        <a:prstGeom prst="rect">
          <a:avLst/>
        </a:prstGeom>
        <a:gradFill flip="none" rotWithShape="1">
          <a:gsLst>
            <a:gs pos="0">
              <a:srgbClr val="6C90D1"/>
            </a:gs>
            <a:gs pos="100000">
              <a:schemeClr val="accent1">
                <a:lumMod val="67000"/>
              </a:schemeClr>
            </a:gs>
            <a:gs pos="0">
              <a:schemeClr val="accent1">
                <a:lumMod val="97000"/>
                <a:lumOff val="3000"/>
              </a:schemeClr>
            </a:gs>
            <a:gs pos="0">
              <a:schemeClr val="accent1">
                <a:lumMod val="60000"/>
                <a:lumOff val="40000"/>
              </a:schemeClr>
            </a:gs>
          </a:gsLst>
          <a:lin ang="15600000" scaled="0"/>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glow rad="139700">
                <a:srgbClr val="00B0F0">
                  <a:alpha val="40000"/>
                </a:srgbClr>
              </a:glow>
            </a:effectLst>
          </a:endParaRPr>
        </a:p>
      </xdr:txBody>
    </xdr:sp>
    <xdr:clientData/>
  </xdr:twoCellAnchor>
  <xdr:twoCellAnchor>
    <xdr:from>
      <xdr:col>32</xdr:col>
      <xdr:colOff>370086</xdr:colOff>
      <xdr:row>3</xdr:row>
      <xdr:rowOff>8817</xdr:rowOff>
    </xdr:from>
    <xdr:to>
      <xdr:col>58</xdr:col>
      <xdr:colOff>98768</xdr:colOff>
      <xdr:row>12</xdr:row>
      <xdr:rowOff>10033</xdr:rowOff>
    </xdr:to>
    <xdr:sp macro="" textlink="">
      <xdr:nvSpPr>
        <xdr:cNvPr id="3" name="Rectangle: Rounded Corners 2">
          <a:extLst>
            <a:ext uri="{FF2B5EF4-FFF2-40B4-BE49-F238E27FC236}">
              <a16:creationId xmlns:a16="http://schemas.microsoft.com/office/drawing/2014/main" id="{2FCDA3DF-F719-6186-2A8F-2410BF4B2C1F}"/>
            </a:ext>
          </a:extLst>
        </xdr:cNvPr>
        <xdr:cNvSpPr/>
      </xdr:nvSpPr>
      <xdr:spPr>
        <a:xfrm>
          <a:off x="19766450" y="557226"/>
          <a:ext cx="15488227" cy="1646443"/>
        </a:xfrm>
        <a:prstGeom prst="roundRect">
          <a:avLst/>
        </a:prstGeom>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50000" r="50000" b="50000"/>
          </a:path>
          <a:tileRect/>
        </a:gra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2400"/>
        </a:p>
      </xdr:txBody>
    </xdr:sp>
    <xdr:clientData/>
  </xdr:twoCellAnchor>
  <xdr:twoCellAnchor>
    <xdr:from>
      <xdr:col>31</xdr:col>
      <xdr:colOff>482600</xdr:colOff>
      <xdr:row>24</xdr:row>
      <xdr:rowOff>49590</xdr:rowOff>
    </xdr:from>
    <xdr:to>
      <xdr:col>45</xdr:col>
      <xdr:colOff>332509</xdr:colOff>
      <xdr:row>46</xdr:row>
      <xdr:rowOff>135797</xdr:rowOff>
    </xdr:to>
    <xdr:graphicFrame macro="">
      <xdr:nvGraphicFramePr>
        <xdr:cNvPr id="7" name="Chart 6">
          <a:extLst>
            <a:ext uri="{FF2B5EF4-FFF2-40B4-BE49-F238E27FC236}">
              <a16:creationId xmlns:a16="http://schemas.microsoft.com/office/drawing/2014/main" id="{88E0B42A-8E2C-494C-A310-D4CFF5C94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45</xdr:col>
      <xdr:colOff>534207</xdr:colOff>
      <xdr:row>24</xdr:row>
      <xdr:rowOff>51934</xdr:rowOff>
    </xdr:from>
    <xdr:to>
      <xdr:col>58</xdr:col>
      <xdr:colOff>268735</xdr:colOff>
      <xdr:row>46</xdr:row>
      <xdr:rowOff>175527</xdr:rowOff>
    </xdr:to>
    <xdr:graphicFrame macro="">
      <xdr:nvGraphicFramePr>
        <xdr:cNvPr id="8" name="Chart 7">
          <a:extLst>
            <a:ext uri="{FF2B5EF4-FFF2-40B4-BE49-F238E27FC236}">
              <a16:creationId xmlns:a16="http://schemas.microsoft.com/office/drawing/2014/main" id="{99C64FF7-7471-4937-A994-F16F7E209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510310</xdr:colOff>
      <xdr:row>47</xdr:row>
      <xdr:rowOff>155616</xdr:rowOff>
    </xdr:from>
    <xdr:to>
      <xdr:col>45</xdr:col>
      <xdr:colOff>360217</xdr:colOff>
      <xdr:row>70</xdr:row>
      <xdr:rowOff>168782</xdr:rowOff>
    </xdr:to>
    <xdr:graphicFrame macro="">
      <xdr:nvGraphicFramePr>
        <xdr:cNvPr id="9" name="Chart 8">
          <a:extLst>
            <a:ext uri="{FF2B5EF4-FFF2-40B4-BE49-F238E27FC236}">
              <a16:creationId xmlns:a16="http://schemas.microsoft.com/office/drawing/2014/main" id="{9B9732AC-F0A8-4AC7-B29A-8713580FE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45</xdr:col>
      <xdr:colOff>533401</xdr:colOff>
      <xdr:row>48</xdr:row>
      <xdr:rowOff>11288</xdr:rowOff>
    </xdr:from>
    <xdr:to>
      <xdr:col>58</xdr:col>
      <xdr:colOff>284019</xdr:colOff>
      <xdr:row>71</xdr:row>
      <xdr:rowOff>20158</xdr:rowOff>
    </xdr:to>
    <xdr:graphicFrame macro="">
      <xdr:nvGraphicFramePr>
        <xdr:cNvPr id="10" name="Chart 9">
          <a:extLst>
            <a:ext uri="{FF2B5EF4-FFF2-40B4-BE49-F238E27FC236}">
              <a16:creationId xmlns:a16="http://schemas.microsoft.com/office/drawing/2014/main" id="{47AF23A2-7ED4-468B-8BB4-2512F5EEE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414483</xdr:colOff>
      <xdr:row>52</xdr:row>
      <xdr:rowOff>76200</xdr:rowOff>
    </xdr:from>
    <xdr:to>
      <xdr:col>31</xdr:col>
      <xdr:colOff>177802</xdr:colOff>
      <xdr:row>61</xdr:row>
      <xdr:rowOff>157019</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A73393F0-DDAD-45EB-AD66-AB0CC4527B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374150" y="9982200"/>
              <a:ext cx="2832485" cy="1795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431801</xdr:colOff>
      <xdr:row>41</xdr:row>
      <xdr:rowOff>140084</xdr:rowOff>
    </xdr:from>
    <xdr:to>
      <xdr:col>31</xdr:col>
      <xdr:colOff>223983</xdr:colOff>
      <xdr:row>52</xdr:row>
      <xdr:rowOff>23091</xdr:rowOff>
    </xdr:to>
    <mc:AlternateContent xmlns:mc="http://schemas.openxmlformats.org/markup-compatibility/2006" xmlns:a14="http://schemas.microsoft.com/office/drawing/2010/main">
      <mc:Choice Requires="a14">
        <xdr:graphicFrame macro="">
          <xdr:nvGraphicFramePr>
            <xdr:cNvPr id="13" name="Payment Mode">
              <a:extLst>
                <a:ext uri="{FF2B5EF4-FFF2-40B4-BE49-F238E27FC236}">
                  <a16:creationId xmlns:a16="http://schemas.microsoft.com/office/drawing/2014/main" id="{785DC518-73BD-4D18-ABD2-75D5175451EB}"/>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6391468" y="7950584"/>
              <a:ext cx="2861348" cy="1978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265547</xdr:colOff>
      <xdr:row>25</xdr:row>
      <xdr:rowOff>6928</xdr:rowOff>
    </xdr:from>
    <xdr:to>
      <xdr:col>31</xdr:col>
      <xdr:colOff>288638</xdr:colOff>
      <xdr:row>70</xdr:row>
      <xdr:rowOff>152400</xdr:rowOff>
    </xdr:to>
    <xdr:sp macro="" textlink="">
      <xdr:nvSpPr>
        <xdr:cNvPr id="14" name="Flowchart: Off-page Connector 13">
          <a:extLst>
            <a:ext uri="{FF2B5EF4-FFF2-40B4-BE49-F238E27FC236}">
              <a16:creationId xmlns:a16="http://schemas.microsoft.com/office/drawing/2014/main" id="{8D93E9A7-C751-A025-9360-6178F7762AB8}"/>
            </a:ext>
          </a:extLst>
        </xdr:cNvPr>
        <xdr:cNvSpPr/>
      </xdr:nvSpPr>
      <xdr:spPr>
        <a:xfrm>
          <a:off x="16115147" y="4451928"/>
          <a:ext cx="3071091" cy="8146472"/>
        </a:xfrm>
        <a:prstGeom prst="flowChartOffpageConnector">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26</xdr:col>
      <xdr:colOff>394855</xdr:colOff>
      <xdr:row>31</xdr:row>
      <xdr:rowOff>16164</xdr:rowOff>
    </xdr:from>
    <xdr:to>
      <xdr:col>31</xdr:col>
      <xdr:colOff>221673</xdr:colOff>
      <xdr:row>40</xdr:row>
      <xdr:rowOff>170873</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1AC893FF-7DDE-477B-82B1-9457A903A48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354522" y="5921664"/>
              <a:ext cx="2895984" cy="18692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182803</xdr:colOff>
      <xdr:row>2</xdr:row>
      <xdr:rowOff>61193</xdr:rowOff>
    </xdr:from>
    <xdr:to>
      <xdr:col>32</xdr:col>
      <xdr:colOff>166255</xdr:colOff>
      <xdr:row>23</xdr:row>
      <xdr:rowOff>76969</xdr:rowOff>
    </xdr:to>
    <xdr:pic>
      <xdr:nvPicPr>
        <xdr:cNvPr id="17" name="Picture 16">
          <a:extLst>
            <a:ext uri="{FF2B5EF4-FFF2-40B4-BE49-F238E27FC236}">
              <a16:creationId xmlns:a16="http://schemas.microsoft.com/office/drawing/2014/main" id="{71AFA4C2-F718-141D-D5F5-2B792873624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15942348" y="426799"/>
          <a:ext cx="3620271" cy="3854640"/>
        </a:xfrm>
        <a:prstGeom prst="rect">
          <a:avLst/>
        </a:prstGeom>
        <a:solidFill>
          <a:srgbClr val="FFC000"/>
        </a:solidFill>
      </xdr:spPr>
    </xdr:pic>
    <xdr:clientData/>
  </xdr:twoCellAnchor>
  <xdr:twoCellAnchor>
    <xdr:from>
      <xdr:col>35</xdr:col>
      <xdr:colOff>67348</xdr:colOff>
      <xdr:row>4</xdr:row>
      <xdr:rowOff>123271</xdr:rowOff>
    </xdr:from>
    <xdr:to>
      <xdr:col>55</xdr:col>
      <xdr:colOff>404090</xdr:colOff>
      <xdr:row>9</xdr:row>
      <xdr:rowOff>9621</xdr:rowOff>
    </xdr:to>
    <xdr:sp macro="" textlink="">
      <xdr:nvSpPr>
        <xdr:cNvPr id="18" name="TextBox 17">
          <a:extLst>
            <a:ext uri="{FF2B5EF4-FFF2-40B4-BE49-F238E27FC236}">
              <a16:creationId xmlns:a16="http://schemas.microsoft.com/office/drawing/2014/main" id="{281ACF0F-B8B0-B56F-51D8-2D5B9DF08004}"/>
            </a:ext>
          </a:extLst>
        </xdr:cNvPr>
        <xdr:cNvSpPr txBox="1"/>
      </xdr:nvSpPr>
      <xdr:spPr>
        <a:xfrm>
          <a:off x="21282121" y="854483"/>
          <a:ext cx="12459469" cy="800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a:latin typeface="Algerian" panose="04020705040A02060702" pitchFamily="82" charset="0"/>
            </a:rPr>
            <a:t>   </a:t>
          </a:r>
          <a:r>
            <a:rPr lang="en-US" sz="2400" baseline="0">
              <a:latin typeface="Algerian" panose="04020705040A02060702" pitchFamily="82" charset="0"/>
            </a:rPr>
            <a:t>      </a:t>
          </a:r>
          <a:r>
            <a:rPr lang="en-US" sz="3200">
              <a:latin typeface="Algerian" panose="04020705040A02060702" pitchFamily="82" charset="0"/>
            </a:rPr>
            <a:t>RETAIL</a:t>
          </a:r>
          <a:r>
            <a:rPr lang="en-US" sz="3200" baseline="0">
              <a:latin typeface="Algerian" panose="04020705040A02060702" pitchFamily="82" charset="0"/>
            </a:rPr>
            <a:t> _SALES DATA &amp; PROFIT DASHBOARD  2024-2025</a:t>
          </a:r>
          <a:endParaRPr lang="en-US" sz="3200">
            <a:latin typeface="Algerian" panose="04020705040A02060702" pitchFamily="82" charset="0"/>
          </a:endParaRPr>
        </a:p>
      </xdr:txBody>
    </xdr:sp>
    <xdr:clientData/>
  </xdr:twoCellAnchor>
  <xdr:twoCellAnchor>
    <xdr:from>
      <xdr:col>32</xdr:col>
      <xdr:colOff>360108</xdr:colOff>
      <xdr:row>12</xdr:row>
      <xdr:rowOff>131205</xdr:rowOff>
    </xdr:from>
    <xdr:to>
      <xdr:col>40</xdr:col>
      <xdr:colOff>547722</xdr:colOff>
      <xdr:row>22</xdr:row>
      <xdr:rowOff>102341</xdr:rowOff>
    </xdr:to>
    <xdr:sp macro="" textlink="">
      <xdr:nvSpPr>
        <xdr:cNvPr id="19" name="Rectangle: Rounded Corners 18">
          <a:extLst>
            <a:ext uri="{FF2B5EF4-FFF2-40B4-BE49-F238E27FC236}">
              <a16:creationId xmlns:a16="http://schemas.microsoft.com/office/drawing/2014/main" id="{72387797-A5F0-F84B-9E03-68D065CE186B}"/>
            </a:ext>
          </a:extLst>
        </xdr:cNvPr>
        <xdr:cNvSpPr/>
      </xdr:nvSpPr>
      <xdr:spPr>
        <a:xfrm>
          <a:off x="19756472" y="2324841"/>
          <a:ext cx="5036705" cy="1799167"/>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41</xdr:col>
      <xdr:colOff>369218</xdr:colOff>
      <xdr:row>12</xdr:row>
      <xdr:rowOff>174721</xdr:rowOff>
    </xdr:from>
    <xdr:to>
      <xdr:col>49</xdr:col>
      <xdr:colOff>600126</xdr:colOff>
      <xdr:row>22</xdr:row>
      <xdr:rowOff>102562</xdr:rowOff>
    </xdr:to>
    <xdr:sp macro="" textlink="">
      <xdr:nvSpPr>
        <xdr:cNvPr id="20" name="Rectangle: Rounded Corners 19">
          <a:extLst>
            <a:ext uri="{FF2B5EF4-FFF2-40B4-BE49-F238E27FC236}">
              <a16:creationId xmlns:a16="http://schemas.microsoft.com/office/drawing/2014/main" id="{618214C8-37FB-E4C9-240E-F0006757831E}"/>
            </a:ext>
          </a:extLst>
        </xdr:cNvPr>
        <xdr:cNvSpPr/>
      </xdr:nvSpPr>
      <xdr:spPr>
        <a:xfrm>
          <a:off x="25164456" y="2351864"/>
          <a:ext cx="5069003" cy="1742127"/>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50</xdr:col>
      <xdr:colOff>403898</xdr:colOff>
      <xdr:row>12</xdr:row>
      <xdr:rowOff>154076</xdr:rowOff>
    </xdr:from>
    <xdr:to>
      <xdr:col>58</xdr:col>
      <xdr:colOff>313843</xdr:colOff>
      <xdr:row>22</xdr:row>
      <xdr:rowOff>78289</xdr:rowOff>
    </xdr:to>
    <xdr:sp macro="" textlink="">
      <xdr:nvSpPr>
        <xdr:cNvPr id="21" name="Rectangle: Rounded Corners 20">
          <a:extLst>
            <a:ext uri="{FF2B5EF4-FFF2-40B4-BE49-F238E27FC236}">
              <a16:creationId xmlns:a16="http://schemas.microsoft.com/office/drawing/2014/main" id="{B4F9A116-BA3F-D544-9EBA-9599C00FEA6A}"/>
            </a:ext>
          </a:extLst>
        </xdr:cNvPr>
        <xdr:cNvSpPr/>
      </xdr:nvSpPr>
      <xdr:spPr>
        <a:xfrm>
          <a:off x="30641993" y="2331219"/>
          <a:ext cx="4748040" cy="1738499"/>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252557</xdr:colOff>
      <xdr:row>13</xdr:row>
      <xdr:rowOff>48108</xdr:rowOff>
    </xdr:from>
    <xdr:to>
      <xdr:col>39</xdr:col>
      <xdr:colOff>101216</xdr:colOff>
      <xdr:row>16</xdr:row>
      <xdr:rowOff>46569</xdr:rowOff>
    </xdr:to>
    <xdr:sp macro="" textlink="">
      <xdr:nvSpPr>
        <xdr:cNvPr id="22" name="TextBox 21">
          <a:extLst>
            <a:ext uri="{FF2B5EF4-FFF2-40B4-BE49-F238E27FC236}">
              <a16:creationId xmlns:a16="http://schemas.microsoft.com/office/drawing/2014/main" id="{E30B4CED-BA72-2BC1-A038-4D0F58E1580F}"/>
            </a:ext>
          </a:extLst>
        </xdr:cNvPr>
        <xdr:cNvSpPr txBox="1"/>
      </xdr:nvSpPr>
      <xdr:spPr>
        <a:xfrm>
          <a:off x="20861193" y="2424547"/>
          <a:ext cx="2879341" cy="54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t> </a:t>
          </a:r>
          <a:r>
            <a:rPr lang="en-US" sz="2800">
              <a:latin typeface="Algerian" panose="04020705040A02060702" pitchFamily="82" charset="0"/>
            </a:rPr>
            <a:t>TOTAL SALES</a:t>
          </a:r>
        </a:p>
      </xdr:txBody>
    </xdr:sp>
    <xdr:clientData/>
  </xdr:twoCellAnchor>
  <xdr:twoCellAnchor>
    <xdr:from>
      <xdr:col>37</xdr:col>
      <xdr:colOff>90440</xdr:colOff>
      <xdr:row>18</xdr:row>
      <xdr:rowOff>101600</xdr:rowOff>
    </xdr:from>
    <xdr:to>
      <xdr:col>41</xdr:col>
      <xdr:colOff>39640</xdr:colOff>
      <xdr:row>22</xdr:row>
      <xdr:rowOff>76200</xdr:rowOff>
    </xdr:to>
    <xdr:sp macro="" textlink="'Cleaned data'!K10">
      <xdr:nvSpPr>
        <xdr:cNvPr id="23" name="TextBox 22">
          <a:extLst>
            <a:ext uri="{FF2B5EF4-FFF2-40B4-BE49-F238E27FC236}">
              <a16:creationId xmlns:a16="http://schemas.microsoft.com/office/drawing/2014/main" id="{FB696E86-5B63-4225-4D7F-7CB0DA6B744C}"/>
            </a:ext>
          </a:extLst>
        </xdr:cNvPr>
        <xdr:cNvSpPr txBox="1"/>
      </xdr:nvSpPr>
      <xdr:spPr>
        <a:xfrm>
          <a:off x="22517485" y="3392055"/>
          <a:ext cx="2373746" cy="70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FF55C2-750D-49CA-BC31-06786F2D402C}" type="TxLink">
            <a:rPr lang="en-US" sz="2800" b="0" i="0" u="none" strike="noStrike">
              <a:solidFill>
                <a:srgbClr val="000000"/>
              </a:solidFill>
              <a:latin typeface="Calibri"/>
              <a:ea typeface="Calibri"/>
              <a:cs typeface="Calibri"/>
            </a:rPr>
            <a:pPr/>
            <a:t>5082584.86</a:t>
          </a:fld>
          <a:endParaRPr lang="en-US" sz="2800"/>
        </a:p>
      </xdr:txBody>
    </xdr:sp>
    <xdr:clientData/>
  </xdr:twoCellAnchor>
  <xdr:twoCellAnchor>
    <xdr:from>
      <xdr:col>43</xdr:col>
      <xdr:colOff>566111</xdr:colOff>
      <xdr:row>13</xdr:row>
      <xdr:rowOff>156440</xdr:rowOff>
    </xdr:from>
    <xdr:to>
      <xdr:col>48</xdr:col>
      <xdr:colOff>145185</xdr:colOff>
      <xdr:row>17</xdr:row>
      <xdr:rowOff>27612</xdr:rowOff>
    </xdr:to>
    <xdr:sp macro="" textlink="">
      <xdr:nvSpPr>
        <xdr:cNvPr id="25" name="TextBox 24">
          <a:extLst>
            <a:ext uri="{FF2B5EF4-FFF2-40B4-BE49-F238E27FC236}">
              <a16:creationId xmlns:a16="http://schemas.microsoft.com/office/drawing/2014/main" id="{D66624E8-2685-49DC-9BE2-50594E3C47DF}"/>
            </a:ext>
          </a:extLst>
        </xdr:cNvPr>
        <xdr:cNvSpPr txBox="1"/>
      </xdr:nvSpPr>
      <xdr:spPr>
        <a:xfrm>
          <a:off x="26629975" y="2532879"/>
          <a:ext cx="2609755" cy="60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latin typeface="Algerian" panose="04020705040A02060702" pitchFamily="82" charset="0"/>
            </a:rPr>
            <a:t>TOTAL PROFIT</a:t>
          </a:r>
        </a:p>
      </xdr:txBody>
    </xdr:sp>
    <xdr:clientData/>
  </xdr:twoCellAnchor>
  <xdr:twoCellAnchor>
    <xdr:from>
      <xdr:col>46</xdr:col>
      <xdr:colOff>385233</xdr:colOff>
      <xdr:row>18</xdr:row>
      <xdr:rowOff>136621</xdr:rowOff>
    </xdr:from>
    <xdr:to>
      <xdr:col>50</xdr:col>
      <xdr:colOff>193964</xdr:colOff>
      <xdr:row>21</xdr:row>
      <xdr:rowOff>153555</xdr:rowOff>
    </xdr:to>
    <xdr:sp macro="" textlink="'Cleaned data'!K13">
      <xdr:nvSpPr>
        <xdr:cNvPr id="26" name="TextBox 25">
          <a:extLst>
            <a:ext uri="{FF2B5EF4-FFF2-40B4-BE49-F238E27FC236}">
              <a16:creationId xmlns:a16="http://schemas.microsoft.com/office/drawing/2014/main" id="{5EA1501D-3857-47F5-98F7-9667515E52CC}"/>
            </a:ext>
          </a:extLst>
        </xdr:cNvPr>
        <xdr:cNvSpPr txBox="1"/>
      </xdr:nvSpPr>
      <xdr:spPr>
        <a:xfrm>
          <a:off x="28267506" y="3427076"/>
          <a:ext cx="2233276" cy="565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B6C4C7-E1D6-44B5-9DF6-0C3804827E5F}" type="TxLink">
            <a:rPr lang="en-US" sz="2400" b="0" i="0" u="none" strike="noStrike">
              <a:solidFill>
                <a:srgbClr val="000000"/>
              </a:solidFill>
              <a:latin typeface="Calibri"/>
              <a:ea typeface="Calibri"/>
              <a:cs typeface="Calibri"/>
            </a:rPr>
            <a:pPr/>
            <a:t>881833.26</a:t>
          </a:fld>
          <a:endParaRPr lang="en-US" sz="1100"/>
        </a:p>
      </xdr:txBody>
    </xdr:sp>
    <xdr:clientData/>
  </xdr:twoCellAnchor>
  <xdr:twoCellAnchor>
    <xdr:from>
      <xdr:col>51</xdr:col>
      <xdr:colOff>443154</xdr:colOff>
      <xdr:row>13</xdr:row>
      <xdr:rowOff>122767</xdr:rowOff>
    </xdr:from>
    <xdr:to>
      <xdr:col>58</xdr:col>
      <xdr:colOff>329046</xdr:colOff>
      <xdr:row>16</xdr:row>
      <xdr:rowOff>176743</xdr:rowOff>
    </xdr:to>
    <xdr:sp macro="" textlink="">
      <xdr:nvSpPr>
        <xdr:cNvPr id="27" name="TextBox 26">
          <a:extLst>
            <a:ext uri="{FF2B5EF4-FFF2-40B4-BE49-F238E27FC236}">
              <a16:creationId xmlns:a16="http://schemas.microsoft.com/office/drawing/2014/main" id="{8D43B8E4-27E9-4AAD-B661-F446070255B1}"/>
            </a:ext>
          </a:extLst>
        </xdr:cNvPr>
        <xdr:cNvSpPr txBox="1"/>
      </xdr:nvSpPr>
      <xdr:spPr>
        <a:xfrm>
          <a:off x="31356109" y="2499206"/>
          <a:ext cx="4128846" cy="60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latin typeface="Algerian" panose="04020705040A02060702" pitchFamily="82" charset="0"/>
            </a:rPr>
            <a:t>AVERAGE ORDER VALUE</a:t>
          </a:r>
        </a:p>
      </xdr:txBody>
    </xdr:sp>
    <xdr:clientData/>
  </xdr:twoCellAnchor>
  <xdr:twoCellAnchor>
    <xdr:from>
      <xdr:col>54</xdr:col>
      <xdr:colOff>400628</xdr:colOff>
      <xdr:row>18</xdr:row>
      <xdr:rowOff>173952</xdr:rowOff>
    </xdr:from>
    <xdr:to>
      <xdr:col>58</xdr:col>
      <xdr:colOff>381675</xdr:colOff>
      <xdr:row>22</xdr:row>
      <xdr:rowOff>45124</xdr:rowOff>
    </xdr:to>
    <xdr:sp macro="" textlink="'Cleaned data'!K17">
      <xdr:nvSpPr>
        <xdr:cNvPr id="28" name="TextBox 27">
          <a:extLst>
            <a:ext uri="{FF2B5EF4-FFF2-40B4-BE49-F238E27FC236}">
              <a16:creationId xmlns:a16="http://schemas.microsoft.com/office/drawing/2014/main" id="{1374B1B2-B8A5-4766-A670-C27B2C1C8FD1}"/>
            </a:ext>
          </a:extLst>
        </xdr:cNvPr>
        <xdr:cNvSpPr txBox="1"/>
      </xdr:nvSpPr>
      <xdr:spPr>
        <a:xfrm>
          <a:off x="33131992" y="3464407"/>
          <a:ext cx="2405592" cy="602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F3D745-C104-4179-875B-28C38339842C}" type="TxLink">
            <a:rPr lang="en-US" sz="2400" b="0" i="0" u="none" strike="noStrike">
              <a:solidFill>
                <a:srgbClr val="000000"/>
              </a:solidFill>
              <a:latin typeface="Calibri"/>
              <a:ea typeface="Calibri"/>
              <a:cs typeface="Calibri"/>
            </a:rPr>
            <a:pPr/>
            <a:t>598.1165383</a:t>
          </a:fld>
          <a:endParaRPr lang="en-US" sz="1100"/>
        </a:p>
      </xdr:txBody>
    </xdr:sp>
    <xdr:clientData/>
  </xdr:twoCellAnchor>
  <xdr:twoCellAnchor>
    <xdr:from>
      <xdr:col>27</xdr:col>
      <xdr:colOff>184355</xdr:colOff>
      <xdr:row>26</xdr:row>
      <xdr:rowOff>61451</xdr:rowOff>
    </xdr:from>
    <xdr:to>
      <xdr:col>30</xdr:col>
      <xdr:colOff>450645</xdr:colOff>
      <xdr:row>29</xdr:row>
      <xdr:rowOff>157603</xdr:rowOff>
    </xdr:to>
    <xdr:sp macro="" textlink="">
      <xdr:nvSpPr>
        <xdr:cNvPr id="5" name="TextBox 4">
          <a:extLst>
            <a:ext uri="{FF2B5EF4-FFF2-40B4-BE49-F238E27FC236}">
              <a16:creationId xmlns:a16="http://schemas.microsoft.com/office/drawing/2014/main" id="{700D6406-B647-238E-3D15-954664EFD4F7}"/>
            </a:ext>
          </a:extLst>
        </xdr:cNvPr>
        <xdr:cNvSpPr txBox="1"/>
      </xdr:nvSpPr>
      <xdr:spPr>
        <a:xfrm>
          <a:off x="16776290" y="4854677"/>
          <a:ext cx="2109839" cy="649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effectLst>
                <a:glow rad="127000">
                  <a:srgbClr val="0070C0"/>
                </a:glow>
              </a:effectLst>
              <a:latin typeface="Arial Black" panose="020B0A04020102020204" pitchFamily="34" charset="0"/>
            </a:rPr>
            <a:t>SLICERS</a:t>
          </a:r>
        </a:p>
      </xdr:txBody>
    </xdr:sp>
    <xdr:clientData/>
  </xdr:twoCellAnchor>
  <xdr:twoCellAnchor editAs="oneCell">
    <xdr:from>
      <xdr:col>32</xdr:col>
      <xdr:colOff>376882</xdr:colOff>
      <xdr:row>15</xdr:row>
      <xdr:rowOff>163561</xdr:rowOff>
    </xdr:from>
    <xdr:to>
      <xdr:col>35</xdr:col>
      <xdr:colOff>423332</xdr:colOff>
      <xdr:row>22</xdr:row>
      <xdr:rowOff>117850</xdr:rowOff>
    </xdr:to>
    <xdr:pic>
      <xdr:nvPicPr>
        <xdr:cNvPr id="11" name="Graphic 10" descr="Pie chart with solid fill">
          <a:extLst>
            <a:ext uri="{FF2B5EF4-FFF2-40B4-BE49-F238E27FC236}">
              <a16:creationId xmlns:a16="http://schemas.microsoft.com/office/drawing/2014/main" id="{D2011EDF-3DD7-814B-6776-52061A7F30D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773246" y="2905606"/>
          <a:ext cx="1864859" cy="1233911"/>
        </a:xfrm>
        <a:prstGeom prst="rect">
          <a:avLst/>
        </a:prstGeom>
      </xdr:spPr>
    </xdr:pic>
    <xdr:clientData/>
  </xdr:twoCellAnchor>
  <xdr:twoCellAnchor editAs="oneCell">
    <xdr:from>
      <xdr:col>41</xdr:col>
      <xdr:colOff>443492</xdr:colOff>
      <xdr:row>16</xdr:row>
      <xdr:rowOff>115455</xdr:rowOff>
    </xdr:from>
    <xdr:to>
      <xdr:col>45</xdr:col>
      <xdr:colOff>134697</xdr:colOff>
      <xdr:row>22</xdr:row>
      <xdr:rowOff>87892</xdr:rowOff>
    </xdr:to>
    <xdr:pic>
      <xdr:nvPicPr>
        <xdr:cNvPr id="24" name="Graphic 23" descr="Coins with solid fill">
          <a:extLst>
            <a:ext uri="{FF2B5EF4-FFF2-40B4-BE49-F238E27FC236}">
              <a16:creationId xmlns:a16="http://schemas.microsoft.com/office/drawing/2014/main" id="{344A39D2-B761-1191-9A2E-05D39689DB0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5295083" y="3040303"/>
          <a:ext cx="2115750" cy="1069256"/>
        </a:xfrm>
        <a:prstGeom prst="rect">
          <a:avLst/>
        </a:prstGeom>
      </xdr:spPr>
    </xdr:pic>
    <xdr:clientData/>
  </xdr:twoCellAnchor>
  <xdr:twoCellAnchor editAs="oneCell">
    <xdr:from>
      <xdr:col>55</xdr:col>
      <xdr:colOff>246028</xdr:colOff>
      <xdr:row>4</xdr:row>
      <xdr:rowOff>59559</xdr:rowOff>
    </xdr:from>
    <xdr:to>
      <xdr:col>57</xdr:col>
      <xdr:colOff>525428</xdr:colOff>
      <xdr:row>12</xdr:row>
      <xdr:rowOff>97055</xdr:rowOff>
    </xdr:to>
    <xdr:pic>
      <xdr:nvPicPr>
        <xdr:cNvPr id="30" name="Graphic 29" descr="Research with solid fill">
          <a:extLst>
            <a:ext uri="{FF2B5EF4-FFF2-40B4-BE49-F238E27FC236}">
              <a16:creationId xmlns:a16="http://schemas.microsoft.com/office/drawing/2014/main" id="{0389CD69-0C0D-7EEF-1349-7B53B636F64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3583528" y="790771"/>
          <a:ext cx="1491673" cy="1499920"/>
        </a:xfrm>
        <a:prstGeom prst="rect">
          <a:avLst/>
        </a:prstGeom>
      </xdr:spPr>
    </xdr:pic>
    <xdr:clientData/>
  </xdr:twoCellAnchor>
  <xdr:twoCellAnchor editAs="oneCell">
    <xdr:from>
      <xdr:col>50</xdr:col>
      <xdr:colOff>461818</xdr:colOff>
      <xdr:row>16</xdr:row>
      <xdr:rowOff>19243</xdr:rowOff>
    </xdr:from>
    <xdr:to>
      <xdr:col>53</xdr:col>
      <xdr:colOff>538788</xdr:colOff>
      <xdr:row>22</xdr:row>
      <xdr:rowOff>58113</xdr:rowOff>
    </xdr:to>
    <xdr:pic>
      <xdr:nvPicPr>
        <xdr:cNvPr id="32" name="Graphic 31" descr="Upward trend with solid fill">
          <a:extLst>
            <a:ext uri="{FF2B5EF4-FFF2-40B4-BE49-F238E27FC236}">
              <a16:creationId xmlns:a16="http://schemas.microsoft.com/office/drawing/2014/main" id="{6E2D4F19-8106-84C3-6571-C84A1A9FB8C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0768636" y="2944091"/>
          <a:ext cx="1895379" cy="1135689"/>
        </a:xfrm>
        <a:prstGeom prst="rect">
          <a:avLst/>
        </a:prstGeom>
      </xdr:spPr>
    </xdr:pic>
    <xdr:clientData/>
  </xdr:twoCellAnchor>
  <xdr:twoCellAnchor editAs="oneCell">
    <xdr:from>
      <xdr:col>32</xdr:col>
      <xdr:colOff>298258</xdr:colOff>
      <xdr:row>4</xdr:row>
      <xdr:rowOff>96212</xdr:rowOff>
    </xdr:from>
    <xdr:to>
      <xdr:col>34</xdr:col>
      <xdr:colOff>442576</xdr:colOff>
      <xdr:row>11</xdr:row>
      <xdr:rowOff>384</xdr:rowOff>
    </xdr:to>
    <xdr:pic>
      <xdr:nvPicPr>
        <xdr:cNvPr id="38" name="Graphic 37" descr="Dollar with solid fill">
          <a:extLst>
            <a:ext uri="{FF2B5EF4-FFF2-40B4-BE49-F238E27FC236}">
              <a16:creationId xmlns:a16="http://schemas.microsoft.com/office/drawing/2014/main" id="{A87CB76C-0EC9-F196-8EBC-4A8102D3C3A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9694622" y="827424"/>
          <a:ext cx="1356590" cy="117417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DHA SINGH" refreshedDate="45878.79815949074" createdVersion="8" refreshedVersion="8" minRefreshableVersion="3" recordCount="4986" xr:uid="{B1313819-9367-42A6-A2AC-54C26F895ADB}">
  <cacheSource type="worksheet">
    <worksheetSource name="Table2"/>
  </cacheSource>
  <cacheFields count="12">
    <cacheField name="Order ID" numFmtId="0">
      <sharedItems/>
    </cacheField>
    <cacheField name="Order Date" numFmtId="14">
      <sharedItems containsSemiMixedTypes="0" containsNonDate="0" containsDate="1" containsString="0" minDate="2022-01-01T00:00:00" maxDate="2025-01-01T00:00:00" count="1080">
        <d v="2022-06-21T00:00:00"/>
        <d v="2022-07-31T00:00:00"/>
        <d v="2024-07-17T00:00:00"/>
        <d v="2024-09-16T00:00:00"/>
        <d v="2022-05-20T00:00:00"/>
        <d v="2022-07-06T00:00:00"/>
        <d v="2023-11-12T00:00:00"/>
        <d v="2023-07-21T00:00:00"/>
        <d v="2024-12-06T00:00:00"/>
        <d v="2023-08-04T00:00:00"/>
        <d v="2023-11-26T00:00:00"/>
        <d v="2022-12-13T00:00:00"/>
        <d v="2024-10-11T00:00:00"/>
        <d v="2023-09-01T00:00:00"/>
        <d v="2022-10-06T00:00:00"/>
        <d v="2024-01-16T00:00:00"/>
        <d v="2024-01-08T00:00:00"/>
        <d v="2022-04-07T00:00:00"/>
        <d v="2022-07-08T00:00:00"/>
        <d v="2022-09-25T00:00:00"/>
        <d v="2024-02-13T00:00:00"/>
        <d v="2022-07-27T00:00:00"/>
        <d v="2022-08-28T00:00:00"/>
        <d v="2024-06-29T00:00:00"/>
        <d v="2024-01-02T00:00:00"/>
        <d v="2024-12-24T00:00:00"/>
        <d v="2023-12-08T00:00:00"/>
        <d v="2023-05-02T00:00:00"/>
        <d v="2022-09-04T00:00:00"/>
        <d v="2024-02-04T00:00:00"/>
        <d v="2022-12-14T00:00:00"/>
        <d v="2024-07-02T00:00:00"/>
        <d v="2022-09-23T00:00:00"/>
        <d v="2023-12-20T00:00:00"/>
        <d v="2023-03-06T00:00:00"/>
        <d v="2024-02-17T00:00:00"/>
        <d v="2024-11-07T00:00:00"/>
        <d v="2023-11-03T00:00:00"/>
        <d v="2024-02-03T00:00:00"/>
        <d v="2024-04-03T00:00:00"/>
        <d v="2022-11-07T00:00:00"/>
        <d v="2023-04-15T00:00:00"/>
        <d v="2023-11-21T00:00:00"/>
        <d v="2023-03-21T00:00:00"/>
        <d v="2022-05-25T00:00:00"/>
        <d v="2024-04-20T00:00:00"/>
        <d v="2022-05-13T00:00:00"/>
        <d v="2024-04-05T00:00:00"/>
        <d v="2023-12-22T00:00:00"/>
        <d v="2024-12-27T00:00:00"/>
        <d v="2022-07-04T00:00:00"/>
        <d v="2022-12-21T00:00:00"/>
        <d v="2024-01-19T00:00:00"/>
        <d v="2022-08-16T00:00:00"/>
        <d v="2024-11-28T00:00:00"/>
        <d v="2024-03-04T00:00:00"/>
        <d v="2024-06-16T00:00:00"/>
        <d v="2023-06-21T00:00:00"/>
        <d v="2024-12-09T00:00:00"/>
        <d v="2024-11-30T00:00:00"/>
        <d v="2023-12-10T00:00:00"/>
        <d v="2024-12-31T00:00:00"/>
        <d v="2022-07-21T00:00:00"/>
        <d v="2023-09-19T00:00:00"/>
        <d v="2022-02-11T00:00:00"/>
        <d v="2024-08-22T00:00:00"/>
        <d v="2022-03-24T00:00:00"/>
        <d v="2024-03-24T00:00:00"/>
        <d v="2024-03-23T00:00:00"/>
        <d v="2023-07-22T00:00:00"/>
        <d v="2024-08-28T00:00:00"/>
        <d v="2022-04-02T00:00:00"/>
        <d v="2024-05-19T00:00:00"/>
        <d v="2022-03-11T00:00:00"/>
        <d v="2022-11-05T00:00:00"/>
        <d v="2024-06-18T00:00:00"/>
        <d v="2023-06-09T00:00:00"/>
        <d v="2022-01-21T00:00:00"/>
        <d v="2023-01-01T00:00:00"/>
        <d v="2024-07-12T00:00:00"/>
        <d v="2023-08-03T00:00:00"/>
        <d v="2023-12-29T00:00:00"/>
        <d v="2022-01-17T00:00:00"/>
        <d v="2023-09-03T00:00:00"/>
        <d v="2024-08-30T00:00:00"/>
        <d v="2023-09-25T00:00:00"/>
        <d v="2023-06-02T00:00:00"/>
        <d v="2022-06-03T00:00:00"/>
        <d v="2024-11-10T00:00:00"/>
        <d v="2022-05-06T00:00:00"/>
        <d v="2023-03-01T00:00:00"/>
        <d v="2024-07-09T00:00:00"/>
        <d v="2022-09-30T00:00:00"/>
        <d v="2023-08-05T00:00:00"/>
        <d v="2024-10-19T00:00:00"/>
        <d v="2024-03-19T00:00:00"/>
        <d v="2023-12-30T00:00:00"/>
        <d v="2022-09-18T00:00:00"/>
        <d v="2024-08-10T00:00:00"/>
        <d v="2024-08-14T00:00:00"/>
        <d v="2023-03-20T00:00:00"/>
        <d v="2023-01-15T00:00:00"/>
        <d v="2023-03-31T00:00:00"/>
        <d v="2023-03-05T00:00:00"/>
        <d v="2022-05-29T00:00:00"/>
        <d v="2022-06-17T00:00:00"/>
        <d v="2024-10-28T00:00:00"/>
        <d v="2023-09-06T00:00:00"/>
        <d v="2023-06-22T00:00:00"/>
        <d v="2023-08-16T00:00:00"/>
        <d v="2022-04-13T00:00:00"/>
        <d v="2023-06-29T00:00:00"/>
        <d v="2022-05-19T00:00:00"/>
        <d v="2023-11-07T00:00:00"/>
        <d v="2022-05-16T00:00:00"/>
        <d v="2024-08-29T00:00:00"/>
        <d v="2023-10-06T00:00:00"/>
        <d v="2023-12-07T00:00:00"/>
        <d v="2024-05-16T00:00:00"/>
        <d v="2022-10-16T00:00:00"/>
        <d v="2024-08-09T00:00:00"/>
        <d v="2023-07-12T00:00:00"/>
        <d v="2022-02-26T00:00:00"/>
        <d v="2022-07-26T00:00:00"/>
        <d v="2023-07-16T00:00:00"/>
        <d v="2022-04-03T00:00:00"/>
        <d v="2023-07-03T00:00:00"/>
        <d v="2024-11-16T00:00:00"/>
        <d v="2023-06-18T00:00:00"/>
        <d v="2023-12-26T00:00:00"/>
        <d v="2023-03-30T00:00:00"/>
        <d v="2023-07-29T00:00:00"/>
        <d v="2023-05-11T00:00:00"/>
        <d v="2022-02-07T00:00:00"/>
        <d v="2023-12-16T00:00:00"/>
        <d v="2024-11-23T00:00:00"/>
        <d v="2024-06-21T00:00:00"/>
        <d v="2022-04-24T00:00:00"/>
        <d v="2023-01-08T00:00:00"/>
        <d v="2022-01-26T00:00:00"/>
        <d v="2023-10-30T00:00:00"/>
        <d v="2023-10-31T00:00:00"/>
        <d v="2022-09-14T00:00:00"/>
        <d v="2022-12-25T00:00:00"/>
        <d v="2024-08-21T00:00:00"/>
        <d v="2024-10-23T00:00:00"/>
        <d v="2024-05-04T00:00:00"/>
        <d v="2024-10-21T00:00:00"/>
        <d v="2023-09-26T00:00:00"/>
        <d v="2023-02-09T00:00:00"/>
        <d v="2022-10-31T00:00:00"/>
        <d v="2023-01-13T00:00:00"/>
        <d v="2024-05-20T00:00:00"/>
        <d v="2024-09-28T00:00:00"/>
        <d v="2023-05-08T00:00:00"/>
        <d v="2024-08-20T00:00:00"/>
        <d v="2024-09-25T00:00:00"/>
        <d v="2024-07-21T00:00:00"/>
        <d v="2024-11-01T00:00:00"/>
        <d v="2024-07-07T00:00:00"/>
        <d v="2024-11-26T00:00:00"/>
        <d v="2022-07-24T00:00:00"/>
        <d v="2022-07-28T00:00:00"/>
        <d v="2022-06-01T00:00:00"/>
        <d v="2023-01-14T00:00:00"/>
        <d v="2022-04-10T00:00:00"/>
        <d v="2022-01-09T00:00:00"/>
        <d v="2022-10-24T00:00:00"/>
        <d v="2023-10-02T00:00:00"/>
        <d v="2024-12-10T00:00:00"/>
        <d v="2024-03-11T00:00:00"/>
        <d v="2022-12-08T00:00:00"/>
        <d v="2024-02-08T00:00:00"/>
        <d v="2023-08-06T00:00:00"/>
        <d v="2023-01-26T00:00:00"/>
        <d v="2024-09-24T00:00:00"/>
        <d v="2022-02-23T00:00:00"/>
        <d v="2024-12-23T00:00:00"/>
        <d v="2024-09-17T00:00:00"/>
        <d v="2022-08-02T00:00:00"/>
        <d v="2022-11-28T00:00:00"/>
        <d v="2023-02-15T00:00:00"/>
        <d v="2023-10-01T00:00:00"/>
        <d v="2023-04-30T00:00:00"/>
        <d v="2024-01-14T00:00:00"/>
        <d v="2022-04-21T00:00:00"/>
        <d v="2022-12-05T00:00:00"/>
        <d v="2023-12-27T00:00:00"/>
        <d v="2024-07-19T00:00:00"/>
        <d v="2024-02-23T00:00:00"/>
        <d v="2022-05-01T00:00:00"/>
        <d v="2024-09-21T00:00:00"/>
        <d v="2022-04-30T00:00:00"/>
        <d v="2024-08-17T00:00:00"/>
        <d v="2023-04-20T00:00:00"/>
        <d v="2022-09-08T00:00:00"/>
        <d v="2022-09-01T00:00:00"/>
        <d v="2022-09-24T00:00:00"/>
        <d v="2022-07-19T00:00:00"/>
        <d v="2022-12-26T00:00:00"/>
        <d v="2024-06-19T00:00:00"/>
        <d v="2023-04-18T00:00:00"/>
        <d v="2024-05-01T00:00:00"/>
        <d v="2022-11-11T00:00:00"/>
        <d v="2023-12-12T00:00:00"/>
        <d v="2024-02-21T00:00:00"/>
        <d v="2022-10-15T00:00:00"/>
        <d v="2024-10-01T00:00:00"/>
        <d v="2022-08-06T00:00:00"/>
        <d v="2023-09-07T00:00:00"/>
        <d v="2024-09-27T00:00:00"/>
        <d v="2023-02-10T00:00:00"/>
        <d v="2022-09-28T00:00:00"/>
        <d v="2024-04-26T00:00:00"/>
        <d v="2023-07-11T00:00:00"/>
        <d v="2024-06-15T00:00:00"/>
        <d v="2023-08-21T00:00:00"/>
        <d v="2024-08-23T00:00:00"/>
        <d v="2022-02-14T00:00:00"/>
        <d v="2022-01-16T00:00:00"/>
        <d v="2023-08-07T00:00:00"/>
        <d v="2022-05-10T00:00:00"/>
        <d v="2022-11-18T00:00:00"/>
        <d v="2022-01-11T00:00:00"/>
        <d v="2024-05-15T00:00:00"/>
        <d v="2023-04-22T00:00:00"/>
        <d v="2024-09-09T00:00:00"/>
        <d v="2023-05-03T00:00:00"/>
        <d v="2023-12-14T00:00:00"/>
        <d v="2022-01-03T00:00:00"/>
        <d v="2022-03-28T00:00:00"/>
        <d v="2023-11-29T00:00:00"/>
        <d v="2023-08-08T00:00:00"/>
        <d v="2023-08-10T00:00:00"/>
        <d v="2022-05-22T00:00:00"/>
        <d v="2024-11-02T00:00:00"/>
        <d v="2023-11-06T00:00:00"/>
        <d v="2024-06-28T00:00:00"/>
        <d v="2024-06-02T00:00:00"/>
        <d v="2022-03-16T00:00:00"/>
        <d v="2023-07-20T00:00:00"/>
        <d v="2023-10-20T00:00:00"/>
        <d v="2022-10-01T00:00:00"/>
        <d v="2024-12-15T00:00:00"/>
        <d v="2023-04-23T00:00:00"/>
        <d v="2022-10-19T00:00:00"/>
        <d v="2022-05-26T00:00:00"/>
        <d v="2024-06-13T00:00:00"/>
        <d v="2024-04-27T00:00:00"/>
        <d v="2022-12-19T00:00:00"/>
        <d v="2023-11-09T00:00:00"/>
        <d v="2022-02-25T00:00:00"/>
        <d v="2024-09-15T00:00:00"/>
        <d v="2022-09-21T00:00:00"/>
        <d v="2024-12-04T00:00:00"/>
        <d v="2022-04-14T00:00:00"/>
        <d v="2024-01-04T00:00:00"/>
        <d v="2023-07-18T00:00:00"/>
        <d v="2023-02-28T00:00:00"/>
        <d v="2024-05-21T00:00:00"/>
        <d v="2023-11-02T00:00:00"/>
        <d v="2024-08-19T00:00:00"/>
        <d v="2023-01-09T00:00:00"/>
        <d v="2022-12-30T00:00:00"/>
        <d v="2023-04-26T00:00:00"/>
        <d v="2022-06-28T00:00:00"/>
        <d v="2024-07-01T00:00:00"/>
        <d v="2024-06-24T00:00:00"/>
        <d v="2022-06-24T00:00:00"/>
        <d v="2024-06-27T00:00:00"/>
        <d v="2022-05-28T00:00:00"/>
        <d v="2024-03-14T00:00:00"/>
        <d v="2023-08-26T00:00:00"/>
        <d v="2022-03-23T00:00:00"/>
        <d v="2022-05-11T00:00:00"/>
        <d v="2022-05-05T00:00:00"/>
        <d v="2022-10-26T00:00:00"/>
        <d v="2022-10-07T00:00:00"/>
        <d v="2024-12-26T00:00:00"/>
        <d v="2023-12-11T00:00:00"/>
        <d v="2024-05-24T00:00:00"/>
        <d v="2023-05-27T00:00:00"/>
        <d v="2022-09-06T00:00:00"/>
        <d v="2022-08-29T00:00:00"/>
        <d v="2022-01-28T00:00:00"/>
        <d v="2023-05-14T00:00:00"/>
        <d v="2023-08-15T00:00:00"/>
        <d v="2024-01-01T00:00:00"/>
        <d v="2024-03-12T00:00:00"/>
        <d v="2022-07-07T00:00:00"/>
        <d v="2024-01-20T00:00:00"/>
        <d v="2024-02-27T00:00:00"/>
        <d v="2022-04-23T00:00:00"/>
        <d v="2024-10-06T00:00:00"/>
        <d v="2024-06-08T00:00:00"/>
        <d v="2023-07-31T00:00:00"/>
        <d v="2023-03-12T00:00:00"/>
        <d v="2023-09-30T00:00:00"/>
        <d v="2022-04-05T00:00:00"/>
        <d v="2022-02-24T00:00:00"/>
        <d v="2023-06-12T00:00:00"/>
        <d v="2023-01-04T00:00:00"/>
        <d v="2024-02-14T00:00:00"/>
        <d v="2024-03-20T00:00:00"/>
        <d v="2022-09-15T00:00:00"/>
        <d v="2022-05-07T00:00:00"/>
        <d v="2024-08-31T00:00:00"/>
        <d v="2022-07-01T00:00:00"/>
        <d v="2022-11-12T00:00:00"/>
        <d v="2024-03-31T00:00:00"/>
        <d v="2024-03-15T00:00:00"/>
        <d v="2024-09-19T00:00:00"/>
        <d v="2023-09-28T00:00:00"/>
        <d v="2024-07-04T00:00:00"/>
        <d v="2024-07-11T00:00:00"/>
        <d v="2022-07-12T00:00:00"/>
        <d v="2023-01-24T00:00:00"/>
        <d v="2022-09-03T00:00:00"/>
        <d v="2022-03-10T00:00:00"/>
        <d v="2023-02-14T00:00:00"/>
        <d v="2024-03-29T00:00:00"/>
        <d v="2024-06-30T00:00:00"/>
        <d v="2024-04-15T00:00:00"/>
        <d v="2024-10-04T00:00:00"/>
        <d v="2023-11-23T00:00:00"/>
        <d v="2024-01-26T00:00:00"/>
        <d v="2023-06-28T00:00:00"/>
        <d v="2024-04-17T00:00:00"/>
        <d v="2023-04-14T00:00:00"/>
        <d v="2024-11-11T00:00:00"/>
        <d v="2024-09-20T00:00:00"/>
        <d v="2024-02-02T00:00:00"/>
        <d v="2024-01-24T00:00:00"/>
        <d v="2024-10-31T00:00:00"/>
        <d v="2022-02-16T00:00:00"/>
        <d v="2024-02-20T00:00:00"/>
        <d v="2024-02-19T00:00:00"/>
        <d v="2023-04-12T00:00:00"/>
        <d v="2022-06-22T00:00:00"/>
        <d v="2023-01-02T00:00:00"/>
        <d v="2022-01-02T00:00:00"/>
        <d v="2024-07-29T00:00:00"/>
        <d v="2022-12-04T00:00:00"/>
        <d v="2024-04-22T00:00:00"/>
        <d v="2022-06-09T00:00:00"/>
        <d v="2022-01-10T00:00:00"/>
        <d v="2022-10-18T00:00:00"/>
        <d v="2022-02-21T00:00:00"/>
        <d v="2023-07-08T00:00:00"/>
        <d v="2023-06-06T00:00:00"/>
        <d v="2024-11-25T00:00:00"/>
        <d v="2024-10-08T00:00:00"/>
        <d v="2022-08-04T00:00:00"/>
        <d v="2023-11-13T00:00:00"/>
        <d v="2022-06-14T00:00:00"/>
        <d v="2024-01-30T00:00:00"/>
        <d v="2024-12-22T00:00:00"/>
        <d v="2024-05-05T00:00:00"/>
        <d v="2024-09-26T00:00:00"/>
        <d v="2024-07-16T00:00:00"/>
        <d v="2023-12-04T00:00:00"/>
        <d v="2022-03-18T00:00:00"/>
        <d v="2024-09-04T00:00:00"/>
        <d v="2023-09-18T00:00:00"/>
        <d v="2022-12-07T00:00:00"/>
        <d v="2022-01-27T00:00:00"/>
        <d v="2022-08-11T00:00:00"/>
        <d v="2023-12-23T00:00:00"/>
        <d v="2024-08-18T00:00:00"/>
        <d v="2024-04-30T00:00:00"/>
        <d v="2024-07-10T00:00:00"/>
        <d v="2024-03-30T00:00:00"/>
        <d v="2023-04-29T00:00:00"/>
        <d v="2023-11-01T00:00:00"/>
        <d v="2023-05-19T00:00:00"/>
        <d v="2022-12-09T00:00:00"/>
        <d v="2022-06-18T00:00:00"/>
        <d v="2023-01-17T00:00:00"/>
        <d v="2022-08-25T00:00:00"/>
        <d v="2022-02-17T00:00:00"/>
        <d v="2023-12-03T00:00:00"/>
        <d v="2024-04-29T00:00:00"/>
        <d v="2023-01-18T00:00:00"/>
        <d v="2023-10-26T00:00:00"/>
        <d v="2023-05-22T00:00:00"/>
        <d v="2023-02-26T00:00:00"/>
        <d v="2023-07-02T00:00:00"/>
        <d v="2023-05-26T00:00:00"/>
        <d v="2023-05-18T00:00:00"/>
        <d v="2024-12-03T00:00:00"/>
        <d v="2024-12-19T00:00:00"/>
        <d v="2022-03-14T00:00:00"/>
        <d v="2022-12-23T00:00:00"/>
        <d v="2024-10-22T00:00:00"/>
        <d v="2023-12-24T00:00:00"/>
        <d v="2024-11-13T00:00:00"/>
        <d v="2022-09-07T00:00:00"/>
        <d v="2023-06-13T00:00:00"/>
        <d v="2024-06-23T00:00:00"/>
        <d v="2022-05-18T00:00:00"/>
        <d v="2024-04-11T00:00:00"/>
        <d v="2022-10-20T00:00:00"/>
        <d v="2023-05-05T00:00:00"/>
        <d v="2024-05-14T00:00:00"/>
        <d v="2022-01-29T00:00:00"/>
        <d v="2023-04-08T00:00:00"/>
        <d v="2023-10-22T00:00:00"/>
        <d v="2024-04-09T00:00:00"/>
        <d v="2023-08-14T00:00:00"/>
        <d v="2023-03-19T00:00:00"/>
        <d v="2024-06-25T00:00:00"/>
        <d v="2022-06-13T00:00:00"/>
        <d v="2024-01-23T00:00:00"/>
        <d v="2022-01-31T00:00:00"/>
        <d v="2022-05-02T00:00:00"/>
        <d v="2023-06-03T00:00:00"/>
        <d v="2022-06-27T00:00:00"/>
        <d v="2022-04-04T00:00:00"/>
        <d v="2022-02-05T00:00:00"/>
        <d v="2022-08-26T00:00:00"/>
        <d v="2022-09-13T00:00:00"/>
        <d v="2023-03-10T00:00:00"/>
        <d v="2022-05-21T00:00:00"/>
        <d v="2022-01-18T00:00:00"/>
        <d v="2022-04-27T00:00:00"/>
        <d v="2022-03-17T00:00:00"/>
        <d v="2024-04-01T00:00:00"/>
        <d v="2023-06-01T00:00:00"/>
        <d v="2024-11-18T00:00:00"/>
        <d v="2023-05-28T00:00:00"/>
        <d v="2022-07-25T00:00:00"/>
        <d v="2023-01-25T00:00:00"/>
        <d v="2022-02-03T00:00:00"/>
        <d v="2024-11-27T00:00:00"/>
        <d v="2024-02-28T00:00:00"/>
        <d v="2023-12-21T00:00:00"/>
        <d v="2024-07-14T00:00:00"/>
        <d v="2024-02-18T00:00:00"/>
        <d v="2024-01-31T00:00:00"/>
        <d v="2023-02-19T00:00:00"/>
        <d v="2023-03-14T00:00:00"/>
        <d v="2024-01-27T00:00:00"/>
        <d v="2024-10-17T00:00:00"/>
        <d v="2022-12-11T00:00:00"/>
        <d v="2024-12-20T00:00:00"/>
        <d v="2023-09-09T00:00:00"/>
        <d v="2024-04-08T00:00:00"/>
        <d v="2024-05-07T00:00:00"/>
        <d v="2024-09-30T00:00:00"/>
        <d v="2024-06-03T00:00:00"/>
        <d v="2024-09-22T00:00:00"/>
        <d v="2024-04-13T00:00:00"/>
        <d v="2024-11-20T00:00:00"/>
        <d v="2023-10-05T00:00:00"/>
        <d v="2023-12-15T00:00:00"/>
        <d v="2023-11-18T00:00:00"/>
        <d v="2023-08-24T00:00:00"/>
        <d v="2024-07-24T00:00:00"/>
        <d v="2022-05-31T00:00:00"/>
        <d v="2022-11-04T00:00:00"/>
        <d v="2024-03-06T00:00:00"/>
        <d v="2022-02-01T00:00:00"/>
        <d v="2022-07-17T00:00:00"/>
        <d v="2022-01-13T00:00:00"/>
        <d v="2024-06-06T00:00:00"/>
        <d v="2023-08-31T00:00:00"/>
        <d v="2022-08-07T00:00:00"/>
        <d v="2024-06-14T00:00:00"/>
        <d v="2022-12-12T00:00:00"/>
        <d v="2022-11-21T00:00:00"/>
        <d v="2023-04-17T00:00:00"/>
        <d v="2023-02-16T00:00:00"/>
        <d v="2022-11-22T00:00:00"/>
        <d v="2022-12-29T00:00:00"/>
        <d v="2022-10-03T00:00:00"/>
        <d v="2022-08-31T00:00:00"/>
        <d v="2023-06-04T00:00:00"/>
        <d v="2022-07-14T00:00:00"/>
        <d v="2023-02-24T00:00:00"/>
        <d v="2024-11-08T00:00:00"/>
        <d v="2024-11-21T00:00:00"/>
        <d v="2023-09-04T00:00:00"/>
        <d v="2023-05-29T00:00:00"/>
        <d v="2024-08-24T00:00:00"/>
        <d v="2023-06-25T00:00:00"/>
        <d v="2024-06-04T00:00:00"/>
        <d v="2023-12-13T00:00:00"/>
        <d v="2024-07-30T00:00:00"/>
        <d v="2024-11-29T00:00:00"/>
        <d v="2023-08-13T00:00:00"/>
        <d v="2023-09-16T00:00:00"/>
        <d v="2023-02-12T00:00:00"/>
        <d v="2024-08-01T00:00:00"/>
        <d v="2022-04-08T00:00:00"/>
        <d v="2023-05-17T00:00:00"/>
        <d v="2024-01-18T00:00:00"/>
        <d v="2022-06-08T00:00:00"/>
        <d v="2023-09-08T00:00:00"/>
        <d v="2024-03-17T00:00:00"/>
        <d v="2023-01-31T00:00:00"/>
        <d v="2023-11-04T00:00:00"/>
        <d v="2022-04-22T00:00:00"/>
        <d v="2022-01-30T00:00:00"/>
        <d v="2023-08-17T00:00:00"/>
        <d v="2022-08-09T00:00:00"/>
        <d v="2022-12-06T00:00:00"/>
        <d v="2022-03-21T00:00:00"/>
        <d v="2022-09-27T00:00:00"/>
        <d v="2022-06-02T00:00:00"/>
        <d v="2022-08-19T00:00:00"/>
        <d v="2023-08-02T00:00:00"/>
        <d v="2023-06-30T00:00:00"/>
        <d v="2022-10-04T00:00:00"/>
        <d v="2024-11-09T00:00:00"/>
        <d v="2023-07-26T00:00:00"/>
        <d v="2024-01-21T00:00:00"/>
        <d v="2024-07-13T00:00:00"/>
        <d v="2024-08-06T00:00:00"/>
        <d v="2023-01-29T00:00:00"/>
        <d v="2024-03-03T00:00:00"/>
        <d v="2022-03-06T00:00:00"/>
        <d v="2023-10-19T00:00:00"/>
        <d v="2022-02-12T00:00:00"/>
        <d v="2022-03-25T00:00:00"/>
        <d v="2023-04-01T00:00:00"/>
        <d v="2024-08-26T00:00:00"/>
        <d v="2024-03-05T00:00:00"/>
        <d v="2022-01-12T00:00:00"/>
        <d v="2022-05-04T00:00:00"/>
        <d v="2023-06-26T00:00:00"/>
        <d v="2023-09-27T00:00:00"/>
        <d v="2022-10-23T00:00:00"/>
        <d v="2022-10-12T00:00:00"/>
        <d v="2022-10-21T00:00:00"/>
        <d v="2022-04-11T00:00:00"/>
        <d v="2022-08-05T00:00:00"/>
        <d v="2023-07-05T00:00:00"/>
        <d v="2022-03-04T00:00:00"/>
        <d v="2023-12-17T00:00:00"/>
        <d v="2023-09-14T00:00:00"/>
        <d v="2023-08-30T00:00:00"/>
        <d v="2023-09-02T00:00:00"/>
        <d v="2024-04-21T00:00:00"/>
        <d v="2022-12-22T00:00:00"/>
        <d v="2022-04-12T00:00:00"/>
        <d v="2022-05-08T00:00:00"/>
        <d v="2024-02-07T00:00:00"/>
        <d v="2022-11-10T00:00:00"/>
        <d v="2022-03-12T00:00:00"/>
        <d v="2022-03-07T00:00:00"/>
        <d v="2024-09-06T00:00:00"/>
        <d v="2024-04-10T00:00:00"/>
        <d v="2023-08-27T00:00:00"/>
        <d v="2024-01-10T00:00:00"/>
        <d v="2024-05-10T00:00:00"/>
        <d v="2022-08-12T00:00:00"/>
        <d v="2024-11-05T00:00:00"/>
        <d v="2024-05-09T00:00:00"/>
        <d v="2023-04-06T00:00:00"/>
        <d v="2022-11-26T00:00:00"/>
        <d v="2022-11-29T00:00:00"/>
        <d v="2022-11-17T00:00:00"/>
        <d v="2023-04-21T00:00:00"/>
        <d v="2022-08-27T00:00:00"/>
        <d v="2024-09-08T00:00:00"/>
        <d v="2023-01-10T00:00:00"/>
        <d v="2024-12-25T00:00:00"/>
        <d v="2023-04-13T00:00:00"/>
        <d v="2024-03-07T00:00:00"/>
        <d v="2022-10-10T00:00:00"/>
        <d v="2024-12-14T00:00:00"/>
        <d v="2024-08-08T00:00:00"/>
        <d v="2023-03-27T00:00:00"/>
        <d v="2022-06-29T00:00:00"/>
        <d v="2022-08-24T00:00:00"/>
        <d v="2024-11-22T00:00:00"/>
        <d v="2024-10-14T00:00:00"/>
        <d v="2023-08-19T00:00:00"/>
        <d v="2023-04-11T00:00:00"/>
        <d v="2023-07-30T00:00:00"/>
        <d v="2024-01-29T00:00:00"/>
        <d v="2024-09-18T00:00:00"/>
        <d v="2023-02-06T00:00:00"/>
        <d v="2023-02-01T00:00:00"/>
        <d v="2023-03-03T00:00:00"/>
        <d v="2024-10-07T00:00:00"/>
        <d v="2022-01-07T00:00:00"/>
        <d v="2022-07-02T00:00:00"/>
        <d v="2022-10-08T00:00:00"/>
        <d v="2023-12-01T00:00:00"/>
        <d v="2023-02-07T00:00:00"/>
        <d v="2022-03-02T00:00:00"/>
        <d v="2022-03-22T00:00:00"/>
        <d v="2024-06-07T00:00:00"/>
        <d v="2022-11-03T00:00:00"/>
        <d v="2023-01-21T00:00:00"/>
        <d v="2024-02-01T00:00:00"/>
        <d v="2023-04-24T00:00:00"/>
        <d v="2024-11-24T00:00:00"/>
        <d v="2024-12-13T00:00:00"/>
        <d v="2024-11-17T00:00:00"/>
        <d v="2023-07-10T00:00:00"/>
        <d v="2024-06-26T00:00:00"/>
        <d v="2024-05-31T00:00:00"/>
        <d v="2023-02-04T00:00:00"/>
        <d v="2024-01-28T00:00:00"/>
        <d v="2023-07-01T00:00:00"/>
        <d v="2022-05-24T00:00:00"/>
        <d v="2024-04-16T00:00:00"/>
        <d v="2022-10-22T00:00:00"/>
        <d v="2023-10-13T00:00:00"/>
        <d v="2023-01-16T00:00:00"/>
        <d v="2023-12-18T00:00:00"/>
        <d v="2022-12-02T00:00:00"/>
        <d v="2023-12-28T00:00:00"/>
        <d v="2024-12-18T00:00:00"/>
        <d v="2023-05-10T00:00:00"/>
        <d v="2023-04-07T00:00:00"/>
        <d v="2023-10-18T00:00:00"/>
        <d v="2024-06-22T00:00:00"/>
        <d v="2023-03-11T00:00:00"/>
        <d v="2023-01-30T00:00:00"/>
        <d v="2023-09-21T00:00:00"/>
        <d v="2024-04-07T00:00:00"/>
        <d v="2022-04-26T00:00:00"/>
        <d v="2023-06-14T00:00:00"/>
        <d v="2022-11-01T00:00:00"/>
        <d v="2023-10-08T00:00:00"/>
        <d v="2024-03-21T00:00:00"/>
        <d v="2022-07-22T00:00:00"/>
        <d v="2023-01-05T00:00:00"/>
        <d v="2024-07-08T00:00:00"/>
        <d v="2022-05-03T00:00:00"/>
        <d v="2023-08-12T00:00:00"/>
        <d v="2024-01-07T00:00:00"/>
        <d v="2022-08-08T00:00:00"/>
        <d v="2022-09-19T00:00:00"/>
        <d v="2024-09-29T00:00:00"/>
        <d v="2022-08-03T00:00:00"/>
        <d v="2024-05-02T00:00:00"/>
        <d v="2024-12-07T00:00:00"/>
        <d v="2024-01-06T00:00:00"/>
        <d v="2024-10-15T00:00:00"/>
        <d v="2024-03-25T00:00:00"/>
        <d v="2022-08-22T00:00:00"/>
        <d v="2023-01-27T00:00:00"/>
        <d v="2022-01-01T00:00:00"/>
        <d v="2023-03-28T00:00:00"/>
        <d v="2023-05-16T00:00:00"/>
        <d v="2023-07-17T00:00:00"/>
        <d v="2023-02-20T00:00:00"/>
        <d v="2024-07-18T00:00:00"/>
        <d v="2022-03-05T00:00:00"/>
        <d v="2022-07-09T00:00:00"/>
        <d v="2024-04-19T00:00:00"/>
        <d v="2022-05-27T00:00:00"/>
        <d v="2024-12-02T00:00:00"/>
        <d v="2024-05-23T00:00:00"/>
        <d v="2022-03-29T00:00:00"/>
        <d v="2024-09-12T00:00:00"/>
        <d v="2024-10-16T00:00:00"/>
        <d v="2024-04-23T00:00:00"/>
        <d v="2024-02-24T00:00:00"/>
        <d v="2023-07-28T00:00:00"/>
        <d v="2023-03-29T00:00:00"/>
        <d v="2022-04-28T00:00:00"/>
        <d v="2023-03-13T00:00:00"/>
        <d v="2024-05-29T00:00:00"/>
        <d v="2022-02-10T00:00:00"/>
        <d v="2024-12-12T00:00:00"/>
        <d v="2024-05-17T00:00:00"/>
        <d v="2023-03-18T00:00:00"/>
        <d v="2023-01-06T00:00:00"/>
        <d v="2023-11-10T00:00:00"/>
        <d v="2023-07-24T00:00:00"/>
        <d v="2024-03-28T00:00:00"/>
        <d v="2022-08-13T00:00:00"/>
        <d v="2023-03-08T00:00:00"/>
        <d v="2023-05-12T00:00:00"/>
        <d v="2024-11-12T00:00:00"/>
        <d v="2022-08-21T00:00:00"/>
        <d v="2022-11-13T00:00:00"/>
        <d v="2023-06-23T00:00:00"/>
        <d v="2023-03-16T00:00:00"/>
        <d v="2024-04-28T00:00:00"/>
        <d v="2024-07-20T00:00:00"/>
        <d v="2022-03-15T00:00:00"/>
        <d v="2024-09-07T00:00:00"/>
        <d v="2022-01-23T00:00:00"/>
        <d v="2023-09-22T00:00:00"/>
        <d v="2024-10-20T00:00:00"/>
        <d v="2022-05-15T00:00:00"/>
        <d v="2024-12-17T00:00:00"/>
        <d v="2023-06-16T00:00:00"/>
        <d v="2024-03-13T00:00:00"/>
        <d v="2022-04-16T00:00:00"/>
        <d v="2024-03-26T00:00:00"/>
        <d v="2023-01-20T00:00:00"/>
        <d v="2022-03-09T00:00:00"/>
        <d v="2022-09-17T00:00:00"/>
        <d v="2023-11-14T00:00:00"/>
        <d v="2023-12-05T00:00:00"/>
        <d v="2024-08-07T00:00:00"/>
        <d v="2022-08-10T00:00:00"/>
        <d v="2022-11-09T00:00:00"/>
        <d v="2024-06-20T00:00:00"/>
        <d v="2024-05-30T00:00:00"/>
        <d v="2022-04-29T00:00:00"/>
        <d v="2022-05-09T00:00:00"/>
        <d v="2023-09-15T00:00:00"/>
        <d v="2022-12-16T00:00:00"/>
        <d v="2022-01-19T00:00:00"/>
        <d v="2023-12-25T00:00:00"/>
        <d v="2023-03-04T00:00:00"/>
        <d v="2023-04-28T00:00:00"/>
        <d v="2022-01-06T00:00:00"/>
        <d v="2023-08-01T00:00:00"/>
        <d v="2023-05-20T00:00:00"/>
        <d v="2023-11-20T00:00:00"/>
        <d v="2022-08-30T00:00:00"/>
        <d v="2022-01-15T00:00:00"/>
        <d v="2022-02-08T00:00:00"/>
        <d v="2024-10-05T00:00:00"/>
        <d v="2024-11-06T00:00:00"/>
        <d v="2024-01-09T00:00:00"/>
        <d v="2022-02-22T00:00:00"/>
        <d v="2023-06-08T00:00:00"/>
        <d v="2024-11-04T00:00:00"/>
        <d v="2023-11-05T00:00:00"/>
        <d v="2023-10-24T00:00:00"/>
        <d v="2023-10-27T00:00:00"/>
        <d v="2023-07-23T00:00:00"/>
        <d v="2024-02-09T00:00:00"/>
        <d v="2022-02-06T00:00:00"/>
        <d v="2024-10-30T00:00:00"/>
        <d v="2022-05-30T00:00:00"/>
        <d v="2022-10-05T00:00:00"/>
        <d v="2022-10-29T00:00:00"/>
        <d v="2022-04-06T00:00:00"/>
        <d v="2024-04-25T00:00:00"/>
        <d v="2022-01-04T00:00:00"/>
        <d v="2022-09-16T00:00:00"/>
        <d v="2022-08-17T00:00:00"/>
        <d v="2022-10-27T00:00:00"/>
        <d v="2022-08-01T00:00:00"/>
        <d v="2022-02-15T00:00:00"/>
        <d v="2022-03-31T00:00:00"/>
        <d v="2022-10-11T00:00:00"/>
        <d v="2022-04-18T00:00:00"/>
        <d v="2022-06-11T00:00:00"/>
        <d v="2022-06-10T00:00:00"/>
        <d v="2024-03-01T00:00:00"/>
        <d v="2023-09-11T00:00:00"/>
        <d v="2024-07-25T00:00:00"/>
        <d v="2024-02-12T00:00:00"/>
        <d v="2023-08-20T00:00:00"/>
        <d v="2022-07-30T00:00:00"/>
        <d v="2024-07-05T00:00:00"/>
        <d v="2022-07-15T00:00:00"/>
        <d v="2024-09-02T00:00:00"/>
        <d v="2024-10-29T00:00:00"/>
        <d v="2022-11-27T00:00:00"/>
        <d v="2024-08-16T00:00:00"/>
        <d v="2024-01-25T00:00:00"/>
        <d v="2024-11-15T00:00:00"/>
        <d v="2022-09-20T00:00:00"/>
        <d v="2023-01-03T00:00:00"/>
        <d v="2024-02-22T00:00:00"/>
        <d v="2024-04-14T00:00:00"/>
        <d v="2022-06-23T00:00:00"/>
        <d v="2022-04-20T00:00:00"/>
        <d v="2023-04-04T00:00:00"/>
        <d v="2022-11-23T00:00:00"/>
        <d v="2022-10-25T00:00:00"/>
        <d v="2023-04-27T00:00:00"/>
        <d v="2023-04-05T00:00:00"/>
        <d v="2024-02-15T00:00:00"/>
        <d v="2023-02-03T00:00:00"/>
        <d v="2022-08-15T00:00:00"/>
        <d v="2024-06-12T00:00:00"/>
        <d v="2022-12-01T00:00:00"/>
        <d v="2022-06-16T00:00:00"/>
        <d v="2023-03-15T00:00:00"/>
        <d v="2024-10-27T00:00:00"/>
        <d v="2023-04-09T00:00:00"/>
        <d v="2024-04-24T00:00:00"/>
        <d v="2022-04-01T00:00:00"/>
        <d v="2024-10-25T00:00:00"/>
        <d v="2024-08-11T00:00:00"/>
        <d v="2023-09-05T00:00:00"/>
        <d v="2022-03-03T00:00:00"/>
        <d v="2023-10-25T00:00:00"/>
        <d v="2024-09-13T00:00:00"/>
        <d v="2024-02-06T00:00:00"/>
        <d v="2022-07-05T00:00:00"/>
        <d v="2024-04-04T00:00:00"/>
        <d v="2023-01-11T00:00:00"/>
        <d v="2024-07-27T00:00:00"/>
        <d v="2023-06-05T00:00:00"/>
        <d v="2024-10-12T00:00:00"/>
        <d v="2022-09-02T00:00:00"/>
        <d v="2023-05-13T00:00:00"/>
        <d v="2023-04-10T00:00:00"/>
        <d v="2024-12-29T00:00:00"/>
        <d v="2024-08-05T00:00:00"/>
        <d v="2023-06-20T00:00:00"/>
        <d v="2024-12-21T00:00:00"/>
        <d v="2022-01-24T00:00:00"/>
        <d v="2023-05-25T00:00:00"/>
        <d v="2024-12-11T00:00:00"/>
        <d v="2024-02-29T00:00:00"/>
        <d v="2023-09-23T00:00:00"/>
        <d v="2023-12-19T00:00:00"/>
        <d v="2022-06-26T00:00:00"/>
        <d v="2023-01-07T00:00:00"/>
        <d v="2023-05-30T00:00:00"/>
        <d v="2024-08-02T00:00:00"/>
        <d v="2022-08-18T00:00:00"/>
        <d v="2022-08-14T00:00:00"/>
        <d v="2022-12-20T00:00:00"/>
        <d v="2023-08-09T00:00:00"/>
        <d v="2023-03-23T00:00:00"/>
        <d v="2022-11-30T00:00:00"/>
        <d v="2023-10-15T00:00:00"/>
        <d v="2024-07-22T00:00:00"/>
        <d v="2023-02-21T00:00:00"/>
        <d v="2022-12-24T00:00:00"/>
        <d v="2023-05-23T00:00:00"/>
        <d v="2024-12-08T00:00:00"/>
        <d v="2023-10-17T00:00:00"/>
        <d v="2023-01-19T00:00:00"/>
        <d v="2024-05-27T00:00:00"/>
        <d v="2022-01-05T00:00:00"/>
        <d v="2022-11-14T00:00:00"/>
        <d v="2023-02-18T00:00:00"/>
        <d v="2023-04-16T00:00:00"/>
        <d v="2023-01-28T00:00:00"/>
        <d v="2024-09-14T00:00:00"/>
        <d v="2023-03-25T00:00:00"/>
        <d v="2023-03-09T00:00:00"/>
        <d v="2022-07-23T00:00:00"/>
        <d v="2023-07-13T00:00:00"/>
        <d v="2023-05-06T00:00:00"/>
        <d v="2023-02-22T00:00:00"/>
        <d v="2022-11-16T00:00:00"/>
        <d v="2023-10-23T00:00:00"/>
        <d v="2023-05-09T00:00:00"/>
        <d v="2023-02-23T00:00:00"/>
        <d v="2023-07-04T00:00:00"/>
        <d v="2024-05-22T00:00:00"/>
        <d v="2023-05-24T00:00:00"/>
        <d v="2023-06-27T00:00:00"/>
        <d v="2023-10-21T00:00:00"/>
        <d v="2022-02-04T00:00:00"/>
        <d v="2023-10-10T00:00:00"/>
        <d v="2024-10-26T00:00:00"/>
        <d v="2023-12-09T00:00:00"/>
        <d v="2022-02-28T00:00:00"/>
        <d v="2024-03-02T00:00:00"/>
        <d v="2022-04-09T00:00:00"/>
        <d v="2022-11-02T00:00:00"/>
        <d v="2022-02-27T00:00:00"/>
        <d v="2022-03-19T00:00:00"/>
        <d v="2022-07-16T00:00:00"/>
        <d v="2023-06-15T00:00:00"/>
        <d v="2024-01-22T00:00:00"/>
        <d v="2024-05-03T00:00:00"/>
        <d v="2024-02-25T00:00:00"/>
        <d v="2024-10-10T00:00:00"/>
        <d v="2023-01-12T00:00:00"/>
        <d v="2022-09-29T00:00:00"/>
        <d v="2024-08-13T00:00:00"/>
        <d v="2024-03-16T00:00:00"/>
        <d v="2023-03-24T00:00:00"/>
        <d v="2024-09-05T00:00:00"/>
        <d v="2023-08-28T00:00:00"/>
        <d v="2023-10-03T00:00:00"/>
        <d v="2024-01-05T00:00:00"/>
        <d v="2022-05-14T00:00:00"/>
        <d v="2024-09-11T00:00:00"/>
        <d v="2024-01-12T00:00:00"/>
        <d v="2022-05-23T00:00:00"/>
        <d v="2022-05-17T00:00:00"/>
        <d v="2023-11-30T00:00:00"/>
        <d v="2024-08-27T00:00:00"/>
        <d v="2022-06-05T00:00:00"/>
        <d v="2023-04-02T00:00:00"/>
        <d v="2022-02-19T00:00:00"/>
        <d v="2023-07-19T00:00:00"/>
        <d v="2023-09-13T00:00:00"/>
        <d v="2022-03-20T00:00:00"/>
        <d v="2022-02-13T00:00:00"/>
        <d v="2023-10-07T00:00:00"/>
        <d v="2022-07-29T00:00:00"/>
        <d v="2024-05-26T00:00:00"/>
        <d v="2024-03-09T00:00:00"/>
        <d v="2023-06-07T00:00:00"/>
        <d v="2023-11-11T00:00:00"/>
        <d v="2022-09-10T00:00:00"/>
        <d v="2023-08-11T00:00:00"/>
        <d v="2024-06-01T00:00:00"/>
        <d v="2023-05-01T00:00:00"/>
        <d v="2023-04-25T00:00:00"/>
        <d v="2022-10-13T00:00:00"/>
        <d v="2022-02-18T00:00:00"/>
        <d v="2024-02-16T00:00:00"/>
        <d v="2022-06-15T00:00:00"/>
        <d v="2024-08-04T00:00:00"/>
        <d v="2022-12-03T00:00:00"/>
        <d v="2024-06-17T00:00:00"/>
        <d v="2023-11-27T00:00:00"/>
        <d v="2024-06-11T00:00:00"/>
        <d v="2024-10-09T00:00:00"/>
        <d v="2024-10-24T00:00:00"/>
        <d v="2024-05-08T00:00:00"/>
        <d v="2023-12-31T00:00:00"/>
        <d v="2022-06-30T00:00:00"/>
        <d v="2022-10-09T00:00:00"/>
        <d v="2024-10-02T00:00:00"/>
        <d v="2024-04-12T00:00:00"/>
        <d v="2023-11-24T00:00:00"/>
        <d v="2022-12-17T00:00:00"/>
        <d v="2024-02-05T00:00:00"/>
        <d v="2024-07-28T00:00:00"/>
        <d v="2024-07-26T00:00:00"/>
        <d v="2023-11-28T00:00:00"/>
        <d v="2023-01-22T00:00:00"/>
        <d v="2023-03-07T00:00:00"/>
        <d v="2024-08-25T00:00:00"/>
        <d v="2022-02-09T00:00:00"/>
        <d v="2023-02-27T00:00:00"/>
        <d v="2022-07-20T00:00:00"/>
        <d v="2022-09-12T00:00:00"/>
        <d v="2023-02-25T00:00:00"/>
        <d v="2023-07-07T00:00:00"/>
        <d v="2023-06-19T00:00:00"/>
        <d v="2022-04-19T00:00:00"/>
        <d v="2023-06-17T00:00:00"/>
        <d v="2022-08-23T00:00:00"/>
        <d v="2024-01-15T00:00:00"/>
        <d v="2022-12-27T00:00:00"/>
        <d v="2023-03-02T00:00:00"/>
        <d v="2024-07-03T00:00:00"/>
        <d v="2022-12-31T00:00:00"/>
        <d v="2022-01-25T00:00:00"/>
        <d v="2022-11-20T00:00:00"/>
        <d v="2023-05-21T00:00:00"/>
        <d v="2024-12-16T00:00:00"/>
        <d v="2024-11-03T00:00:00"/>
        <d v="2023-08-25T00:00:00"/>
        <d v="2024-06-09T00:00:00"/>
        <d v="2024-11-19T00:00:00"/>
        <d v="2024-03-27T00:00:00"/>
        <d v="2022-09-09T00:00:00"/>
        <d v="2023-01-23T00:00:00"/>
        <d v="2024-04-06T00:00:00"/>
        <d v="2023-10-12T00:00:00"/>
        <d v="2022-07-18T00:00:00"/>
        <d v="2022-01-22T00:00:00"/>
        <d v="2023-11-08T00:00:00"/>
        <d v="2023-11-19T00:00:00"/>
        <d v="2023-03-22T00:00:00"/>
        <d v="2022-04-15T00:00:00"/>
        <d v="2022-01-08T00:00:00"/>
        <d v="2022-06-25T00:00:00"/>
        <d v="2023-05-15T00:00:00"/>
        <d v="2023-09-12T00:00:00"/>
        <d v="2024-05-18T00:00:00"/>
        <d v="2022-07-13T00:00:00"/>
        <d v="2023-07-15T00:00:00"/>
        <d v="2024-12-01T00:00:00"/>
        <d v="2023-09-29T00:00:00"/>
        <d v="2024-05-28T00:00:00"/>
        <d v="2023-09-17T00:00:00"/>
        <d v="2022-03-27T00:00:00"/>
        <d v="2022-09-26T00:00:00"/>
        <d v="2023-05-31T00:00:00"/>
        <d v="2024-03-08T00:00:00"/>
        <d v="2023-02-13T00:00:00"/>
        <d v="2023-07-09T00:00:00"/>
        <d v="2024-01-13T00:00:00"/>
        <d v="2024-04-18T00:00:00"/>
        <d v="2024-01-03T00:00:00"/>
        <d v="2022-06-19T00:00:00"/>
        <d v="2022-05-12T00:00:00"/>
        <d v="2023-05-04T00:00:00"/>
        <d v="2022-01-20T00:00:00"/>
        <d v="2022-04-25T00:00:00"/>
        <d v="2022-09-05T00:00:00"/>
        <d v="2023-12-02T00:00:00"/>
        <d v="2022-03-13T00:00:00"/>
        <d v="2022-11-25T00:00:00"/>
        <d v="2023-07-25T00:00:00"/>
        <d v="2022-10-17T00:00:00"/>
        <d v="2024-11-14T00:00:00"/>
        <d v="2022-12-18T00:00:00"/>
        <d v="2022-10-30T00:00:00"/>
        <d v="2023-10-29T00:00:00"/>
        <d v="2023-07-14T00:00:00"/>
        <d v="2022-11-19T00:00:00"/>
        <d v="2022-09-11T00:00:00"/>
        <d v="2023-10-14T00:00:00"/>
        <d v="2023-02-17T00:00:00"/>
        <d v="2024-07-06T00:00:00"/>
        <d v="2024-10-03T00:00:00"/>
        <d v="2023-10-11T00:00:00"/>
        <d v="2023-06-24T00:00:00"/>
        <d v="2023-11-15T00:00:00"/>
        <d v="2024-05-13T00:00:00"/>
        <d v="2022-11-08T00:00:00"/>
        <d v="2024-12-28T00:00:00"/>
        <d v="2023-07-06T00:00:00"/>
        <d v="2023-05-07T00:00:00"/>
        <d v="2022-06-20T00:00:00"/>
        <d v="2024-07-23T00:00:00"/>
        <d v="2023-09-20T00:00:00"/>
        <d v="2023-03-26T00:00:00"/>
        <d v="2022-11-06T00:00:00"/>
        <d v="2023-02-02T00:00:00"/>
        <d v="2024-02-26T00:00:00"/>
        <d v="2024-12-05T00:00:00"/>
        <d v="2022-10-14T00:00:00"/>
        <d v="2024-01-17T00:00:00"/>
        <d v="2024-05-12T00:00:00"/>
        <d v="2024-02-11T00:00:00"/>
        <d v="2022-11-24T00:00:00"/>
        <d v="2024-02-10T00:00:00"/>
        <d v="2023-10-09T00:00:00"/>
        <d v="2023-03-17T00:00:00"/>
        <d v="2024-08-12T00:00:00"/>
        <d v="2024-06-10T00:00:00"/>
        <d v="2022-06-06T00:00:00"/>
        <d v="2024-10-18T00:00:00"/>
        <d v="2022-12-28T00:00:00"/>
        <d v="2022-08-20T00:00:00"/>
        <d v="2024-09-03T00:00:00"/>
        <d v="2024-09-01T00:00:00"/>
        <d v="2023-08-23T00:00:00"/>
        <d v="2024-12-30T00:00:00"/>
        <d v="2022-04-17T00:00:00"/>
        <d v="2023-10-04T00:00:00"/>
        <d v="2022-06-12T00:00:00"/>
        <d v="2022-12-15T00:00:00"/>
        <d v="2022-06-07T00:00:00"/>
        <d v="2023-07-27T00:00:00"/>
        <d v="2022-07-10T00:00:00"/>
        <d v="2024-08-03T00:00:00"/>
        <d v="2023-11-17T00:00:00"/>
        <d v="2024-05-25T00:00:00"/>
        <d v="2024-10-13T00:00:00"/>
        <d v="2024-04-02T00:00:00"/>
        <d v="2022-03-26T00:00:00"/>
        <d v="2022-10-28T00:00:00"/>
        <d v="2024-09-10T00:00:00"/>
        <d v="2024-05-11T00:00:00"/>
        <d v="2022-07-03T00:00:00"/>
        <d v="2024-09-23T00:00:00"/>
        <d v="2022-12-10T00:00:00"/>
        <d v="2022-02-20T00:00:00"/>
        <d v="2023-02-05T00:00:00"/>
        <d v="2024-03-22T00:00:00"/>
        <d v="2022-03-30T00:00:00"/>
        <d v="2022-10-02T00:00:00"/>
        <d v="2023-02-08T00:00:00"/>
        <d v="2024-07-15T00:00:00"/>
        <d v="2022-01-14T00:00:00"/>
        <d v="2022-09-22T00:00:00"/>
        <d v="2024-08-15T00:00:00"/>
        <d v="2023-10-16T00:00:00"/>
        <d v="2023-04-19T00:00:00"/>
        <d v="2023-11-25T00:00:00"/>
        <d v="2024-03-10T00:00:00"/>
        <d v="2023-08-18T00:00:00"/>
        <d v="2024-01-11T00:00:00"/>
        <d v="2022-06-04T00:00:00"/>
        <d v="2023-02-11T00:00:00"/>
        <d v="2023-06-10T00:00:00"/>
        <d v="2023-11-16T00:00:00"/>
        <d v="2023-12-06T00:00:00"/>
        <d v="2023-10-28T00:00:00"/>
      </sharedItems>
      <fieldGroup par="11"/>
    </cacheField>
    <cacheField name="Region" numFmtId="0">
      <sharedItems count="4">
        <s v="East"/>
        <s v="North"/>
        <s v="West"/>
        <s v="South"/>
      </sharedItems>
    </cacheField>
    <cacheField name="Product" numFmtId="0">
      <sharedItems count="15">
        <s v="Keyboard"/>
        <s v="Paper"/>
        <s v="Notebook"/>
        <s v="Cabinet"/>
        <s v="Laptop"/>
        <s v="Stapler"/>
        <s v="Printer"/>
        <s v="Mouse"/>
        <s v="Pen"/>
        <s v="Monitor"/>
        <s v="Chair"/>
        <s v="Table"/>
        <s v="Desk"/>
        <s v="File Folder"/>
        <s v="Bookshelf"/>
      </sharedItems>
    </cacheField>
    <cacheField name="Category" numFmtId="0">
      <sharedItems count="3">
        <s v="Technology"/>
        <s v="Office Supplies"/>
        <s v="Furniture"/>
      </sharedItems>
    </cacheField>
    <cacheField name="Sales" numFmtId="0">
      <sharedItems containsSemiMixedTypes="0" containsString="0" containsNumber="1" minValue="51.14" maxValue="1999.75" count="4922">
        <n v="127.01"/>
        <n v="1017.56"/>
        <n v="1364.8"/>
        <n v="564.85"/>
        <n v="1076.21"/>
        <n v="315.58"/>
        <n v="824.43"/>
        <n v="1935.14"/>
        <n v="393.04"/>
        <n v="1420.71"/>
        <n v="225.02"/>
        <n v="1228.8699999999999"/>
        <n v="1351.99"/>
        <n v="1130.9000000000001"/>
        <n v="1990.3"/>
        <n v="266.42"/>
        <n v="1318.05"/>
        <n v="506.59"/>
        <n v="1684.6"/>
        <n v="1222.8"/>
        <n v="254.26"/>
        <n v="1276.82"/>
        <n v="1819.66"/>
        <n v="669.73"/>
        <n v="1085.69"/>
        <n v="1146.71"/>
        <n v="1663.45"/>
        <n v="943.89"/>
        <n v="1483.72"/>
        <n v="1813.86"/>
        <n v="1170.3699999999999"/>
        <n v="1052.47"/>
        <n v="358.24"/>
        <n v="391.47"/>
        <n v="1248.72"/>
        <n v="1342.45"/>
        <n v="1621.74"/>
        <n v="1343.44"/>
        <n v="654.63"/>
        <n v="979.28"/>
        <n v="824.64"/>
        <n v="1798.68"/>
        <n v="1558.59"/>
        <n v="1853.26"/>
        <n v="834.88"/>
        <n v="1520.25"/>
        <n v="1522.2"/>
        <n v="1510.95"/>
        <n v="741.56"/>
        <n v="170.08"/>
        <n v="1008.56"/>
        <n v="1705.09"/>
        <n v="870"/>
        <n v="1213.26"/>
        <n v="189.79"/>
        <n v="1566.23"/>
        <n v="1505.72"/>
        <n v="439.11"/>
        <n v="1383.08"/>
        <n v="1715.39"/>
        <n v="928.32"/>
        <n v="651.29"/>
        <n v="471.35"/>
        <n v="470.71"/>
        <n v="780"/>
        <n v="1572.31"/>
        <n v="1163.31"/>
        <n v="1227.74"/>
        <n v="653.83000000000004"/>
        <n v="589.5"/>
        <n v="1812.66"/>
        <n v="651.38"/>
        <n v="1814.64"/>
        <n v="1928.2"/>
        <n v="543.17999999999995"/>
        <n v="1264.77"/>
        <n v="135.34"/>
        <n v="1891.58"/>
        <n v="1806.33"/>
        <n v="915.24"/>
        <n v="1198.95"/>
        <n v="377.57"/>
        <n v="972.11"/>
        <n v="138"/>
        <n v="1111.29"/>
        <n v="1480.55"/>
        <n v="631.67999999999995"/>
        <n v="1897.44"/>
        <n v="805.57"/>
        <n v="1861.02"/>
        <n v="1543.12"/>
        <n v="638.36"/>
        <n v="1189.82"/>
        <n v="75.39"/>
        <n v="1252.08"/>
        <n v="1083.71"/>
        <n v="650.67999999999995"/>
        <n v="1317.71"/>
        <n v="599.6"/>
        <n v="1164.54"/>
        <n v="1431.17"/>
        <n v="788.85"/>
        <n v="1663.56"/>
        <n v="1763.96"/>
        <n v="1854.06"/>
        <n v="80.180000000000007"/>
        <n v="830.7"/>
        <n v="1612.99"/>
        <n v="1521.6"/>
        <n v="1456.21"/>
        <n v="883.08"/>
        <n v="83.42"/>
        <n v="1427.35"/>
        <n v="815.53"/>
        <n v="1717.08"/>
        <n v="648.82000000000005"/>
        <n v="240.7"/>
        <n v="1287.1600000000001"/>
        <n v="1706.76"/>
        <n v="1216.47"/>
        <n v="1926.92"/>
        <n v="1725.12"/>
        <n v="1405.14"/>
        <n v="978.2"/>
        <n v="1441.78"/>
        <n v="919.56"/>
        <n v="839.57"/>
        <n v="1833.58"/>
        <n v="100.8"/>
        <n v="802.1"/>
        <n v="1349.02"/>
        <n v="1610.7"/>
        <n v="1426.61"/>
        <n v="439.84"/>
        <n v="1863.17"/>
        <n v="1213.0899999999999"/>
        <n v="723.32"/>
        <n v="1058.73"/>
        <n v="283.22000000000003"/>
        <n v="105.46"/>
        <n v="1847.39"/>
        <n v="887.58"/>
        <n v="308.99"/>
        <n v="1892.6"/>
        <n v="711.27"/>
        <n v="1294.17"/>
        <n v="703.25"/>
        <n v="1362.99"/>
        <n v="1474.12"/>
        <n v="356.25"/>
        <n v="652.37"/>
        <n v="694.43"/>
        <n v="438.33"/>
        <n v="1594.03"/>
        <n v="301.42"/>
        <n v="739.26"/>
        <n v="217.39"/>
        <n v="910.47"/>
        <n v="922.53"/>
        <n v="1888.23"/>
        <n v="1701.68"/>
        <n v="1158.97"/>
        <n v="1520.33"/>
        <n v="635.71"/>
        <n v="1953.16"/>
        <n v="173.32"/>
        <n v="1094.6600000000001"/>
        <n v="408.59"/>
        <n v="506.47"/>
        <n v="1226.71"/>
        <n v="1965.79"/>
        <n v="155.97999999999999"/>
        <n v="375.93"/>
        <n v="909.77"/>
        <n v="1045.3499999999999"/>
        <n v="605.66"/>
        <n v="219.06"/>
        <n v="771.11"/>
        <n v="835.75"/>
        <n v="1908.89"/>
        <n v="1268.83"/>
        <n v="74.819999999999993"/>
        <n v="919.8"/>
        <n v="1841.16"/>
        <n v="635.07000000000005"/>
        <n v="253.71"/>
        <n v="831.83"/>
        <n v="1729"/>
        <n v="886.54"/>
        <n v="1720.7"/>
        <n v="388.91"/>
        <n v="836.88"/>
        <n v="1794.38"/>
        <n v="470.74"/>
        <n v="1655.8"/>
        <n v="235.61"/>
        <n v="203.28"/>
        <n v="1507.9"/>
        <n v="104.88"/>
        <n v="1132.67"/>
        <n v="192.6"/>
        <n v="203.04"/>
        <n v="1270.03"/>
        <n v="1289.74"/>
        <n v="934.45"/>
        <n v="1902.74"/>
        <n v="1902.71"/>
        <n v="338.46"/>
        <n v="507.48"/>
        <n v="142.16999999999999"/>
        <n v="836.63"/>
        <n v="1177.29"/>
        <n v="771.97"/>
        <n v="727.61"/>
        <n v="1087.5899999999999"/>
        <n v="1063.1300000000001"/>
        <n v="1592.64"/>
        <n v="56.89"/>
        <n v="930.29"/>
        <n v="607.27"/>
        <n v="1646.44"/>
        <n v="953.32"/>
        <n v="827.08"/>
        <n v="742.37"/>
        <n v="443.38"/>
        <n v="1861.43"/>
        <n v="179.48"/>
        <n v="455.66"/>
        <n v="815.24"/>
        <n v="1365.65"/>
        <n v="1559.44"/>
        <n v="1460.9"/>
        <n v="1176.5999999999999"/>
        <n v="1706.32"/>
        <n v="333.04"/>
        <n v="1043.9000000000001"/>
        <n v="1192.32"/>
        <n v="685.88"/>
        <n v="1041.53"/>
        <n v="705.27"/>
        <n v="903.3"/>
        <n v="1842.03"/>
        <n v="1910.15"/>
        <n v="716.04"/>
        <n v="238.43"/>
        <n v="1224.51"/>
        <n v="505.12"/>
        <n v="346.25"/>
        <n v="475.44"/>
        <n v="537.26"/>
        <n v="223.73"/>
        <n v="1769.95"/>
        <n v="365.66"/>
        <n v="1329.93"/>
        <n v="1697.85"/>
        <n v="219.21"/>
        <n v="182.47"/>
        <n v="133.49"/>
        <n v="1379.84"/>
        <n v="973.2"/>
        <n v="1891.14"/>
        <n v="435.92"/>
        <n v="1191.22"/>
        <n v="1101.06"/>
        <n v="1833.13"/>
        <n v="1304.23"/>
        <n v="1175.3699999999999"/>
        <n v="127.1"/>
        <n v="357.26"/>
        <n v="330.1"/>
        <n v="209.73"/>
        <n v="897.14"/>
        <n v="1956.89"/>
        <n v="386.47"/>
        <n v="247.38"/>
        <n v="167.41"/>
        <n v="1173.1500000000001"/>
        <n v="1746.69"/>
        <n v="1292.6099999999999"/>
        <n v="1256.23"/>
        <n v="1785.16"/>
        <n v="344.96"/>
        <n v="1414.87"/>
        <n v="1804.21"/>
        <n v="1159.1099999999999"/>
        <n v="1640.48"/>
        <n v="1020.55"/>
        <n v="1779.56"/>
        <n v="709.14"/>
        <n v="1436.37"/>
        <n v="1936.65"/>
        <n v="1582.99"/>
        <n v="1665.33"/>
        <n v="1248.2"/>
        <n v="539.39"/>
        <n v="1736.82"/>
        <n v="1315.51"/>
        <n v="1785.88"/>
        <n v="851.34"/>
        <n v="848.49"/>
        <n v="367.09"/>
        <n v="1456.69"/>
        <n v="1289.99"/>
        <n v="650.51"/>
        <n v="1769.87"/>
        <n v="1969.95"/>
        <n v="847.59"/>
        <n v="1862.94"/>
        <n v="1276.25"/>
        <n v="436.13"/>
        <n v="1105.55"/>
        <n v="1185.29"/>
        <n v="1577.75"/>
        <n v="281.63"/>
        <n v="242.97"/>
        <n v="347.6"/>
        <n v="1524.82"/>
        <n v="824.92"/>
        <n v="1220.6199999999999"/>
        <n v="608.29999999999995"/>
        <n v="1134.26"/>
        <n v="296.8"/>
        <n v="208.3"/>
        <n v="734.86"/>
        <n v="74.37"/>
        <n v="800.38"/>
        <n v="178.53"/>
        <n v="1805.78"/>
        <n v="1682.71"/>
        <n v="228.37"/>
        <n v="1171.49"/>
        <n v="1762.16"/>
        <n v="1546.08"/>
        <n v="1363.18"/>
        <n v="173.95"/>
        <n v="517.21"/>
        <n v="864.58"/>
        <n v="1682.24"/>
        <n v="1447.18"/>
        <n v="720.94"/>
        <n v="301.06"/>
        <n v="1911.16"/>
        <n v="1260.3900000000001"/>
        <n v="1235.26"/>
        <n v="641.48"/>
        <n v="1373.9"/>
        <n v="313.70999999999998"/>
        <n v="1366.7"/>
        <n v="525.9"/>
        <n v="1463.46"/>
        <n v="405.86"/>
        <n v="547.36"/>
        <n v="1106.93"/>
        <n v="1567.3"/>
        <n v="1063.8900000000001"/>
        <n v="1761.58"/>
        <n v="1456.17"/>
        <n v="899.33"/>
        <n v="336.11"/>
        <n v="736.12"/>
        <n v="890.31"/>
        <n v="161.22999999999999"/>
        <n v="1196.68"/>
        <n v="669.18"/>
        <n v="1329.92"/>
        <n v="1081.06"/>
        <n v="1607.89"/>
        <n v="906.66"/>
        <n v="1709.63"/>
        <n v="1524.01"/>
        <n v="354.06"/>
        <n v="230.73"/>
        <n v="1067.04"/>
        <n v="383.44"/>
        <n v="1509.41"/>
        <n v="1358.99"/>
        <n v="1182.94"/>
        <n v="1892.22"/>
        <n v="1166.02"/>
        <n v="864.08"/>
        <n v="1546.41"/>
        <n v="1683.62"/>
        <n v="1188.46"/>
        <n v="1495.06"/>
        <n v="887.36"/>
        <n v="964"/>
        <n v="1981.62"/>
        <n v="1387.48"/>
        <n v="926.84"/>
        <n v="1279.28"/>
        <n v="1118.52"/>
        <n v="378.62"/>
        <n v="578.37"/>
        <n v="983.31"/>
        <n v="1306.26"/>
        <n v="1082.6199999999999"/>
        <n v="372.84"/>
        <n v="1364.03"/>
        <n v="1335.58"/>
        <n v="779.73"/>
        <n v="1095.72"/>
        <n v="390.6"/>
        <n v="1529.17"/>
        <n v="1465.73"/>
        <n v="1411.84"/>
        <n v="1011.37"/>
        <n v="1095.04"/>
        <n v="955.7"/>
        <n v="929.55"/>
        <n v="1834.72"/>
        <n v="865.15"/>
        <n v="344.44"/>
        <n v="294.36"/>
        <n v="432.55"/>
        <n v="173.69"/>
        <n v="1718.18"/>
        <n v="167.71"/>
        <n v="329.31"/>
        <n v="1288.28"/>
        <n v="1080.5899999999999"/>
        <n v="795.78"/>
        <n v="1016.56"/>
        <n v="785.86"/>
        <n v="439.38"/>
        <n v="1652.01"/>
        <n v="1145.8399999999999"/>
        <n v="1106.5"/>
        <n v="704.93"/>
        <n v="897.88"/>
        <n v="719.54"/>
        <n v="995.18"/>
        <n v="1201.69"/>
        <n v="102.39"/>
        <n v="1964.36"/>
        <n v="1564.94"/>
        <n v="162.4"/>
        <n v="453.94"/>
        <n v="1570.11"/>
        <n v="982.33"/>
        <n v="1468.24"/>
        <n v="492.54"/>
        <n v="1664.12"/>
        <n v="86.57"/>
        <n v="798.32"/>
        <n v="1798.41"/>
        <n v="310.52"/>
        <n v="1593.71"/>
        <n v="1810.7"/>
        <n v="1331.93"/>
        <n v="670.63"/>
        <n v="321.39999999999998"/>
        <n v="247.72"/>
        <n v="113.27"/>
        <n v="354.31"/>
        <n v="410.96"/>
        <n v="295.06"/>
        <n v="794.9"/>
        <n v="1523.94"/>
        <n v="734.61"/>
        <n v="967.88"/>
        <n v="541.26"/>
        <n v="209.84"/>
        <n v="172.86"/>
        <n v="934.5"/>
        <n v="1656.06"/>
        <n v="1504.3"/>
        <n v="355.03"/>
        <n v="401.84"/>
        <n v="348.42"/>
        <n v="224.04"/>
        <n v="1706.43"/>
        <n v="466.6"/>
        <n v="461.17"/>
        <n v="693.17"/>
        <n v="413.27"/>
        <n v="1968.07"/>
        <n v="964.39"/>
        <n v="1860.82"/>
        <n v="1110.3900000000001"/>
        <n v="480.72"/>
        <n v="928.26"/>
        <n v="1622.98"/>
        <n v="447.55"/>
        <n v="1279.45"/>
        <n v="114.52"/>
        <n v="330.64"/>
        <n v="243.58"/>
        <n v="312.60000000000002"/>
        <n v="566.44000000000005"/>
        <n v="1038.5899999999999"/>
        <n v="1027.77"/>
        <n v="236.45"/>
        <n v="1871.82"/>
        <n v="1788.79"/>
        <n v="651.41"/>
        <n v="115.65"/>
        <n v="1409.42"/>
        <n v="1101.49"/>
        <n v="1624.7"/>
        <n v="1662.42"/>
        <n v="1477.52"/>
        <n v="1390.9"/>
        <n v="1044.1199999999999"/>
        <n v="226.32"/>
        <n v="922.35"/>
        <n v="1405.48"/>
        <n v="958.49"/>
        <n v="1224.74"/>
        <n v="905.93"/>
        <n v="925.99"/>
        <n v="1357.58"/>
        <n v="845.39"/>
        <n v="331.5"/>
        <n v="940.91"/>
        <n v="1000.89"/>
        <n v="293.32"/>
        <n v="1267.57"/>
        <n v="109.97"/>
        <n v="1833.33"/>
        <n v="1346.87"/>
        <n v="757.49"/>
        <n v="1131.03"/>
        <n v="1247.3499999999999"/>
        <n v="844.67"/>
        <n v="1254.74"/>
        <n v="641.29"/>
        <n v="618.84"/>
        <n v="452.21"/>
        <n v="684.08"/>
        <n v="309.18"/>
        <n v="1865.45"/>
        <n v="1299.02"/>
        <n v="54.56"/>
        <n v="1009.19"/>
        <n v="1223.8800000000001"/>
        <n v="756.92"/>
        <n v="565.39"/>
        <n v="883.87"/>
        <n v="716.86"/>
        <n v="549.23"/>
        <n v="1667.99"/>
        <n v="1730.14"/>
        <n v="1032.97"/>
        <n v="1602.39"/>
        <n v="1759.73"/>
        <n v="908.96"/>
        <n v="139.41999999999999"/>
        <n v="1974.97"/>
        <n v="472.72"/>
        <n v="1648.02"/>
        <n v="432.3"/>
        <n v="459.71"/>
        <n v="516.84"/>
        <n v="982.36"/>
        <n v="1653.08"/>
        <n v="1012.83"/>
        <n v="1998.1"/>
        <n v="635.89"/>
        <n v="700.88"/>
        <n v="1096.95"/>
        <n v="1074.92"/>
        <n v="159.72999999999999"/>
        <n v="1099.46"/>
        <n v="756.57"/>
        <n v="218.16"/>
        <n v="954.92"/>
        <n v="245.31"/>
        <n v="183.27"/>
        <n v="282.63"/>
        <n v="1650.34"/>
        <n v="1195.1199999999999"/>
        <n v="281.54000000000002"/>
        <n v="957.33"/>
        <n v="1922.47"/>
        <n v="1819.01"/>
        <n v="306.02999999999997"/>
        <n v="1805.04"/>
        <n v="582.55999999999995"/>
        <n v="1149.44"/>
        <n v="1393.64"/>
        <n v="779.03"/>
        <n v="567.12"/>
        <n v="596.24"/>
        <n v="1984"/>
        <n v="1943.07"/>
        <n v="275.17"/>
        <n v="992.66"/>
        <n v="461.02"/>
        <n v="1743.75"/>
        <n v="1089.1400000000001"/>
        <n v="1965.97"/>
        <n v="649.16999999999996"/>
        <n v="529.89"/>
        <n v="838.83"/>
        <n v="1831.34"/>
        <n v="414.65"/>
        <n v="1048.8800000000001"/>
        <n v="349.95"/>
        <n v="1278.3900000000001"/>
        <n v="1752.19"/>
        <n v="773.88"/>
        <n v="1362.39"/>
        <n v="1967.18"/>
        <n v="1613.43"/>
        <n v="1961.51"/>
        <n v="663.65"/>
        <n v="661.02"/>
        <n v="862.66"/>
        <n v="1614.08"/>
        <n v="85.05"/>
        <n v="427.17"/>
        <n v="1207.25"/>
        <n v="599.66999999999996"/>
        <n v="1922.43"/>
        <n v="1442.39"/>
        <n v="440.84"/>
        <n v="603.66"/>
        <n v="175.68"/>
        <n v="1722.43"/>
        <n v="1122.8900000000001"/>
        <n v="847.9"/>
        <n v="1135.99"/>
        <n v="955.36"/>
        <n v="1335.62"/>
        <n v="138.43"/>
        <n v="1604.1"/>
        <n v="677.91"/>
        <n v="815.33"/>
        <n v="859.69"/>
        <n v="1339.23"/>
        <n v="437.19"/>
        <n v="670"/>
        <n v="120.16"/>
        <n v="1298.92"/>
        <n v="1204.22"/>
        <n v="1039.82"/>
        <n v="1335.71"/>
        <n v="542.73"/>
        <n v="1251.68"/>
        <n v="1138.52"/>
        <n v="456.71"/>
        <n v="330.79"/>
        <n v="1676.76"/>
        <n v="1565"/>
        <n v="1367.6"/>
        <n v="1741.81"/>
        <n v="1198.1099999999999"/>
        <n v="73.7"/>
        <n v="1569.3"/>
        <n v="1690.44"/>
        <n v="622.23"/>
        <n v="702.65"/>
        <n v="887.22"/>
        <n v="247.68"/>
        <n v="672.37"/>
        <n v="1398.73"/>
        <n v="321.45"/>
        <n v="1047.44"/>
        <n v="773.99"/>
        <n v="179.72"/>
        <n v="1973.28"/>
        <n v="1260.3800000000001"/>
        <n v="1319.54"/>
        <n v="221.02"/>
        <n v="1073.6600000000001"/>
        <n v="1743.39"/>
        <n v="1027.53"/>
        <n v="773.61"/>
        <n v="452.63"/>
        <n v="1232.3599999999999"/>
        <n v="922.39"/>
        <n v="204.61"/>
        <n v="1774.72"/>
        <n v="269.05"/>
        <n v="1713.34"/>
        <n v="69.52"/>
        <n v="85"/>
        <n v="1064.07"/>
        <n v="1636.05"/>
        <n v="1448.33"/>
        <n v="352.99"/>
        <n v="1879.81"/>
        <n v="349.16"/>
        <n v="1734.01"/>
        <n v="1000.04"/>
        <n v="514.70000000000005"/>
        <n v="1090.96"/>
        <n v="133.30000000000001"/>
        <n v="830.54"/>
        <n v="132.80000000000001"/>
        <n v="954.02"/>
        <n v="1693.56"/>
        <n v="618.66"/>
        <n v="709.03"/>
        <n v="1655.88"/>
        <n v="1721.74"/>
        <n v="1998.33"/>
        <n v="1193.03"/>
        <n v="175.94"/>
        <n v="1483.44"/>
        <n v="447.92"/>
        <n v="822.51"/>
        <n v="1383.99"/>
        <n v="1451.26"/>
        <n v="1971.36"/>
        <n v="720.46"/>
        <n v="155.72999999999999"/>
        <n v="952.76"/>
        <n v="466.59"/>
        <n v="1496.48"/>
        <n v="1210.4000000000001"/>
        <n v="1151.1099999999999"/>
        <n v="1638.14"/>
        <n v="819.92"/>
        <n v="649.14"/>
        <n v="1675.46"/>
        <n v="110.44"/>
        <n v="258.91000000000003"/>
        <n v="1768.68"/>
        <n v="448.98"/>
        <n v="1296.42"/>
        <n v="1214.04"/>
        <n v="732.45"/>
        <n v="70.13"/>
        <n v="929.06"/>
        <n v="1448.39"/>
        <n v="1055.83"/>
        <n v="1138.8499999999999"/>
        <n v="100.96"/>
        <n v="976.49"/>
        <n v="461.87"/>
        <n v="627.26"/>
        <n v="1854.16"/>
        <n v="150.78"/>
        <n v="583.15"/>
        <n v="817.71"/>
        <n v="1760.95"/>
        <n v="1987.67"/>
        <n v="754.23"/>
        <n v="478.25"/>
        <n v="1975.98"/>
        <n v="1236.81"/>
        <n v="957.13"/>
        <n v="675.03"/>
        <n v="764.52"/>
        <n v="53.57"/>
        <n v="1447.97"/>
        <n v="812.41"/>
        <n v="1401.03"/>
        <n v="414.82"/>
        <n v="1437.43"/>
        <n v="749.39"/>
        <n v="468.69"/>
        <n v="1226.56"/>
        <n v="742.4"/>
        <n v="893.52"/>
        <n v="782.94"/>
        <n v="60.29"/>
        <n v="948.24"/>
        <n v="443.66"/>
        <n v="1064.6199999999999"/>
        <n v="1019.86"/>
        <n v="978.09"/>
        <n v="1016.7"/>
        <n v="289.22000000000003"/>
        <n v="459.36"/>
        <n v="1737.82"/>
        <n v="1908.97"/>
        <n v="284.66000000000003"/>
        <n v="1478.22"/>
        <n v="101.67"/>
        <n v="410.62"/>
        <n v="1311.32"/>
        <n v="941.46"/>
        <n v="1467.76"/>
        <n v="474.49"/>
        <n v="1818.92"/>
        <n v="209.25"/>
        <n v="434.66"/>
        <n v="1006.74"/>
        <n v="727.07"/>
        <n v="454.27"/>
        <n v="1944.89"/>
        <n v="379.86"/>
        <n v="612.70000000000005"/>
        <n v="1793.36"/>
        <n v="729.11"/>
        <n v="1125.26"/>
        <n v="1435.28"/>
        <n v="1593.66"/>
        <n v="389.54"/>
        <n v="357.53"/>
        <n v="520.34"/>
        <n v="340.8"/>
        <n v="435.57"/>
        <n v="1816.83"/>
        <n v="1370.18"/>
        <n v="1838.48"/>
        <n v="1654.03"/>
        <n v="710.58"/>
        <n v="710.04"/>
        <n v="1495.31"/>
        <n v="1430.43"/>
        <n v="54.49"/>
        <n v="1016.64"/>
        <n v="593.89"/>
        <n v="1265.43"/>
        <n v="378.31"/>
        <n v="959.84"/>
        <n v="159.68"/>
        <n v="700.99"/>
        <n v="421.55"/>
        <n v="825.35"/>
        <n v="888.48"/>
        <n v="1795.59"/>
        <n v="587.19000000000005"/>
        <n v="1190.6099999999999"/>
        <n v="678.76"/>
        <n v="418.24"/>
        <n v="1543.42"/>
        <n v="1675.24"/>
        <n v="1325.97"/>
        <n v="1532.31"/>
        <n v="246.84"/>
        <n v="281.38"/>
        <n v="1839.56"/>
        <n v="1489.36"/>
        <n v="1919.21"/>
        <n v="488.94"/>
        <n v="399.62"/>
        <n v="720.6"/>
        <n v="777.22"/>
        <n v="479.31"/>
        <n v="1551.65"/>
        <n v="1349.66"/>
        <n v="997.6"/>
        <n v="128.63999999999999"/>
        <n v="1975.79"/>
        <n v="79.010000000000005"/>
        <n v="783.37"/>
        <n v="456.45"/>
        <n v="702.4"/>
        <n v="1366.89"/>
        <n v="385.09"/>
        <n v="745.03"/>
        <n v="1212.8"/>
        <n v="120.27"/>
        <n v="1410.49"/>
        <n v="1357.08"/>
        <n v="944.96"/>
        <n v="1933.04"/>
        <n v="295.49"/>
        <n v="1344.26"/>
        <n v="1169.93"/>
        <n v="106.18"/>
        <n v="547.44000000000005"/>
        <n v="371.74"/>
        <n v="1484.39"/>
        <n v="893.97"/>
        <n v="1573.91"/>
        <n v="1680.47"/>
        <n v="1714.28"/>
        <n v="443.84"/>
        <n v="118.91"/>
        <n v="681.49"/>
        <n v="100.67"/>
        <n v="1146.6300000000001"/>
        <n v="151.97"/>
        <n v="1736.27"/>
        <n v="271.60000000000002"/>
        <n v="492.33"/>
        <n v="1395.96"/>
        <n v="1687.51"/>
        <n v="1030.2"/>
        <n v="773.11"/>
        <n v="716.58"/>
        <n v="379.76"/>
        <n v="295.56"/>
        <n v="252.15"/>
        <n v="1444.74"/>
        <n v="179.64"/>
        <n v="919.88"/>
        <n v="534.54"/>
        <n v="1247.08"/>
        <n v="862.95"/>
        <n v="584.75"/>
        <n v="1601.63"/>
        <n v="797.83"/>
        <n v="863.41"/>
        <n v="1392.15"/>
        <n v="1341"/>
        <n v="506.39"/>
        <n v="1926.03"/>
        <n v="930.25"/>
        <n v="222.78"/>
        <n v="1291.8399999999999"/>
        <n v="664.2"/>
        <n v="394.45"/>
        <n v="1918.16"/>
        <n v="1311.84"/>
        <n v="1252"/>
        <n v="952.06"/>
        <n v="723.55"/>
        <n v="1558.45"/>
        <n v="1502.02"/>
        <n v="653.26"/>
        <n v="507.14"/>
        <n v="1280.81"/>
        <n v="1600.09"/>
        <n v="83.32"/>
        <n v="1558.25"/>
        <n v="1044.51"/>
        <n v="303.44"/>
        <n v="1925.09"/>
        <n v="616.49"/>
        <n v="64.52"/>
        <n v="1198.6099999999999"/>
        <n v="1325.88"/>
        <n v="1382.86"/>
        <n v="148.11000000000001"/>
        <n v="355.56"/>
        <n v="394.32"/>
        <n v="1846.33"/>
        <n v="188.91"/>
        <n v="1659"/>
        <n v="1980.28"/>
        <n v="351.62"/>
        <n v="1692.02"/>
        <n v="1934.52"/>
        <n v="598.84"/>
        <n v="1876.72"/>
        <n v="356.04"/>
        <n v="1302.56"/>
        <n v="376.17"/>
        <n v="196.02"/>
        <n v="1565.24"/>
        <n v="213.83"/>
        <n v="1421.42"/>
        <n v="1948.25"/>
        <n v="83.35"/>
        <n v="242.96"/>
        <n v="52.25"/>
        <n v="1337.12"/>
        <n v="650.29999999999995"/>
        <n v="757.42"/>
        <n v="1244.73"/>
        <n v="654.99"/>
        <n v="1265.7"/>
        <n v="1051.1500000000001"/>
        <n v="1648.05"/>
        <n v="615.82000000000005"/>
        <n v="1482.84"/>
        <n v="325.26"/>
        <n v="640.5"/>
        <n v="1086.26"/>
        <n v="79.95"/>
        <n v="769.24"/>
        <n v="693.99"/>
        <n v="1419.33"/>
        <n v="265.93"/>
        <n v="1277.75"/>
        <n v="521.82000000000005"/>
        <n v="595.25"/>
        <n v="551.89"/>
        <n v="1160.47"/>
        <n v="1361.41"/>
        <n v="860.23"/>
        <n v="1266.3699999999999"/>
        <n v="1365.01"/>
        <n v="1962.08"/>
        <n v="509.33"/>
        <n v="1114.8900000000001"/>
        <n v="1750.65"/>
        <n v="1514.92"/>
        <n v="1331.2"/>
        <n v="1469.58"/>
        <n v="1025.07"/>
        <n v="1194.26"/>
        <n v="189.59"/>
        <n v="73.89"/>
        <n v="1517.84"/>
        <n v="1198.52"/>
        <n v="1694.38"/>
        <n v="1501.38"/>
        <n v="309.99"/>
        <n v="1629.95"/>
        <n v="1732.83"/>
        <n v="1918.69"/>
        <n v="1773.86"/>
        <n v="1706.17"/>
        <n v="1252.82"/>
        <n v="1131.46"/>
        <n v="1275.04"/>
        <n v="1255.71"/>
        <n v="1995.88"/>
        <n v="143.63"/>
        <n v="511.07"/>
        <n v="959.63"/>
        <n v="1621.09"/>
        <n v="1648.41"/>
        <n v="1203.6600000000001"/>
        <n v="1555.01"/>
        <n v="1715.87"/>
        <n v="301.07"/>
        <n v="1917.21"/>
        <n v="1252.31"/>
        <n v="404.95"/>
        <n v="489.89"/>
        <n v="582.11"/>
        <n v="447.61"/>
        <n v="581.41999999999996"/>
        <n v="1607.09"/>
        <n v="285.83"/>
        <n v="1421.15"/>
        <n v="1957.67"/>
        <n v="843.25"/>
        <n v="752.89"/>
        <n v="579.62"/>
        <n v="720.92"/>
        <n v="1088.4000000000001"/>
        <n v="654.92999999999995"/>
        <n v="1330.44"/>
        <n v="1283.8599999999999"/>
        <n v="207.57"/>
        <n v="883.51"/>
        <n v="1247.3699999999999"/>
        <n v="1529.1"/>
        <n v="397.14"/>
        <n v="500.05"/>
        <n v="582.13"/>
        <n v="391.37"/>
        <n v="1294.6300000000001"/>
        <n v="132.24"/>
        <n v="1200.78"/>
        <n v="1687.89"/>
        <n v="1970.03"/>
        <n v="1181.28"/>
        <n v="1828.61"/>
        <n v="1829.93"/>
        <n v="1326.72"/>
        <n v="430.21"/>
        <n v="304.83"/>
        <n v="1073"/>
        <n v="1051.21"/>
        <n v="227.06"/>
        <n v="693.05"/>
        <n v="1980.23"/>
        <n v="971.18"/>
        <n v="1809.36"/>
        <n v="1850.72"/>
        <n v="1776.2"/>
        <n v="1788.86"/>
        <n v="1430.76"/>
        <n v="141.97999999999999"/>
        <n v="890.91"/>
        <n v="1001.34"/>
        <n v="1394.48"/>
        <n v="1967.04"/>
        <n v="392.34"/>
        <n v="336.57"/>
        <n v="758.89"/>
        <n v="1803.77"/>
        <n v="953.98"/>
        <n v="1440.75"/>
        <n v="1884.28"/>
        <n v="691.31"/>
        <n v="836.31"/>
        <n v="1000.93"/>
        <n v="823.94"/>
        <n v="1976.99"/>
        <n v="1759.74"/>
        <n v="1438.04"/>
        <n v="136.24"/>
        <n v="397.3"/>
        <n v="779.58"/>
        <n v="1200.17"/>
        <n v="1309.67"/>
        <n v="1997.28"/>
        <n v="154.79"/>
        <n v="1836.46"/>
        <n v="540.84"/>
        <n v="1431.94"/>
        <n v="1446.05"/>
        <n v="1520.79"/>
        <n v="1268.68"/>
        <n v="899.85"/>
        <n v="549.46"/>
        <n v="1775.52"/>
        <n v="1529.59"/>
        <n v="1029.5999999999999"/>
        <n v="581.07000000000005"/>
        <n v="224.15"/>
        <n v="661.17"/>
        <n v="1554.95"/>
        <n v="1652.68"/>
        <n v="171.34"/>
        <n v="1160.3800000000001"/>
        <n v="1183.2"/>
        <n v="1940.69"/>
        <n v="1610.29"/>
        <n v="847.68"/>
        <n v="1348.91"/>
        <n v="169.07"/>
        <n v="745.33"/>
        <n v="52.83"/>
        <n v="1087.99"/>
        <n v="1549.46"/>
        <n v="429.28"/>
        <n v="1170.5"/>
        <n v="421.07"/>
        <n v="1879.84"/>
        <n v="1444.43"/>
        <n v="232.39"/>
        <n v="1230.31"/>
        <n v="468.39"/>
        <n v="1281.74"/>
        <n v="566.49"/>
        <n v="1395.31"/>
        <n v="1460.4"/>
        <n v="1344.82"/>
        <n v="1020.12"/>
        <n v="1219.75"/>
        <n v="318.38"/>
        <n v="1555.06"/>
        <n v="1570.76"/>
        <n v="195.3"/>
        <n v="1882.59"/>
        <n v="1618.88"/>
        <n v="1166.2"/>
        <n v="867.37"/>
        <n v="868.71"/>
        <n v="866.69"/>
        <n v="1479.82"/>
        <n v="1243.0999999999999"/>
        <n v="1356.91"/>
        <n v="904.6"/>
        <n v="1439.15"/>
        <n v="1068.8599999999999"/>
        <n v="1796.54"/>
        <n v="685.75"/>
        <n v="835.59"/>
        <n v="596.25"/>
        <n v="1877.89"/>
        <n v="538.02"/>
        <n v="809.51"/>
        <n v="1413.34"/>
        <n v="1973.25"/>
        <n v="1896.15"/>
        <n v="1114.0999999999999"/>
        <n v="1862.86"/>
        <n v="114.35"/>
        <n v="749.69"/>
        <n v="784.03"/>
        <n v="1576.73"/>
        <n v="593.41"/>
        <n v="59.55"/>
        <n v="1880.62"/>
        <n v="338.01"/>
        <n v="1076.92"/>
        <n v="408.34"/>
        <n v="1924.51"/>
        <n v="400.77"/>
        <n v="1149.05"/>
        <n v="491.86"/>
        <n v="611.34"/>
        <n v="1509.79"/>
        <n v="1307.71"/>
        <n v="805.05"/>
        <n v="1539.73"/>
        <n v="945.39"/>
        <n v="1997.42"/>
        <n v="1472.73"/>
        <n v="104.97"/>
        <n v="1917.87"/>
        <n v="1683.98"/>
        <n v="1850.17"/>
        <n v="747.39"/>
        <n v="1337.34"/>
        <n v="1869.07"/>
        <n v="492.32"/>
        <n v="977.56"/>
        <n v="1826.17"/>
        <n v="1561.24"/>
        <n v="1938.15"/>
        <n v="1688.28"/>
        <n v="69.92"/>
        <n v="551.46"/>
        <n v="892.36"/>
        <n v="1017.24"/>
        <n v="233.25"/>
        <n v="1476.63"/>
        <n v="1684.13"/>
        <n v="1905.36"/>
        <n v="807.91"/>
        <n v="1878.48"/>
        <n v="577.42999999999995"/>
        <n v="610.99"/>
        <n v="432.4"/>
        <n v="1484.86"/>
        <n v="237.73"/>
        <n v="1963.79"/>
        <n v="638.63"/>
        <n v="404.35"/>
        <n v="1274.83"/>
        <n v="1954.37"/>
        <n v="1264.72"/>
        <n v="221.34"/>
        <n v="1783.51"/>
        <n v="1337.79"/>
        <n v="71.040000000000006"/>
        <n v="95.4"/>
        <n v="1241.23"/>
        <n v="737.74"/>
        <n v="1671.24"/>
        <n v="1969.03"/>
        <n v="536.92999999999995"/>
        <n v="697.37"/>
        <n v="521.49"/>
        <n v="1688.88"/>
        <n v="147"/>
        <n v="1818.11"/>
        <n v="114.57"/>
        <n v="1810.79"/>
        <n v="1309.95"/>
        <n v="208.05"/>
        <n v="335.99"/>
        <n v="86.85"/>
        <n v="1588.36"/>
        <n v="1489.11"/>
        <n v="1926.9"/>
        <n v="1392.04"/>
        <n v="367.47"/>
        <n v="1491.62"/>
        <n v="73.37"/>
        <n v="1750.63"/>
        <n v="740.58"/>
        <n v="1871.94"/>
        <n v="1705.06"/>
        <n v="396.03"/>
        <n v="1168.97"/>
        <n v="1992.35"/>
        <n v="1132.48"/>
        <n v="881.29"/>
        <n v="1992.66"/>
        <n v="113.14"/>
        <n v="493.64"/>
        <n v="1073.52"/>
        <n v="1699.18"/>
        <n v="460.58"/>
        <n v="548.89"/>
        <n v="375.89"/>
        <n v="716.95"/>
        <n v="1263.67"/>
        <n v="449.66"/>
        <n v="1994.89"/>
        <n v="680.27"/>
        <n v="893.29"/>
        <n v="646.91"/>
        <n v="1251.3"/>
        <n v="132.91"/>
        <n v="1917.57"/>
        <n v="1831.47"/>
        <n v="1037.31"/>
        <n v="1388.98"/>
        <n v="1208.46"/>
        <n v="864.54"/>
        <n v="1978.36"/>
        <n v="168.97"/>
        <n v="1763.4"/>
        <n v="560.88"/>
        <n v="855.07"/>
        <n v="122.27"/>
        <n v="1631.94"/>
        <n v="781.29"/>
        <n v="1132.8599999999999"/>
        <n v="647.76"/>
        <n v="644.24"/>
        <n v="1311.67"/>
        <n v="1285.5999999999999"/>
        <n v="829.82"/>
        <n v="1331.23"/>
        <n v="1294.08"/>
        <n v="394.2"/>
        <n v="1942.14"/>
        <n v="1754.33"/>
        <n v="1732.29"/>
        <n v="1430.78"/>
        <n v="1196.54"/>
        <n v="742.49"/>
        <n v="1904.05"/>
        <n v="879.69"/>
        <n v="1564.24"/>
        <n v="1784.81"/>
        <n v="987.53"/>
        <n v="309.7"/>
        <n v="1709.72"/>
        <n v="1713.89"/>
        <n v="1205.53"/>
        <n v="1236.53"/>
        <n v="1094.3599999999999"/>
        <n v="653.42999999999995"/>
        <n v="1465.37"/>
        <n v="59.8"/>
        <n v="1625.93"/>
        <n v="1058.54"/>
        <n v="1528.22"/>
        <n v="1957.41"/>
        <n v="1140.72"/>
        <n v="1126.0899999999999"/>
        <n v="1295.24"/>
        <n v="319.07"/>
        <n v="1594.87"/>
        <n v="1615.57"/>
        <n v="287.02999999999997"/>
        <n v="966.46"/>
        <n v="376.87"/>
        <n v="1804.22"/>
        <n v="664.91"/>
        <n v="263.42"/>
        <n v="1956.12"/>
        <n v="205.18"/>
        <n v="120.98"/>
        <n v="476.01"/>
        <n v="1553.07"/>
        <n v="1928.55"/>
        <n v="352.54"/>
        <n v="1032.3"/>
        <n v="725.52"/>
        <n v="981.39"/>
        <n v="532.76"/>
        <n v="1582.82"/>
        <n v="849.91"/>
        <n v="1353.76"/>
        <n v="1143.5899999999999"/>
        <n v="1110.44"/>
        <n v="577.08000000000004"/>
        <n v="544.34"/>
        <n v="1285.05"/>
        <n v="1080.93"/>
        <n v="354.33"/>
        <n v="65.900000000000006"/>
        <n v="1191.19"/>
        <n v="368.46"/>
        <n v="1429.84"/>
        <n v="99.19"/>
        <n v="1223.04"/>
        <n v="1113.57"/>
        <n v="52.06"/>
        <n v="1123.8"/>
        <n v="761.71"/>
        <n v="698.95"/>
        <n v="1977.89"/>
        <n v="349.91"/>
        <n v="1568.34"/>
        <n v="527.73"/>
        <n v="1770.33"/>
        <n v="220.82"/>
        <n v="1470.55"/>
        <n v="240.77"/>
        <n v="792.79"/>
        <n v="1529.34"/>
        <n v="1005.43"/>
        <n v="1827.45"/>
        <n v="318.43"/>
        <n v="200.61"/>
        <n v="752.69"/>
        <n v="369.43"/>
        <n v="706.35"/>
        <n v="834.21"/>
        <n v="599.99"/>
        <n v="362.99"/>
        <n v="1330.97"/>
        <n v="307.82"/>
        <n v="648.85"/>
        <n v="583.24"/>
        <n v="748.63"/>
        <n v="700.55"/>
        <n v="1142.3499999999999"/>
        <n v="1346.86"/>
        <n v="619.53"/>
        <n v="1550.65"/>
        <n v="409.8"/>
        <n v="1250.3599999999999"/>
        <n v="1434.12"/>
        <n v="1225.31"/>
        <n v="858.46"/>
        <n v="194.32"/>
        <n v="1855.63"/>
        <n v="367.42"/>
        <n v="60.42"/>
        <n v="815.47"/>
        <n v="1336.99"/>
        <n v="85.14"/>
        <n v="67.34"/>
        <n v="1761.24"/>
        <n v="86.96"/>
        <n v="243.63"/>
        <n v="1916.04"/>
        <n v="630.78"/>
        <n v="1522.62"/>
        <n v="556.72"/>
        <n v="802.68"/>
        <n v="417.63"/>
        <n v="706.65"/>
        <n v="821.36"/>
        <n v="1748.82"/>
        <n v="1520.2"/>
        <n v="1774.86"/>
        <n v="1137.5"/>
        <n v="868.4"/>
        <n v="1190.4100000000001"/>
        <n v="1821.65"/>
        <n v="1866.08"/>
        <n v="1729.33"/>
        <n v="246.03"/>
        <n v="1805.28"/>
        <n v="649.52"/>
        <n v="1217.94"/>
        <n v="1907.09"/>
        <n v="1332.27"/>
        <n v="1254.67"/>
        <n v="1788.43"/>
        <n v="821.76"/>
        <n v="59.23"/>
        <n v="1931.84"/>
        <n v="1959.29"/>
        <n v="993.36"/>
        <n v="187.12"/>
        <n v="1998.52"/>
        <n v="480.38"/>
        <n v="1625.69"/>
        <n v="807.39"/>
        <n v="540"/>
        <n v="269.35000000000002"/>
        <n v="676.61"/>
        <n v="1891.81"/>
        <n v="1628.94"/>
        <n v="164.46"/>
        <n v="969.89"/>
        <n v="1250.9100000000001"/>
        <n v="1870.87"/>
        <n v="281.51"/>
        <n v="1415.86"/>
        <n v="1958.34"/>
        <n v="276.41000000000003"/>
        <n v="803.71"/>
        <n v="271.04000000000002"/>
        <n v="1726.43"/>
        <n v="1290.9000000000001"/>
        <n v="774.34"/>
        <n v="980.57"/>
        <n v="1558.01"/>
        <n v="1330.15"/>
        <n v="1335.88"/>
        <n v="1704.86"/>
        <n v="745.12"/>
        <n v="1380.24"/>
        <n v="613.91999999999996"/>
        <n v="1955.76"/>
        <n v="502.03"/>
        <n v="226.89"/>
        <n v="322.83"/>
        <n v="1095.53"/>
        <n v="218.61"/>
        <n v="788.5"/>
        <n v="816.16"/>
        <n v="881.44"/>
        <n v="1986.51"/>
        <n v="595.33000000000004"/>
        <n v="1810.07"/>
        <n v="1285.81"/>
        <n v="1548.61"/>
        <n v="1002.3"/>
        <n v="452.36"/>
        <n v="549.67999999999995"/>
        <n v="439.93"/>
        <n v="1157.47"/>
        <n v="705.91"/>
        <n v="1466.77"/>
        <n v="275.45"/>
        <n v="1205.71"/>
        <n v="324.27"/>
        <n v="1957.18"/>
        <n v="587.05999999999995"/>
        <n v="1284.83"/>
        <n v="139.31"/>
        <n v="1588.01"/>
        <n v="1299.44"/>
        <n v="1430.61"/>
        <n v="348.52"/>
        <n v="741.34"/>
        <n v="1603.83"/>
        <n v="126.49"/>
        <n v="915.61"/>
        <n v="1865.9"/>
        <n v="1569.81"/>
        <n v="67.73"/>
        <n v="994.01"/>
        <n v="305.47000000000003"/>
        <n v="1073.31"/>
        <n v="1778.67"/>
        <n v="909.35"/>
        <n v="1555.25"/>
        <n v="1902.66"/>
        <n v="1749.96"/>
        <n v="127.32"/>
        <n v="1632.77"/>
        <n v="427.38"/>
        <n v="528.1"/>
        <n v="560.66"/>
        <n v="1803.11"/>
        <n v="1961.09"/>
        <n v="1815.27"/>
        <n v="1870.81"/>
        <n v="646.4"/>
        <n v="190.6"/>
        <n v="1277.43"/>
        <n v="1473.46"/>
        <n v="1185.8399999999999"/>
        <n v="1992.83"/>
        <n v="359.07"/>
        <n v="1497.1"/>
        <n v="1526.26"/>
        <n v="339.81"/>
        <n v="1401.27"/>
        <n v="1388.49"/>
        <n v="624.67999999999995"/>
        <n v="624.69000000000005"/>
        <n v="1137.76"/>
        <n v="308.62"/>
        <n v="873.26"/>
        <n v="1831.37"/>
        <n v="224.18"/>
        <n v="761.55"/>
        <n v="1779.8"/>
        <n v="635.67999999999995"/>
        <n v="904.54"/>
        <n v="1962.99"/>
        <n v="1674.02"/>
        <n v="1727"/>
        <n v="1600.38"/>
        <n v="1844.05"/>
        <n v="1737.61"/>
        <n v="836.34"/>
        <n v="310.14"/>
        <n v="639.96"/>
        <n v="993.96"/>
        <n v="1388.82"/>
        <n v="1518.02"/>
        <n v="1285.33"/>
        <n v="1804.02"/>
        <n v="1941.26"/>
        <n v="1818.96"/>
        <n v="766.05"/>
        <n v="689.02"/>
        <n v="754.25"/>
        <n v="1141.8"/>
        <n v="628.51"/>
        <n v="124.41"/>
        <n v="424.9"/>
        <n v="598.79"/>
        <n v="1690.31"/>
        <n v="71.209999999999994"/>
        <n v="197.99"/>
        <n v="1502.69"/>
        <n v="695.72"/>
        <n v="697.51"/>
        <n v="361.54"/>
        <n v="1930.08"/>
        <n v="1917.77"/>
        <n v="347.03"/>
        <n v="1281.8900000000001"/>
        <n v="1673.63"/>
        <n v="464.99"/>
        <n v="1650.24"/>
        <n v="1902.45"/>
        <n v="1662.11"/>
        <n v="271.8"/>
        <n v="878.48"/>
        <n v="793.68"/>
        <n v="1650.07"/>
        <n v="140.88"/>
        <n v="1460.79"/>
        <n v="1983.24"/>
        <n v="1421.76"/>
        <n v="1711.91"/>
        <n v="374.08"/>
        <n v="59"/>
        <n v="246.35"/>
        <n v="1055.58"/>
        <n v="357.33"/>
        <n v="1525.17"/>
        <n v="1195.81"/>
        <n v="1652.95"/>
        <n v="1757.04"/>
        <n v="58.48"/>
        <n v="1807.08"/>
        <n v="1900.23"/>
        <n v="1505.95"/>
        <n v="1534.23"/>
        <n v="1357.95"/>
        <n v="592.54"/>
        <n v="1766.97"/>
        <n v="1308.6600000000001"/>
        <n v="1211.27"/>
        <n v="1114.9000000000001"/>
        <n v="1961.43"/>
        <n v="1605.33"/>
        <n v="254.3"/>
        <n v="1180.75"/>
        <n v="521.21"/>
        <n v="907.89"/>
        <n v="864.95"/>
        <n v="153.82"/>
        <n v="922"/>
        <n v="97.62"/>
        <n v="1051.08"/>
        <n v="1111.9000000000001"/>
        <n v="109.3"/>
        <n v="1590.84"/>
        <n v="1732.4"/>
        <n v="1240.76"/>
        <n v="945.56"/>
        <n v="1110.04"/>
        <n v="1364.35"/>
        <n v="1854.7"/>
        <n v="1410.31"/>
        <n v="271.87"/>
        <n v="663.1"/>
        <n v="819.95"/>
        <n v="832"/>
        <n v="721.27"/>
        <n v="1434.07"/>
        <n v="468.04"/>
        <n v="1049.96"/>
        <n v="1805.17"/>
        <n v="1015.01"/>
        <n v="685.58"/>
        <n v="1055.8699999999999"/>
        <n v="932.38"/>
        <n v="362.21"/>
        <n v="1995.38"/>
        <n v="1678.64"/>
        <n v="1309.6500000000001"/>
        <n v="128.52000000000001"/>
        <n v="660.59"/>
        <n v="1210.4100000000001"/>
        <n v="829.3"/>
        <n v="266.24"/>
        <n v="430.78"/>
        <n v="939.51"/>
        <n v="507.52"/>
        <n v="977.7"/>
        <n v="1515.05"/>
        <n v="280.20999999999998"/>
        <n v="1701.95"/>
        <n v="418.29"/>
        <n v="1286.9000000000001"/>
        <n v="175.12"/>
        <n v="319.45"/>
        <n v="1360.62"/>
        <n v="475.59"/>
        <n v="1788.42"/>
        <n v="240.49"/>
        <n v="201.75"/>
        <n v="961.38"/>
        <n v="995.11"/>
        <n v="1894.88"/>
        <n v="676.62"/>
        <n v="359"/>
        <n v="181.8"/>
        <n v="556.17999999999995"/>
        <n v="1308.5"/>
        <n v="1913.72"/>
        <n v="1396.37"/>
        <n v="1570.56"/>
        <n v="1115.6600000000001"/>
        <n v="1956.75"/>
        <n v="813.96"/>
        <n v="1853.51"/>
        <n v="1426.42"/>
        <n v="1777.17"/>
        <n v="1963.29"/>
        <n v="460.33"/>
        <n v="564.62"/>
        <n v="481.6"/>
        <n v="1805.46"/>
        <n v="755.62"/>
        <n v="799.44"/>
        <n v="1633.21"/>
        <n v="945.26"/>
        <n v="1922.85"/>
        <n v="682.64"/>
        <n v="189.94"/>
        <n v="312.05"/>
        <n v="1958.97"/>
        <n v="1917.91"/>
        <n v="1455.5"/>
        <n v="955.27"/>
        <n v="55.9"/>
        <n v="775.43"/>
        <n v="1605.72"/>
        <n v="407.57"/>
        <n v="199.52"/>
        <n v="113.58"/>
        <n v="1002.39"/>
        <n v="1966.36"/>
        <n v="1693.94"/>
        <n v="61.39"/>
        <n v="431.63"/>
        <n v="406.77"/>
        <n v="847.32"/>
        <n v="715.29"/>
        <n v="63.16"/>
        <n v="1124.21"/>
        <n v="213.17"/>
        <n v="1178.53"/>
        <n v="65.41"/>
        <n v="896.6"/>
        <n v="339.48"/>
        <n v="1609.3"/>
        <n v="159.19999999999999"/>
        <n v="617.28"/>
        <n v="1514.74"/>
        <n v="420.37"/>
        <n v="1224.1199999999999"/>
        <n v="491.39"/>
        <n v="202.35"/>
        <n v="1054.9000000000001"/>
        <n v="459.97"/>
        <n v="1536.29"/>
        <n v="1875.09"/>
        <n v="1540.48"/>
        <n v="1516.23"/>
        <n v="1724.22"/>
        <n v="1832.46"/>
        <n v="99.4"/>
        <n v="846.04"/>
        <n v="612.47"/>
        <n v="122.63"/>
        <n v="250.1"/>
        <n v="1881.72"/>
        <n v="1986.65"/>
        <n v="448.99"/>
        <n v="1038.26"/>
        <n v="1972.37"/>
        <n v="1244.82"/>
        <n v="787.78"/>
        <n v="832.85"/>
        <n v="272.17"/>
        <n v="1579.43"/>
        <n v="849.46"/>
        <n v="908.62"/>
        <n v="222.51"/>
        <n v="745.3"/>
        <n v="653.24"/>
        <n v="107.74"/>
        <n v="617.24"/>
        <n v="462.83"/>
        <n v="548.27"/>
        <n v="870.38"/>
        <n v="527.09"/>
        <n v="103.04"/>
        <n v="773.37"/>
        <n v="687.81"/>
        <n v="1547.43"/>
        <n v="477.5"/>
        <n v="1029.99"/>
        <n v="152.38999999999999"/>
        <n v="1070.31"/>
        <n v="1964.18"/>
        <n v="1163.05"/>
        <n v="991.35"/>
        <n v="1363.65"/>
        <n v="1643.37"/>
        <n v="1678.97"/>
        <n v="848.83"/>
        <n v="1792.42"/>
        <n v="89.14"/>
        <n v="776.82"/>
        <n v="611.13"/>
        <n v="677.39"/>
        <n v="848.4"/>
        <n v="1947.19"/>
        <n v="1897.99"/>
        <n v="947.26"/>
        <n v="378.33"/>
        <n v="1406.75"/>
        <n v="971.94"/>
        <n v="71.59"/>
        <n v="1899.58"/>
        <n v="337.15"/>
        <n v="429.36"/>
        <n v="1207.98"/>
        <n v="458.08"/>
        <n v="1333.17"/>
        <n v="1826.59"/>
        <n v="1809.13"/>
        <n v="924.65"/>
        <n v="527.63"/>
        <n v="1216.6099999999999"/>
        <n v="1694.64"/>
        <n v="975.29"/>
        <n v="337.53"/>
        <n v="1350.4"/>
        <n v="218.06"/>
        <n v="1388.22"/>
        <n v="113.21"/>
        <n v="1671.54"/>
        <n v="1987.83"/>
        <n v="1101.05"/>
        <n v="830.9"/>
        <n v="1923.75"/>
        <n v="1834.09"/>
        <n v="1958.12"/>
        <n v="443.63"/>
        <n v="1459.44"/>
        <n v="1486.8"/>
        <n v="288.39999999999998"/>
        <n v="105.48"/>
        <n v="1918.65"/>
        <n v="363.3"/>
        <n v="1670.91"/>
        <n v="407.31"/>
        <n v="1197.52"/>
        <n v="1491.91"/>
        <n v="1930.3"/>
        <n v="655.24"/>
        <n v="982.18"/>
        <n v="1459.61"/>
        <n v="1200.3499999999999"/>
        <n v="406.86"/>
        <n v="1440.09"/>
        <n v="449.41"/>
        <n v="1468.36"/>
        <n v="184.19"/>
        <n v="1069.01"/>
        <n v="1357.44"/>
        <n v="720.48"/>
        <n v="1429.86"/>
        <n v="1209.83"/>
        <n v="1551.47"/>
        <n v="200.6"/>
        <n v="978.31"/>
        <n v="660.85"/>
        <n v="1883.48"/>
        <n v="1179.43"/>
        <n v="1387.67"/>
        <n v="341.73"/>
        <n v="410.87"/>
        <n v="564.09"/>
        <n v="1301.78"/>
        <n v="1285.68"/>
        <n v="1112.49"/>
        <n v="726.01"/>
        <n v="344.59"/>
        <n v="1476.51"/>
        <n v="901.48"/>
        <n v="245.98"/>
        <n v="922.68"/>
        <n v="814.75"/>
        <n v="230.13"/>
        <n v="905.22"/>
        <n v="396.51"/>
        <n v="695.86"/>
        <n v="1687.43"/>
        <n v="138.77000000000001"/>
        <n v="1991.76"/>
        <n v="917.67"/>
        <n v="942.11"/>
        <n v="558.86"/>
        <n v="1863.47"/>
        <n v="207.75"/>
        <n v="1329.02"/>
        <n v="116.94"/>
        <n v="1595.6"/>
        <n v="1591.25"/>
        <n v="1280.22"/>
        <n v="374.45"/>
        <n v="872.69"/>
        <n v="405.35"/>
        <n v="1320.91"/>
        <n v="1555.94"/>
        <n v="86.77"/>
        <n v="1911.06"/>
        <n v="173.17"/>
        <n v="1736.87"/>
        <n v="1172.3699999999999"/>
        <n v="83.02"/>
        <n v="1754.53"/>
        <n v="945.51"/>
        <n v="768.31"/>
        <n v="833.98"/>
        <n v="342.61"/>
        <n v="1902.54"/>
        <n v="716.78"/>
        <n v="1635.45"/>
        <n v="1549.38"/>
        <n v="888.76"/>
        <n v="1437.55"/>
        <n v="705.53"/>
        <n v="1317.09"/>
        <n v="615.16"/>
        <n v="754.84"/>
        <n v="1656.83"/>
        <n v="532.4"/>
        <n v="1469"/>
        <n v="719.63"/>
        <n v="1592.44"/>
        <n v="780.37"/>
        <n v="1897.93"/>
        <n v="1566.93"/>
        <n v="546.15"/>
        <n v="1306.52"/>
        <n v="196.81"/>
        <n v="1100.5999999999999"/>
        <n v="784.39"/>
        <n v="1591.01"/>
        <n v="745.17"/>
        <n v="1780.69"/>
        <n v="539.78"/>
        <n v="1962.67"/>
        <n v="1015.91"/>
        <n v="633.12"/>
        <n v="951.15"/>
        <n v="962.58"/>
        <n v="742.74"/>
        <n v="1947.55"/>
        <n v="1109.98"/>
        <n v="1800.24"/>
        <n v="1069.82"/>
        <n v="1863.91"/>
        <n v="1742.23"/>
        <n v="714.2"/>
        <n v="636.52"/>
        <n v="222.36"/>
        <n v="292.07"/>
        <n v="1507.39"/>
        <n v="326.07"/>
        <n v="1285.8699999999999"/>
        <n v="1779.54"/>
        <n v="1193.32"/>
        <n v="1668.14"/>
        <n v="1713.71"/>
        <n v="500.34"/>
        <n v="1232.79"/>
        <n v="111.64"/>
        <n v="140.25"/>
        <n v="1414.6"/>
        <n v="298.05"/>
        <n v="1034.3399999999999"/>
        <n v="1964.28"/>
        <n v="60.17"/>
        <n v="1114.1600000000001"/>
        <n v="674.16"/>
        <n v="334.73"/>
        <n v="1858.21"/>
        <n v="1113.99"/>
        <n v="1621.6"/>
        <n v="344.6"/>
        <n v="903.33"/>
        <n v="998.17"/>
        <n v="1084.1199999999999"/>
        <n v="363.47"/>
        <n v="991.1"/>
        <n v="532.74"/>
        <n v="1300.02"/>
        <n v="524.63"/>
        <n v="564.39"/>
        <n v="1815.24"/>
        <n v="1047.1600000000001"/>
        <n v="451.3"/>
        <n v="1576.46"/>
        <n v="1549.16"/>
        <n v="1739.3"/>
        <n v="1364.6"/>
        <n v="1387.5"/>
        <n v="1545.46"/>
        <n v="962.35"/>
        <n v="1538.98"/>
        <n v="655.49"/>
        <n v="1141.31"/>
        <n v="175.1"/>
        <n v="1974.86"/>
        <n v="923.53"/>
        <n v="903.63"/>
        <n v="1497.4"/>
        <n v="1759.18"/>
        <n v="1214.8499999999999"/>
        <n v="1182.9000000000001"/>
        <n v="1355.53"/>
        <n v="594.09"/>
        <n v="1754.86"/>
        <n v="1937.21"/>
        <n v="1559.15"/>
        <n v="338.25"/>
        <n v="545.89"/>
        <n v="51.14"/>
        <n v="1347.79"/>
        <n v="1901.48"/>
        <n v="337.89"/>
        <n v="426.21"/>
        <n v="1512.47"/>
        <n v="336.21"/>
        <n v="733.12"/>
        <n v="294.05"/>
        <n v="1367.54"/>
        <n v="1911.04"/>
        <n v="1216.8499999999999"/>
        <n v="1409.91"/>
        <n v="657.29"/>
        <n v="521.05999999999995"/>
        <n v="1696.93"/>
        <n v="1245.27"/>
        <n v="339.35"/>
        <n v="535.64"/>
        <n v="904.81"/>
        <n v="69.849999999999994"/>
        <n v="844.94"/>
        <n v="1488.85"/>
        <n v="451.71"/>
        <n v="1834.93"/>
        <n v="342.58"/>
        <n v="403.31"/>
        <n v="364.64"/>
        <n v="862.99"/>
        <n v="1489.67"/>
        <n v="715.74"/>
        <n v="1895.24"/>
        <n v="1894.44"/>
        <n v="1385.24"/>
        <n v="168.15"/>
        <n v="1153.42"/>
        <n v="1377.91"/>
        <n v="446.78"/>
        <n v="1016.96"/>
        <n v="567.95000000000005"/>
        <n v="72.489999999999995"/>
        <n v="631.53"/>
        <n v="155.80000000000001"/>
        <n v="1799.4"/>
        <n v="956"/>
        <n v="1695.44"/>
        <n v="1160.56"/>
        <n v="1312.78"/>
        <n v="194.1"/>
        <n v="1665.24"/>
        <n v="943.16"/>
        <n v="1661.06"/>
        <n v="621.23"/>
        <n v="1697.74"/>
        <n v="1198.51"/>
        <n v="138.33000000000001"/>
        <n v="215.35"/>
        <n v="1988.08"/>
        <n v="394.8"/>
        <n v="65.290000000000006"/>
        <n v="808.04"/>
        <n v="1814.32"/>
        <n v="1735.86"/>
        <n v="1828.68"/>
        <n v="635.86"/>
        <n v="684.6"/>
        <n v="1076.96"/>
        <n v="1714.81"/>
        <n v="626.24"/>
        <n v="893.57"/>
        <n v="1635.8"/>
        <n v="404.79"/>
        <n v="1526.22"/>
        <n v="146.35"/>
        <n v="1701.02"/>
        <n v="1362.88"/>
        <n v="1982.23"/>
        <n v="1979.91"/>
        <n v="954.5"/>
        <n v="1901.49"/>
        <n v="957.3"/>
        <n v="1349.55"/>
        <n v="1803.88"/>
        <n v="927.48"/>
        <n v="187.68"/>
        <n v="1153.28"/>
        <n v="1702.35"/>
        <n v="1758.82"/>
        <n v="592.15"/>
        <n v="678.96"/>
        <n v="216.95"/>
        <n v="840.7"/>
        <n v="1733.89"/>
        <n v="1312.8"/>
        <n v="108.81"/>
        <n v="1724.06"/>
        <n v="510.6"/>
        <n v="589.58000000000004"/>
        <n v="1772.99"/>
        <n v="597.27"/>
        <n v="1646.27"/>
        <n v="569.11"/>
        <n v="1405.16"/>
        <n v="1414.12"/>
        <n v="344.17"/>
        <n v="1016.25"/>
        <n v="514.66"/>
        <n v="714.36"/>
        <n v="1709"/>
        <n v="794.68"/>
        <n v="1336.03"/>
        <n v="1787"/>
        <n v="97.44"/>
        <n v="1217.93"/>
        <n v="422.11"/>
        <n v="1553.89"/>
        <n v="377.93"/>
        <n v="160.78"/>
        <n v="645.76"/>
        <n v="333.65"/>
        <n v="282.18"/>
        <n v="558.65"/>
        <n v="1479.41"/>
        <n v="1268.5899999999999"/>
        <n v="1411.53"/>
        <n v="1790.74"/>
        <n v="966.56"/>
        <n v="1997.5"/>
        <n v="64.540000000000006"/>
        <n v="916.81"/>
        <n v="244.57"/>
        <n v="570.39"/>
        <n v="1052.6099999999999"/>
        <n v="1022.09"/>
        <n v="196.29"/>
        <n v="850.34"/>
        <n v="1221.02"/>
        <n v="1302.75"/>
        <n v="518.05999999999995"/>
        <n v="1601.78"/>
        <n v="1021.8"/>
        <n v="199.59"/>
        <n v="219.09"/>
        <n v="1144.72"/>
        <n v="1263.8"/>
        <n v="1561.43"/>
        <n v="121.86"/>
        <n v="1427.78"/>
        <n v="1103.07"/>
        <n v="1191.3699999999999"/>
        <n v="1254.5899999999999"/>
        <n v="887.65"/>
        <n v="468.5"/>
        <n v="1499.54"/>
        <n v="492.43"/>
        <n v="1732.77"/>
        <n v="1441.25"/>
        <n v="1956.34"/>
        <n v="1582.89"/>
        <n v="1093.33"/>
        <n v="1376.89"/>
        <n v="1826.06"/>
        <n v="1620.16"/>
        <n v="602.89"/>
        <n v="1130.47"/>
        <n v="715.49"/>
        <n v="1292.0999999999999"/>
        <n v="1583.05"/>
        <n v="771.75"/>
        <n v="682.3"/>
        <n v="717.46"/>
        <n v="536.63"/>
        <n v="123.74"/>
        <n v="204.3"/>
        <n v="1007.53"/>
        <n v="1239.21"/>
        <n v="1669.41"/>
        <n v="1765.88"/>
        <n v="1793.91"/>
        <n v="1941.05"/>
        <n v="1173.8499999999999"/>
        <n v="524.49"/>
        <n v="354.73"/>
        <n v="963.9"/>
        <n v="891.2"/>
        <n v="863.74"/>
        <n v="1847.41"/>
        <n v="430.98"/>
        <n v="947.39"/>
        <n v="1714.73"/>
        <n v="1100.95"/>
        <n v="1940.64"/>
        <n v="802.2"/>
        <n v="342.02"/>
        <n v="239.55"/>
        <n v="1180.3900000000001"/>
        <n v="640.79999999999995"/>
        <n v="830.68"/>
        <n v="959.67"/>
        <n v="498.72"/>
        <n v="1664.67"/>
        <n v="814.55"/>
        <n v="1884.8"/>
        <n v="1136.23"/>
        <n v="1474.07"/>
        <n v="1140.99"/>
        <n v="399.16"/>
        <n v="1168.6400000000001"/>
        <n v="211.47"/>
        <n v="1032.23"/>
        <n v="1230.0899999999999"/>
        <n v="961.51"/>
        <n v="1874.97"/>
        <n v="366.43"/>
        <n v="1365.75"/>
        <n v="1949.34"/>
        <n v="1234.01"/>
        <n v="1326.57"/>
        <n v="1210.3599999999999"/>
        <n v="1668.54"/>
        <n v="514.84"/>
        <n v="1682.15"/>
        <n v="338.67"/>
        <n v="976.73"/>
        <n v="1259.93"/>
        <n v="1898.31"/>
        <n v="1071.51"/>
        <n v="1365.54"/>
        <n v="137.93"/>
        <n v="1761.52"/>
        <n v="1854.9"/>
        <n v="256.88"/>
        <n v="375.01"/>
        <n v="840.5"/>
        <n v="717.05"/>
        <n v="1567.28"/>
        <n v="680.82"/>
        <n v="438.5"/>
        <n v="1318.56"/>
        <n v="1733.59"/>
        <n v="1569.58"/>
        <n v="1962.15"/>
        <n v="711.77"/>
        <n v="195.74"/>
        <n v="818.39"/>
        <n v="1638.91"/>
        <n v="1737.18"/>
        <n v="431.5"/>
        <n v="1656.59"/>
        <n v="888.7"/>
        <n v="890.15"/>
        <n v="1298.94"/>
        <n v="64.349999999999994"/>
        <n v="844.54"/>
        <n v="961.29"/>
        <n v="1188.8800000000001"/>
        <n v="981.09"/>
        <n v="765.83"/>
        <n v="479.29"/>
        <n v="704.09"/>
        <n v="352.82"/>
        <n v="1111.55"/>
        <n v="284.72000000000003"/>
        <n v="601.16"/>
        <n v="1360.5"/>
        <n v="1584.87"/>
        <n v="1136.5899999999999"/>
        <n v="1086.03"/>
        <n v="1484.41"/>
        <n v="627.66"/>
        <n v="53.64"/>
        <n v="212.23"/>
        <n v="109.64"/>
        <n v="1558.68"/>
        <n v="1021.46"/>
        <n v="1046.2"/>
        <n v="868.1"/>
        <n v="1988.04"/>
        <n v="1433.5"/>
        <n v="200.17"/>
        <n v="1578.92"/>
        <n v="341.41"/>
        <n v="407.33"/>
        <n v="1802.03"/>
        <n v="621.42999999999995"/>
        <n v="685.27"/>
        <n v="352.25"/>
        <n v="853.31"/>
        <n v="100.57"/>
        <n v="1386.25"/>
        <n v="872.36"/>
        <n v="831.32"/>
        <n v="188.65"/>
        <n v="1820.91"/>
        <n v="1935.98"/>
        <n v="306.52"/>
        <n v="1725.6"/>
        <n v="886.3"/>
        <n v="1849.82"/>
        <n v="1273.56"/>
        <n v="214.9"/>
        <n v="1505.92"/>
        <n v="905.72"/>
        <n v="913.05"/>
        <n v="1691.8"/>
        <n v="340.5"/>
        <n v="1900.18"/>
        <n v="723.69"/>
        <n v="531.91"/>
        <n v="648.99"/>
        <n v="296.94"/>
        <n v="1080.54"/>
        <n v="1278.31"/>
        <n v="1479.93"/>
        <n v="1400.86"/>
        <n v="1890.25"/>
        <n v="556.54999999999995"/>
        <n v="896.64"/>
        <n v="1630.08"/>
        <n v="1927.77"/>
        <n v="1630.74"/>
        <n v="110.54"/>
        <n v="109.21"/>
        <n v="1669.12"/>
        <n v="1361.28"/>
        <n v="1399.13"/>
        <n v="356.59"/>
        <n v="1336.66"/>
        <n v="523.79"/>
        <n v="1377.66"/>
        <n v="636.08000000000004"/>
        <n v="762.07"/>
        <n v="1335.92"/>
        <n v="253.47"/>
        <n v="1610.6"/>
        <n v="1987.77"/>
        <n v="1620.17"/>
        <n v="1846.81"/>
        <n v="797.05"/>
        <n v="1876.65"/>
        <n v="1471.18"/>
        <n v="1067.4100000000001"/>
        <n v="1852.57"/>
        <n v="1224.68"/>
        <n v="653.58000000000004"/>
        <n v="916.16"/>
        <n v="1161.1199999999999"/>
        <n v="1616.7"/>
        <n v="1702.93"/>
        <n v="1807.86"/>
        <n v="1134.1600000000001"/>
        <n v="1367.44"/>
        <n v="1151.56"/>
        <n v="1526.84"/>
        <n v="1527.45"/>
        <n v="866.41"/>
        <n v="725.15"/>
        <n v="1118.46"/>
        <n v="400.87"/>
        <n v="165.48"/>
        <n v="1316.32"/>
        <n v="1482.96"/>
        <n v="1837.92"/>
        <n v="970.62"/>
        <n v="466.57"/>
        <n v="1075.82"/>
        <n v="1302.03"/>
        <n v="926.71"/>
        <n v="1062.25"/>
        <n v="1812.12"/>
        <n v="817.57"/>
        <n v="1181.1099999999999"/>
        <n v="533.19000000000005"/>
        <n v="1129.99"/>
        <n v="1518.68"/>
        <n v="597.94000000000005"/>
        <n v="391.61"/>
        <n v="446.94"/>
        <n v="799.78"/>
        <n v="1340.76"/>
        <n v="748.87"/>
        <n v="1762.85"/>
        <n v="1696.12"/>
        <n v="918.78"/>
        <n v="121.09"/>
        <n v="1110.21"/>
        <n v="1609.76"/>
        <n v="1274.69"/>
        <n v="908.32"/>
        <n v="1512.61"/>
        <n v="1357.47"/>
        <n v="1636.6"/>
        <n v="273.7"/>
        <n v="1497.94"/>
        <n v="917.11"/>
        <n v="1546.62"/>
        <n v="1170.2"/>
        <n v="1731.6"/>
        <n v="71.66"/>
        <n v="1449.77"/>
        <n v="1672.98"/>
        <n v="913.22"/>
        <n v="1064.69"/>
        <n v="1480.73"/>
        <n v="1595.72"/>
        <n v="558.64"/>
        <n v="1346.83"/>
        <n v="252.04"/>
        <n v="1088.8399999999999"/>
        <n v="552.08000000000004"/>
        <n v="1746.46"/>
        <n v="1543.94"/>
        <n v="1712.06"/>
        <n v="792.87"/>
        <n v="1691.39"/>
        <n v="370.93"/>
        <n v="126.91"/>
        <n v="272.60000000000002"/>
        <n v="1021.28"/>
        <n v="1351.28"/>
        <n v="390.34"/>
        <n v="77.67"/>
        <n v="695.48"/>
        <n v="958.2"/>
        <n v="528.20000000000005"/>
        <n v="463.98"/>
        <n v="155.69"/>
        <n v="369.01"/>
        <n v="977.55"/>
        <n v="288.17"/>
        <n v="1783.85"/>
        <n v="1146.77"/>
        <n v="401.54"/>
        <n v="695.66"/>
        <n v="1983.2"/>
        <n v="1678"/>
        <n v="321.47000000000003"/>
        <n v="159.81"/>
        <n v="533.53"/>
        <n v="1580.52"/>
        <n v="857.78"/>
        <n v="1501.97"/>
        <n v="1870.67"/>
        <n v="1566.79"/>
        <n v="1249.06"/>
        <n v="748.68"/>
        <n v="378.1"/>
        <n v="685.09"/>
        <n v="368.72"/>
        <n v="1133.33"/>
        <n v="1467.36"/>
        <n v="976.54"/>
        <n v="476.86"/>
        <n v="879.9"/>
        <n v="588.13"/>
        <n v="249.33"/>
        <n v="194.44"/>
        <n v="780.36"/>
        <n v="233.84"/>
        <n v="1869.9"/>
        <n v="902.39"/>
        <n v="1154.18"/>
        <n v="1157.4000000000001"/>
        <n v="874.73"/>
        <n v="1047.06"/>
        <n v="678.03"/>
        <n v="217.55"/>
        <n v="702.48"/>
        <n v="1036.53"/>
        <n v="1363.68"/>
        <n v="1538.64"/>
        <n v="316.83"/>
        <n v="478.79"/>
        <n v="1503.16"/>
        <n v="304.08"/>
        <n v="633.85"/>
        <n v="981.06"/>
        <n v="1828.38"/>
        <n v="1171.6400000000001"/>
        <n v="589.98"/>
        <n v="1719.96"/>
        <n v="1273.3599999999999"/>
        <n v="1453.92"/>
        <n v="286.45999999999998"/>
        <n v="699.9"/>
        <n v="1861.24"/>
        <n v="422.82"/>
        <n v="815.87"/>
        <n v="1260.54"/>
        <n v="979.16"/>
        <n v="498.07"/>
        <n v="1606.48"/>
        <n v="1838.16"/>
        <n v="1011.99"/>
        <n v="484.86"/>
        <n v="1708.82"/>
        <n v="627.16"/>
        <n v="1698.25"/>
        <n v="1305.45"/>
        <n v="1982.84"/>
        <n v="1553.52"/>
        <n v="494.44"/>
        <n v="317.27"/>
        <n v="1607.2"/>
        <n v="1770.52"/>
        <n v="505.21"/>
        <n v="1398.85"/>
        <n v="418.73"/>
        <n v="1027.6500000000001"/>
        <n v="415.36"/>
        <n v="433.88"/>
        <n v="661.4"/>
        <n v="917.74"/>
        <n v="561.49"/>
        <n v="1970.25"/>
        <n v="159.55000000000001"/>
        <n v="683.58"/>
        <n v="1801.63"/>
        <n v="1823.62"/>
        <n v="149.81"/>
        <n v="1270.8"/>
        <n v="892.47"/>
        <n v="1379.43"/>
        <n v="998.81"/>
        <n v="1389.78"/>
        <n v="901.7"/>
        <n v="1149.48"/>
        <n v="962.92"/>
        <n v="53.31"/>
        <n v="851.83"/>
        <n v="1643.23"/>
        <n v="1910.67"/>
        <n v="1089.69"/>
        <n v="1701.87"/>
        <n v="475.01"/>
        <n v="1835.27"/>
        <n v="680"/>
        <n v="1709.54"/>
        <n v="1710.2"/>
        <n v="1965.78"/>
        <n v="1605.3"/>
        <n v="283.99"/>
        <n v="366.45"/>
        <n v="1627"/>
        <n v="226.06"/>
        <n v="250.2"/>
        <n v="705.79"/>
        <n v="806.43"/>
        <n v="1902.11"/>
        <n v="1458.51"/>
        <n v="780.11"/>
        <n v="835.58"/>
        <n v="745.79"/>
        <n v="1117.25"/>
        <n v="246.76"/>
        <n v="1622.26"/>
        <n v="639.41999999999996"/>
        <n v="817.96"/>
        <n v="811.14"/>
        <n v="613.75"/>
        <n v="1508.21"/>
        <n v="1207.71"/>
        <n v="507.24"/>
        <n v="1189.48"/>
        <n v="1790.35"/>
        <n v="79.680000000000007"/>
        <n v="1093.69"/>
        <n v="783.21"/>
        <n v="756.12"/>
        <n v="664.06"/>
        <n v="597.59"/>
        <n v="741.01"/>
        <n v="1975.77"/>
        <n v="1477.66"/>
        <n v="1180.17"/>
        <n v="266.66000000000003"/>
        <n v="1997.19"/>
        <n v="676.47"/>
        <n v="1771.99"/>
        <n v="1338.75"/>
        <n v="1727.33"/>
        <n v="1259.5999999999999"/>
        <n v="544.72"/>
        <n v="490.59"/>
        <n v="1905.08"/>
        <n v="347.42"/>
        <n v="308.12"/>
        <n v="1406.14"/>
        <n v="544.77"/>
        <n v="1629.79"/>
        <n v="1604.11"/>
        <n v="1801.86"/>
        <n v="1822.61"/>
        <n v="1744.8"/>
        <n v="1432.26"/>
        <n v="785.76"/>
        <n v="1783.94"/>
        <n v="548.74"/>
        <n v="535.96"/>
        <n v="1623.18"/>
        <n v="1615.21"/>
        <n v="1490.66"/>
        <n v="138.69999999999999"/>
        <n v="1339.21"/>
        <n v="1728.21"/>
        <n v="1408.81"/>
        <n v="747.87"/>
        <n v="1937.61"/>
        <n v="82.22"/>
        <n v="1188.4000000000001"/>
        <n v="1947.95"/>
        <n v="1644.43"/>
        <n v="1816.03"/>
        <n v="203.51"/>
        <n v="982.8"/>
        <n v="478.84"/>
        <n v="1259.75"/>
        <n v="1217.54"/>
        <n v="1177.83"/>
        <n v="373.1"/>
        <n v="1606.68"/>
        <n v="1780.4"/>
        <n v="170.04"/>
        <n v="927.5"/>
        <n v="1815.2"/>
        <n v="484.24"/>
        <n v="1621.96"/>
        <n v="320.06"/>
        <n v="980.69"/>
        <n v="1276.5999999999999"/>
        <n v="1086.3699999999999"/>
        <n v="193"/>
        <n v="1779.06"/>
        <n v="706.5"/>
        <n v="888.6"/>
        <n v="1746.3"/>
        <n v="302.35000000000002"/>
        <n v="942.32"/>
        <n v="1111.04"/>
        <n v="466.1"/>
        <n v="738.1"/>
        <n v="101.83"/>
        <n v="1192.8599999999999"/>
        <n v="772.94"/>
        <n v="146.22"/>
        <n v="648.23"/>
        <n v="990.88"/>
        <n v="1642.76"/>
        <n v="216.94"/>
        <n v="1642.74"/>
        <n v="224.88"/>
        <n v="1299.54"/>
        <n v="1059.9100000000001"/>
        <n v="1255.3900000000001"/>
        <n v="251.85"/>
        <n v="1626.37"/>
        <n v="256.79000000000002"/>
        <n v="1703.03"/>
        <n v="147.49"/>
        <n v="1088.22"/>
        <n v="884"/>
        <n v="211.68"/>
        <n v="1375.74"/>
        <n v="918.5"/>
        <n v="1239.94"/>
        <n v="278.89"/>
        <n v="756.66"/>
        <n v="1306.05"/>
        <n v="1631.27"/>
        <n v="407.29"/>
        <n v="547.75"/>
        <n v="451.06"/>
        <n v="1767.58"/>
        <n v="1903"/>
        <n v="1977.44"/>
        <n v="704.19"/>
        <n v="1964.66"/>
        <n v="1631.63"/>
        <n v="460.92"/>
        <n v="256.08"/>
        <n v="493.3"/>
        <n v="555.37"/>
        <n v="494.15"/>
        <n v="1438.34"/>
        <n v="1928.11"/>
        <n v="1348.63"/>
        <n v="744.12"/>
        <n v="1789.64"/>
        <n v="1688.54"/>
        <n v="575.15"/>
        <n v="363.66"/>
        <n v="622.16999999999996"/>
        <n v="637.98"/>
        <n v="680.32"/>
        <n v="1997.06"/>
        <n v="1750.55"/>
        <n v="1867.36"/>
        <n v="266.58999999999997"/>
        <n v="1651.17"/>
        <n v="1836.53"/>
        <n v="848.36"/>
        <n v="641.77"/>
        <n v="933.87"/>
        <n v="359.98"/>
        <n v="1492"/>
        <n v="974.5"/>
        <n v="741.33"/>
        <n v="306.04000000000002"/>
        <n v="1383.36"/>
        <n v="734.6"/>
        <n v="1557.4"/>
        <n v="1829"/>
        <n v="1718.31"/>
        <n v="1179.3399999999999"/>
        <n v="741.83"/>
        <n v="1358.29"/>
        <n v="117.1"/>
        <n v="1110.6600000000001"/>
        <n v="1863.71"/>
        <n v="1304.82"/>
        <n v="1376.16"/>
        <n v="1223.51"/>
        <n v="531.23"/>
        <n v="1132.92"/>
        <n v="1173.6500000000001"/>
        <n v="349.84"/>
        <n v="289.55"/>
        <n v="950.13"/>
        <n v="1256.17"/>
        <n v="461.7"/>
        <n v="641.65"/>
        <n v="773.28"/>
        <n v="1908.39"/>
        <n v="310.60000000000002"/>
        <n v="150.26"/>
        <n v="553.67999999999995"/>
        <n v="138.19"/>
        <n v="1741.31"/>
        <n v="409"/>
        <n v="1953.7"/>
        <n v="1469.16"/>
        <n v="114.69"/>
        <n v="233.18"/>
        <n v="194.4"/>
        <n v="558.53"/>
        <n v="768.49"/>
        <n v="1651.22"/>
        <n v="1073.33"/>
        <n v="601.55999999999995"/>
        <n v="1398.63"/>
        <n v="52.68"/>
        <n v="762.4"/>
        <n v="1606"/>
        <n v="332.97"/>
        <n v="778.96"/>
        <n v="1382.15"/>
        <n v="391.23"/>
        <n v="498.89"/>
        <n v="1844.18"/>
        <n v="1440.18"/>
        <n v="1520.43"/>
        <n v="752.97"/>
        <n v="1496.73"/>
        <n v="1386.11"/>
        <n v="575.94000000000005"/>
        <n v="1168.25"/>
        <n v="1494.43"/>
        <n v="1293.0999999999999"/>
        <n v="527.16"/>
        <n v="342.92"/>
        <n v="386.88"/>
        <n v="1623.67"/>
        <n v="1208.1099999999999"/>
        <n v="714.51"/>
        <n v="206.04"/>
        <n v="1464.56"/>
        <n v="1697.48"/>
        <n v="790.72"/>
        <n v="1477.57"/>
        <n v="1866.62"/>
        <n v="1807.76"/>
        <n v="1983.42"/>
        <n v="1543.55"/>
        <n v="1336.47"/>
        <n v="1702.59"/>
        <n v="1994.23"/>
        <n v="692.1"/>
        <n v="1385.19"/>
        <n v="89.44"/>
        <n v="1850.87"/>
        <n v="901.31"/>
        <n v="584.42999999999995"/>
        <n v="1558.89"/>
        <n v="1623.53"/>
        <n v="1086.18"/>
        <n v="1160.72"/>
        <n v="1045.53"/>
        <n v="821.86"/>
        <n v="617.73"/>
        <n v="1898.69"/>
        <n v="1304.1500000000001"/>
        <n v="1210.56"/>
        <n v="1222.0999999999999"/>
        <n v="498.93"/>
        <n v="1734.99"/>
        <n v="1831.8"/>
        <n v="368.71"/>
        <n v="657.63"/>
        <n v="379.12"/>
        <n v="1515.73"/>
        <n v="175.09"/>
        <n v="1468.76"/>
        <n v="63.17"/>
        <n v="922.75"/>
        <n v="160.87"/>
        <n v="1993.54"/>
        <n v="1846.08"/>
        <n v="1643.85"/>
        <n v="818.57"/>
        <n v="1253.53"/>
        <n v="883.04"/>
        <n v="1571.16"/>
        <n v="583.01"/>
        <n v="116.26"/>
        <n v="657.79"/>
        <n v="308.70999999999998"/>
        <n v="1874.36"/>
        <n v="375.75"/>
        <n v="594.94000000000005"/>
        <n v="91.88"/>
        <n v="207.27"/>
        <n v="1426.55"/>
        <n v="1839.87"/>
        <n v="180.57"/>
        <n v="787.25"/>
        <n v="801.8"/>
        <n v="1671.26"/>
        <n v="1226.92"/>
        <n v="646.72"/>
        <n v="692.88"/>
        <n v="727.63"/>
        <n v="1105.6400000000001"/>
        <n v="1682.83"/>
        <n v="831.78"/>
        <n v="1123.42"/>
        <n v="1863.43"/>
        <n v="1556.65"/>
        <n v="1156.53"/>
        <n v="1817"/>
        <n v="1928.44"/>
        <n v="62.57"/>
        <n v="1482.15"/>
        <n v="1633.1"/>
        <n v="252.55"/>
        <n v="1960.22"/>
        <n v="851.64"/>
        <n v="677.22"/>
        <n v="1761.69"/>
        <n v="935.59"/>
        <n v="1098.47"/>
        <n v="1219.03"/>
        <n v="264.8"/>
        <n v="1921.25"/>
        <n v="1531.07"/>
        <n v="842.98"/>
        <n v="1678.08"/>
        <n v="370.29"/>
        <n v="1494.14"/>
        <n v="1855.58"/>
        <n v="1298.99"/>
        <n v="859.01"/>
        <n v="113.85"/>
        <n v="294.70999999999998"/>
        <n v="697.9"/>
        <n v="932.43"/>
        <n v="814.84"/>
        <n v="233.48"/>
        <n v="1071.93"/>
        <n v="1761.9"/>
        <n v="1167"/>
        <n v="1255.1600000000001"/>
        <n v="914.56"/>
        <n v="399.04"/>
        <n v="1297.69"/>
        <n v="828.96"/>
        <n v="858.85"/>
        <n v="322.17"/>
        <n v="1344.5"/>
        <n v="654.9"/>
        <n v="708.95"/>
        <n v="1700.01"/>
        <n v="1474.34"/>
        <n v="450.93"/>
        <n v="1626.8"/>
        <n v="518.65"/>
        <n v="213.96"/>
        <n v="330.25"/>
        <n v="285.52"/>
        <n v="90.3"/>
        <n v="703.21"/>
        <n v="1255.1199999999999"/>
        <n v="1303.98"/>
        <n v="1480.3"/>
        <n v="1737.74"/>
        <n v="777.85"/>
        <n v="1937.84"/>
        <n v="176.47"/>
        <n v="522.94000000000005"/>
        <n v="1687.38"/>
        <n v="111.45"/>
        <n v="125.09"/>
        <n v="786.96"/>
        <n v="1019.94"/>
        <n v="1662.73"/>
        <n v="910.3"/>
        <n v="672.34"/>
        <n v="1318.01"/>
        <n v="155.04"/>
        <n v="180.21"/>
        <n v="361.83"/>
        <n v="72.510000000000005"/>
        <n v="1368.69"/>
        <n v="642.80999999999995"/>
        <n v="1194.8499999999999"/>
        <n v="872.03"/>
        <n v="1750.1"/>
        <n v="1611.22"/>
        <n v="1162.1400000000001"/>
        <n v="471.8"/>
        <n v="207.82"/>
        <n v="1671.83"/>
        <n v="1787.1"/>
        <n v="862.2"/>
        <n v="294.88"/>
        <n v="1433.39"/>
        <n v="913.48"/>
        <n v="694.79"/>
        <n v="367.01"/>
        <n v="62.71"/>
        <n v="1732.12"/>
        <n v="1744.14"/>
        <n v="1261.6500000000001"/>
        <n v="56.4"/>
        <n v="1472.32"/>
        <n v="119.49"/>
        <n v="748.21"/>
        <n v="558.91"/>
        <n v="1796.03"/>
        <n v="965.58"/>
        <n v="1634.57"/>
        <n v="497.58"/>
        <n v="627.63"/>
        <n v="1116.1600000000001"/>
        <n v="1724.47"/>
        <n v="1555.33"/>
        <n v="1308.53"/>
        <n v="1648.66"/>
        <n v="1353.39"/>
        <n v="168.99"/>
        <n v="1716.79"/>
        <n v="732.83"/>
        <n v="1703.85"/>
        <n v="593.97"/>
        <n v="1258.29"/>
        <n v="1786.36"/>
        <n v="1927.94"/>
        <n v="1650.94"/>
        <n v="513.33000000000004"/>
        <n v="330.26"/>
        <n v="1767.85"/>
        <n v="1928.04"/>
        <n v="354.16"/>
        <n v="180.98"/>
        <n v="1962.3"/>
        <n v="967.81"/>
        <n v="1246.78"/>
        <n v="438.12"/>
        <n v="414.3"/>
        <n v="1629.71"/>
        <n v="1097.8800000000001"/>
        <n v="1381.1"/>
        <n v="1523.26"/>
        <n v="1305.1199999999999"/>
        <n v="1218.04"/>
        <n v="67.430000000000007"/>
        <n v="342.34"/>
        <n v="183.13"/>
        <n v="1586.67"/>
        <n v="1790.54"/>
        <n v="1876.55"/>
        <n v="738.31"/>
        <n v="1710.71"/>
        <n v="394.88"/>
        <n v="1394.19"/>
        <n v="1591.82"/>
        <n v="223.31"/>
        <n v="923.42"/>
        <n v="1756.11"/>
        <n v="1231.27"/>
        <n v="132.13999999999999"/>
        <n v="849.27"/>
        <n v="1199.52"/>
        <n v="1411.07"/>
        <n v="1831.26"/>
        <n v="240.88"/>
        <n v="1718.56"/>
        <n v="945.45"/>
        <n v="140.05000000000001"/>
        <n v="1687.01"/>
        <n v="534.29999999999995"/>
        <n v="789.53"/>
        <n v="701.66"/>
        <n v="1292.32"/>
        <n v="1898.78"/>
        <n v="1597.12"/>
        <n v="199.88"/>
        <n v="1935.32"/>
        <n v="853.81"/>
        <n v="1888.77"/>
        <n v="157.96"/>
        <n v="645.32000000000005"/>
        <n v="1650.9"/>
        <n v="152.16"/>
        <n v="689.53"/>
        <n v="1270.46"/>
        <n v="1582.01"/>
        <n v="329.42"/>
        <n v="1122.26"/>
        <n v="621.69000000000005"/>
        <n v="143.54"/>
        <n v="657.95"/>
        <n v="1828.33"/>
        <n v="1102.7"/>
        <n v="181.72"/>
        <n v="460.93"/>
        <n v="580.70000000000005"/>
        <n v="1368.71"/>
        <n v="456.29"/>
        <n v="1724.21"/>
        <n v="425.07"/>
        <n v="510.32"/>
        <n v="455.15"/>
        <n v="1712.96"/>
        <n v="1934.49"/>
        <n v="644.6"/>
        <n v="1369.93"/>
        <n v="192.75"/>
        <n v="738.57"/>
        <n v="1341.63"/>
        <n v="276.02999999999997"/>
        <n v="1327.22"/>
        <n v="592.95000000000005"/>
        <n v="171.94"/>
        <n v="128.66"/>
        <n v="213.57"/>
        <n v="898.19"/>
        <n v="1689.16"/>
        <n v="427.3"/>
        <n v="970.3"/>
        <n v="1148.98"/>
        <n v="1718.21"/>
        <n v="1493.14"/>
        <n v="216.61"/>
        <n v="627.29999999999995"/>
        <n v="1323.75"/>
        <n v="827.85"/>
        <n v="195.9"/>
        <n v="1590.49"/>
        <n v="1593.69"/>
        <n v="110.09"/>
        <n v="1362.71"/>
        <n v="1617.84"/>
        <n v="1473.65"/>
        <n v="352.2"/>
        <n v="1906.36"/>
        <n v="510.79"/>
        <n v="1805.26"/>
        <n v="109.7"/>
        <n v="1210.57"/>
        <n v="812.8"/>
        <n v="1705.71"/>
        <n v="1111.52"/>
        <n v="664.89"/>
        <n v="1219.71"/>
        <n v="1606.3"/>
        <n v="1702.79"/>
        <n v="816.79"/>
        <n v="1294.8399999999999"/>
        <n v="704.37"/>
        <n v="428.94"/>
        <n v="1489.85"/>
        <n v="238.33"/>
        <n v="1457.71"/>
        <n v="1116.27"/>
        <n v="245.34"/>
        <n v="883.96"/>
        <n v="1840.98"/>
        <n v="1535.57"/>
        <n v="415.32"/>
        <n v="741.63"/>
        <n v="1803.02"/>
        <n v="1609.67"/>
        <n v="1530.7"/>
        <n v="1122.6300000000001"/>
        <n v="694.1"/>
        <n v="1404.26"/>
        <n v="837.62"/>
        <n v="756.52"/>
        <n v="1018.23"/>
        <n v="1898.64"/>
        <n v="629.85"/>
        <n v="137.33000000000001"/>
        <n v="1703.8"/>
        <n v="469.63"/>
        <n v="1876.07"/>
        <n v="274.33999999999997"/>
        <n v="87.13"/>
        <n v="323.92"/>
        <n v="905"/>
        <n v="647.96"/>
        <n v="1033.31"/>
        <n v="898.51"/>
        <n v="359.45"/>
        <n v="1779.34"/>
        <n v="1978.24"/>
        <n v="1466.37"/>
        <n v="1103.0999999999999"/>
        <n v="358.67"/>
        <n v="976.65"/>
        <n v="1177.07"/>
        <n v="606.85"/>
        <n v="1010.99"/>
        <n v="1904.66"/>
        <n v="1746.44"/>
        <n v="1991.25"/>
        <n v="1735.54"/>
        <n v="1721.87"/>
        <n v="1315.7"/>
        <n v="1114.04"/>
        <n v="1029.01"/>
        <n v="674.72"/>
        <n v="493.94"/>
        <n v="102.63"/>
        <n v="859.3"/>
        <n v="130.09"/>
        <n v="1519.54"/>
        <n v="1515.98"/>
        <n v="1501.81"/>
        <n v="242.05"/>
        <n v="622.19000000000005"/>
        <n v="1621.72"/>
        <n v="658.02"/>
        <n v="502.7"/>
        <n v="374.88"/>
        <n v="169.03"/>
        <n v="1888.56"/>
        <n v="128.09"/>
        <n v="1362.61"/>
        <n v="1016.94"/>
        <n v="1339.24"/>
        <n v="1678.74"/>
        <n v="585.02"/>
        <n v="464.16"/>
        <n v="1440.97"/>
        <n v="569.51"/>
        <n v="927.19"/>
        <n v="1440.26"/>
        <n v="900.94"/>
        <n v="1318.07"/>
        <n v="61.59"/>
        <n v="235"/>
        <n v="1514.6"/>
        <n v="959.37"/>
        <n v="1029.8599999999999"/>
        <n v="593.05999999999995"/>
        <n v="127.5"/>
        <n v="1189.31"/>
        <n v="304.69"/>
        <n v="1829.54"/>
        <n v="716.96"/>
        <n v="1939.3"/>
        <n v="1040.71"/>
        <n v="1203.8599999999999"/>
        <n v="290.51"/>
        <n v="1893.13"/>
        <n v="1693.37"/>
        <n v="1713.87"/>
        <n v="249.47"/>
        <n v="1195.6199999999999"/>
        <n v="1447.13"/>
        <n v="1259.95"/>
        <n v="953.43"/>
        <n v="724.23"/>
        <n v="1897.63"/>
        <n v="314.93"/>
        <n v="1375.11"/>
        <n v="88.3"/>
        <n v="355.2"/>
        <n v="1785.9"/>
        <n v="1252.07"/>
        <n v="1755.84"/>
        <n v="570.83000000000004"/>
        <n v="379.75"/>
        <n v="893.66"/>
        <n v="1536.36"/>
        <n v="1136.82"/>
        <n v="550.73"/>
        <n v="1716.15"/>
        <n v="1525.14"/>
        <n v="822.34"/>
        <n v="1572.82"/>
        <n v="930.78"/>
        <n v="325.27999999999997"/>
        <n v="597.65"/>
        <n v="407.17"/>
        <n v="309.45"/>
        <n v="1140.47"/>
        <n v="114.64"/>
        <n v="1939.22"/>
        <n v="281.73"/>
        <n v="1344.49"/>
        <n v="1825.09"/>
        <n v="1866.71"/>
        <n v="1038.33"/>
        <n v="1951.8"/>
        <n v="275.25"/>
        <n v="375.94"/>
        <n v="1697.19"/>
        <n v="813.61"/>
        <n v="170.85"/>
        <n v="200.05"/>
        <n v="1672.14"/>
        <n v="1797.42"/>
        <n v="1536.53"/>
        <n v="505.45"/>
        <n v="947.25"/>
        <n v="544.55999999999995"/>
        <n v="1096.93"/>
        <n v="69.73"/>
        <n v="1744.92"/>
        <n v="1259.56"/>
        <n v="1010.87"/>
        <n v="558.66"/>
        <n v="804.45"/>
        <n v="758.27"/>
        <n v="1597.76"/>
        <n v="825.45"/>
        <n v="1506.04"/>
        <n v="1961.54"/>
        <n v="1835.13"/>
        <n v="62.96"/>
        <n v="135.22999999999999"/>
        <n v="1271.7"/>
        <n v="1654.41"/>
        <n v="999.37"/>
        <n v="1272.76"/>
        <n v="757.24"/>
        <n v="1297.52"/>
        <n v="1800.34"/>
        <n v="399.52"/>
        <n v="1472.24"/>
        <n v="1248.08"/>
        <n v="937.51"/>
        <n v="1671.75"/>
        <n v="1151.1400000000001"/>
        <n v="1992.27"/>
        <n v="1881.81"/>
        <n v="1351.09"/>
        <n v="1696.62"/>
        <n v="500.04"/>
        <n v="191.39"/>
        <n v="288.02"/>
        <n v="843.35"/>
        <n v="928.68"/>
        <n v="489.39"/>
        <n v="691.98"/>
        <n v="1371.67"/>
        <n v="658.34"/>
        <n v="1302.82"/>
        <n v="1743.12"/>
        <n v="1480.24"/>
        <n v="857.09"/>
        <n v="782.31"/>
        <n v="1705.82"/>
        <n v="1082.1600000000001"/>
        <n v="813.19"/>
        <n v="1124.02"/>
        <n v="1894.56"/>
        <n v="756.6"/>
        <n v="1727.04"/>
        <n v="748.47"/>
        <n v="1196.3800000000001"/>
        <n v="699.26"/>
        <n v="1253.81"/>
        <n v="65.599999999999994"/>
        <n v="1595.75"/>
        <n v="1874.45"/>
        <n v="1068.52"/>
        <n v="273.18"/>
        <n v="587.35"/>
        <n v="596.59"/>
        <n v="497.61"/>
        <n v="484.91"/>
        <n v="1935.86"/>
        <n v="1341.32"/>
        <n v="1167.53"/>
        <n v="1491.34"/>
        <n v="1116.18"/>
        <n v="1312.21"/>
        <n v="1377.39"/>
        <n v="672.1"/>
        <n v="146.80000000000001"/>
        <n v="736.65"/>
        <n v="73.489999999999995"/>
        <n v="1843.63"/>
        <n v="624.23"/>
        <n v="1934.11"/>
        <n v="71.69"/>
        <n v="1955.82"/>
        <n v="1089.56"/>
        <n v="1778.56"/>
        <n v="1395.41"/>
        <n v="335.12"/>
        <n v="1802.02"/>
        <n v="1858.93"/>
        <n v="1401.25"/>
        <n v="1631.07"/>
        <n v="937.33"/>
        <n v="953.21"/>
        <n v="477.15"/>
        <n v="1852.18"/>
        <n v="1871.65"/>
        <n v="1087.82"/>
        <n v="1253.26"/>
        <n v="909.53"/>
        <n v="871.09"/>
        <n v="585.97"/>
        <n v="1804.06"/>
        <n v="404.4"/>
        <n v="81.93"/>
        <n v="1973.75"/>
        <n v="1750.02"/>
        <n v="363.93"/>
        <n v="627.91"/>
        <n v="1061.03"/>
        <n v="1016.23"/>
        <n v="705.9"/>
        <n v="704.59"/>
        <n v="724.09"/>
        <n v="545.20000000000005"/>
        <n v="692.65"/>
        <n v="872.94"/>
        <n v="692.81"/>
        <n v="1553.18"/>
        <n v="1433.82"/>
        <n v="1261.78"/>
        <n v="1951.24"/>
        <n v="806.97"/>
        <n v="916.11"/>
        <n v="1185.0899999999999"/>
        <n v="531.77"/>
        <n v="205.86"/>
        <n v="1966.02"/>
        <n v="1157.53"/>
        <n v="791.05"/>
        <n v="953.36"/>
        <n v="574.12"/>
        <n v="1547.18"/>
        <n v="724.3"/>
        <n v="1982.64"/>
        <n v="96.29"/>
        <n v="504.51"/>
        <n v="763.48"/>
        <n v="470.31"/>
        <n v="1157.46"/>
        <n v="1025.71"/>
        <n v="895.76"/>
        <n v="466.46"/>
        <n v="329.36"/>
        <n v="1503.64"/>
        <n v="1207.03"/>
        <n v="286.55"/>
        <n v="1559.83"/>
        <n v="1814.14"/>
        <n v="1740.32"/>
        <n v="1412.79"/>
        <n v="777.43"/>
        <n v="89.46"/>
        <n v="174.3"/>
        <n v="898.26"/>
        <n v="1762.51"/>
        <n v="1516.99"/>
        <n v="487.27"/>
        <n v="660.81"/>
        <n v="1428.76"/>
        <n v="1402.57"/>
        <n v="513.30999999999995"/>
        <n v="328.83"/>
        <n v="1442.4"/>
        <n v="127.54"/>
        <n v="1104.8800000000001"/>
        <n v="799.36"/>
        <n v="217.26"/>
        <n v="1865.56"/>
        <n v="792.61"/>
        <n v="79.150000000000006"/>
        <n v="744.6"/>
        <n v="1275.1199999999999"/>
        <n v="985.14"/>
        <n v="1711.88"/>
        <n v="1858.91"/>
        <n v="996.75"/>
        <n v="1556.92"/>
        <n v="1516.77"/>
        <n v="376.62"/>
        <n v="1573.51"/>
        <n v="248.93"/>
        <n v="885.29"/>
        <n v="69.489999999999995"/>
        <n v="563.23"/>
        <n v="244.35"/>
        <n v="936.65"/>
        <n v="114.38"/>
        <n v="691.27"/>
        <n v="758.71"/>
        <n v="864.2"/>
        <n v="564.73"/>
        <n v="775.62"/>
        <n v="1208.54"/>
        <n v="383.92"/>
        <n v="906.92"/>
        <n v="235.73"/>
        <n v="193.74"/>
        <n v="836.04"/>
        <n v="1427.87"/>
        <n v="234.7"/>
        <n v="163.61000000000001"/>
        <n v="1654.2"/>
        <n v="931.7"/>
        <n v="1927.39"/>
        <n v="227.65"/>
        <n v="325.89"/>
        <n v="1334.07"/>
        <n v="1322.71"/>
        <n v="199.55"/>
        <n v="455.33"/>
        <n v="1661.35"/>
        <n v="359.65"/>
        <n v="1927.73"/>
        <n v="1784.49"/>
        <n v="933.64"/>
        <n v="1448.84"/>
        <n v="1843.95"/>
        <n v="429.23"/>
        <n v="888.12"/>
        <n v="241.97"/>
        <n v="83.9"/>
        <n v="1431.49"/>
        <n v="484.8"/>
        <n v="611.54999999999995"/>
        <n v="1248.73"/>
        <n v="1721.39"/>
        <n v="1216.71"/>
        <n v="1906.22"/>
        <n v="402.6"/>
        <n v="827.9"/>
        <n v="683.98"/>
        <n v="1051.07"/>
        <n v="1554.14"/>
        <n v="1331.87"/>
        <n v="786.91"/>
        <n v="1266.8499999999999"/>
        <n v="98.37"/>
        <n v="427.32"/>
        <n v="1365.97"/>
        <n v="1785.19"/>
        <n v="457.04"/>
        <n v="295.85000000000002"/>
        <n v="634.39"/>
        <n v="1314.66"/>
        <n v="678.81"/>
        <n v="1926.58"/>
        <n v="652.70000000000005"/>
        <n v="1984.24"/>
        <n v="260.3"/>
        <n v="97.63"/>
        <n v="822.91"/>
        <n v="1167.58"/>
        <n v="1577.03"/>
        <n v="201.72"/>
        <n v="1818.69"/>
        <n v="1385.16"/>
        <n v="1767.9"/>
        <n v="188.48"/>
        <n v="1249.52"/>
        <n v="807.19"/>
        <n v="736.97"/>
        <n v="1967.84"/>
        <n v="1106.78"/>
        <n v="482.09"/>
        <n v="1580.17"/>
        <n v="679.89"/>
        <n v="1236.49"/>
        <n v="1627.54"/>
        <n v="1500.78"/>
        <n v="1179.81"/>
        <n v="1684.3"/>
        <n v="347.58"/>
        <n v="1479.37"/>
        <n v="1342.04"/>
        <n v="312.45"/>
        <n v="446.77"/>
        <n v="576.70000000000005"/>
        <n v="336.86"/>
        <n v="1735.43"/>
        <n v="1245.56"/>
        <n v="1817.22"/>
        <n v="1603.87"/>
        <n v="214.43"/>
        <n v="376.93"/>
        <n v="1429.5"/>
        <n v="1543.52"/>
        <n v="1585.3"/>
        <n v="233.19"/>
        <n v="98.71"/>
        <n v="664.68"/>
        <n v="1478.17"/>
        <n v="1182.3499999999999"/>
        <n v="1402.44"/>
        <n v="640.49"/>
        <n v="485.39"/>
        <n v="257.42"/>
        <n v="1489.14"/>
        <n v="1572.75"/>
        <n v="1930.67"/>
        <n v="1380.09"/>
        <n v="658.92"/>
        <n v="240.05"/>
        <n v="1299.6500000000001"/>
        <n v="398.91"/>
        <n v="1136.32"/>
        <n v="1142.21"/>
        <n v="704.6"/>
        <n v="1884.42"/>
        <n v="1085.76"/>
        <n v="850.33"/>
        <n v="1666.17"/>
        <n v="1924.91"/>
        <n v="1744.45"/>
        <n v="1187.53"/>
        <n v="735.65"/>
        <n v="995.16"/>
        <n v="1993.32"/>
        <n v="1441.94"/>
        <n v="866.75"/>
        <n v="213.26"/>
        <n v="1324.82"/>
        <n v="1925.23"/>
        <n v="895.68"/>
        <n v="941.36"/>
        <n v="928.98"/>
        <n v="297.76"/>
        <n v="1531.65"/>
        <n v="798.82"/>
        <n v="474.86"/>
        <n v="1702.25"/>
        <n v="1449.56"/>
        <n v="56.49"/>
        <n v="352.87"/>
        <n v="1178.51"/>
        <n v="265.95999999999998"/>
        <n v="300.07"/>
        <n v="199.18"/>
        <n v="1537.17"/>
        <n v="1034.77"/>
        <n v="175.52"/>
        <n v="784.01"/>
        <n v="116.59"/>
        <n v="1720.86"/>
        <n v="1789.5"/>
        <n v="1061.69"/>
        <n v="1265.06"/>
        <n v="1905.5"/>
        <n v="1180.3399999999999"/>
        <n v="1062.4000000000001"/>
        <n v="1536.66"/>
        <n v="1137.3800000000001"/>
        <n v="1726.69"/>
        <n v="773.18"/>
        <n v="601.70000000000005"/>
        <n v="232.87"/>
        <n v="1754.54"/>
        <n v="603.74"/>
        <n v="763.73"/>
        <n v="748.79"/>
        <n v="1897.36"/>
        <n v="112.8"/>
        <n v="328.05"/>
        <n v="1541.55"/>
        <n v="1465.48"/>
        <n v="1332.8"/>
        <n v="287.27999999999997"/>
        <n v="107.01"/>
        <n v="887.25"/>
        <n v="53.01"/>
        <n v="306.68"/>
        <n v="1370.74"/>
        <n v="1930.85"/>
        <n v="122.54"/>
        <n v="1608.97"/>
        <n v="163.69"/>
        <n v="918.89"/>
        <n v="407.23"/>
        <n v="272.45999999999998"/>
        <n v="958.24"/>
        <n v="521.66"/>
        <n v="1285.57"/>
        <n v="718.06"/>
        <n v="1836.42"/>
        <n v="867.52"/>
        <n v="853.05"/>
        <n v="1465.46"/>
        <n v="821.38"/>
        <n v="60.94"/>
        <n v="743.53"/>
        <n v="715.16"/>
        <n v="1791.05"/>
        <n v="233.85"/>
        <n v="1346.5"/>
        <n v="1388.96"/>
        <n v="615.44000000000005"/>
        <n v="1702.32"/>
        <n v="1707.06"/>
        <n v="832.26"/>
        <n v="1033.67"/>
        <n v="1398.98"/>
        <n v="1738.52"/>
        <n v="643.86"/>
        <n v="58.96"/>
        <n v="454.12"/>
        <n v="1561.54"/>
        <n v="1451.05"/>
        <n v="1321.65"/>
        <n v="439.12"/>
        <n v="667.8"/>
        <n v="853.37"/>
        <n v="531.79"/>
        <n v="445.16"/>
        <n v="875.8"/>
        <n v="1071.4100000000001"/>
        <n v="722.11"/>
        <n v="153.6"/>
        <n v="993.52"/>
        <n v="470.43"/>
        <n v="434.68"/>
        <n v="458.46"/>
        <n v="1131.6600000000001"/>
        <n v="1209.74"/>
        <n v="1009.89"/>
        <n v="253.78"/>
        <n v="810.3"/>
        <n v="525.99"/>
        <n v="518.39"/>
        <n v="1184.24"/>
        <n v="1100.04"/>
        <n v="1858.94"/>
        <n v="1855.78"/>
        <n v="1008.63"/>
        <n v="1237.46"/>
        <n v="740.78"/>
        <n v="529"/>
        <n v="1060.4100000000001"/>
        <n v="865.93"/>
        <n v="1446.19"/>
        <n v="1569.4"/>
        <n v="1710.53"/>
        <n v="1681.14"/>
        <n v="269.13"/>
        <n v="736.25"/>
        <n v="1222.6099999999999"/>
        <n v="81.489999999999995"/>
        <n v="1473.42"/>
        <n v="967.34"/>
        <n v="1400.59"/>
        <n v="756.84"/>
        <n v="1938.43"/>
        <n v="828.36"/>
        <n v="1476.62"/>
        <n v="1246.1400000000001"/>
        <n v="1163.9000000000001"/>
        <n v="1160.21"/>
        <n v="1446.92"/>
        <n v="932.61"/>
        <n v="1232.6300000000001"/>
        <n v="1043.24"/>
        <n v="1443.75"/>
        <n v="1106.29"/>
        <n v="1682.1"/>
        <n v="329.66"/>
        <n v="867.43"/>
        <n v="1241.1199999999999"/>
        <n v="1377.69"/>
        <n v="486.18"/>
        <n v="1625.39"/>
        <n v="114.88"/>
        <n v="801.97"/>
        <n v="204.24"/>
        <n v="579.91"/>
        <n v="1299.47"/>
        <n v="1892.29"/>
        <n v="1096.3900000000001"/>
        <n v="1365.95"/>
        <n v="1772.9"/>
        <n v="300.64"/>
        <n v="122.95"/>
        <n v="1837.47"/>
        <n v="487.38"/>
        <n v="529.46"/>
        <n v="389.24"/>
        <n v="786.45"/>
        <n v="1814.93"/>
        <n v="141.52000000000001"/>
        <n v="156.44"/>
        <n v="938.02"/>
        <n v="1599.16"/>
        <n v="153.03"/>
        <n v="920.27"/>
        <n v="450.72"/>
        <n v="1282.26"/>
        <n v="652.96"/>
        <n v="956.07"/>
        <n v="1650.89"/>
        <n v="1020.29"/>
        <n v="1764.62"/>
        <n v="1295.77"/>
        <n v="726.05"/>
        <n v="1426.78"/>
        <n v="483.38"/>
        <n v="1665.06"/>
        <n v="1775.77"/>
        <n v="62.88"/>
        <n v="627.79"/>
        <n v="1113.0899999999999"/>
        <n v="1172.55"/>
        <n v="651.59"/>
        <n v="1468.45"/>
        <n v="853.86"/>
        <n v="433.74"/>
        <n v="1843.48"/>
        <n v="606.87"/>
        <n v="833.28"/>
        <n v="1722.92"/>
        <n v="1123.08"/>
        <n v="1448.9"/>
        <n v="746.96"/>
        <n v="820.61"/>
        <n v="362.16"/>
        <n v="152.46"/>
        <n v="88.88"/>
        <n v="402.74"/>
        <n v="1672.94"/>
        <n v="239.45"/>
        <n v="854.57"/>
        <n v="267.85000000000002"/>
        <n v="514.99"/>
        <n v="1649.98"/>
        <n v="1834.53"/>
        <n v="702.24"/>
        <n v="1242.67"/>
        <n v="1309.6600000000001"/>
        <n v="1117.0999999999999"/>
        <n v="485.73"/>
        <n v="1312.17"/>
        <n v="1008.85"/>
        <n v="1674.08"/>
        <n v="1468.02"/>
        <n v="607.45000000000005"/>
        <n v="960.8"/>
        <n v="1292.78"/>
        <n v="1712.44"/>
        <n v="1039.6300000000001"/>
        <n v="1046.1300000000001"/>
        <n v="1644.26"/>
        <n v="1129.8"/>
        <n v="246.73"/>
        <n v="848.19"/>
        <n v="493.24"/>
        <n v="621.29"/>
        <n v="1045.03"/>
        <n v="504.61"/>
        <n v="1143.9100000000001"/>
        <n v="137.75"/>
        <n v="1983.97"/>
        <n v="1756.01"/>
        <n v="1924.14"/>
        <n v="348.45"/>
        <n v="1281.54"/>
        <n v="268.18"/>
        <n v="1855.91"/>
        <n v="494.11"/>
        <n v="1719.93"/>
        <n v="1234.25"/>
        <n v="384.73"/>
        <n v="324.47000000000003"/>
        <n v="198.89"/>
        <n v="1684.08"/>
        <n v="1414.97"/>
        <n v="1868.27"/>
        <n v="235.06"/>
        <n v="1802.17"/>
        <n v="1901.69"/>
        <n v="1027.99"/>
        <n v="1892.01"/>
        <n v="1489.09"/>
        <n v="491.2"/>
        <n v="1212.03"/>
        <n v="1686.23"/>
        <n v="1623.84"/>
        <n v="431.76"/>
        <n v="778.41"/>
        <n v="1708.37"/>
        <n v="1466.28"/>
        <n v="176.67"/>
        <n v="1422.29"/>
        <n v="529.23"/>
        <n v="512.54"/>
        <n v="1907.06"/>
        <n v="1209.01"/>
        <n v="1902.64"/>
        <n v="385.38"/>
        <n v="1638.28"/>
        <n v="1661.77"/>
        <n v="64.67"/>
        <n v="1362.6"/>
        <n v="1314.23"/>
        <n v="1420.92"/>
        <n v="112.64"/>
        <n v="977.02"/>
        <n v="909.52"/>
        <n v="498.14"/>
        <n v="1420.07"/>
        <n v="682.54"/>
        <n v="1834.92"/>
        <n v="770.36"/>
        <n v="533.69000000000005"/>
        <n v="1568.42"/>
        <n v="773.03"/>
        <n v="147.01"/>
        <n v="1286.51"/>
        <n v="305.08"/>
        <n v="518.77"/>
        <n v="171.98"/>
        <n v="748.81"/>
        <n v="1393.61"/>
        <n v="416"/>
        <n v="211.14"/>
        <n v="1970.69"/>
        <n v="979.97"/>
        <n v="1005.2"/>
        <n v="522.6"/>
        <n v="1225.77"/>
        <n v="405.31"/>
        <n v="1884.09"/>
        <n v="338.99"/>
        <n v="364.92"/>
        <n v="1151.53"/>
        <n v="376.22"/>
        <n v="1437.36"/>
        <n v="1364.76"/>
        <n v="1893.54"/>
        <n v="954.6"/>
        <n v="1762.11"/>
        <n v="784.62"/>
        <n v="1594.04"/>
        <n v="1970.85"/>
        <n v="1004.15"/>
        <n v="948.6"/>
        <n v="577.16"/>
        <n v="1802.46"/>
        <n v="242.38"/>
        <n v="1066.6099999999999"/>
        <n v="1457.93"/>
        <n v="1344.16"/>
        <n v="1328.4"/>
        <n v="591.07000000000005"/>
        <n v="473.86"/>
        <n v="580.32000000000005"/>
        <n v="568.32000000000005"/>
        <n v="583.86"/>
        <n v="1594.13"/>
        <n v="1212.4100000000001"/>
        <n v="951.58"/>
        <n v="1216.9000000000001"/>
        <n v="888.94"/>
        <n v="160.9"/>
        <n v="866.93"/>
        <n v="1091.1400000000001"/>
        <n v="834.71"/>
        <n v="1208.3"/>
        <n v="1780.93"/>
        <n v="569.12"/>
        <n v="511.65"/>
        <n v="244.84"/>
        <n v="404.02"/>
        <n v="904.99"/>
        <n v="242.71"/>
        <n v="786.22"/>
        <n v="1231.8800000000001"/>
        <n v="432.61"/>
        <n v="607.29"/>
        <n v="280.93"/>
        <n v="464.17"/>
        <n v="541.41"/>
        <n v="1018.95"/>
        <n v="1731.93"/>
        <n v="1129.18"/>
        <n v="758.64"/>
        <n v="164.35"/>
        <n v="392.17"/>
        <n v="266.33"/>
        <n v="1813.58"/>
        <n v="1665.68"/>
        <n v="994.57"/>
        <n v="1780.66"/>
        <n v="509.72"/>
        <n v="378.58"/>
        <n v="1832.27"/>
        <n v="902.27"/>
        <n v="1553.86"/>
        <n v="1860.06"/>
        <n v="1642.29"/>
        <n v="242.72"/>
        <n v="1923.87"/>
        <n v="774.87"/>
        <n v="85.75"/>
        <n v="492.13"/>
        <n v="219.88"/>
        <n v="203.95"/>
        <n v="1517.39"/>
        <n v="1311.63"/>
        <n v="817.12"/>
        <n v="668.66"/>
        <n v="939.8"/>
        <n v="422.48"/>
        <n v="882.2"/>
        <n v="246.49"/>
        <n v="969.84"/>
        <n v="1161.8399999999999"/>
        <n v="1227.0899999999999"/>
        <n v="1750.06"/>
        <n v="944.22"/>
        <n v="1559.42"/>
        <n v="1998.09"/>
        <n v="1190.49"/>
        <n v="94.84"/>
        <n v="101.03"/>
        <n v="1214.71"/>
        <n v="595.99"/>
        <n v="327.95"/>
        <n v="1624.21"/>
        <n v="780.34"/>
        <n v="120.61"/>
        <n v="1182.6500000000001"/>
        <n v="760.58"/>
        <n v="1441.8"/>
        <n v="665.45"/>
        <n v="898.12"/>
        <n v="1099.6500000000001"/>
        <n v="1864.25"/>
        <n v="1107.8599999999999"/>
        <n v="259.95999999999998"/>
        <n v="322.42"/>
        <n v="1198.77"/>
        <n v="1572"/>
        <n v="958.02"/>
        <n v="986.83"/>
        <n v="944.76"/>
        <n v="1572.03"/>
        <n v="688.38"/>
        <n v="1606.01"/>
        <n v="1129.24"/>
        <n v="444.07"/>
        <n v="209.57"/>
        <n v="221.29"/>
        <n v="1137.95"/>
        <n v="1801.19"/>
        <n v="1419.66"/>
        <n v="219.51"/>
        <n v="600.96"/>
        <n v="156.24"/>
        <n v="1761.56"/>
        <n v="1877.18"/>
        <n v="152.09"/>
        <n v="1335.26"/>
        <n v="272.07"/>
        <n v="1410.08"/>
        <n v="260.89"/>
        <n v="190.13"/>
        <n v="788.72"/>
        <n v="371.86"/>
        <n v="320.74"/>
        <n v="1253.3"/>
        <n v="1947.67"/>
        <n v="922.67"/>
        <n v="262.87"/>
        <n v="756.06"/>
        <n v="1672.27"/>
        <n v="1234.6199999999999"/>
        <n v="51.15"/>
        <n v="1132.6600000000001"/>
        <n v="64.010000000000005"/>
        <n v="310.98"/>
        <n v="1516.81"/>
        <n v="257.55"/>
        <n v="1665.98"/>
        <n v="1384.55"/>
        <n v="94.29"/>
        <n v="1359.61"/>
        <n v="1053.17"/>
        <n v="792.19"/>
        <n v="713.18"/>
        <n v="915.77"/>
        <n v="1443.76"/>
        <n v="1362.12"/>
        <n v="1893.5"/>
        <n v="1557.49"/>
        <n v="1458.27"/>
        <n v="1948.02"/>
        <n v="165.6"/>
        <n v="1280.58"/>
        <n v="1305.32"/>
        <n v="81.31"/>
        <n v="1205.6099999999999"/>
        <n v="1047.71"/>
        <n v="1515.15"/>
        <n v="1670.23"/>
        <n v="1722.76"/>
        <n v="211.49"/>
        <n v="773.57"/>
        <n v="141.66"/>
        <n v="695.92"/>
        <n v="1842.14"/>
        <n v="1279.03"/>
        <n v="1415.67"/>
        <n v="1176.22"/>
        <n v="1243.53"/>
        <n v="1336.81"/>
        <n v="356.28"/>
        <n v="1222.73"/>
        <n v="101.47"/>
        <n v="787.04"/>
        <n v="577.73"/>
        <n v="682.83"/>
        <n v="1084.6300000000001"/>
        <n v="744.03"/>
        <n v="1105.06"/>
        <n v="199.36"/>
        <n v="1746.12"/>
        <n v="405.17"/>
        <n v="582.41999999999996"/>
        <n v="1439.26"/>
        <n v="1622.78"/>
        <n v="714.33"/>
        <n v="1134.4100000000001"/>
        <n v="1197.55"/>
        <n v="1932.49"/>
        <n v="1646.38"/>
        <n v="1803"/>
        <n v="711.03"/>
        <n v="1428.51"/>
        <n v="1147.55"/>
        <n v="1823.59"/>
        <n v="507.71"/>
        <n v="1390.51"/>
        <n v="700.6"/>
        <n v="826.64"/>
        <n v="1969.18"/>
        <n v="636.09"/>
        <n v="1686.83"/>
        <n v="1795.88"/>
        <n v="126.28"/>
        <n v="1822.65"/>
        <n v="981.65"/>
        <n v="1046.6500000000001"/>
        <n v="1242.42"/>
        <n v="1329.81"/>
        <n v="1773.9"/>
        <n v="259.05"/>
        <n v="1379.81"/>
        <n v="269.66000000000003"/>
        <n v="1149.24"/>
        <n v="1638.19"/>
        <n v="467.71"/>
        <n v="1285.46"/>
        <n v="1255.4100000000001"/>
        <n v="1346.19"/>
        <n v="1287.94"/>
        <n v="1829.6"/>
        <n v="1790.01"/>
        <n v="1550.09"/>
        <n v="1564.28"/>
        <n v="1446.28"/>
        <n v="122.48"/>
        <n v="311.58"/>
        <n v="1695.62"/>
        <n v="1198.5999999999999"/>
        <n v="1000.44"/>
        <n v="618.14"/>
        <n v="1168.79"/>
        <n v="1538.39"/>
        <n v="180.35"/>
        <n v="565.28"/>
        <n v="1400.91"/>
        <n v="1232.1099999999999"/>
        <n v="98.45"/>
        <n v="1878.88"/>
        <n v="840.44"/>
        <n v="1445.48"/>
        <n v="844.06"/>
        <n v="1982.42"/>
        <n v="901.11"/>
        <n v="869.76"/>
        <n v="1659.6"/>
        <n v="359.47"/>
        <n v="1701.27"/>
        <n v="943"/>
        <n v="1484.79"/>
        <n v="679.74"/>
        <n v="1107.5"/>
        <n v="1103.03"/>
        <n v="1699.63"/>
        <n v="1848.52"/>
        <n v="481.69"/>
        <n v="308.7"/>
        <n v="1982.6"/>
        <n v="1598.12"/>
        <n v="1509.91"/>
        <n v="135.63"/>
        <n v="1432.32"/>
        <n v="1450.06"/>
        <n v="1167.26"/>
        <n v="1996.34"/>
        <n v="1229.54"/>
        <n v="919.2"/>
        <n v="1794.13"/>
        <n v="1386.01"/>
        <n v="1619.7"/>
        <n v="1831.12"/>
        <n v="267.54000000000002"/>
        <n v="1436.86"/>
        <n v="1741.25"/>
        <n v="1277.8699999999999"/>
        <n v="656.37"/>
        <n v="936.53"/>
        <n v="841.63"/>
        <n v="133.63999999999999"/>
        <n v="657.27"/>
        <n v="384.91"/>
        <n v="254.38"/>
        <n v="947.22"/>
        <n v="920.18"/>
        <n v="968.78"/>
        <n v="366.19"/>
        <n v="1415.03"/>
        <n v="894.65"/>
        <n v="1659.2"/>
        <n v="592.1"/>
        <n v="1266.1600000000001"/>
        <n v="859.15"/>
        <n v="1532.57"/>
        <n v="1583.66"/>
        <n v="605.17999999999995"/>
        <n v="316.99"/>
        <n v="1439.41"/>
        <n v="1730.01"/>
        <n v="1276.0899999999999"/>
        <n v="335.61"/>
        <n v="1210.6300000000001"/>
        <n v="939.99"/>
        <n v="776.67"/>
        <n v="1915.74"/>
        <n v="772.85"/>
        <n v="1620.94"/>
        <n v="1189.74"/>
        <n v="1182.81"/>
        <n v="1695.95"/>
        <n v="1051.8499999999999"/>
        <n v="1281.3800000000001"/>
        <n v="1264.8"/>
        <n v="1582.47"/>
        <n v="1557.48"/>
        <n v="270.13"/>
        <n v="801.55"/>
        <n v="1542.91"/>
        <n v="151.41"/>
        <n v="1721.38"/>
        <n v="803.85"/>
        <n v="1815.45"/>
        <n v="1911.09"/>
        <n v="491.67"/>
        <n v="1668.1"/>
        <n v="933.26"/>
        <n v="377.17"/>
        <n v="1764.78"/>
        <n v="809.28"/>
        <n v="573.22"/>
        <n v="1700.68"/>
        <n v="1068.83"/>
        <n v="1565.57"/>
        <n v="1335.97"/>
        <n v="904.44"/>
        <n v="1040.1400000000001"/>
        <n v="1793.43"/>
        <n v="1749.99"/>
        <n v="428.39"/>
        <n v="1995.87"/>
        <n v="171.22"/>
        <n v="1754.85"/>
        <n v="619.51"/>
        <n v="124.38"/>
        <n v="1813.54"/>
        <n v="1566.52"/>
        <n v="1248.1400000000001"/>
        <n v="337.55"/>
        <n v="530.89"/>
        <n v="305.93"/>
        <n v="603.76"/>
        <n v="988.49"/>
        <n v="325.60000000000002"/>
        <n v="1773.48"/>
        <n v="776.51"/>
        <n v="940.43"/>
        <n v="1662.68"/>
        <n v="825.27"/>
        <n v="382.75"/>
        <n v="247.37"/>
        <n v="1256.8800000000001"/>
        <n v="1466.48"/>
        <n v="1718.72"/>
        <n v="1802.65"/>
        <n v="1171.8900000000001"/>
        <n v="939.16"/>
        <n v="598.21"/>
        <n v="1795.21"/>
        <n v="431.78"/>
        <n v="1036.72"/>
        <n v="126.41"/>
        <n v="1694.09"/>
        <n v="1494.63"/>
        <n v="1428.12"/>
        <n v="852.21"/>
        <n v="1943.92"/>
        <n v="320.82"/>
        <n v="605.77"/>
        <n v="1418.71"/>
        <n v="603.51"/>
        <n v="371.72"/>
        <n v="1062.6199999999999"/>
        <n v="1204.23"/>
        <n v="221.3"/>
        <n v="827.74"/>
        <n v="1261.45"/>
        <n v="704.33"/>
        <n v="1500.09"/>
        <n v="476.46"/>
        <n v="619.42999999999995"/>
        <n v="1732.94"/>
        <n v="1794.8"/>
        <n v="1327.76"/>
        <n v="797.76"/>
        <n v="1500.12"/>
        <n v="1799.36"/>
        <n v="1189.43"/>
        <n v="1795.43"/>
        <n v="1351.92"/>
        <n v="1692.22"/>
        <n v="885.78"/>
        <n v="481.56"/>
        <n v="1575.43"/>
        <n v="288.8"/>
        <n v="1655.19"/>
        <n v="139.63999999999999"/>
        <n v="1832.79"/>
        <n v="88.13"/>
        <n v="1554.36"/>
        <n v="1596.07"/>
        <n v="751.22"/>
        <n v="1452.63"/>
        <n v="1814.61"/>
        <n v="802.41"/>
        <n v="355.06"/>
        <n v="484.03"/>
        <n v="1472.95"/>
        <n v="424.04"/>
        <n v="879.52"/>
        <n v="411.27"/>
        <n v="1567.7"/>
        <n v="1981.85"/>
        <n v="936.13"/>
        <n v="1698.39"/>
        <n v="711.85"/>
        <n v="444.68"/>
        <n v="537.91"/>
        <n v="295.73"/>
        <n v="189.98"/>
        <n v="429.71"/>
        <n v="417.49"/>
        <n v="1243.24"/>
        <n v="1256.79"/>
        <n v="1673.81"/>
        <n v="1818.36"/>
        <n v="738.54"/>
        <n v="134.94999999999999"/>
        <n v="339.23"/>
        <n v="308.98"/>
        <n v="327.36"/>
        <n v="1912.47"/>
        <n v="363.89"/>
        <n v="1449.41"/>
        <n v="1794.28"/>
        <n v="1321.18"/>
        <n v="1428.85"/>
        <n v="808.45"/>
        <n v="375.06"/>
        <n v="366.83"/>
        <n v="1509.99"/>
        <n v="518.11"/>
        <n v="1831.19"/>
        <n v="618.83000000000004"/>
        <n v="221.46"/>
        <n v="460.3"/>
        <n v="848.16"/>
        <n v="558.08000000000004"/>
        <n v="1990.64"/>
        <n v="183.09"/>
        <n v="909.47"/>
        <n v="224.05"/>
        <n v="259.77999999999997"/>
        <n v="136.74"/>
        <n v="1209.1500000000001"/>
        <n v="104.67"/>
        <n v="515.20000000000005"/>
        <n v="544.09"/>
        <n v="1645.19"/>
        <n v="758.59"/>
        <n v="1808.74"/>
        <n v="1117.18"/>
        <n v="737.51"/>
        <n v="461.45"/>
        <n v="328.43"/>
        <n v="792.02"/>
        <n v="282.33"/>
        <n v="1542.5"/>
        <n v="637.04999999999995"/>
        <n v="1729.21"/>
        <n v="1344.56"/>
        <n v="753.76"/>
        <n v="257.81"/>
        <n v="1892.68"/>
        <n v="1264.46"/>
        <n v="1477.33"/>
        <n v="412.15"/>
        <n v="719.96"/>
        <n v="550.23"/>
        <n v="183.9"/>
        <n v="1096.56"/>
        <n v="1940.49"/>
        <n v="1695.91"/>
        <n v="101.11"/>
        <n v="1184.42"/>
        <n v="1818.18"/>
        <n v="1834.55"/>
        <n v="585.62"/>
        <n v="574.29"/>
        <n v="809.99"/>
        <n v="98.31"/>
        <n v="114.82"/>
        <n v="668.91"/>
        <n v="650.94000000000005"/>
        <n v="887.89"/>
        <n v="790.46"/>
        <n v="1874.66"/>
        <n v="928.41"/>
        <n v="1992.46"/>
        <n v="1839.28"/>
        <n v="1920.56"/>
        <n v="856.47"/>
        <n v="322.32"/>
        <n v="1113.92"/>
        <n v="1799.38"/>
        <n v="1848.94"/>
        <n v="737.84"/>
        <n v="1394.77"/>
        <n v="578.22"/>
        <n v="918.07"/>
        <n v="794.77"/>
        <n v="1592.68"/>
        <n v="637.75"/>
        <n v="1388.28"/>
        <n v="1223.1199999999999"/>
        <n v="1499.07"/>
        <n v="616.59"/>
        <n v="663.45"/>
        <n v="442.44"/>
        <n v="1108.47"/>
        <n v="1836.71"/>
        <n v="1773.07"/>
        <n v="1242.0899999999999"/>
        <n v="59.02"/>
        <n v="1297.6600000000001"/>
        <n v="539.70000000000005"/>
        <n v="1517.53"/>
        <n v="1497.16"/>
        <n v="1734.13"/>
        <n v="1883.62"/>
        <n v="1331.21"/>
        <n v="1455.94"/>
        <n v="852.79"/>
        <n v="1983.05"/>
        <n v="1563.28"/>
        <n v="460.09"/>
        <n v="1783.8"/>
        <n v="1738.75"/>
        <n v="1917.86"/>
        <n v="1797.45"/>
        <n v="1033.47"/>
        <n v="754.47"/>
        <n v="341.96"/>
        <n v="1104.94"/>
        <n v="603.29"/>
        <n v="1692.37"/>
        <n v="154.25"/>
        <n v="1158.8599999999999"/>
        <n v="1965.32"/>
        <n v="1848.21"/>
        <n v="234.38"/>
        <n v="596.82000000000005"/>
        <n v="972.83"/>
        <n v="1265.1300000000001"/>
        <n v="1934.1"/>
        <n v="1369.57"/>
        <n v="1573.95"/>
        <n v="911.23"/>
        <n v="511.66"/>
        <n v="404"/>
        <n v="460.59"/>
        <n v="349.94"/>
        <n v="300.87"/>
        <n v="1219.2"/>
        <n v="1078.99"/>
        <n v="582.29999999999995"/>
        <n v="1443.07"/>
        <n v="254.82"/>
        <n v="474.35"/>
        <n v="660.77"/>
        <n v="1628.04"/>
        <n v="1665.09"/>
        <n v="934.13"/>
        <n v="397.13"/>
        <n v="1987.04"/>
        <n v="1952.18"/>
        <n v="1465.61"/>
        <n v="86.12"/>
        <n v="680.18"/>
        <n v="1937.59"/>
        <n v="1231.53"/>
        <n v="413.92"/>
        <n v="905.2"/>
        <n v="1290.03"/>
        <n v="765.65"/>
        <n v="382.87"/>
        <n v="450.58"/>
        <n v="1691.54"/>
        <n v="637.44000000000005"/>
        <n v="853.52"/>
        <n v="201.38"/>
        <n v="355.48"/>
        <n v="1193.8800000000001"/>
        <n v="1396.23"/>
        <n v="1535.29"/>
        <n v="1466.53"/>
        <n v="1838.56"/>
        <n v="394.33"/>
        <n v="1543.35"/>
        <n v="67.59"/>
        <n v="973.4"/>
        <n v="373.33"/>
        <n v="202.05"/>
        <n v="1459.24"/>
        <n v="673.25"/>
        <n v="1697.9"/>
        <n v="160.1"/>
        <n v="1082.72"/>
        <n v="1613.23"/>
        <n v="1850.08"/>
        <n v="1328.2"/>
        <n v="264.69"/>
        <n v="1652.33"/>
        <n v="1698.1"/>
        <n v="1938.6"/>
        <n v="1606.49"/>
        <n v="757.2"/>
        <n v="1395.99"/>
        <n v="1783.34"/>
        <n v="533.84"/>
        <n v="290.48"/>
        <n v="1396.55"/>
        <n v="330.2"/>
        <n v="1505.52"/>
        <n v="1665.19"/>
        <n v="1335.67"/>
        <n v="931.06"/>
        <n v="1871.91"/>
        <n v="1607.85"/>
        <n v="1173.51"/>
        <n v="1950.43"/>
        <n v="70.98"/>
        <n v="1813.93"/>
        <n v="400.29"/>
        <n v="111.27"/>
        <n v="1815.37"/>
        <n v="297.8"/>
        <n v="1746.32"/>
        <n v="696.6"/>
        <n v="1964.41"/>
        <n v="1817.96"/>
        <n v="729.41"/>
        <n v="1279.46"/>
        <n v="1998.4"/>
        <n v="1769.23"/>
        <n v="1818.02"/>
        <n v="428.06"/>
        <n v="1044.3499999999999"/>
        <n v="813.82"/>
        <n v="1733.24"/>
        <n v="1650.42"/>
        <n v="1783.11"/>
        <n v="476.36"/>
        <n v="677.27"/>
        <n v="1712.7"/>
        <n v="239.19"/>
        <n v="1456.32"/>
        <n v="586.17999999999995"/>
        <n v="449.49"/>
        <n v="1268.32"/>
        <n v="1201.19"/>
        <n v="1443.31"/>
        <n v="300.11"/>
        <n v="690.43"/>
        <n v="1160.76"/>
        <n v="152.30000000000001"/>
        <n v="1575.86"/>
        <n v="1077.95"/>
        <n v="981.28"/>
        <n v="870.44"/>
        <n v="1788.54"/>
        <n v="1907.2"/>
        <n v="1122.92"/>
        <n v="1093.04"/>
        <n v="448.37"/>
        <n v="742.8"/>
        <n v="942.83"/>
        <n v="171.83"/>
        <n v="271.79000000000002"/>
        <n v="1688.1"/>
        <n v="1096.33"/>
        <n v="344.69"/>
        <n v="1268.1500000000001"/>
        <n v="1939.01"/>
        <n v="1162.31"/>
        <n v="549.88"/>
        <n v="1141.8499999999999"/>
        <n v="1506.4"/>
        <n v="1643.69"/>
        <n v="558.16999999999996"/>
        <n v="1322.67"/>
        <n v="465.78"/>
        <n v="504.68"/>
        <n v="278.11"/>
        <n v="1062.94"/>
        <n v="87.47"/>
        <n v="1052.97"/>
        <n v="1174.21"/>
        <n v="434.52"/>
        <n v="699.07"/>
        <n v="1066.52"/>
        <n v="1421.92"/>
        <n v="473.09"/>
        <n v="1998.28"/>
        <n v="1987.88"/>
        <n v="1617.94"/>
        <n v="1983.52"/>
        <n v="1873.26"/>
        <n v="281.08"/>
        <n v="556.78"/>
        <n v="468.43"/>
        <n v="1715.43"/>
        <n v="752.53"/>
        <n v="127.77"/>
        <n v="479.44"/>
        <n v="822.48"/>
        <n v="797.87"/>
        <n v="1559.74"/>
        <n v="1854.09"/>
        <n v="408.82"/>
        <n v="419.52"/>
        <n v="1112.28"/>
        <n v="901.03"/>
        <n v="1724.62"/>
        <n v="1690.59"/>
        <n v="1270.3399999999999"/>
        <n v="1220.74"/>
        <n v="1633.39"/>
        <n v="1638.39"/>
        <n v="100.85"/>
        <n v="897.01"/>
        <n v="494"/>
        <n v="1798.05"/>
        <n v="1841.78"/>
        <n v="240.07"/>
        <n v="453.18"/>
        <n v="369.61"/>
        <n v="1925.2"/>
        <n v="640.36"/>
        <n v="1533.43"/>
        <n v="579.99"/>
        <n v="743.09"/>
        <n v="1748.75"/>
        <n v="1216.81"/>
        <n v="1753.09"/>
        <n v="580.51"/>
        <n v="144.31"/>
        <n v="1502.17"/>
        <n v="656.52"/>
        <n v="266.31"/>
        <n v="1447.37"/>
        <n v="622.15"/>
        <n v="496.54"/>
        <n v="727.44"/>
        <n v="655.03"/>
        <n v="1964.7"/>
        <n v="1108.98"/>
        <n v="1036.33"/>
        <n v="1296.0999999999999"/>
        <n v="699.88"/>
        <n v="1105.2"/>
        <n v="846.28"/>
        <n v="1528.76"/>
        <n v="281.07"/>
        <n v="917.72"/>
        <n v="596.54999999999995"/>
        <n v="564.64"/>
        <n v="1572.48"/>
        <n v="1328"/>
        <n v="424.64"/>
        <n v="292.01"/>
        <n v="814.33"/>
        <n v="1658.77"/>
        <n v="245.08"/>
        <n v="613.79"/>
        <n v="153.43"/>
        <n v="1535.13"/>
        <n v="1818.88"/>
        <n v="616.17999999999995"/>
        <n v="848.84"/>
        <n v="256.06"/>
        <n v="1585.56"/>
        <n v="128.36000000000001"/>
        <n v="1329.25"/>
        <n v="1526.81"/>
        <n v="1223.1500000000001"/>
        <n v="886.55"/>
        <n v="721.26"/>
        <n v="905.38"/>
        <n v="1274.76"/>
        <n v="440.61"/>
        <n v="961.31"/>
        <n v="1424.67"/>
        <n v="159.38"/>
        <n v="446.18"/>
        <n v="1260.1099999999999"/>
        <n v="1586.83"/>
        <n v="660.83"/>
        <n v="948.94"/>
        <n v="827.46"/>
        <n v="1112.3800000000001"/>
        <n v="215.73"/>
        <n v="444.93"/>
        <n v="644.36"/>
        <n v="1233.67"/>
        <n v="836.08"/>
        <n v="1606.79"/>
        <n v="798.06"/>
        <n v="1916.68"/>
        <n v="186.84"/>
        <n v="900.01"/>
        <n v="1295.69"/>
        <n v="1854.61"/>
        <n v="602.85"/>
        <n v="423.46"/>
        <n v="894.59"/>
        <n v="392.08"/>
        <n v="913.41"/>
        <n v="1525.62"/>
        <n v="1829.11"/>
        <n v="679.8"/>
        <n v="1044.7"/>
        <n v="417.72"/>
        <n v="1077.6099999999999"/>
        <n v="1941.49"/>
        <n v="290.58"/>
        <n v="714.1"/>
        <n v="173.04"/>
        <n v="1962.48"/>
        <n v="1224.98"/>
        <n v="305.8"/>
        <n v="1141.43"/>
        <n v="1931.28"/>
        <n v="1231.75"/>
        <n v="174.66"/>
        <n v="297.05"/>
        <n v="682.87"/>
        <n v="366.21"/>
        <n v="1167.71"/>
        <n v="1324.58"/>
        <n v="1546.18"/>
        <n v="1494.45"/>
        <n v="631.03"/>
        <n v="1357.93"/>
        <n v="213.82"/>
        <n v="1733.51"/>
        <n v="766.11"/>
        <n v="1920.06"/>
        <n v="1613.49"/>
        <n v="1638.32"/>
        <n v="1419.3"/>
        <n v="1512.98"/>
        <n v="355.11"/>
        <n v="338.45"/>
        <n v="1540.78"/>
        <n v="1940.44"/>
        <n v="560.33000000000004"/>
        <n v="1475.35"/>
        <n v="1261.98"/>
        <n v="1218.74"/>
        <n v="613.98"/>
        <n v="1746.21"/>
        <n v="467.53"/>
        <n v="1672.02"/>
        <n v="358.63"/>
        <n v="1133.17"/>
        <n v="1325.77"/>
        <n v="609.04999999999995"/>
        <n v="1163.79"/>
        <n v="1125.46"/>
        <n v="1965.88"/>
        <n v="854.76"/>
        <n v="1082.5899999999999"/>
        <n v="384.37"/>
        <n v="1361.62"/>
        <n v="1663.49"/>
        <n v="154.86000000000001"/>
        <n v="274.62"/>
        <n v="82.81"/>
        <n v="1066.47"/>
        <n v="247"/>
        <n v="1724.95"/>
        <n v="1295.8900000000001"/>
        <n v="921.94"/>
        <n v="218.65"/>
        <n v="778.24"/>
        <n v="1685.77"/>
        <n v="1165.9100000000001"/>
        <n v="1990.97"/>
        <n v="1551.3"/>
        <n v="368.92"/>
        <n v="134.18"/>
        <n v="864.29"/>
        <n v="1470.11"/>
        <n v="102.21"/>
        <n v="125.16"/>
        <n v="1242.1600000000001"/>
        <n v="120.44"/>
        <n v="1459.34"/>
        <n v="1925.27"/>
        <n v="1129.71"/>
        <n v="1113.72"/>
        <n v="1392.16"/>
        <n v="996.65"/>
        <n v="1249.51"/>
        <n v="1897.76"/>
        <n v="671.44"/>
        <n v="188.5"/>
        <n v="311.92"/>
        <n v="1014.4"/>
        <n v="1517.24"/>
        <n v="839.14"/>
        <n v="1909.89"/>
        <n v="1308.6300000000001"/>
        <n v="1058.05"/>
        <n v="670.05"/>
        <n v="1908.08"/>
        <n v="1784.61"/>
        <n v="1796.58"/>
        <n v="268.36"/>
        <n v="1855.66"/>
        <n v="380.18"/>
        <n v="1579.73"/>
        <n v="1792.79"/>
        <n v="1904.53"/>
        <n v="1170.95"/>
        <n v="196.56"/>
        <n v="1988.03"/>
        <n v="889.36"/>
        <n v="317.64"/>
        <n v="736.39"/>
        <n v="247.32"/>
        <n v="503.11"/>
        <n v="441.67"/>
        <n v="1820.61"/>
        <n v="1244.28"/>
        <n v="1810.27"/>
        <n v="1730.16"/>
        <n v="965.31"/>
        <n v="874.35"/>
        <n v="231.99"/>
        <n v="1630.92"/>
        <n v="1561.21"/>
        <n v="1470.73"/>
        <n v="776.37"/>
        <n v="628.66999999999996"/>
        <n v="1041.8599999999999"/>
        <n v="1342.72"/>
        <n v="1702.69"/>
        <n v="1382.28"/>
        <n v="772.45"/>
        <n v="118.07"/>
        <n v="107.11"/>
        <n v="174"/>
        <n v="1898.75"/>
        <n v="1562.95"/>
        <n v="90.22"/>
        <n v="797.13"/>
        <n v="998.39"/>
        <n v="1891.9"/>
        <n v="382.86"/>
        <n v="134.72"/>
        <n v="1480.41"/>
        <n v="1328.74"/>
        <n v="942.57"/>
        <n v="858.69"/>
        <n v="957.09"/>
        <n v="68.150000000000006"/>
        <n v="335.45"/>
        <n v="1306.3699999999999"/>
        <n v="270.45999999999998"/>
        <n v="706.41"/>
        <n v="696.38"/>
        <n v="1481.04"/>
        <n v="1401.37"/>
        <n v="1696.13"/>
        <n v="1468.97"/>
        <n v="581.57000000000005"/>
        <n v="1790.2"/>
        <n v="892.86"/>
        <n v="1125.6500000000001"/>
        <n v="1015.04"/>
        <n v="1109.48"/>
        <n v="1457.2"/>
        <n v="1456.43"/>
        <n v="576.9"/>
        <n v="164.25"/>
        <n v="1604.4"/>
        <n v="877.29"/>
        <n v="475.86"/>
        <n v="1427.93"/>
        <n v="1590.08"/>
        <n v="1000.38"/>
        <n v="1006.29"/>
        <n v="1411.24"/>
        <n v="1827.92"/>
        <n v="519.79999999999995"/>
        <n v="1999.75"/>
        <n v="1420.04"/>
        <n v="1837.63"/>
        <n v="494.23"/>
        <n v="1913.56"/>
        <n v="655.53"/>
        <n v="1860.05"/>
        <n v="109.35"/>
        <n v="1727.72"/>
        <n v="154.29"/>
        <n v="152.28"/>
        <n v="1979.05"/>
        <n v="973.6"/>
        <n v="725.58"/>
        <n v="1033.76"/>
        <n v="1722.01"/>
        <n v="130.69"/>
        <n v="628.1"/>
        <n v="718.67"/>
        <n v="1028.96"/>
        <n v="1397.49"/>
        <n v="696.58"/>
        <n v="748"/>
        <n v="994.07"/>
        <n v="959.88"/>
        <n v="1098.45"/>
        <n v="1895.96"/>
        <n v="160.34"/>
        <n v="460.6"/>
        <n v="465.51"/>
        <n v="1887.15"/>
        <n v="1659.26"/>
        <n v="1974.83"/>
        <n v="1906.25"/>
        <n v="577.07000000000005"/>
        <n v="1633.88"/>
        <n v="1197.24"/>
        <n v="1116.8599999999999"/>
        <n v="992.51"/>
        <n v="1093.32"/>
        <n v="359.33"/>
        <n v="1184.46"/>
        <n v="1008.3"/>
      </sharedItems>
    </cacheField>
    <cacheField name="Profit" numFmtId="0">
      <sharedItems containsSemiMixedTypes="0" containsString="0" containsNumber="1" minValue="3.17" maxValue="582.67999999999995" count="4666">
        <n v="12.08"/>
        <n v="228.82"/>
        <n v="340.45"/>
        <n v="77.05"/>
        <n v="302.13"/>
        <n v="37.22"/>
        <n v="78.89"/>
        <n v="217.6"/>
        <n v="31.91"/>
        <n v="310.47000000000003"/>
        <n v="66.430000000000007"/>
        <n v="229.38"/>
        <n v="220.01"/>
        <n v="193.5"/>
        <n v="428.27"/>
        <n v="79.459999999999994"/>
        <n v="93.25"/>
        <n v="70.19"/>
        <n v="478.46"/>
        <n v="220.45"/>
        <n v="56.58"/>
        <n v="97.08"/>
        <n v="337.37"/>
        <n v="126.76"/>
        <n v="82.8"/>
        <n v="201.56"/>
        <n v="332.69"/>
        <n v="173.66"/>
        <n v="75.2"/>
        <n v="479.71"/>
        <n v="77"/>
        <n v="126.64"/>
        <n v="75.88"/>
        <n v="67.34"/>
        <n v="180.19"/>
        <n v="237.85"/>
        <n v="340.08"/>
        <n v="343.59"/>
        <n v="70.010000000000005"/>
        <n v="72.91"/>
        <n v="93.65"/>
        <n v="161.43"/>
        <n v="441.61"/>
        <n v="111.26"/>
        <n v="176.52"/>
        <n v="254.22"/>
        <n v="91.83"/>
        <n v="168.6"/>
        <n v="166.14"/>
        <n v="25.09"/>
        <n v="131.28"/>
        <n v="291.25"/>
        <n v="255.2"/>
        <n v="167.93"/>
        <n v="44.07"/>
        <n v="393.82"/>
        <n v="380.79"/>
        <n v="87.69"/>
        <n v="408.08"/>
        <n v="279.60000000000002"/>
        <n v="117.72"/>
        <n v="157.37"/>
        <n v="83.11"/>
        <n v="63.98"/>
        <n v="126.9"/>
        <n v="183.32"/>
        <n v="299.69"/>
        <n v="345.26"/>
        <n v="112.55"/>
        <n v="167.28"/>
        <n v="204.75"/>
        <n v="67.8"/>
        <n v="362.26"/>
        <n v="150.6"/>
        <n v="128.22"/>
        <n v="87.97"/>
        <n v="37.729999999999997"/>
        <n v="352.75"/>
        <n v="505.88"/>
        <n v="136.30000000000001"/>
        <n v="303.91000000000003"/>
        <n v="101.15"/>
        <n v="100.83"/>
        <n v="39.479999999999997"/>
        <n v="90.86"/>
        <n v="430.45"/>
        <n v="176.43"/>
        <n v="329.84"/>
        <n v="170.34"/>
        <n v="162.05000000000001"/>
        <n v="449.75"/>
        <n v="182.92"/>
        <n v="257.39"/>
        <n v="9.24"/>
        <n v="138.37"/>
        <n v="172.84"/>
        <n v="75.56"/>
        <n v="353.93"/>
        <n v="71.78"/>
        <n v="333.36"/>
        <n v="304.2"/>
        <n v="205.95"/>
        <n v="145.4"/>
        <n v="197.49"/>
        <n v="301.11"/>
        <n v="21.31"/>
        <n v="143.4"/>
        <n v="360.17"/>
        <n v="81.84"/>
        <n v="135.35"/>
        <n v="107.87"/>
        <n v="23.89"/>
        <n v="117.28"/>
        <n v="205.32"/>
        <n v="217.83"/>
        <n v="138.30000000000001"/>
        <n v="43.67"/>
        <n v="195.4"/>
        <n v="343.44"/>
        <n v="79.94"/>
        <n v="415.16"/>
        <n v="289.86"/>
        <n v="420.23"/>
        <n v="180.57"/>
        <n v="416.21"/>
        <n v="131.16"/>
        <n v="123.87"/>
        <n v="227.39"/>
        <n v="8.16"/>
        <n v="193.72"/>
        <n v="127.17"/>
        <n v="114.67"/>
        <n v="392.71"/>
        <n v="60.84"/>
        <n v="503.56"/>
        <n v="123.37"/>
        <n v="151.08000000000001"/>
        <n v="90.51"/>
        <n v="15.32"/>
        <n v="28.79"/>
        <n v="426.98"/>
        <n v="126.71"/>
        <n v="33.299999999999997"/>
        <n v="317.02"/>
        <n v="72.92"/>
        <n v="377.57"/>
        <n v="175.64"/>
        <n v="196.85"/>
        <n v="164.33"/>
        <n v="106.56"/>
        <n v="122"/>
        <n v="95.37"/>
        <n v="355.06"/>
        <n v="59.88"/>
        <n v="161.87"/>
        <n v="15.65"/>
        <n v="168.16"/>
        <n v="239.13"/>
        <n v="552.9"/>
        <n v="500.75"/>
        <n v="265.22000000000003"/>
        <n v="223.23"/>
        <n v="117.83"/>
        <n v="561.97"/>
        <n v="27.1"/>
        <n v="100.49"/>
        <n v="106.01"/>
        <n v="32.26"/>
        <n v="326.13"/>
        <n v="391.92"/>
        <n v="8.23"/>
        <n v="21.89"/>
        <n v="106.54"/>
        <n v="302.27999999999997"/>
        <n v="78.61"/>
        <n v="25.13"/>
        <n v="141.03"/>
        <n v="64.77"/>
        <n v="280.76"/>
        <n v="263.20999999999998"/>
        <n v="19.649999999999999"/>
        <n v="64.59"/>
        <n v="466.46"/>
        <n v="142.22"/>
        <n v="34.630000000000003"/>
        <n v="64.84"/>
        <n v="360.58"/>
        <n v="66.72"/>
        <n v="309.60000000000002"/>
        <n v="62.65"/>
        <n v="132.66999999999999"/>
        <n v="367.51"/>
        <n v="126.61"/>
        <n v="110.44"/>
        <n v="61.7"/>
        <n v="17.8"/>
        <n v="24.33"/>
        <n v="307.18"/>
        <n v="38.090000000000003"/>
        <n v="53.26"/>
        <n v="185.57"/>
        <n v="214.02"/>
        <n v="111.93"/>
        <n v="553.92999999999995"/>
        <n v="134.02000000000001"/>
        <n v="23.88"/>
        <n v="59.55"/>
        <n v="23.78"/>
        <n v="97.39"/>
        <n v="162.02000000000001"/>
        <n v="80.72"/>
        <n v="65.599999999999994"/>
        <n v="273.63"/>
        <n v="286.63"/>
        <n v="138.47999999999999"/>
        <n v="13.16"/>
        <n v="147.19999999999999"/>
        <n v="109.53"/>
        <n v="165.09"/>
        <n v="65.5"/>
        <n v="111.23"/>
        <n v="216.47"/>
        <n v="97.62"/>
        <n v="558.4"/>
        <n v="42.18"/>
        <n v="50.81"/>
        <n v="179.21"/>
        <n v="391.83"/>
        <n v="169.54"/>
        <n v="408.25"/>
        <n v="215.43"/>
        <n v="128.53"/>
        <n v="80.41"/>
        <n v="130.5"/>
        <n v="276.20999999999998"/>
        <n v="37.46"/>
        <n v="138.85"/>
        <n v="194.39"/>
        <n v="71.81"/>
        <n v="470.72"/>
        <n v="374.74"/>
        <n v="62.91"/>
        <n v="13.44"/>
        <n v="83.28"/>
        <n v="29.69"/>
        <n v="75.290000000000006"/>
        <n v="86.45"/>
        <n v="69.55"/>
        <n v="55.94"/>
        <n v="186.63"/>
        <n v="108.74"/>
        <n v="365.5"/>
        <n v="259.27999999999997"/>
        <n v="38.86"/>
        <n v="14.04"/>
        <n v="39.01"/>
        <n v="346.52"/>
        <n v="188.99"/>
        <n v="559.24"/>
        <n v="86.66"/>
        <n v="347.23"/>
        <n v="255.17"/>
        <n v="478.69"/>
        <n v="106.02"/>
        <n v="296.7"/>
        <n v="26.93"/>
        <n v="33.840000000000003"/>
        <n v="84.43"/>
        <n v="23.29"/>
        <n v="258.10000000000002"/>
        <n v="420.92"/>
        <n v="54.36"/>
        <n v="34.39"/>
        <n v="21.98"/>
        <n v="269.02"/>
        <n v="280.87"/>
        <n v="305.69"/>
        <n v="89.78"/>
        <n v="258.56"/>
        <n v="44.8"/>
        <n v="328.85"/>
        <n v="294.92"/>
        <n v="88.11"/>
        <n v="367.29"/>
        <n v="75.760000000000005"/>
        <n v="214.48"/>
        <n v="172.41"/>
        <n v="171.5"/>
        <n v="523.11"/>
        <n v="129.61000000000001"/>
        <n v="350.83"/>
        <n v="175.13"/>
        <n v="103.06"/>
        <n v="303.13"/>
        <n v="345.68"/>
        <n v="256.75"/>
        <n v="220.56"/>
        <n v="85.54"/>
        <n v="99.52"/>
        <n v="228.57"/>
        <n v="282.79000000000002"/>
        <n v="103.45"/>
        <n v="300.23"/>
        <n v="507.39"/>
        <n v="58.29"/>
        <n v="222.32"/>
        <n v="382.67"/>
        <n v="106.63"/>
        <n v="234.92"/>
        <n v="74.650000000000006"/>
        <n v="466.3"/>
        <n v="83.12"/>
        <n v="53.28"/>
        <n v="92.02"/>
        <n v="450.35"/>
        <n v="137.06"/>
        <n v="105.95"/>
        <n v="93.46"/>
        <n v="177.07"/>
        <n v="40.33"/>
        <n v="30.7"/>
        <n v="83.88"/>
        <n v="13.34"/>
        <n v="80.260000000000005"/>
        <n v="18.82"/>
        <n v="214.6"/>
        <n v="265.86"/>
        <n v="46.86"/>
        <n v="323.93"/>
        <n v="410.54"/>
        <n v="429.72"/>
        <n v="151.72999999999999"/>
        <n v="32.69"/>
        <n v="34.85"/>
        <n v="72.73"/>
        <n v="293.54000000000002"/>
        <n v="195.59"/>
        <n v="161.84"/>
        <n v="84.72"/>
        <n v="151.56"/>
        <n v="157.25"/>
        <n v="78.959999999999994"/>
        <n v="137.38"/>
        <n v="309.33999999999997"/>
        <n v="48.41"/>
        <n v="295.22000000000003"/>
        <n v="125.9"/>
        <n v="99.54"/>
        <n v="68.91"/>
        <n v="61.91"/>
        <n v="219.98"/>
        <n v="185.55"/>
        <n v="297.54000000000002"/>
        <n v="188.84"/>
        <n v="384.73"/>
        <n v="53.98"/>
        <n v="68.010000000000005"/>
        <n v="199.12"/>
        <n v="114.62"/>
        <n v="30.75"/>
        <n v="130.69999999999999"/>
        <n v="152.72"/>
        <n v="119.17"/>
        <n v="260.47000000000003"/>
        <n v="156.55000000000001"/>
        <n v="236.72"/>
        <n v="188.55"/>
        <n v="260.36"/>
        <n v="17.96"/>
        <n v="21.78"/>
        <n v="204.73"/>
        <n v="35.200000000000003"/>
        <n v="308.91000000000003"/>
        <n v="162.54"/>
        <n v="340.14"/>
        <n v="261.95"/>
        <n v="228.51"/>
        <n v="107.75"/>
        <n v="234.35"/>
        <n v="320.36"/>
        <n v="214.23"/>
        <n v="113.37"/>
        <n v="159.06"/>
        <n v="187.77"/>
        <n v="74.680000000000007"/>
        <n v="261.49"/>
        <n v="160.97"/>
        <n v="218.3"/>
        <n v="88.27"/>
        <n v="60.88"/>
        <n v="152.87"/>
        <n v="125.08"/>
        <n v="165.51"/>
        <n v="168.47"/>
        <n v="171.28"/>
        <n v="189.64"/>
        <n v="109.05"/>
        <n v="144.04"/>
        <n v="151.38"/>
        <n v="307.77"/>
        <n v="173.37"/>
        <n v="288.98"/>
        <n v="48.06"/>
        <n v="116.67"/>
        <n v="510.59"/>
        <n v="214.53"/>
        <n v="21.18"/>
        <n v="26.12"/>
        <n v="59.98"/>
        <n v="27.72"/>
        <n v="400.5"/>
        <n v="46.02"/>
        <n v="32.31"/>
        <n v="228.01"/>
        <n v="152.69999999999999"/>
        <n v="143.91"/>
        <n v="233.17"/>
        <n v="104.19"/>
        <n v="111.55"/>
        <n v="319.14"/>
        <n v="62.57"/>
        <n v="255.46"/>
        <n v="92.27"/>
        <n v="228.24"/>
        <n v="171.08"/>
        <n v="246.04"/>
        <n v="274.8"/>
        <n v="8.9600000000000009"/>
        <n v="176.48"/>
        <n v="305.67"/>
        <n v="15.03"/>
        <n v="91.03"/>
        <n v="105.86"/>
        <n v="116.34"/>
        <n v="81.16"/>
        <n v="117.59"/>
        <n v="484.24"/>
        <n v="10.71"/>
        <n v="216.64"/>
        <n v="507.95"/>
        <n v="51.33"/>
        <n v="347.31"/>
        <n v="451.81"/>
        <n v="83.09"/>
        <n v="102.74"/>
        <n v="94.52"/>
        <n v="38.979999999999997"/>
        <n v="17.579999999999998"/>
        <n v="80.540000000000006"/>
        <n v="26.96"/>
        <n v="15.43"/>
        <n v="207.42"/>
        <n v="180.86"/>
        <n v="127.42"/>
        <n v="153.80000000000001"/>
        <n v="69.72"/>
        <n v="41.81"/>
        <n v="49.36"/>
        <n v="209.6"/>
        <n v="126.65"/>
        <n v="385.14"/>
        <n v="57.78"/>
        <n v="95.54"/>
        <n v="92.86"/>
        <n v="16.04"/>
        <n v="161.81"/>
        <n v="126.01"/>
        <n v="124"/>
        <n v="107.65"/>
        <n v="48.79"/>
        <n v="228.92"/>
        <n v="87.48"/>
        <n v="291.41000000000003"/>
        <n v="237.9"/>
        <n v="126.32"/>
        <n v="176.54"/>
        <n v="258.89999999999998"/>
        <n v="42.67"/>
        <n v="290.99"/>
        <n v="32.17"/>
        <n v="86.29"/>
        <n v="31.3"/>
        <n v="73.34"/>
        <n v="108.44"/>
        <n v="93.39"/>
        <n v="214.05"/>
        <n v="27.05"/>
        <n v="477.66"/>
        <n v="286.08999999999997"/>
        <n v="138.32"/>
        <n v="14.74"/>
        <n v="358.8"/>
        <n v="89.09"/>
        <n v="123.28"/>
        <n v="405.05"/>
        <n v="326.18"/>
        <n v="251.32"/>
        <n v="127.18"/>
        <n v="211.36"/>
        <n v="331.93"/>
        <n v="137.96"/>
        <n v="197.79"/>
        <n v="161.41"/>
        <n v="237.18"/>
        <n v="192.01"/>
        <n v="181.97"/>
        <n v="98.08"/>
        <n v="48.54"/>
        <n v="119.3"/>
        <n v="26.29"/>
        <n v="161.07"/>
        <n v="27.39"/>
        <n v="97.11"/>
        <n v="75.53"/>
        <n v="74.84"/>
        <n v="233.68"/>
        <n v="248.21"/>
        <n v="115.5"/>
        <n v="111.19"/>
        <n v="181.66"/>
        <n v="86.88"/>
        <n v="128.5"/>
        <n v="111.56"/>
        <n v="86.37"/>
        <n v="538.45000000000005"/>
        <n v="241.32"/>
        <n v="8.02"/>
        <n v="109.68"/>
        <n v="322.13"/>
        <n v="70.84"/>
        <n v="58.52"/>
        <n v="120.41"/>
        <n v="145.66999999999999"/>
        <n v="296.56"/>
        <n v="215.86"/>
        <n v="134.69999999999999"/>
        <n v="315.39"/>
        <n v="382.11"/>
        <n v="117.27"/>
        <n v="20.56"/>
        <n v="524.48"/>
        <n v="136.24"/>
        <n v="397.25"/>
        <n v="124.52"/>
        <n v="106.97"/>
        <n v="125.46"/>
        <n v="118.8"/>
        <n v="107.78"/>
        <n v="124.91"/>
        <n v="147.01"/>
        <n v="46.56"/>
        <n v="69.150000000000006"/>
        <n v="112.32"/>
        <n v="85.99"/>
        <n v="36.99"/>
        <n v="260.83"/>
        <n v="68.3"/>
        <n v="57.31"/>
        <n v="98.12"/>
        <n v="12.72"/>
        <n v="39.619999999999997"/>
        <n v="32.270000000000003"/>
        <n v="218.45"/>
        <n v="284.75"/>
        <n v="50.17"/>
        <n v="94.8"/>
        <n v="275.38"/>
        <n v="431.14"/>
        <n v="35.340000000000003"/>
        <n v="202.6"/>
        <n v="170.64"/>
        <n v="75.709999999999994"/>
        <n v="216.39"/>
        <n v="145.9"/>
        <n v="49.25"/>
        <n v="80.010000000000005"/>
        <n v="459.11"/>
        <n v="403.77"/>
        <n v="25.28"/>
        <n v="65.84"/>
        <n v="95.49"/>
        <n v="198.95"/>
        <n v="91.9"/>
        <n v="363.34"/>
        <n v="78.08"/>
        <n v="307.48"/>
        <n v="96.33"/>
        <n v="63.15"/>
        <n v="257.32"/>
        <n v="89.71"/>
        <n v="175.37"/>
        <n v="92.51"/>
        <n v="76.87"/>
        <n v="244.97"/>
        <n v="130.80000000000001"/>
        <n v="206.07"/>
        <n v="218.77"/>
        <n v="449.62"/>
        <n v="364.15"/>
        <n v="113.38"/>
        <n v="46.81"/>
        <n v="102.98"/>
        <n v="394.34"/>
        <n v="24.21"/>
        <n v="79.16"/>
        <n v="326.85000000000002"/>
        <n v="127.76"/>
        <n v="107.41"/>
        <n v="222.27"/>
        <n v="74.39"/>
        <n v="108.77"/>
        <n v="10.16"/>
        <n v="379.7"/>
        <n v="162.91999999999999"/>
        <n v="184.2"/>
        <n v="245.63"/>
        <n v="184.83"/>
        <n v="33.119999999999997"/>
        <n v="211.25"/>
        <n v="129.36000000000001"/>
        <n v="148.53"/>
        <n v="223.46"/>
        <n v="397.54"/>
        <n v="46.33"/>
        <n v="8.2799999999999994"/>
        <n v="194.9"/>
        <n v="274.23"/>
        <n v="161.30000000000001"/>
        <n v="222.52"/>
        <n v="63.84"/>
        <n v="312.01"/>
        <n v="214.63"/>
        <n v="103.21"/>
        <n v="20.46"/>
        <n v="264.05"/>
        <n v="82.52"/>
        <n v="75.39"/>
        <n v="379.49"/>
        <n v="262.79000000000002"/>
        <n v="20.67"/>
        <n v="227.03"/>
        <n v="367.11"/>
        <n v="480.85"/>
        <n v="110.16"/>
        <n v="165.69"/>
        <n v="193.84"/>
        <n v="53.29"/>
        <n v="147.81"/>
        <n v="165.25"/>
        <n v="88.54"/>
        <n v="195.03"/>
        <n v="221.79"/>
        <n v="49.02"/>
        <n v="138.27000000000001"/>
        <n v="112.07"/>
        <n v="318.22000000000003"/>
        <n v="37.590000000000003"/>
        <n v="160.65"/>
        <n v="192.54"/>
        <n v="206.75"/>
        <n v="93.95"/>
        <n v="253.13"/>
        <n v="258.42"/>
        <n v="29.92"/>
        <n v="89.96"/>
        <n v="31.74"/>
        <n v="141.44"/>
        <n v="15.51"/>
        <n v="13.7"/>
        <n v="54.81"/>
        <n v="318.33"/>
        <n v="127.16"/>
        <n v="20.85"/>
        <n v="271.42"/>
        <n v="75.34"/>
        <n v="373.55"/>
        <n v="154.77000000000001"/>
        <n v="40.67"/>
        <n v="319.27"/>
        <n v="8.43"/>
        <n v="119.31"/>
        <n v="32.21"/>
        <n v="226.7"/>
        <n v="279.77999999999997"/>
        <n v="110.29"/>
        <n v="45.45"/>
        <n v="233.59"/>
        <n v="340.84"/>
        <n v="366.99"/>
        <n v="215.08"/>
        <n v="43.66"/>
        <n v="229.26"/>
        <n v="65.37"/>
        <n v="275.72000000000003"/>
        <n v="414.9"/>
        <n v="221.93"/>
        <n v="172.89"/>
        <n v="17.79"/>
        <n v="115.23"/>
        <n v="105.64"/>
        <n v="366.05"/>
        <n v="221.92"/>
        <n v="58.83"/>
        <n v="379.21"/>
        <n v="146.78"/>
        <n v="54.1"/>
        <n v="307.63"/>
        <n v="27.48"/>
        <n v="21.17"/>
        <n v="502.59"/>
        <n v="33.94"/>
        <n v="245.17"/>
        <n v="334.47"/>
        <n v="152.26"/>
        <n v="6.52"/>
        <n v="122.78"/>
        <n v="360.94"/>
        <n v="198.27"/>
        <n v="72.63"/>
        <n v="26.48"/>
        <n v="157.86000000000001"/>
        <n v="85.2"/>
        <n v="174.96"/>
        <n v="513.24"/>
        <n v="34.28"/>
        <n v="100.17"/>
        <n v="87.09"/>
        <n v="273.37"/>
        <n v="112.39"/>
        <n v="173.6"/>
        <n v="118.61"/>
        <n v="472.72"/>
        <n v="357.27"/>
        <n v="121.54"/>
        <n v="123.06"/>
        <n v="214.91"/>
        <n v="9.57"/>
        <n v="173.61"/>
        <n v="139.66"/>
        <n v="239.42"/>
        <n v="22.7"/>
        <n v="219.49"/>
        <n v="84.86"/>
        <n v="47.22"/>
        <n v="65.430000000000007"/>
        <n v="209.45"/>
        <n v="148.63999999999999"/>
        <n v="205.85"/>
        <n v="3.77"/>
        <n v="141.94"/>
        <n v="117.02"/>
        <n v="307.73"/>
        <n v="263.48"/>
        <n v="159.30000000000001"/>
        <n v="40.450000000000003"/>
        <n v="40.89"/>
        <n v="182.23"/>
        <n v="304.98"/>
        <n v="45.56"/>
        <n v="365.99"/>
        <n v="25.75"/>
        <n v="64.180000000000007"/>
        <n v="108.26"/>
        <n v="148.77000000000001"/>
        <n v="81.19"/>
        <n v="70.180000000000007"/>
        <n v="138.05000000000001"/>
        <n v="64.45"/>
        <n v="288.57"/>
        <n v="136.06"/>
        <n v="34.93"/>
        <n v="426.27"/>
        <n v="39.65"/>
        <n v="129.66"/>
        <n v="90.8"/>
        <n v="155.12"/>
        <n v="317.42"/>
        <n v="123.52"/>
        <n v="88.43"/>
        <n v="94.08"/>
        <n v="56.26"/>
        <n v="80.599999999999994"/>
        <n v="64.63"/>
        <n v="52.69"/>
        <n v="377.01"/>
        <n v="292.86"/>
        <n v="424.78"/>
        <n v="109.99"/>
        <n v="65.27"/>
        <n v="121.29"/>
        <n v="248.41"/>
        <n v="260.43"/>
        <n v="12.06"/>
        <n v="244.72"/>
        <n v="176.12"/>
        <n v="185.06"/>
        <n v="26.73"/>
        <n v="247.93"/>
        <n v="33.04"/>
        <n v="193.97"/>
        <n v="116.19"/>
        <n v="56.79"/>
        <n v="161.03"/>
        <n v="64.36"/>
        <n v="124.54"/>
        <n v="37.24"/>
        <n v="75.69"/>
        <n v="220.59"/>
        <n v="425.62"/>
        <n v="74.11"/>
        <n v="389.97"/>
        <n v="19.45"/>
        <n v="24.36"/>
        <n v="163.38"/>
        <n v="376.47"/>
        <n v="574.09"/>
        <n v="139.52000000000001"/>
        <n v="104.79"/>
        <n v="141.72999999999999"/>
        <n v="161.49"/>
        <n v="121.5"/>
        <n v="96.01"/>
        <n v="309.86"/>
        <n v="137.52000000000001"/>
        <n v="24.62"/>
        <n v="412.42"/>
        <n v="17.07"/>
        <n v="208.77"/>
        <n v="83.29"/>
        <n v="162.9"/>
        <n v="126.15"/>
        <n v="29.45"/>
        <n v="221.34"/>
        <n v="236.9"/>
        <n v="9.9700000000000006"/>
        <n v="147.38"/>
        <n v="145.38999999999999"/>
        <n v="275.69"/>
        <n v="469.43"/>
        <n v="26.92"/>
        <n v="80.77"/>
        <n v="150.80000000000001"/>
        <n v="22.84"/>
        <n v="111.37"/>
        <n v="56.84"/>
        <n v="188.46"/>
        <n v="89.08"/>
        <n v="431.03"/>
        <n v="341.4"/>
        <n v="93.13"/>
        <n v="13.79"/>
        <n v="120.62"/>
        <n v="153.16"/>
        <n v="9.23"/>
        <n v="311.22000000000003"/>
        <n v="71.64"/>
        <n v="70.099999999999994"/>
        <n v="155.97"/>
        <n v="152.49"/>
        <n v="258.35000000000002"/>
        <n v="55.38"/>
        <n v="128.9"/>
        <n v="57.26"/>
        <n v="28.75"/>
        <n v="38.700000000000003"/>
        <n v="302.20999999999998"/>
        <n v="51.97"/>
        <n v="117.63"/>
        <n v="141.82"/>
        <n v="243.45"/>
        <n v="71.12"/>
        <n v="75.599999999999994"/>
        <n v="222.73"/>
        <n v="118.02"/>
        <n v="215.89"/>
        <n v="116.54"/>
        <n v="136.16999999999999"/>
        <n v="191.5"/>
        <n v="138.87"/>
        <n v="41.18"/>
        <n v="206.1"/>
        <n v="42.28"/>
        <n v="73.22"/>
        <n v="144.91999999999999"/>
        <n v="358.13"/>
        <n v="188.38"/>
        <n v="112.06"/>
        <n v="57.73"/>
        <n v="311.82"/>
        <n v="267.88"/>
        <n v="115.4"/>
        <n v="82.05"/>
        <n v="217.66"/>
        <n v="248.8"/>
        <n v="17.09"/>
        <n v="176.78"/>
        <n v="88.6"/>
        <n v="73.42"/>
        <n v="558.92999999999995"/>
        <n v="76.38"/>
        <n v="7.67"/>
        <n v="282.47000000000003"/>
        <n v="197.72"/>
        <n v="333.38"/>
        <n v="23.54"/>
        <n v="86.01"/>
        <n v="110.46"/>
        <n v="320.39"/>
        <n v="42.1"/>
        <n v="179.78"/>
        <n v="173.99"/>
        <n v="40.4"/>
        <n v="111.59"/>
        <n v="101.27"/>
        <n v="68.13"/>
        <n v="312.02"/>
        <n v="80.819999999999993"/>
        <n v="145.79"/>
        <n v="52.67"/>
        <n v="40.46"/>
        <n v="283.69"/>
        <n v="37.659999999999997"/>
        <n v="208.16"/>
        <n v="161.94999999999999"/>
        <n v="11.85"/>
        <n v="64.959999999999994"/>
        <n v="6.3"/>
        <n v="177.53"/>
        <n v="166.5"/>
        <n v="155.27000000000001"/>
        <n v="174.9"/>
        <n v="236.12"/>
        <n v="238.92"/>
        <n v="103.59"/>
        <n v="159.16"/>
        <n v="106.55"/>
        <n v="21.29"/>
        <n v="99.74"/>
        <n v="236.78"/>
        <n v="6"/>
        <n v="187.9"/>
        <n v="152.97999999999999"/>
        <n v="16.38"/>
        <n v="195.36"/>
        <n v="69.900000000000006"/>
        <n v="140.94999999999999"/>
        <n v="146.88"/>
        <n v="152.37"/>
        <n v="188.7"/>
        <n v="154.49"/>
        <n v="289.27"/>
        <n v="285.68"/>
        <n v="255.01"/>
        <n v="35.18"/>
        <n v="254.9"/>
        <n v="400.12"/>
        <n v="348.65"/>
        <n v="93.15"/>
        <n v="371.6"/>
        <n v="136.62"/>
        <n v="308.39999999999998"/>
        <n v="12.89"/>
        <n v="16.98"/>
        <n v="122.17"/>
        <n v="270.62"/>
        <n v="443.76"/>
        <n v="106.89"/>
        <n v="55.7"/>
        <n v="462.08"/>
        <n v="180.38"/>
        <n v="345.86"/>
        <n v="226.27"/>
        <n v="424.83"/>
        <n v="182.82"/>
        <n v="320.89999999999998"/>
        <n v="352.83"/>
        <n v="346.49"/>
        <n v="150.29"/>
        <n v="30.04"/>
        <n v="83.59"/>
        <n v="136.28"/>
        <n v="170.78"/>
        <n v="118.71"/>
        <n v="124.65"/>
        <n v="427.5"/>
        <n v="482.66"/>
        <n v="58.13"/>
        <n v="562.76"/>
        <n v="263.82"/>
        <n v="114.74"/>
        <n v="75.11"/>
        <n v="29.88"/>
        <n v="54.21"/>
        <n v="117.42"/>
        <n v="402.72"/>
        <n v="25.55"/>
        <n v="345.03"/>
        <n v="205.38"/>
        <n v="224.62"/>
        <n v="182.54"/>
        <n v="66.19"/>
        <n v="179.69"/>
        <n v="173.54"/>
        <n v="178.45"/>
        <n v="282.63"/>
        <n v="14.29"/>
        <n v="133.76"/>
        <n v="343.61"/>
        <n v="103.74"/>
        <n v="140.44"/>
        <n v="53.74"/>
        <n v="114.19"/>
        <n v="279.73"/>
        <n v="21.57"/>
        <n v="72.709999999999994"/>
        <n v="98.57"/>
        <n v="289.56"/>
        <n v="145.18"/>
        <n v="328.96"/>
        <n v="294.95"/>
        <n v="314.39999999999998"/>
        <n v="89.82"/>
        <n v="82.06"/>
        <n v="196.1"/>
        <n v="113.18"/>
        <n v="212.56"/>
        <n v="36.049999999999997"/>
        <n v="76.430000000000007"/>
        <n v="111.97"/>
        <n v="90.35"/>
        <n v="307.27"/>
        <n v="278.27999999999997"/>
        <n v="172.72"/>
        <n v="207.65"/>
        <n v="264.31"/>
        <n v="22.66"/>
        <n v="172.83"/>
        <n v="163.81"/>
        <n v="410.16"/>
        <n v="114.13"/>
        <n v="97.49"/>
        <n v="52.7"/>
        <n v="225.53"/>
        <n v="279.99"/>
        <n v="121.79"/>
        <n v="243.18"/>
        <n v="279.54000000000002"/>
        <n v="195.7"/>
        <n v="163.74"/>
        <n v="95.56"/>
        <n v="43.51"/>
        <n v="404.73"/>
        <n v="309.75"/>
        <n v="189.49"/>
        <n v="14.88"/>
        <n v="48.94"/>
        <n v="192.88"/>
        <n v="302.58999999999997"/>
        <n v="100.37"/>
        <n v="454.16"/>
        <n v="31.46"/>
        <n v="507.07"/>
        <n v="149.63999999999999"/>
        <n v="168.46"/>
        <n v="208.71"/>
        <n v="358.51"/>
        <n v="158.99"/>
        <n v="183.2"/>
        <n v="94.22"/>
        <n v="310.26"/>
        <n v="437.34"/>
        <n v="174.23"/>
        <n v="136.1"/>
        <n v="39.78"/>
        <n v="48.71"/>
        <n v="234.47"/>
        <n v="433.84"/>
        <n v="30.61"/>
        <n v="269.72000000000003"/>
        <n v="228.22"/>
        <n v="489.81"/>
        <n v="278.82"/>
        <n v="145.19"/>
        <n v="176.9"/>
        <n v="50.41"/>
        <n v="77.040000000000006"/>
        <n v="4.8600000000000003"/>
        <n v="80.959999999999994"/>
        <n v="136.77000000000001"/>
        <n v="60.28"/>
        <n v="111.64"/>
        <n v="69.63"/>
        <n v="486.85"/>
        <n v="327.51"/>
        <n v="12.9"/>
        <n v="175.89"/>
        <n v="59.27"/>
        <n v="327.86"/>
        <n v="105.68"/>
        <n v="317.85000000000002"/>
        <n v="376.32"/>
        <n v="68.61"/>
        <n v="146.91"/>
        <n v="88.53"/>
        <n v="256.85000000000002"/>
        <n v="247.76"/>
        <n v="57.96"/>
        <n v="319.66000000000003"/>
        <n v="255.12"/>
        <n v="277.08999999999997"/>
        <n v="135.80000000000001"/>
        <n v="281.69"/>
        <n v="69.650000000000006"/>
        <n v="119.59"/>
        <n v="159.51"/>
        <n v="168.73"/>
        <n v="157.22999999999999"/>
        <n v="88.19"/>
        <n v="201.17"/>
        <n v="125.84"/>
        <n v="115.01"/>
        <n v="153.01"/>
        <n v="186.43"/>
        <n v="358.1"/>
        <n v="568.26"/>
        <n v="385.99"/>
        <n v="63.42"/>
        <n v="202.01"/>
        <n v="17.72"/>
        <n v="107.79"/>
        <n v="47.59"/>
        <n v="281.86"/>
        <n v="37.56"/>
        <n v="17.61"/>
        <n v="270.55"/>
        <n v="93.76"/>
        <n v="133.12"/>
        <n v="107.43"/>
        <n v="569.67999999999995"/>
        <n v="108.15"/>
        <n v="135.88"/>
        <n v="44.49"/>
        <n v="58.49"/>
        <n v="360.13"/>
        <n v="97.9"/>
        <n v="121.23"/>
        <n v="366.18"/>
        <n v="235.76"/>
        <n v="443.16"/>
        <n v="286.36"/>
        <n v="6.88"/>
        <n v="282.76"/>
        <n v="440.78"/>
        <n v="368.16"/>
        <n v="167.76"/>
        <n v="147.22"/>
        <n v="384.17"/>
        <n v="86.47"/>
        <n v="139.16999999999999"/>
        <n v="147.06"/>
        <n v="132.88999999999999"/>
        <n v="490.71"/>
        <n v="423.26"/>
        <n v="20.55"/>
        <n v="161"/>
        <n v="93.3"/>
        <n v="96.25"/>
        <n v="14.01"/>
        <n v="349.56"/>
        <n v="103.63"/>
        <n v="362.16"/>
        <n v="50.16"/>
        <n v="428.75"/>
        <n v="35.729999999999997"/>
        <n v="120.97"/>
        <n v="113.07"/>
        <n v="193.26"/>
        <n v="132.04"/>
        <n v="45.44"/>
        <n v="82.09"/>
        <n v="215.75"/>
        <n v="310"/>
        <n v="309.76"/>
        <n v="52.77"/>
        <n v="259.08999999999997"/>
        <n v="243.99"/>
        <n v="19.23"/>
        <n v="24.66"/>
        <n v="161.88"/>
        <n v="182.09"/>
        <n v="133.30000000000001"/>
        <n v="219.67"/>
        <n v="579.98"/>
        <n v="111.28"/>
        <n v="164.24"/>
        <n v="35.49"/>
        <n v="281.85000000000002"/>
        <n v="35.409999999999997"/>
        <n v="322.37"/>
        <n v="9.0299999999999994"/>
        <n v="250.4"/>
        <n v="182.41"/>
        <n v="25.02"/>
        <n v="80.349999999999994"/>
        <n v="7.07"/>
        <n v="196.96"/>
        <n v="425.96"/>
        <n v="452.94"/>
        <n v="102.73"/>
        <n v="107.01"/>
        <n v="424.9"/>
        <n v="18.78"/>
        <n v="500.97"/>
        <n v="84.85"/>
        <n v="415.91"/>
        <n v="371.06"/>
        <n v="72.88"/>
        <n v="257.01"/>
        <n v="521.72"/>
        <n v="270.36"/>
        <n v="153.19999999999999"/>
        <n v="534.66999999999996"/>
        <n v="13.25"/>
        <n v="46.27"/>
        <n v="213.17"/>
        <n v="375.23"/>
        <n v="36.76"/>
        <n v="82.22"/>
        <n v="107.12"/>
        <n v="160.88999999999999"/>
        <n v="150.75"/>
        <n v="72.64"/>
        <n v="410.61"/>
        <n v="45.57"/>
        <n v="247.19"/>
        <n v="172.65"/>
        <n v="247.89"/>
        <n v="31.69"/>
        <n v="308.98"/>
        <n v="255.27"/>
        <n v="260.37"/>
        <n v="192.91"/>
        <n v="77.33"/>
        <n v="167.14"/>
        <n v="212.64"/>
        <n v="47.85"/>
        <n v="166.28"/>
        <n v="118.64"/>
        <n v="91"/>
        <n v="16.420000000000002"/>
        <n v="285.75"/>
        <n v="191.51"/>
        <n v="192.66"/>
        <n v="90.15"/>
        <n v="312.45"/>
        <n v="257.02999999999997"/>
        <n v="63.59"/>
        <n v="300.7"/>
        <n v="29.86"/>
        <n v="346.65"/>
        <n v="318.57"/>
        <n v="389.61"/>
        <n v="124.08"/>
        <n v="104.31"/>
        <n v="379.84"/>
        <n v="152.04"/>
        <n v="227.92"/>
        <n v="301.79000000000002"/>
        <n v="156.75"/>
        <n v="42.89"/>
        <n v="136.88999999999999"/>
        <n v="191.58"/>
        <n v="207.57"/>
        <n v="76.510000000000005"/>
        <n v="205"/>
        <n v="134.15"/>
        <n v="258.49"/>
        <n v="4.66"/>
        <n v="133.80000000000001"/>
        <n v="241.27"/>
        <n v="340.28"/>
        <n v="140.66999999999999"/>
        <n v="106.24"/>
        <n v="118.91"/>
        <n v="90.84"/>
        <n v="46.31"/>
        <n v="303.11"/>
        <n v="287.74"/>
        <n v="80.67"/>
        <n v="289"/>
        <n v="94.99"/>
        <n v="293.77999999999997"/>
        <n v="158.88999999999999"/>
        <n v="68.31"/>
        <n v="558.41999999999996"/>
        <n v="27.78"/>
        <n v="24.55"/>
        <n v="83.35"/>
        <n v="223.55"/>
        <n v="284.64999999999998"/>
        <n v="80.05"/>
        <n v="182.94"/>
        <n v="193.54"/>
        <n v="149.57"/>
        <n v="98.59"/>
        <n v="170.9"/>
        <n v="172.1"/>
        <n v="249"/>
        <n v="84.03"/>
        <n v="114.41"/>
        <n v="284.38"/>
        <n v="296.89999999999998"/>
        <n v="31.56"/>
        <n v="17.64"/>
        <n v="322.47000000000003"/>
        <n v="327.94"/>
        <n v="75.16"/>
        <n v="149.86000000000001"/>
        <n v="20.49"/>
        <n v="248.44"/>
        <n v="140.52000000000001"/>
        <n v="10.61"/>
        <n v="238.97"/>
        <n v="54.4"/>
        <n v="101.57"/>
        <n v="322.67"/>
        <n v="104.73"/>
        <n v="243.23"/>
        <n v="38.43"/>
        <n v="188.5"/>
        <n v="29.36"/>
        <n v="86.96"/>
        <n v="32.6"/>
        <n v="217.89"/>
        <n v="356.28"/>
        <n v="215.84"/>
        <n v="132.97"/>
        <n v="74.42"/>
        <n v="17.32"/>
        <n v="146.29"/>
        <n v="103.56"/>
        <n v="54.16"/>
        <n v="95.18"/>
        <n v="116.25"/>
        <n v="107"/>
        <n v="206.06"/>
        <n v="27.73"/>
        <n v="54.71"/>
        <n v="117.89"/>
        <n v="200.31"/>
        <n v="86.79"/>
        <n v="102.56"/>
        <n v="148.75"/>
        <n v="41.3"/>
        <n v="96.59"/>
        <n v="105.97"/>
        <n v="364.06"/>
        <n v="133.41999999999999"/>
        <n v="301.98"/>
        <n v="192.06"/>
        <n v="13.47"/>
        <n v="405.11"/>
        <n v="99.68"/>
        <n v="14.48"/>
        <n v="122.03"/>
        <n v="144.37"/>
        <n v="12.97"/>
        <n v="10.75"/>
        <n v="364.08"/>
        <n v="24.87"/>
        <n v="40.85"/>
        <n v="298.33999999999997"/>
        <n v="83.77"/>
        <n v="323.14999999999998"/>
        <n v="64.97"/>
        <n v="224.58"/>
        <n v="116.61"/>
        <n v="160.68"/>
        <n v="172.75"/>
        <n v="373.96"/>
        <n v="88.89"/>
        <n v="153.25"/>
        <n v="190.83"/>
        <n v="109.82"/>
        <n v="165.76"/>
        <n v="162.63999999999999"/>
        <n v="472.83"/>
        <n v="112.68"/>
        <n v="43.93"/>
        <n v="470.77"/>
        <n v="92.58"/>
        <n v="197.58"/>
        <n v="450.37"/>
        <n v="140.36000000000001"/>
        <n v="332.32"/>
        <n v="492.08"/>
        <n v="207.59"/>
        <n v="14.13"/>
        <n v="346.26"/>
        <n v="532.02"/>
        <n v="207.58"/>
        <n v="48.63"/>
        <n v="284.10000000000002"/>
        <n v="72.5"/>
        <n v="202.59"/>
        <n v="62.23"/>
        <n v="61.55"/>
        <n v="128.13999999999999"/>
        <n v="324.85000000000002"/>
        <n v="193.63"/>
        <n v="48.78"/>
        <n v="135.05000000000001"/>
        <n v="108.12"/>
        <n v="499.72"/>
        <n v="53.9"/>
        <n v="300.97000000000003"/>
        <n v="458.44"/>
        <n v="25.85"/>
        <n v="30.31"/>
        <n v="182.86"/>
        <n v="324.45999999999998"/>
        <n v="141.16999999999999"/>
        <n v="81.73"/>
        <n v="301.35000000000002"/>
        <n v="155.53"/>
        <n v="221.01"/>
        <n v="352.49"/>
        <n v="146.09"/>
        <n v="287.07"/>
        <n v="180.53"/>
        <n v="525.88"/>
        <n v="49.12"/>
        <n v="39.04"/>
        <n v="52.37"/>
        <n v="197.04"/>
        <n v="23.58"/>
        <n v="143.68"/>
        <n v="208.33"/>
        <n v="257.98"/>
        <n v="212.4"/>
        <n v="105.34"/>
        <n v="278.29000000000002"/>
        <n v="270.58"/>
        <n v="237.27"/>
        <n v="58.59"/>
        <n v="81.400000000000006"/>
        <n v="36.4"/>
        <n v="69.5"/>
        <n v="267.56"/>
        <n v="123.21"/>
        <n v="355.45"/>
        <n v="251.27"/>
        <n v="18.29"/>
        <n v="324.73"/>
        <n v="81.93"/>
        <n v="268.10000000000002"/>
        <n v="38.409999999999997"/>
        <n v="383.53"/>
        <n v="312.98"/>
        <n v="214.7"/>
        <n v="168.19"/>
        <n v="179.15"/>
        <n v="20"/>
        <n v="213.69"/>
        <n v="186.8"/>
        <n v="420.82"/>
        <n v="18.43"/>
        <n v="256.10000000000002"/>
        <n v="43.25"/>
        <n v="173.58"/>
        <n v="376.28"/>
        <n v="143.52000000000001"/>
        <n v="566.24"/>
        <n v="183.83"/>
        <n v="26.47"/>
        <n v="271.54000000000002"/>
        <n v="140.24"/>
        <n v="103"/>
        <n v="357.15"/>
        <n v="250.02"/>
        <n v="321.91000000000003"/>
        <n v="316.74"/>
        <n v="35.93"/>
        <n v="11"/>
        <n v="344.67"/>
        <n v="69.39"/>
        <n v="338.04"/>
        <n v="189.43"/>
        <n v="175.19"/>
        <n v="69.23"/>
        <n v="198.26"/>
        <n v="365.72"/>
        <n v="94.63"/>
        <n v="167.86"/>
        <n v="88.94"/>
        <n v="35.06"/>
        <n v="85.13"/>
        <n v="77.86"/>
        <n v="89.15"/>
        <n v="173.55"/>
        <n v="247.27"/>
        <n v="40.72"/>
        <n v="102.93"/>
        <n v="164.56"/>
        <n v="41.22"/>
        <n v="252.28"/>
        <n v="336.73"/>
        <n v="229.19"/>
        <n v="142.61000000000001"/>
        <n v="161.6"/>
        <n v="165.15"/>
        <n v="171.54"/>
        <n v="52.87"/>
        <n v="83.86"/>
        <n v="221"/>
        <n v="215.37"/>
        <n v="107.38"/>
        <n v="221.33"/>
        <n v="305.51"/>
        <n v="110.47"/>
        <n v="337.94"/>
        <n v="477.7"/>
        <n v="110.25"/>
        <n v="76.48"/>
        <n v="184.76"/>
        <n v="194.8"/>
        <n v="181.25"/>
        <n v="20.34"/>
        <n v="126.27"/>
        <n v="118.37"/>
        <n v="177.69"/>
        <n v="35.61"/>
        <n v="181.49"/>
        <n v="41.19"/>
        <n v="28.88"/>
        <n v="432.42"/>
        <n v="524.27"/>
        <n v="23.27"/>
        <n v="209.37"/>
        <n v="398.15"/>
        <n v="113.17"/>
        <n v="146.52000000000001"/>
        <n v="546.67999999999995"/>
        <n v="286.5"/>
        <n v="47.73"/>
        <n v="100.61"/>
        <n v="159.09"/>
        <n v="153.44"/>
        <n v="35.44"/>
        <n v="282.11"/>
        <n v="364.92"/>
        <n v="421.97"/>
        <n v="367.33"/>
        <n v="99.81"/>
        <n v="13.45"/>
        <n v="23.21"/>
        <n v="96.18"/>
        <n v="32.729999999999997"/>
        <n v="372.85"/>
        <n v="272.79000000000002"/>
        <n v="386.39"/>
        <n v="463.13"/>
        <n v="8.5"/>
        <n v="514.42999999999995"/>
        <n v="197.27"/>
        <n v="153.63"/>
        <n v="224.15"/>
        <n v="113.49"/>
        <n v="498.72"/>
        <n v="178.92"/>
        <n v="287.85000000000002"/>
        <n v="457.7"/>
        <n v="210.87"/>
        <n v="30.98"/>
        <n v="116.63"/>
        <n v="49.37"/>
        <n v="265.08999999999997"/>
        <n v="153.1"/>
        <n v="122.92"/>
        <n v="129.26"/>
        <n v="17.27"/>
        <n v="122.57"/>
        <n v="141.75"/>
        <n v="17.899999999999999"/>
        <n v="156.66"/>
        <n v="353.72"/>
        <n v="135.63"/>
        <n v="50.03"/>
        <n v="320.27"/>
        <n v="253.74"/>
        <n v="548.05999999999995"/>
        <n v="197.56"/>
        <n v="71.34"/>
        <n v="66.14"/>
        <n v="117.75"/>
        <n v="133.61000000000001"/>
        <n v="195.07"/>
        <n v="143.62"/>
        <n v="127.78"/>
        <n v="87.76"/>
        <n v="44.84"/>
        <n v="282.89999999999998"/>
        <n v="144.72"/>
        <n v="159.9"/>
        <n v="278.2"/>
        <n v="245.8"/>
        <n v="28.13"/>
        <n v="279.52"/>
        <n v="136.79"/>
        <n v="239.64"/>
        <n v="11.9"/>
        <n v="89.63"/>
        <n v="96.29"/>
        <n v="52.55"/>
        <n v="33.69"/>
        <n v="111.02"/>
        <n v="104.97"/>
        <n v="129"/>
        <n v="83.56"/>
        <n v="274.86"/>
        <n v="30.73"/>
        <n v="474.26"/>
        <n v="114.78"/>
        <n v="114.9"/>
        <n v="33.61"/>
        <n v="80.03"/>
        <n v="299.45999999999998"/>
        <n v="110.97"/>
        <n v="448.93"/>
        <n v="15.97"/>
        <n v="49.21"/>
        <n v="196.27"/>
        <n v="293.52"/>
        <n v="189.11"/>
        <n v="55.55"/>
        <n v="52.98"/>
        <n v="20.64"/>
        <n v="155.24"/>
        <n v="303.89999999999998"/>
        <n v="304.67"/>
        <n v="184.51"/>
        <n v="137.51"/>
        <n v="91.51"/>
        <n v="251.75"/>
        <n v="184.6"/>
        <n v="300.18"/>
        <n v="86.57"/>
        <n v="292.8"/>
        <n v="99.36"/>
        <n v="36.22"/>
        <n v="45.71"/>
        <n v="24.51"/>
        <n v="412.03"/>
        <n v="144.02000000000001"/>
        <n v="151.9"/>
        <n v="365.83"/>
        <n v="183.37"/>
        <n v="538.48"/>
        <n v="151.77000000000001"/>
        <n v="31"/>
        <n v="318.66000000000003"/>
        <n v="317.04000000000002"/>
        <n v="403.94"/>
        <n v="82.9"/>
        <n v="3.17"/>
        <n v="145.31"/>
        <n v="262.13"/>
        <n v="43.55"/>
        <n v="20.22"/>
        <n v="201.15"/>
        <n v="420.96"/>
        <n v="507.23"/>
        <n v="5.95"/>
        <n v="121.3"/>
        <n v="68.34"/>
        <n v="55.25"/>
        <n v="182.78"/>
        <n v="13.29"/>
        <n v="80.28"/>
        <n v="20.62"/>
        <n v="50.73"/>
        <n v="80.760000000000005"/>
        <n v="358.3"/>
        <n v="39.49"/>
        <n v="52.57"/>
        <n v="414.69"/>
        <n v="103.87"/>
        <n v="327.02"/>
        <n v="62.67"/>
        <n v="12.82"/>
        <n v="180.32"/>
        <n v="31.61"/>
        <n v="452.64"/>
        <n v="268.72000000000003"/>
        <n v="307.14"/>
        <n v="368.51"/>
        <n v="477.57"/>
        <n v="303.95999999999998"/>
        <n v="25.23"/>
        <n v="184.47"/>
        <n v="130.66999999999999"/>
        <n v="17.86"/>
        <n v="39.67"/>
        <n v="145.94"/>
        <n v="558.69000000000005"/>
        <n v="103.22"/>
        <n v="52.27"/>
        <n v="339.41"/>
        <n v="355.67"/>
        <n v="231.22"/>
        <n v="70.62"/>
        <n v="23.11"/>
        <n v="450.23"/>
        <n v="225.44"/>
        <n v="56.5"/>
        <n v="17.29"/>
        <n v="181.13"/>
        <n v="135.57"/>
        <n v="20.079999999999998"/>
        <n v="176.73"/>
        <n v="131.09"/>
        <n v="86.39"/>
        <n v="201.04"/>
        <n v="53.99"/>
        <n v="18.579999999999998"/>
        <n v="86.82"/>
        <n v="101.54"/>
        <n v="207.9"/>
        <n v="69.16"/>
        <n v="182.29"/>
        <n v="45.21"/>
        <n v="286.19"/>
        <n v="411.53"/>
        <n v="259.51"/>
        <n v="77.12"/>
        <n v="407.03"/>
        <n v="313.45999999999998"/>
        <n v="269.08999999999997"/>
        <n v="135.97"/>
        <n v="189.86"/>
        <n v="9.9"/>
        <n v="203.55"/>
        <n v="125.78"/>
        <n v="77.88"/>
        <n v="227.93"/>
        <n v="115.74"/>
        <n v="286.95"/>
        <n v="240.46"/>
        <n v="91.29"/>
        <n v="263.66000000000003"/>
        <n v="198.33"/>
        <n v="8.35"/>
        <n v="236.58"/>
        <n v="79.8"/>
        <n v="103.25"/>
        <n v="63.46"/>
        <n v="135.30000000000001"/>
        <n v="322.77999999999997"/>
        <n v="244.21"/>
        <n v="258.3"/>
        <n v="175.76"/>
        <n v="113.57"/>
        <n v="192.45"/>
        <n v="198.34"/>
        <n v="39.840000000000003"/>
        <n v="304.19"/>
        <n v="58.48"/>
        <n v="237.42"/>
        <n v="306.20999999999998"/>
        <n v="305.89999999999998"/>
        <n v="189.05"/>
        <n v="220.12"/>
        <n v="341.78"/>
        <n v="406.3"/>
        <n v="94.32"/>
        <n v="155.11000000000001"/>
        <n v="371.04"/>
        <n v="58.56"/>
        <n v="28.91"/>
        <n v="453.28"/>
        <n v="72.260000000000005"/>
        <n v="175.2"/>
        <n v="120.67"/>
        <n v="189.6"/>
        <n v="96.66"/>
        <n v="445.67"/>
        <n v="136.68"/>
        <n v="84.07"/>
        <n v="422.89"/>
        <n v="216.48"/>
        <n v="115.98"/>
        <n v="89.76"/>
        <n v="120.43"/>
        <n v="345.71"/>
        <n v="22.26"/>
        <n v="95.27"/>
        <n v="283.97000000000003"/>
        <n v="44.03"/>
        <n v="177.73"/>
        <n v="64.22"/>
        <n v="263.77999999999997"/>
        <n v="34.11"/>
        <n v="189.8"/>
        <n v="107.51"/>
        <n v="78.05"/>
        <n v="262.60000000000002"/>
        <n v="332.39"/>
        <n v="288.99"/>
        <n v="17.37"/>
        <n v="89.1"/>
        <n v="67.88"/>
        <n v="270.95999999999998"/>
        <n v="239.36"/>
        <n v="74.569999999999993"/>
        <n v="94.35"/>
        <n v="366.21"/>
        <n v="231.85"/>
        <n v="66.95"/>
        <n v="65.38"/>
        <n v="220.94"/>
        <n v="12.74"/>
        <n v="71.17"/>
        <n v="52.34"/>
        <n v="62.61"/>
        <n v="393.48"/>
        <n v="37.58"/>
        <n v="389.53"/>
        <n v="191.66"/>
        <n v="138.97999999999999"/>
        <n v="476.73"/>
        <n v="58.58"/>
        <n v="160.06"/>
        <n v="371.15"/>
        <n v="311.67"/>
        <n v="315.25"/>
        <n v="60.24"/>
        <n v="103.85"/>
        <n v="460.61"/>
        <n v="7.27"/>
        <n v="429.16"/>
        <n v="15.4"/>
        <n v="435.23"/>
        <n v="16.52"/>
        <n v="204.66"/>
        <n v="195.32"/>
        <n v="127.65"/>
        <n v="71.48"/>
        <n v="30.72"/>
        <n v="319.69"/>
        <n v="44.64"/>
        <n v="129.49"/>
        <n v="119.14"/>
        <n v="246.99"/>
        <n v="286.41000000000003"/>
        <n v="86.54"/>
        <n v="320.60000000000002"/>
        <n v="98.15"/>
        <n v="110.1"/>
        <n v="36.44"/>
        <n v="105.2"/>
        <n v="169.28"/>
        <n v="428.78"/>
        <n v="144.33000000000001"/>
        <n v="470.31"/>
        <n v="455.46"/>
        <n v="162.36000000000001"/>
        <n v="156.97999999999999"/>
        <n v="12.83"/>
        <n v="328.95"/>
        <n v="104.52"/>
        <n v="443.98"/>
        <n v="187.66"/>
        <n v="498.39"/>
        <n v="81.13"/>
        <n v="462.39"/>
        <n v="145.55000000000001"/>
        <n v="141.47"/>
        <n v="201.36"/>
        <n v="190.7"/>
        <n v="505.7"/>
        <n v="202.19"/>
        <n v="276.7"/>
        <n v="82.2"/>
        <n v="339.06"/>
        <n v="383.76"/>
        <n v="209.31"/>
        <n v="47.23"/>
        <n v="34.18"/>
        <n v="78.819999999999993"/>
        <n v="105.37"/>
        <n v="70.430000000000007"/>
        <n v="204.15"/>
        <n v="270.74"/>
        <n v="158.85"/>
        <n v="172.12"/>
        <n v="142.15"/>
        <n v="132.21"/>
        <n v="98.23"/>
        <n v="28.56"/>
        <n v="29.93"/>
        <n v="348.64"/>
        <n v="58.16"/>
        <n v="286.83"/>
        <n v="197.6"/>
        <n v="8.93"/>
        <n v="100.06"/>
        <n v="133.47999999999999"/>
        <n v="16.829999999999998"/>
        <n v="376.83"/>
        <n v="278.36"/>
        <n v="355.61"/>
        <n v="22.39"/>
        <n v="75.239999999999995"/>
        <n v="275.89"/>
        <n v="286.85000000000002"/>
        <n v="274.13"/>
        <n v="50.54"/>
        <n v="125.38"/>
        <n v="40.869999999999997"/>
        <n v="83.87"/>
        <n v="353.08"/>
        <n v="187.21"/>
        <n v="43.45"/>
        <n v="158.91"/>
        <n v="420.46"/>
        <n v="194.56"/>
        <n v="337.47"/>
        <n v="463.62"/>
        <n v="262.73"/>
        <n v="298.49"/>
        <n v="158.83000000000001"/>
        <n v="264.77999999999997"/>
        <n v="19.559999999999999"/>
        <n v="227.64"/>
        <n v="149.83000000000001"/>
        <n v="255.8"/>
        <n v="153.57"/>
        <n v="174.2"/>
        <n v="332.58"/>
        <n v="268.33999999999997"/>
        <n v="324.61"/>
        <n v="78.38"/>
        <n v="365.05"/>
        <n v="295.86"/>
        <n v="118.45"/>
        <n v="45.12"/>
        <n v="74.709999999999994"/>
        <n v="5.24"/>
        <n v="255.21"/>
        <n v="567.21"/>
        <n v="49.69"/>
        <n v="72.680000000000007"/>
        <n v="363.63"/>
        <n v="56.37"/>
        <n v="61.06"/>
        <n v="71.180000000000007"/>
        <n v="422.08"/>
        <n v="86.5"/>
        <n v="362.42"/>
        <n v="147.94"/>
        <n v="45.05"/>
        <n v="287.95"/>
        <n v="331.44"/>
        <n v="60.01"/>
        <n v="33.99"/>
        <n v="200.18"/>
        <n v="13.9"/>
        <n v="152.93"/>
        <n v="214.25"/>
        <n v="56.03"/>
        <n v="500.31"/>
        <n v="33.36"/>
        <n v="93.47"/>
        <n v="105.08"/>
        <n v="63.88"/>
        <n v="414.11"/>
        <n v="102.46"/>
        <n v="476.97"/>
        <n v="437.86"/>
        <n v="269.36"/>
        <n v="9"/>
        <n v="338.15"/>
        <n v="220.78"/>
        <n v="63.71"/>
        <n v="65.7"/>
        <n v="74.75"/>
        <n v="6.87"/>
        <n v="110.17"/>
        <n v="44.17"/>
        <n v="439.33"/>
        <n v="270.29000000000002"/>
        <n v="434.17"/>
        <n v="86.55"/>
        <n v="120.95"/>
        <n v="360.92"/>
        <n v="228.04"/>
        <n v="293.37"/>
        <n v="331.32"/>
        <n v="224.99"/>
        <n v="14.46"/>
        <n v="29.73"/>
        <n v="184.32"/>
        <n v="89.48"/>
        <n v="17.7"/>
        <n v="170.23"/>
        <n v="423.59"/>
        <n v="316.85000000000002"/>
        <n v="190.48"/>
        <n v="45.35"/>
        <n v="302.06"/>
        <n v="290.51"/>
        <n v="111.3"/>
        <n v="171.36"/>
        <n v="254.21"/>
        <n v="40.22"/>
        <n v="134.65"/>
        <n v="17.329999999999998"/>
        <n v="228.06"/>
        <n v="136.97"/>
        <n v="361.65"/>
        <n v="347.24"/>
        <n v="131.66999999999999"/>
        <n v="483.53"/>
        <n v="111.17"/>
        <n v="112.44"/>
        <n v="281.27999999999997"/>
        <n v="53.25"/>
        <n v="42.87"/>
        <n v="197.14"/>
        <n v="136.51"/>
        <n v="134.58000000000001"/>
        <n v="80.86"/>
        <n v="183.92"/>
        <n v="187.33"/>
        <n v="184.65"/>
        <n v="20.9"/>
        <n v="402.49"/>
        <n v="56.19"/>
        <n v="160.56"/>
        <n v="277.74"/>
        <n v="157.59"/>
        <n v="461.34"/>
        <n v="147.21"/>
        <n v="384.74"/>
        <n v="358.63"/>
        <n v="51.11"/>
        <n v="82.85"/>
        <n v="34.299999999999997"/>
        <n v="142.27000000000001"/>
        <n v="384.94"/>
        <n v="238.23"/>
        <n v="253.15"/>
        <n v="162.87"/>
        <n v="5.68"/>
        <n v="298.3"/>
        <n v="88.81"/>
        <n v="93.98"/>
        <n v="107.27"/>
        <n v="39.5"/>
        <n v="119.15"/>
        <n v="63.45"/>
        <n v="67.22"/>
        <n v="100.97"/>
        <n v="360.39"/>
        <n v="392.84"/>
        <n v="140.29"/>
        <n v="76.39"/>
        <n v="522.79"/>
        <n v="66"/>
        <n v="18.72"/>
        <n v="76.010000000000005"/>
        <n v="62.7"/>
        <n v="170.81"/>
        <n v="263.77"/>
        <n v="38.229999999999997"/>
        <n v="233.76"/>
        <n v="216.96"/>
        <n v="139.97"/>
        <n v="410.94"/>
        <n v="124.97"/>
        <n v="27.09"/>
        <n v="48.64"/>
        <n v="267.14999999999998"/>
        <n v="345.46"/>
        <n v="311.63"/>
        <n v="9.34"/>
        <n v="217.03"/>
        <n v="278.62"/>
        <n v="279.64"/>
        <n v="117.9"/>
        <n v="128.37"/>
        <n v="125.41"/>
        <n v="230.32"/>
        <n v="116.05"/>
        <n v="488.24"/>
        <n v="102.91"/>
        <n v="424.5"/>
        <n v="367.67"/>
        <n v="277.97000000000003"/>
        <n v="303.05"/>
        <n v="311.73"/>
        <n v="297.57"/>
        <n v="298.14999999999998"/>
        <n v="68.73"/>
        <n v="345.3"/>
        <n v="203.3"/>
        <n v="202.05"/>
        <n v="134.57"/>
        <n v="194.33"/>
        <n v="120.1"/>
        <n v="12.3"/>
        <n v="12.51"/>
        <n v="122.27"/>
        <n v="111.85"/>
        <n v="77.11"/>
        <n v="172.46"/>
        <n v="278.20999999999998"/>
        <n v="144.34"/>
        <n v="180.07"/>
        <n v="100.94"/>
        <n v="144.74"/>
        <n v="234.16"/>
        <n v="159.28"/>
        <n v="367.82"/>
        <n v="53.13"/>
        <n v="244.69"/>
        <n v="181.98"/>
        <n v="296.08"/>
        <n v="300.82"/>
        <n v="151.62"/>
        <n v="17.52"/>
        <n v="33.130000000000003"/>
        <n v="140.47999999999999"/>
        <n v="65.63"/>
        <n v="212.44"/>
        <n v="79.709999999999994"/>
        <n v="32.9"/>
        <n v="194.72"/>
        <n v="51.4"/>
        <n v="260.52999999999997"/>
        <n v="184.53"/>
        <n v="381.99"/>
        <n v="188.53"/>
        <n v="114.14"/>
        <n v="72.06"/>
        <n v="42.42"/>
        <n v="78.13"/>
        <n v="222.22"/>
        <n v="252.9"/>
        <n v="166.6"/>
        <n v="45.7"/>
        <n v="97.19"/>
        <n v="439.34"/>
        <n v="245.88"/>
        <n v="153.38"/>
        <n v="112.29"/>
        <n v="222.38"/>
        <n v="65.67"/>
        <n v="354.86"/>
        <n v="26.67"/>
        <n v="192.09"/>
        <n v="162.94"/>
        <n v="177.24"/>
        <n v="269.58999999999997"/>
        <n v="263.45999999999998"/>
        <n v="29.37"/>
        <n v="95.55"/>
        <n v="117.99"/>
        <n v="59.18"/>
        <n v="190.2"/>
        <n v="136.74"/>
        <n v="308.89999999999998"/>
        <n v="99.31"/>
        <n v="125.04"/>
        <n v="366.58"/>
        <n v="119.19"/>
        <n v="326.3"/>
        <n v="146.56"/>
        <n v="110.78"/>
        <n v="52.24"/>
        <n v="125.31"/>
        <n v="415.29"/>
        <n v="126.02"/>
        <n v="174.46"/>
        <n v="195.46"/>
        <n v="141.21"/>
        <n v="331.03"/>
        <n v="11.04"/>
        <n v="106.29"/>
        <n v="153.63999999999999"/>
        <n v="235.69"/>
        <n v="139.18"/>
        <n v="178.83"/>
        <n v="54.47"/>
        <n v="168.26"/>
        <n v="66.86"/>
        <n v="179.54"/>
        <n v="139.82"/>
        <n v="281.02999999999997"/>
        <n v="448.5"/>
        <n v="72.040000000000006"/>
        <n v="56.87"/>
        <n v="156.74"/>
        <n v="7.13"/>
        <n v="42.82"/>
        <n v="30.89"/>
        <n v="128.56"/>
        <n v="75.86"/>
        <n v="254.61"/>
        <n v="63.67"/>
        <n v="311.5"/>
        <n v="279.16000000000003"/>
        <n v="16.399999999999999"/>
        <n v="256.60000000000002"/>
        <n v="91.76"/>
        <n v="60.35"/>
        <n v="494.37"/>
        <n v="74.56"/>
        <n v="158.12"/>
        <n v="76.209999999999994"/>
        <n v="228.26"/>
        <n v="27.93"/>
        <n v="67.05"/>
        <n v="325.19"/>
        <n v="76.63"/>
        <n v="225.04"/>
        <n v="48.37"/>
        <n v="235.82"/>
        <n v="84.7"/>
        <n v="396.96"/>
        <n v="244.83"/>
        <n v="204.9"/>
        <n v="99.06"/>
        <n v="48.68"/>
        <n v="231.3"/>
        <n v="259.29000000000002"/>
        <n v="249.01"/>
        <n v="331.47"/>
        <n v="54.67"/>
        <n v="154.6"/>
        <n v="103.91"/>
        <n v="88.02"/>
        <n v="35.35"/>
        <n v="51.16"/>
        <n v="201.01"/>
        <n v="369.48"/>
        <n v="113.22"/>
        <n v="275.25"/>
        <n v="436.89"/>
        <n v="124.05"/>
        <n v="146.32"/>
        <n v="224.4"/>
        <n v="526.99"/>
        <n v="382.21"/>
        <n v="28.9"/>
        <n v="29.82"/>
        <n v="424.82"/>
        <n v="276.94"/>
        <n v="249.22"/>
        <n v="59.66"/>
        <n v="197.82"/>
        <n v="86.02"/>
        <n v="114.1"/>
        <n v="85.35"/>
        <n v="136.59"/>
        <n v="365.19"/>
        <n v="60.2"/>
        <n v="312.11"/>
        <n v="253.76"/>
        <n v="471.43"/>
        <n v="503.25"/>
        <n v="50.85"/>
        <n v="269.25"/>
        <n v="278.07"/>
        <n v="124.48"/>
        <n v="332.99"/>
        <n v="260.48"/>
        <n v="165.6"/>
        <n v="272.18"/>
        <n v="427.54"/>
        <n v="154.4"/>
        <n v="362.6"/>
        <n v="186.6"/>
        <n v="251.84"/>
        <n v="174.81"/>
        <n v="410.74"/>
        <n v="155.91"/>
        <n v="197.03"/>
        <n v="99.94"/>
        <n v="198.85"/>
        <n v="24.71"/>
        <n v="117.66"/>
        <n v="227.15"/>
        <n v="395.41"/>
        <n v="250.31"/>
        <n v="118.98"/>
        <n v="215.09"/>
        <n v="241.76"/>
        <n v="246.27"/>
        <n v="297.63"/>
        <n v="427.37"/>
        <n v="243.3"/>
        <n v="118.65"/>
        <n v="90.89"/>
        <n v="266.48"/>
        <n v="370.61"/>
        <n v="142.68"/>
        <n v="31.38"/>
        <n v="133.56"/>
        <n v="103.08"/>
        <n v="211.05"/>
        <n v="145.22999999999999"/>
        <n v="166.57"/>
        <n v="400.46"/>
        <n v="16.39"/>
        <n v="315.91000000000003"/>
        <n v="341.47"/>
        <n v="110.07"/>
        <n v="167.43"/>
        <n v="234.81"/>
        <n v="342.88"/>
        <n v="237.25"/>
        <n v="51.44"/>
        <n v="263.72000000000003"/>
        <n v="237.53"/>
        <n v="369.56"/>
        <n v="105.56"/>
        <n v="11.62"/>
        <n v="226.4"/>
        <n v="128.29"/>
        <n v="107.45"/>
        <n v="244.62"/>
        <n v="382.72"/>
        <n v="123.46"/>
        <n v="351.3"/>
        <n v="256.58"/>
        <n v="60.89"/>
        <n v="264.11"/>
        <n v="138.24"/>
        <n v="261.3"/>
        <n v="67.739999999999995"/>
        <n v="367.84"/>
        <n v="105.04"/>
        <n v="33.68"/>
        <n v="32.1"/>
        <n v="200.12"/>
        <n v="172.56"/>
        <n v="105.22"/>
        <n v="10.45"/>
        <n v="56.13"/>
        <n v="253.3"/>
        <n v="53.91"/>
        <n v="20.68"/>
        <n v="81.97"/>
        <n v="71.62"/>
        <n v="15.34"/>
        <n v="473.84"/>
        <n v="235.57"/>
        <n v="61.56"/>
        <n v="200.94"/>
        <n v="469.2"/>
        <n v="417.29"/>
        <n v="77.06"/>
        <n v="40.479999999999997"/>
        <n v="145.62"/>
        <n v="206.86"/>
        <n v="208.87"/>
        <n v="290.47000000000003"/>
        <n v="291"/>
        <n v="432.8"/>
        <n v="143.94999999999999"/>
        <n v="97.5"/>
        <n v="177.14"/>
        <n v="171.49"/>
        <n v="286.70999999999998"/>
        <n v="195.41"/>
        <n v="102.3"/>
        <n v="192.46"/>
        <n v="38.950000000000003"/>
        <n v="119.16"/>
        <n v="51.93"/>
        <n v="187.17"/>
        <n v="140.91999999999999"/>
        <n v="249.51"/>
        <n v="291.02"/>
        <n v="258.8"/>
        <n v="76.14"/>
        <n v="54.61"/>
        <n v="20.21"/>
        <n v="79.260000000000005"/>
        <n v="198.56"/>
        <n v="283.25"/>
        <n v="183.23"/>
        <n v="36.700000000000003"/>
        <n v="87.04"/>
        <n v="315.68"/>
        <n v="42.43"/>
        <n v="43.22"/>
        <n v="252.23"/>
        <n v="223.52"/>
        <n v="297.08999999999997"/>
        <n v="159.72"/>
        <n v="151.38999999999999"/>
        <n v="179.36"/>
        <n v="44.72"/>
        <n v="86.99"/>
        <n v="455.05"/>
        <n v="94.36"/>
        <n v="124.37"/>
        <n v="84.89"/>
        <n v="98.8"/>
        <n v="70.59"/>
        <n v="241"/>
        <n v="540.96"/>
        <n v="198.76"/>
        <n v="97.7"/>
        <n v="329.52"/>
        <n v="108.56"/>
        <n v="432.59"/>
        <n v="179.34"/>
        <n v="384.82"/>
        <n v="109.41"/>
        <n v="63.5"/>
        <n v="80.33"/>
        <n v="443.88"/>
        <n v="389.5"/>
        <n v="149.41"/>
        <n v="310.94"/>
        <n v="51.46"/>
        <n v="253.58"/>
        <n v="49.46"/>
        <n v="38.85"/>
        <n v="220.89"/>
        <n v="120.68"/>
        <n v="277.35000000000002"/>
        <n v="45.65"/>
        <n v="90.92"/>
        <n v="234.97"/>
        <n v="127.64"/>
        <n v="20.04"/>
        <n v="320.41000000000003"/>
        <n v="133.38999999999999"/>
        <n v="152.02000000000001"/>
        <n v="206.28"/>
        <n v="143.9"/>
        <n v="306.62"/>
        <n v="48.85"/>
        <n v="6.78"/>
        <n v="170.41"/>
        <n v="116.88"/>
        <n v="343.17"/>
        <n v="316.2"/>
        <n v="101.46"/>
        <n v="140.66"/>
        <n v="512.86"/>
        <n v="183.16"/>
        <n v="440.03"/>
        <n v="316.14999999999998"/>
        <n v="567.62"/>
        <n v="367.71"/>
        <n v="72.72"/>
        <n v="421.7"/>
        <n v="12.75"/>
        <n v="39.36"/>
        <n v="74.05"/>
        <n v="308.11"/>
        <n v="146.12"/>
        <n v="92.03"/>
        <n v="181.4"/>
        <n v="101.01"/>
        <n v="214.29"/>
        <n v="60.38"/>
        <n v="311.16000000000003"/>
        <n v="143"/>
        <n v="189.76"/>
        <n v="85.42"/>
        <n v="165.83"/>
        <n v="209.3"/>
        <n v="40.19"/>
        <n v="144.79"/>
        <n v="402.68"/>
        <n v="23.36"/>
        <n v="67.83"/>
        <n v="76.42"/>
        <n v="88.86"/>
        <n v="77.180000000000007"/>
        <n v="134.85"/>
        <n v="76.959999999999994"/>
        <n v="550.88"/>
        <n v="204.26"/>
        <n v="343.24"/>
        <n v="57.6"/>
        <n v="237.5"/>
        <n v="35.99"/>
        <n v="138.94"/>
        <n v="388.42"/>
        <n v="160.09"/>
        <n v="330.66"/>
        <n v="204.62"/>
        <n v="90.2"/>
        <n v="92.81"/>
        <n v="495.99"/>
        <n v="74.430000000000007"/>
        <n v="47.96"/>
        <n v="286.3"/>
        <n v="81.819999999999993"/>
        <n v="84.58"/>
        <n v="292.37"/>
        <n v="125.81"/>
        <n v="266.79000000000002"/>
        <n v="133.6"/>
        <n v="386.52"/>
        <n v="130.41999999999999"/>
        <n v="229.44"/>
        <n v="143.83000000000001"/>
        <n v="39.979999999999997"/>
        <n v="198.72"/>
        <n v="109.98"/>
        <n v="21.34"/>
        <n v="95.36"/>
        <n v="87.85"/>
        <n v="183.4"/>
        <n v="145.94999999999999"/>
        <n v="244.17"/>
        <n v="12.34"/>
        <n v="221.8"/>
        <n v="445.12"/>
        <n v="341.08"/>
        <n v="223.63"/>
        <n v="30.09"/>
        <n v="142.51"/>
        <n v="99.27"/>
        <n v="246.23"/>
        <n v="173.65"/>
        <n v="283.66000000000003"/>
        <n v="230.24"/>
        <n v="46.13"/>
        <n v="272.77"/>
        <n v="99.66"/>
        <n v="119.96"/>
        <n v="208.9"/>
        <n v="204.6"/>
        <n v="46.32"/>
        <n v="492.16"/>
        <n v="94.33"/>
        <n v="243.39"/>
        <n v="169.48"/>
        <n v="15.99"/>
        <n v="152.34"/>
        <n v="106.79"/>
        <n v="123.25"/>
        <n v="60.86"/>
        <n v="8.75"/>
        <n v="175.96"/>
        <n v="83.54"/>
        <n v="20.05"/>
        <n v="56.57"/>
        <n v="215.35"/>
        <n v="283.19"/>
        <n v="34.03"/>
        <n v="332.64"/>
        <n v="16"/>
        <n v="356.9"/>
        <n v="223.42"/>
        <n v="122.13"/>
        <n v="56.2"/>
        <n v="445.66"/>
        <n v="18.52"/>
        <n v="85.58"/>
        <n v="43.23"/>
        <n v="67.290000000000006"/>
        <n v="170.3"/>
        <n v="101.31"/>
        <n v="239.08"/>
        <n v="20.6"/>
        <n v="223.14"/>
        <n v="90.95"/>
        <n v="76.53"/>
        <n v="112.15"/>
        <n v="205.7"/>
        <n v="550.64"/>
        <n v="90.12"/>
        <n v="243.6"/>
        <n v="209.95"/>
        <n v="103.99"/>
        <n v="43.58"/>
        <n v="85.17"/>
        <n v="145.32"/>
        <n v="108.98"/>
        <n v="214.07"/>
        <n v="331.76"/>
        <n v="78.56"/>
        <n v="179.4"/>
        <n v="348.63"/>
        <n v="433.37"/>
        <n v="50.97"/>
        <n v="51.72"/>
        <n v="164.5"/>
        <n v="39"/>
        <n v="203.88"/>
        <n v="391.58"/>
        <n v="331.07"/>
        <n v="193.55"/>
        <n v="386.17"/>
        <n v="25.7"/>
        <n v="234.85"/>
        <n v="531.70000000000005"/>
        <n v="131.05000000000001"/>
        <n v="259.86"/>
        <n v="86.83"/>
        <n v="152.35"/>
        <n v="176.24"/>
        <n v="23.85"/>
        <n v="92.23"/>
        <n v="81.569999999999993"/>
        <n v="221.36"/>
        <n v="312.68"/>
        <n v="171.48"/>
        <n v="387.86"/>
        <n v="7.96"/>
        <n v="301.22000000000003"/>
        <n v="478.36"/>
        <n v="309.57"/>
        <n v="303.55"/>
        <n v="149.69"/>
        <n v="125.3"/>
        <n v="70.23"/>
        <n v="94.55"/>
        <n v="6.46"/>
        <n v="57.24"/>
        <n v="53"/>
        <n v="107.06"/>
        <n v="168.67"/>
        <n v="31.58"/>
        <n v="156.05000000000001"/>
        <n v="161.25"/>
        <n v="493.03"/>
        <n v="67.540000000000006"/>
        <n v="25.91"/>
        <n v="162.13"/>
        <n v="21.96"/>
        <n v="500.1"/>
        <n v="96.67"/>
        <n v="212.53"/>
        <n v="415.61"/>
        <n v="26.52"/>
        <n v="27.14"/>
        <n v="163.44999999999999"/>
        <n v="100.79"/>
        <n v="92.3"/>
        <n v="46.71"/>
        <n v="83.97"/>
        <n v="10.19"/>
        <n v="142.91"/>
        <n v="19.25"/>
        <n v="60.04"/>
        <n v="139.1"/>
        <n v="109.81"/>
        <n v="49.76"/>
        <n v="464.01"/>
        <n v="361.77"/>
        <n v="233.11"/>
        <n v="220.52"/>
        <n v="95.02"/>
        <n v="240.81"/>
        <n v="62.26"/>
        <n v="320.25"/>
        <n v="322.52"/>
        <n v="317.23"/>
        <n v="103.11"/>
        <n v="80.55"/>
        <n v="26.98"/>
        <n v="180.09"/>
        <n v="118.04"/>
        <n v="76.599999999999994"/>
        <n v="44.75"/>
        <n v="123.24"/>
        <n v="211.82"/>
        <n v="192.35"/>
        <n v="190.07"/>
        <n v="150.13999999999999"/>
        <n v="208.54"/>
        <n v="456.39"/>
        <n v="414.73"/>
        <n v="400.57"/>
        <n v="355.26"/>
        <n v="317.43"/>
        <n v="37.74"/>
        <n v="97.28"/>
        <n v="12.17"/>
        <n v="387.15"/>
        <n v="60.98"/>
        <n v="90.07"/>
        <n v="201.85"/>
        <n v="295.74"/>
        <n v="291.23"/>
        <n v="278.86"/>
        <n v="246.2"/>
        <n v="66.680000000000007"/>
        <n v="370.23"/>
        <n v="73.010000000000005"/>
        <n v="290.75"/>
        <n v="269.57"/>
        <n v="123.38"/>
        <n v="466.8"/>
        <n v="462.89"/>
        <n v="48.59"/>
        <n v="114.58"/>
        <n v="191.3"/>
        <n v="19.989999999999998"/>
        <n v="286.48"/>
        <n v="39.270000000000003"/>
        <n v="233.01"/>
        <n v="14.28"/>
        <n v="135.44"/>
        <n v="16.899999999999999"/>
        <n v="464.89"/>
        <n v="404.56"/>
        <n v="483.47"/>
        <n v="210.61"/>
        <n v="306.76"/>
        <n v="136.22"/>
        <n v="470.06"/>
        <n v="108.38"/>
        <n v="10.5"/>
        <n v="53.43"/>
        <n v="18.71"/>
        <n v="446.71"/>
        <n v="58.66"/>
        <n v="142.01"/>
        <n v="13.87"/>
        <n v="58.73"/>
        <n v="345.82"/>
        <n v="426.47"/>
        <n v="25.79"/>
        <n v="174.04"/>
        <n v="140.94"/>
        <n v="114"/>
        <n v="166.24"/>
        <n v="56.71"/>
        <n v="161.91"/>
        <n v="79.02"/>
        <n v="197.07"/>
        <n v="200.35"/>
        <n v="289.07"/>
        <n v="499.2"/>
        <n v="454.31"/>
        <n v="68.489999999999995"/>
        <n v="407.95"/>
        <n v="548.58000000000004"/>
        <n v="15.04"/>
        <n v="155.62"/>
        <n v="87.24"/>
        <n v="101.16"/>
        <n v="204.72"/>
        <n v="200.85"/>
        <n v="492.03"/>
        <n v="174.12"/>
        <n v="111.7"/>
        <n v="44.09"/>
        <n v="292.16000000000003"/>
        <n v="271.87"/>
        <n v="186.22"/>
        <n v="201.74"/>
        <n v="55.79"/>
        <n v="380.28"/>
        <n v="100.93"/>
        <n v="16.489999999999998"/>
        <n v="128.32"/>
        <n v="112.75"/>
        <n v="127.81"/>
        <n v="37.72"/>
        <n v="237.43"/>
        <n v="195.02"/>
        <n v="157.32"/>
        <n v="341.86"/>
        <n v="256.39999999999998"/>
        <n v="53.33"/>
        <n v="174.22"/>
        <n v="147.07"/>
        <n v="44.45"/>
        <n v="219.25"/>
        <n v="55.24"/>
        <n v="128.07"/>
        <n v="291.74"/>
        <n v="170.85"/>
        <n v="323.62"/>
        <n v="99.82"/>
        <n v="460.51"/>
        <n v="154.05000000000001"/>
        <n v="51.85"/>
        <n v="21.81"/>
        <n v="80.319999999999993"/>
        <n v="9.0500000000000007"/>
        <n v="195.67"/>
        <n v="356.34"/>
        <n v="359.93"/>
        <n v="165.41"/>
        <n v="323.31"/>
        <n v="77.62"/>
        <n v="539.1"/>
        <n v="43.68"/>
        <n v="238.41"/>
        <n v="19.89"/>
        <n v="14.89"/>
        <n v="154.01"/>
        <n v="90.79"/>
        <n v="346.28"/>
        <n v="234.41"/>
        <n v="166.31"/>
        <n v="159.21"/>
        <n v="24.82"/>
        <n v="571.20000000000005"/>
        <n v="45.38"/>
        <n v="88.99"/>
        <n v="10.82"/>
        <n v="73.95"/>
        <n v="70.680000000000007"/>
        <n v="153.74"/>
        <n v="228.43"/>
        <n v="150.49"/>
        <n v="109.15"/>
        <n v="94.03"/>
        <n v="262.44"/>
        <n v="38.65"/>
        <n v="318.8"/>
        <n v="321.89"/>
        <n v="130.16"/>
        <n v="35.869999999999997"/>
        <n v="378.26"/>
        <n v="53.1"/>
        <n v="186.75"/>
        <n v="92.26"/>
        <n v="4.4800000000000004"/>
        <n v="389.68"/>
        <n v="269.58"/>
        <n v="208.7"/>
        <n v="8.67"/>
        <n v="247.75"/>
        <n v="6.39"/>
        <n v="141.32"/>
        <n v="45.5"/>
        <n v="416.36"/>
        <n v="251.85"/>
        <n v="168.18"/>
        <n v="93.1"/>
        <n v="58.69"/>
        <n v="201.1"/>
        <n v="280.85000000000002"/>
        <n v="224.88"/>
        <n v="450.1"/>
        <n v="362.35"/>
        <n v="30.71"/>
        <n v="213.61"/>
        <n v="187.88"/>
        <n v="476.86"/>
        <n v="121.01"/>
        <n v="111.35"/>
        <n v="536.28"/>
        <n v="389.06"/>
        <n v="104.25"/>
        <n v="31.52"/>
        <n v="372.7"/>
        <n v="115.11"/>
        <n v="32.25"/>
        <n v="22.08"/>
        <n v="227.53"/>
        <n v="59.49"/>
        <n v="333.01"/>
        <n v="59.13"/>
        <n v="29.71"/>
        <n v="146.6"/>
        <n v="135.02000000000001"/>
        <n v="76.760000000000005"/>
        <n v="180.24"/>
        <n v="371.75"/>
        <n v="327.87"/>
        <n v="9.5399999999999991"/>
        <n v="40.56"/>
        <n v="420.04"/>
        <n v="437.44"/>
        <n v="421.51"/>
        <n v="137.91"/>
        <n v="415.84"/>
        <n v="58.89"/>
        <n v="212.95"/>
        <n v="95.11"/>
        <n v="16.809999999999999"/>
        <n v="315.66000000000003"/>
        <n v="319.26"/>
        <n v="34.340000000000003"/>
        <n v="157.24"/>
        <n v="181.07"/>
        <n v="154.79"/>
        <n v="544.55999999999995"/>
        <n v="52.43"/>
        <n v="334.85"/>
        <n v="244.73"/>
        <n v="30.74"/>
        <n v="442.15"/>
        <n v="111.36"/>
        <n v="99.89"/>
        <n v="134.77000000000001"/>
        <n v="185.59"/>
        <n v="119.03"/>
        <n v="122.5"/>
        <n v="43.53"/>
        <n v="439.53"/>
        <n v="206.21"/>
        <n v="531.09"/>
        <n v="8.07"/>
        <n v="86.52"/>
        <n v="229.23"/>
        <n v="11.47"/>
        <n v="189.12"/>
        <n v="137.04"/>
        <n v="471.99"/>
        <n v="21.11"/>
        <n v="113.95"/>
        <n v="112.83"/>
        <n v="40.14"/>
        <n v="176.84"/>
        <n v="328.59"/>
        <n v="185.09"/>
        <n v="52.3"/>
        <n v="95.47"/>
        <n v="245.11"/>
        <n v="47.81"/>
        <n v="89.47"/>
        <n v="105.99"/>
        <n v="91.44"/>
        <n v="50.64"/>
        <n v="228.98"/>
        <n v="133.54"/>
        <n v="138.12"/>
        <n v="344.86"/>
        <n v="99.55"/>
        <n v="182.43"/>
        <n v="49.26"/>
        <n v="332.17"/>
        <n v="121.87"/>
        <n v="15.17"/>
        <n v="16.18"/>
        <n v="150.25"/>
        <n v="298.64"/>
        <n v="109.13"/>
        <n v="67.69"/>
        <n v="147.99"/>
        <n v="474.06"/>
        <n v="332.81"/>
        <n v="51.99"/>
        <n v="309.44"/>
        <n v="93.2"/>
        <n v="129.16999999999999"/>
        <n v="337.25"/>
        <n v="28.99"/>
        <n v="240.17"/>
        <n v="375.66"/>
        <n v="295.7"/>
        <n v="67.55"/>
        <n v="272.54000000000002"/>
        <n v="40.380000000000003"/>
        <n v="486.8"/>
        <n v="7.15"/>
        <n v="321.5"/>
        <n v="190.1"/>
        <n v="192.05"/>
        <n v="64.41"/>
        <n v="240.19"/>
        <n v="439.45"/>
        <n v="378.68"/>
        <n v="58.98"/>
        <n v="69.66"/>
        <n v="92.64"/>
        <n v="57.74"/>
        <n v="153.58000000000001"/>
        <n v="39.520000000000003"/>
        <n v="238.43"/>
        <n v="334.03"/>
        <n v="25.6"/>
        <n v="166.7"/>
        <n v="461.5"/>
        <n v="428.84"/>
        <n v="89.43"/>
        <n v="57.63"/>
        <n v="173.75"/>
        <n v="302.95999999999998"/>
        <n v="194.01"/>
        <n v="91.39"/>
        <n v="145.77000000000001"/>
        <n v="154.88"/>
        <n v="187.65"/>
        <n v="265.3"/>
        <n v="161.94"/>
        <n v="69.290000000000006"/>
        <n v="19.78"/>
        <n v="327.02999999999997"/>
        <n v="69.400000000000006"/>
        <n v="268.56"/>
        <n v="45.98"/>
        <n v="10.74"/>
        <n v="91.71"/>
        <n v="184.41"/>
        <n v="185.61"/>
        <n v="127.04"/>
        <n v="176.26"/>
        <n v="51.96"/>
        <n v="507.96"/>
        <n v="356.1"/>
        <n v="191.91"/>
        <n v="170.62"/>
        <n v="43.09"/>
        <n v="277.72000000000003"/>
        <n v="316.38"/>
        <n v="63.6"/>
        <n v="474.54"/>
        <n v="393.2"/>
        <n v="414.21"/>
        <n v="142.5"/>
        <n v="136.03"/>
        <n v="100.8"/>
        <n v="222.62"/>
        <n v="97.24"/>
        <n v="125.2"/>
        <n v="34.840000000000003"/>
        <n v="12.43"/>
        <n v="229.69"/>
        <n v="14.61"/>
        <n v="176.83"/>
        <n v="332.22"/>
        <n v="367.43"/>
        <n v="47.61"/>
        <n v="48.73"/>
        <n v="483.49"/>
        <n v="162.59"/>
        <n v="22.03"/>
        <n v="31.53"/>
        <n v="309.79000000000002"/>
        <n v="16.079999999999998"/>
        <n v="146.44"/>
        <n v="172.61"/>
        <n v="200.22"/>
        <n v="170.37"/>
        <n v="96.32"/>
        <n v="169.75"/>
        <n v="81.45"/>
        <n v="189.71"/>
        <n v="219.18"/>
        <n v="80.150000000000006"/>
        <n v="4.41"/>
        <n v="42.29"/>
        <n v="211.1"/>
        <n v="281.18"/>
        <n v="73.680000000000007"/>
        <n v="167.39"/>
        <n v="30.14"/>
        <n v="149.41999999999999"/>
        <n v="52.15"/>
        <n v="216.37"/>
        <n v="49.5"/>
        <n v="537.97"/>
        <n v="301.24"/>
        <n v="95.58"/>
        <n v="239.57"/>
        <n v="304.48"/>
        <n v="394.65"/>
        <n v="37.21"/>
        <n v="234.63"/>
        <n v="293.19"/>
        <n v="324.39"/>
        <n v="103.29"/>
        <n v="166.98"/>
        <n v="169.57"/>
        <n v="56.99"/>
        <n v="380.35"/>
        <n v="4.88"/>
        <n v="23.65"/>
        <n v="318.3"/>
        <n v="137.79"/>
        <n v="95.12"/>
        <n v="72.33"/>
        <n v="276.43"/>
        <n v="32.619999999999997"/>
        <n v="199.93"/>
        <n v="63.72"/>
        <n v="204.51"/>
        <n v="108.86"/>
        <n v="135.58000000000001"/>
        <n v="180.35"/>
        <n v="54.05"/>
        <n v="144.94"/>
        <n v="67.989999999999995"/>
        <n v="75.44"/>
        <n v="263.45"/>
        <n v="5.81"/>
        <n v="418.49"/>
        <n v="40.26"/>
        <n v="210.67"/>
        <n v="255.35"/>
        <n v="401.35"/>
        <n v="185.97"/>
        <n v="465.46"/>
        <n v="52.48"/>
        <n v="171.8"/>
        <n v="235.02"/>
        <n v="31.11"/>
        <n v="443.28"/>
        <n v="405.81"/>
        <n v="304.70999999999998"/>
        <n v="74.180000000000007"/>
        <n v="46.44"/>
        <n v="6.75"/>
        <n v="229.78"/>
        <n v="312.23"/>
        <n v="94.09"/>
        <n v="131.36000000000001"/>
        <n v="199.04"/>
        <n v="53.23"/>
        <n v="289.58"/>
        <n v="179.09"/>
        <n v="431.17"/>
        <n v="491.78"/>
        <n v="17.100000000000001"/>
        <n v="39.26"/>
        <n v="225.78"/>
        <n v="126.19"/>
        <n v="257.7"/>
        <n v="126.24"/>
        <n v="37.979999999999997"/>
        <n v="377.95"/>
        <n v="145.96"/>
        <n v="111.75"/>
        <n v="134.80000000000001"/>
        <n v="337.9"/>
        <n v="176.93"/>
        <n v="147.13999999999999"/>
        <n v="303.61"/>
        <n v="280.66000000000003"/>
        <n v="363.26"/>
        <n v="114.7"/>
        <n v="77.61"/>
        <n v="114.24"/>
        <n v="46.05"/>
        <n v="52.12"/>
        <n v="121.68"/>
        <n v="40.770000000000003"/>
        <n v="215.54"/>
        <n v="146.62"/>
        <n v="166.05"/>
        <n v="381.38"/>
        <n v="200.21"/>
        <n v="208.12"/>
        <n v="142.78"/>
        <n v="305.77999999999997"/>
        <n v="54.98"/>
        <n v="358.43"/>
        <n v="87.96"/>
        <n v="318.05"/>
        <n v="426.32"/>
        <n v="63.75"/>
        <n v="324.26"/>
        <n v="86.22"/>
        <n v="369.22"/>
        <n v="335.73"/>
        <n v="55.65"/>
        <n v="338.98"/>
        <n v="6.37"/>
        <n v="135.85"/>
        <n v="177.39"/>
        <n v="121.61"/>
        <n v="39.93"/>
        <n v="59.38"/>
        <n v="29.95"/>
        <n v="46.12"/>
        <n v="249.27"/>
        <n v="159.46"/>
        <n v="112.12"/>
        <n v="363.54"/>
        <n v="293.7"/>
        <n v="175.17"/>
        <n v="403.32"/>
        <n v="27.59"/>
        <n v="158.27000000000001"/>
        <n v="12.37"/>
        <n v="209.4"/>
        <n v="172.81"/>
        <n v="458.63"/>
        <n v="12.11"/>
        <n v="522.38"/>
        <n v="227.43"/>
        <n v="441.32"/>
        <n v="343.1"/>
        <n v="64.58"/>
        <n v="385.1"/>
        <n v="230.13"/>
        <n v="459.61"/>
        <n v="72.180000000000007"/>
        <n v="61.61"/>
        <n v="83.61"/>
        <n v="513.5"/>
        <n v="312.62"/>
        <n v="79.95"/>
        <n v="80.239999999999995"/>
        <n v="60.58"/>
        <n v="234.46"/>
        <n v="67.17"/>
        <n v="175.8"/>
        <n v="81.39"/>
        <n v="157.13"/>
        <n v="179.91"/>
        <n v="239.86"/>
        <n v="157.63"/>
        <n v="97.93"/>
        <n v="190.29"/>
        <n v="53.42"/>
        <n v="131.22"/>
        <n v="171.27"/>
        <n v="92.46"/>
        <n v="231.08"/>
        <n v="91.18"/>
        <n v="113.99"/>
        <n v="514.98"/>
        <n v="106.05"/>
        <n v="215.66"/>
        <n v="160.80000000000001"/>
        <n v="16.329999999999998"/>
        <n v="270.72000000000003"/>
        <n v="212.88"/>
        <n v="114.95"/>
        <n v="106.65"/>
        <n v="120.28"/>
        <n v="239.58"/>
        <n v="179.16"/>
        <n v="124.21"/>
        <n v="13.18"/>
        <n v="111.39"/>
        <n v="186.37"/>
        <n v="45.4"/>
        <n v="186.57"/>
        <n v="188.6"/>
        <n v="214.93"/>
        <n v="70.34"/>
        <n v="88.69"/>
        <n v="437.04"/>
        <n v="212.83"/>
        <n v="73.14"/>
        <n v="405.09"/>
        <n v="428.54"/>
        <n v="361.36"/>
        <n v="406.38"/>
        <n v="154.19999999999999"/>
        <n v="17.57"/>
        <n v="14.52"/>
        <n v="115.52"/>
        <n v="515.79999999999995"/>
        <n v="288.41000000000003"/>
        <n v="76.73"/>
        <n v="94.69"/>
        <n v="425.8"/>
        <n v="294.88"/>
        <n v="104.41"/>
        <n v="49.73"/>
        <n v="237.54"/>
        <n v="31.5"/>
        <n v="183.56"/>
        <n v="92.1"/>
        <n v="26.69"/>
        <n v="209.63"/>
        <n v="219.51"/>
        <n v="9.26"/>
        <n v="100.24"/>
        <n v="319.57"/>
        <n v="50.34"/>
        <n v="460.93"/>
        <n v="363.18"/>
        <n v="170.33"/>
        <n v="466.44"/>
        <n v="236.31"/>
        <n v="73.16"/>
        <n v="342.48"/>
        <n v="257.13"/>
        <n v="4.8499999999999996"/>
        <n v="63.36"/>
        <n v="100.07"/>
        <n v="20.54"/>
        <n v="142"/>
        <n v="80.58"/>
        <n v="47.88"/>
        <n v="154.16999999999999"/>
        <n v="184.54"/>
        <n v="334.13"/>
        <n v="21.26"/>
        <n v="144.76"/>
        <n v="55.82"/>
        <n v="55.54"/>
        <n v="98.31"/>
        <n v="187.05"/>
        <n v="49.57"/>
        <n v="96.62"/>
        <n v="41.37"/>
        <n v="119.68"/>
        <n v="261.48"/>
        <n v="503.26"/>
        <n v="270.45"/>
        <n v="134.27000000000001"/>
        <n v="41.87"/>
        <n v="129.72999999999999"/>
        <n v="281.61"/>
        <n v="74.02"/>
        <n v="335"/>
        <n v="137.12"/>
        <n v="168.69"/>
        <n v="408.35"/>
        <n v="112.4"/>
        <n v="58.81"/>
        <n v="479.12"/>
        <n v="261.92"/>
        <n v="59.58"/>
        <n v="427.2"/>
        <n v="37.299999999999997"/>
        <n v="64.52"/>
        <n v="106.69"/>
        <n v="111.99"/>
        <n v="298.11"/>
        <n v="91.11"/>
        <n v="233.36"/>
        <n v="122.26"/>
        <n v="200.1"/>
        <n v="423.64"/>
        <n v="237.24"/>
        <n v="174.7"/>
        <n v="27.56"/>
        <n v="28.84"/>
        <n v="130.08000000000001"/>
        <n v="198.87"/>
        <n v="88.63"/>
        <n v="18.3"/>
        <n v="113.13"/>
        <n v="300.52999999999997"/>
        <n v="108.02"/>
        <n v="233.97"/>
        <n v="169.78"/>
        <n v="137.97999999999999"/>
        <n v="128.44"/>
        <n v="58.57"/>
        <n v="11.32"/>
        <n v="122.15"/>
        <n v="113.91"/>
        <n v="42.83"/>
        <n v="304.23"/>
        <n v="452.23"/>
        <n v="22.73"/>
        <n v="256.55"/>
        <n v="144.82"/>
        <n v="185"/>
        <n v="235.23"/>
        <n v="121.99"/>
        <n v="105.62"/>
        <n v="216.09"/>
        <n v="71.83"/>
        <n v="252.81"/>
        <n v="275.76"/>
        <n v="153.53"/>
        <n v="367.04"/>
        <n v="230.23"/>
        <n v="228.61"/>
        <n v="21.56"/>
        <n v="227.32"/>
        <n v="320.22000000000003"/>
        <n v="28.14"/>
        <n v="28.17"/>
        <n v="141.05000000000001"/>
        <n v="45.75"/>
        <n v="110.21"/>
        <n v="275.70999999999998"/>
        <n v="32.79"/>
        <n v="404.21"/>
        <n v="144.08000000000001"/>
        <n v="20.02"/>
        <n v="65.319999999999993"/>
        <n v="401.36"/>
        <n v="411.39"/>
        <n v="255.1"/>
        <n v="33.450000000000003"/>
        <n v="69.05"/>
        <n v="264.33999999999997"/>
        <n v="92.5"/>
        <n v="189.83"/>
        <n v="71.44"/>
        <n v="48.32"/>
        <n v="248.81"/>
        <n v="224.82"/>
        <n v="346.47"/>
        <n v="289.76"/>
        <n v="51.89"/>
        <n v="43.47"/>
        <n v="74.510000000000005"/>
        <n v="91.77"/>
        <n v="143.84"/>
        <n v="121.74"/>
        <n v="140.99"/>
        <n v="506.16"/>
        <n v="223.76"/>
        <n v="94.76"/>
        <n v="103.31"/>
        <n v="150.63"/>
        <n v="412.31"/>
        <n v="273.31"/>
        <n v="44.19"/>
        <n v="124.55"/>
        <n v="216.02"/>
        <n v="188.34"/>
        <n v="156.09"/>
        <n v="25.4"/>
        <n v="310.7"/>
        <n v="401.8"/>
        <n v="71.459999999999994"/>
        <n v="253.23"/>
        <n v="48.35"/>
        <n v="46.41"/>
        <n v="395.32"/>
        <n v="88.06"/>
        <n v="85.98"/>
        <n v="309.89"/>
        <n v="263.22000000000003"/>
        <n v="6.99"/>
        <n v="20.350000000000001"/>
        <n v="180.99"/>
        <n v="40.36"/>
        <n v="58.19"/>
        <n v="50.36"/>
        <n v="251.13"/>
        <n v="38.29"/>
        <n v="107.93"/>
        <n v="344.39"/>
        <n v="23.81"/>
        <n v="206.79"/>
        <n v="425.89"/>
        <n v="141.22999999999999"/>
        <n v="362.47"/>
        <n v="164.39"/>
        <n v="230.82"/>
        <n v="347.65"/>
        <n v="195.33"/>
        <n v="63.91"/>
        <n v="332.79"/>
        <n v="180.36"/>
        <n v="395.48"/>
        <n v="165.18"/>
        <n v="91.31"/>
        <n v="218.63"/>
        <n v="209.08"/>
        <n v="15.41"/>
        <n v="33.79"/>
        <n v="289.11"/>
        <n v="416.79"/>
        <n v="75.069999999999993"/>
        <n v="195.82"/>
        <n v="7.89"/>
        <n v="223.56"/>
        <n v="9.61"/>
        <n v="60.8"/>
        <n v="129.82"/>
        <n v="370.04"/>
        <n v="18.93"/>
        <n v="179.03"/>
        <n v="16.54"/>
        <n v="209.75"/>
        <n v="31.33"/>
        <n v="20.57"/>
        <n v="249.8"/>
        <n v="107.8"/>
        <n v="210.41"/>
        <n v="142.88"/>
        <n v="124.35"/>
        <n v="96.71"/>
        <n v="163.69"/>
        <n v="10.51"/>
        <n v="60.97"/>
        <n v="109.35"/>
        <n v="319.74"/>
        <n v="68.97"/>
        <n v="100.3"/>
        <n v="169.16"/>
        <n v="183.48"/>
        <n v="458.9"/>
        <n v="133.84"/>
        <n v="95.81"/>
        <n v="67.23"/>
        <n v="188.85"/>
        <n v="395.92"/>
        <n v="159.6"/>
        <n v="14.71"/>
        <n v="31.71"/>
        <n v="392.57"/>
        <n v="399.4"/>
        <n v="350.2"/>
        <n v="117.94"/>
        <n v="72.430000000000007"/>
        <n v="86.81"/>
        <n v="49.87"/>
        <n v="113.83"/>
        <n v="183.95"/>
        <n v="69.77"/>
        <n v="122.46"/>
        <n v="19.3"/>
        <n v="113.32"/>
        <n v="133.66"/>
        <n v="31.87"/>
        <n v="238.19"/>
        <n v="129.91"/>
        <n v="297.17"/>
        <n v="133.13999999999999"/>
        <n v="145.29"/>
        <n v="54.97"/>
        <n v="72.97"/>
        <n v="150.55000000000001"/>
        <n v="149.56"/>
        <n v="125.56"/>
        <n v="366.57"/>
        <n v="196.26"/>
        <n v="137.62"/>
        <n v="212.35"/>
        <n v="361.55"/>
        <n v="287.39999999999998"/>
        <n v="356.38"/>
        <n v="493.14"/>
        <n v="19.420000000000002"/>
        <n v="49.62"/>
        <n v="139.86000000000001"/>
        <n v="10.84"/>
        <n v="202.13"/>
        <n v="258.5"/>
        <n v="200.76"/>
        <n v="493.72"/>
        <n v="198.79"/>
        <n v="293.14"/>
        <n v="190.53"/>
        <n v="336.38"/>
        <n v="71.209999999999994"/>
        <n v="355.38"/>
        <n v="150.02000000000001"/>
        <n v="112.18"/>
        <n v="210.09"/>
        <n v="228.95"/>
        <n v="117.58"/>
        <n v="28.32"/>
        <n v="62.92"/>
        <n v="155.54"/>
        <n v="60.09"/>
        <n v="478.82"/>
        <n v="13.67"/>
        <n v="112.71"/>
        <n v="32.74"/>
        <n v="239.91"/>
        <n v="128.80000000000001"/>
        <n v="214.52"/>
        <n v="288.83"/>
        <n v="54.23"/>
        <n v="253.21"/>
        <n v="346.43"/>
        <n v="161.59"/>
        <n v="200.73"/>
        <n v="60.85"/>
        <n v="17.25"/>
        <n v="262.85000000000002"/>
        <n v="81.25"/>
        <n v="34.24"/>
        <n v="24.23"/>
        <n v="123.79"/>
        <n v="467.94"/>
        <n v="7.41"/>
        <n v="46.36"/>
        <n v="113.24"/>
        <n v="174.19"/>
        <n v="25.42"/>
        <n v="142.47"/>
        <n v="49.4"/>
        <n v="289.18"/>
        <n v="152.63999999999999"/>
        <n v="189.42"/>
        <n v="281.42"/>
        <n v="169.17"/>
        <n v="377.33"/>
        <n v="164.92"/>
        <n v="217.9"/>
        <n v="62.14"/>
        <n v="362.18"/>
        <n v="219.45"/>
        <n v="159.86000000000001"/>
        <n v="4.21"/>
        <n v="86.3"/>
        <n v="117.61"/>
        <n v="204.48"/>
        <n v="115.12"/>
        <n v="312.7"/>
        <n v="196.83"/>
        <n v="156.43"/>
        <n v="193.48"/>
        <n v="229.47"/>
        <n v="65.81"/>
        <n v="98.55"/>
        <n v="216.6"/>
        <n v="104.91"/>
        <n v="66.349999999999994"/>
        <n v="13.64"/>
        <n v="23.13"/>
        <n v="29.04"/>
        <n v="407.67"/>
        <n v="51.28"/>
        <n v="154.47"/>
        <n v="76.989999999999995"/>
        <n v="93.85"/>
        <n v="166.79"/>
        <n v="380.23"/>
        <n v="104.28"/>
        <n v="323.23"/>
        <n v="108.1"/>
        <n v="144.22999999999999"/>
        <n v="162.84"/>
        <n v="267.51"/>
        <n v="442.14"/>
        <n v="364.74"/>
        <n v="159"/>
        <n v="182.98"/>
        <n v="89.87"/>
        <n v="450.08"/>
        <n v="302.45999999999998"/>
        <n v="124.85"/>
        <n v="395.71"/>
        <n v="283.26"/>
        <n v="158.44"/>
        <n v="90.13"/>
        <n v="86.09"/>
        <n v="91.55"/>
        <n v="33.159999999999997"/>
        <n v="504.49"/>
        <n v="439.25"/>
        <n v="164.26"/>
        <n v="26.6"/>
        <n v="362.78"/>
        <n v="19.399999999999999"/>
        <n v="468.59"/>
        <n v="136.13"/>
        <n v="36.090000000000003"/>
        <n v="22.5"/>
        <n v="20.69"/>
        <n v="316.7"/>
        <n v="181.43"/>
        <n v="14.16"/>
        <n v="529.98"/>
        <n v="487.43"/>
        <n v="58.24"/>
        <n v="261.19"/>
        <n v="285.67"/>
        <n v="89.84"/>
        <n v="195.64"/>
        <n v="182.49"/>
        <n v="42.95"/>
        <n v="51.79"/>
        <n v="365.76"/>
        <n v="169.53"/>
        <n v="12.22"/>
        <n v="174.68"/>
        <n v="142.77000000000001"/>
        <n v="82.37"/>
        <n v="482.94"/>
        <n v="102.32"/>
        <n v="315.47000000000003"/>
        <n v="77.78"/>
        <n v="120.69"/>
        <n v="198.71"/>
        <n v="15.73"/>
        <n v="262.41000000000003"/>
        <n v="87.38"/>
        <n v="100.34"/>
        <n v="13.15"/>
        <n v="230.31"/>
        <n v="206.93"/>
        <n v="400.64"/>
        <n v="140.05000000000001"/>
        <n v="534.14"/>
        <n v="51.88"/>
        <n v="125.05"/>
        <n v="166.77"/>
        <n v="153.11000000000001"/>
        <n v="33.07"/>
        <n v="102.22"/>
        <n v="130.07"/>
        <n v="27.95"/>
        <n v="152.6"/>
        <n v="414.44"/>
        <n v="63.81"/>
        <n v="47.45"/>
        <n v="332.06"/>
        <n v="66.28"/>
        <n v="81.8"/>
        <n v="210.9"/>
        <n v="43.57"/>
        <n v="445.29"/>
        <n v="69.25"/>
        <n v="94.81"/>
        <n v="230.37"/>
        <n v="24.26"/>
        <n v="286.58999999999997"/>
        <n v="302.97000000000003"/>
        <n v="279.24"/>
        <n v="131.58000000000001"/>
        <n v="204.34"/>
        <n v="53.04"/>
        <n v="380.97"/>
        <n v="214.84"/>
        <n v="302.83999999999997"/>
        <n v="14.72"/>
        <n v="56.04"/>
        <n v="74.59"/>
        <n v="77.8"/>
        <n v="54.86"/>
        <n v="89.06"/>
        <n v="89.27"/>
        <n v="43.9"/>
        <n v="48.81"/>
        <n v="438.48"/>
        <n v="295.63"/>
        <n v="268.16000000000003"/>
        <n v="328.82"/>
        <n v="20.41"/>
        <n v="221.41"/>
        <n v="122.47"/>
        <n v="174.92"/>
        <n v="238.98"/>
        <n v="206.16"/>
        <n v="50.27"/>
        <n v="124.76"/>
        <n v="23.5"/>
        <n v="78.87"/>
        <n v="166.93"/>
        <n v="14.06"/>
        <n v="110.38"/>
        <n v="72.44"/>
        <n v="46.16"/>
        <n v="155.85"/>
        <n v="70.989999999999995"/>
        <n v="65.75"/>
        <n v="153.49"/>
        <n v="105.79"/>
        <n v="294.83999999999997"/>
        <n v="320.52"/>
        <n v="55.72"/>
        <n v="26.76"/>
        <n v="104.36"/>
        <n v="70.849999999999994"/>
        <n v="344.35"/>
        <n v="202.45"/>
        <n v="338.41"/>
        <n v="57"/>
        <n v="355.19"/>
        <n v="62.96"/>
        <n v="309.32"/>
        <n v="522.91"/>
        <n v="109.12"/>
        <n v="41.44"/>
        <n v="116.58"/>
        <n v="170.04"/>
        <n v="31.93"/>
        <n v="51.92"/>
        <n v="33.909999999999997"/>
        <n v="232.14"/>
        <n v="365.44"/>
        <n v="89.4"/>
        <n v="168.66"/>
        <n v="45.17"/>
        <n v="226.05"/>
        <n v="164.82"/>
        <n v="130.59"/>
        <n v="223.35"/>
        <n v="86.48"/>
        <n v="95.29"/>
        <n v="255.59"/>
        <n v="122.35"/>
        <n v="28.73"/>
        <n v="162.53"/>
        <n v="146.31"/>
        <n v="52.62"/>
        <n v="315.55"/>
        <n v="84.27"/>
        <n v="22.83"/>
        <n v="160.02000000000001"/>
        <n v="430.06"/>
        <n v="173.47"/>
        <n v="246.03"/>
        <n v="246.17"/>
        <n v="532.46"/>
        <n v="63.97"/>
        <n v="29.64"/>
        <n v="43.24"/>
        <n v="73.510000000000005"/>
        <n v="263.58"/>
        <n v="230.04"/>
        <n v="121.18"/>
        <n v="48.28"/>
        <n v="458.05"/>
        <n v="99.48"/>
        <n v="28.69"/>
        <n v="22.23"/>
        <n v="19.809999999999999"/>
        <n v="150.4"/>
        <n v="181.3"/>
        <n v="149.04"/>
        <n v="43.75"/>
        <n v="447.84"/>
        <n v="194.26"/>
        <n v="9.01"/>
        <n v="111.01"/>
        <n v="46.5"/>
        <n v="80.989999999999995"/>
        <n v="27.61"/>
        <n v="36.200000000000003"/>
        <n v="49.8"/>
        <n v="167.68"/>
        <n v="404.77"/>
        <n v="95.92"/>
        <n v="77.599999999999994"/>
        <n v="278.38"/>
        <n v="288.73"/>
        <n v="5.75"/>
        <n v="242.8"/>
        <n v="4.6900000000000004"/>
        <n v="29.16"/>
        <n v="31.18"/>
        <n v="279.33999999999997"/>
        <n v="11.4"/>
        <n v="274.27999999999997"/>
        <n v="292.07"/>
        <n v="231.51"/>
        <n v="103.57"/>
        <n v="55.35"/>
        <n v="150.22"/>
        <n v="561.30999999999995"/>
        <n v="213.13"/>
        <n v="374.83"/>
        <n v="253.18"/>
        <n v="35.85"/>
        <n v="306.98"/>
        <n v="123.54"/>
        <n v="140"/>
        <n v="13.28"/>
        <n v="178.86"/>
        <n v="235.56"/>
        <n v="255.64"/>
        <n v="368.53"/>
        <n v="22.96"/>
        <n v="191.25"/>
        <n v="9.1300000000000008"/>
        <n v="208.07"/>
        <n v="279.04000000000002"/>
        <n v="90.03"/>
        <n v="370.51"/>
        <n v="267.20999999999998"/>
        <n v="362.85"/>
        <n v="196.93"/>
        <n v="133.96"/>
        <n v="24.31"/>
        <n v="147.44"/>
        <n v="37.68"/>
        <n v="41.14"/>
        <n v="54.35"/>
        <n v="95.22"/>
        <n v="251.77"/>
        <n v="239.14"/>
        <n v="25.51"/>
        <n v="394.36"/>
        <n v="27.27"/>
        <n v="120.8"/>
        <n v="422.7"/>
        <n v="383.54"/>
        <n v="149.99"/>
        <n v="114.01"/>
        <n v="297.68"/>
        <n v="271.67"/>
        <n v="310.11"/>
        <n v="194.11"/>
        <n v="135.32"/>
        <n v="100.78"/>
        <n v="255.06"/>
        <n v="28.21"/>
        <n v="396.35"/>
        <n v="59.99"/>
        <n v="162.24"/>
        <n v="397.69"/>
        <n v="472.23"/>
        <n v="245.84"/>
        <n v="346.22"/>
        <n v="142.11000000000001"/>
        <n v="180.48"/>
        <n v="192.34"/>
        <n v="234.9"/>
        <n v="370.9"/>
        <n v="65.64"/>
        <n v="369.11"/>
        <n v="28.49"/>
        <n v="183.62"/>
        <n v="422.64"/>
        <n v="114.55"/>
        <n v="187.64"/>
        <n v="365.91"/>
        <n v="177.87"/>
        <n v="197.96"/>
        <n v="319.63"/>
        <n v="503.05"/>
        <n v="436.39"/>
        <n v="199.03"/>
        <n v="375.75"/>
        <n v="20.82"/>
        <n v="475.53"/>
        <n v="242.75"/>
        <n v="120.92"/>
        <n v="249.92"/>
        <n v="57.33"/>
        <n v="66.13"/>
        <n v="429.77"/>
        <n v="24.54"/>
        <n v="135.87"/>
        <n v="180.29"/>
        <n v="347.29"/>
        <n v="19.88"/>
        <n v="176.55"/>
        <n v="101.23"/>
        <n v="399.95"/>
        <n v="175.74"/>
        <n v="582.67999999999995"/>
        <n v="89.13"/>
        <n v="210.25"/>
        <n v="159.96"/>
        <n v="23.6"/>
        <n v="188.21"/>
        <n v="97.68"/>
        <n v="155.38"/>
        <n v="337.97"/>
        <n v="153.59"/>
        <n v="192.8"/>
        <n v="290.81"/>
        <n v="253.89"/>
        <n v="442.79"/>
        <n v="47.07"/>
        <n v="42.5"/>
        <n v="328.07"/>
        <n v="403.59"/>
        <n v="387.29"/>
        <n v="129.83000000000001"/>
        <n v="170.39"/>
        <n v="301.89999999999998"/>
        <n v="339.91"/>
        <n v="235.52"/>
        <n v="290.77"/>
        <n v="124.72"/>
        <n v="125.24"/>
        <n v="27.17"/>
        <n v="82.24"/>
        <n v="241.05"/>
        <n v="243.14"/>
        <n v="284.32"/>
        <n v="75.930000000000007"/>
        <n v="196.41"/>
        <n v="34.619999999999997"/>
        <n v="71.23"/>
        <n v="72.55"/>
        <n v="22.91"/>
        <n v="115.02"/>
        <n v="247.45"/>
        <n v="158.19"/>
        <n v="295.69"/>
        <n v="245.58"/>
        <n v="186.41"/>
        <n v="47.16"/>
        <n v="189.94"/>
        <n v="138.22999999999999"/>
        <n v="332.96"/>
        <n v="167.94"/>
        <n v="55.18"/>
        <n v="217.36"/>
        <n v="420.1"/>
        <n v="337.4"/>
        <n v="140.15"/>
        <n v="174.07"/>
        <n v="182.47"/>
        <n v="158.84"/>
        <n v="104.64"/>
        <n v="104.06"/>
        <n v="344.26"/>
        <n v="177.48"/>
        <n v="255.42"/>
        <n v="185.03"/>
        <n v="148.61000000000001"/>
        <n v="97.07"/>
        <n v="405.74"/>
        <n v="144.44"/>
        <n v="21.63"/>
        <n v="40.53"/>
        <n v="335.38"/>
        <n v="489.31"/>
        <n v="144.12"/>
        <n v="129.32"/>
        <n v="123.58"/>
        <n v="29.75"/>
        <n v="397.53"/>
        <n v="88.16"/>
        <n v="380.95"/>
        <n v="236.88"/>
        <n v="85.65"/>
        <n v="203.37"/>
        <n v="260.31"/>
        <n v="348.18"/>
        <n v="221.23"/>
        <n v="137.61000000000001"/>
        <n v="146.28"/>
        <n v="113.08"/>
        <n v="135.5"/>
        <n v="63.69"/>
        <n v="544.45000000000005"/>
        <n v="176.58"/>
        <n v="23.18"/>
        <n v="439.68"/>
        <n v="77.09"/>
        <n v="15.76"/>
        <n v="138.72"/>
        <n v="292.06"/>
        <n v="321.52"/>
        <n v="27.8"/>
        <n v="46.19"/>
        <n v="19.71"/>
        <n v="125.21"/>
        <n v="141.54"/>
        <n v="83.52"/>
        <n v="305.18"/>
        <n v="223.09"/>
        <n v="384.09"/>
        <n v="146.11000000000001"/>
        <n v="105.98"/>
        <n v="197.62"/>
        <n v="134.22999999999999"/>
        <n v="511.03"/>
        <n v="285.01"/>
        <n v="64.83"/>
        <n v="142.66999999999999"/>
        <n v="109.56"/>
        <n v="28.6"/>
        <n v="116.52"/>
        <n v="353.79"/>
        <n v="421.48"/>
        <n v="203.39"/>
        <n v="84.1"/>
        <n v="527.83000000000004"/>
        <n v="16.91"/>
        <n v="32.659999999999997"/>
        <n v="338.49"/>
        <n v="92.97"/>
        <n v="55.2"/>
        <n v="33.47"/>
        <n v="128.11000000000001"/>
        <n v="156.46"/>
        <n v="101.81"/>
        <n v="153.03"/>
        <n v="491.79"/>
        <n v="182.56"/>
        <n v="67.62"/>
        <n v="139.06"/>
        <n v="234.73"/>
        <n v="516.09"/>
        <n v="123.39"/>
        <n v="516.45000000000005"/>
        <n v="399.08"/>
        <n v="353.41"/>
        <n v="161.99"/>
        <n v="55.1"/>
        <n v="407.62"/>
        <n v="56.83"/>
        <n v="184.24"/>
        <n v="10.41"/>
        <n v="217.21"/>
        <n v="22.89"/>
        <n v="123.65"/>
        <n v="455.53"/>
        <n v="55.03"/>
        <n v="350.23"/>
        <n v="375.68"/>
        <n v="165.58"/>
        <n v="39.020000000000003"/>
        <n v="63.06"/>
        <n v="337"/>
        <n v="89.16"/>
        <n v="227.02"/>
        <n v="40.98"/>
        <n v="153.61000000000001"/>
        <n v="196.3"/>
        <n v="94.43"/>
        <n v="201.51"/>
        <n v="195.68"/>
        <n v="73.38"/>
        <n v="43.85"/>
        <n v="10.67"/>
        <n v="115.9"/>
        <n v="119.47"/>
        <n v="369.87"/>
        <n v="345.52"/>
        <n v="306.79000000000002"/>
        <n v="161.75"/>
        <n v="194.55"/>
        <n v="11.49"/>
        <n v="53.57"/>
        <n v="22.65"/>
        <n v="39.69"/>
        <n v="553.54999999999995"/>
        <n v="331.57"/>
        <n v="249.05"/>
        <n v="266.95999999999998"/>
        <n v="331.98"/>
        <n v="225.06"/>
        <n v="73.11"/>
        <n v="231.36"/>
        <n v="70.48"/>
        <n v="470.85"/>
        <n v="83.34"/>
        <n v="63.93"/>
        <n v="62.97"/>
        <n v="164.72"/>
        <n v="371.25"/>
        <n v="51.51"/>
        <n v="154.30000000000001"/>
        <n v="69.41"/>
        <n v="25.83"/>
        <n v="91.28"/>
        <n v="22.86"/>
        <n v="35.75"/>
        <n v="142.69"/>
        <n v="186.77"/>
        <n v="83.15"/>
        <n v="490.02"/>
        <n v="82.65"/>
        <n v="210.16"/>
        <n v="129.72"/>
        <n v="68.39"/>
        <n v="78.3"/>
        <n v="334.33"/>
        <n v="62.59"/>
        <n v="384.07"/>
        <n v="281.7"/>
        <n v="179.9"/>
        <n v="62.53"/>
        <n v="543.20000000000005"/>
        <n v="264.54000000000002"/>
        <n v="150.08000000000001"/>
        <n v="67.78"/>
        <n v="39.869999999999997"/>
        <n v="128.97999999999999"/>
        <n v="10.73"/>
        <n v="57.93"/>
        <n v="121.27"/>
        <n v="254.14"/>
        <n v="20.18"/>
        <n v="159.43"/>
        <n v="495.25"/>
        <n v="535.34"/>
        <n v="160.84"/>
        <n v="107.32"/>
        <n v="9.92"/>
        <n v="12.13"/>
        <n v="86.53"/>
        <n v="96.56"/>
        <n v="101.48"/>
        <n v="209.79"/>
        <n v="406.69"/>
        <n v="206.24"/>
        <n v="479.8"/>
        <n v="206.91"/>
        <n v="328.12"/>
        <n v="46.06"/>
        <n v="70.22"/>
        <n v="87.11"/>
        <n v="204.74"/>
        <n v="216.22"/>
        <n v="347.02"/>
        <n v="73.33"/>
        <n v="203.16"/>
        <n v="129.34"/>
        <n v="389.63"/>
        <n v="187.61"/>
        <n v="292.12"/>
        <n v="146.87"/>
        <n v="105.44"/>
        <n v="64.23"/>
        <n v="184.4"/>
        <n v="91.91"/>
        <n v="146.47"/>
        <n v="255.82"/>
        <n v="339.96"/>
        <n v="346.5"/>
        <n v="13.08"/>
        <n v="371.38"/>
        <n v="53.15"/>
        <n v="213.56"/>
        <n v="136.82"/>
        <n v="420.32"/>
        <n v="68.599999999999994"/>
        <n v="104.58"/>
        <n v="163.53"/>
        <n v="114.21"/>
        <n v="191.62"/>
        <n v="92.95"/>
        <n v="508.53"/>
        <n v="226.08"/>
        <n v="87.53"/>
        <n v="42.49"/>
        <n v="39.44"/>
        <n v="406.11"/>
        <n v="28.51"/>
        <n v="555.77"/>
        <n v="524.49"/>
        <n v="51.06"/>
        <n v="212.08"/>
        <n v="67.98"/>
        <n v="336.44"/>
        <n v="452.52"/>
        <n v="247.59"/>
        <n v="111.78"/>
        <n v="94.04"/>
        <n v="45.34"/>
        <n v="33.53"/>
        <n v="45.33"/>
        <n v="279.47000000000003"/>
        <n v="243.82"/>
        <n v="70.94"/>
        <n v="50.45"/>
        <n v="84.52"/>
        <n v="470.5"/>
        <n v="402.25"/>
        <n v="110.64"/>
        <n v="414.82"/>
        <n v="420.59"/>
        <n v="67.97"/>
        <n v="495.93"/>
        <n v="176.33"/>
        <n v="72.77"/>
        <n v="325.57"/>
        <n v="63.39"/>
        <n v="58.28"/>
        <n v="42.11"/>
        <n v="163.84"/>
        <n v="51.66"/>
        <n v="124.38"/>
        <n v="56.6"/>
        <n v="40.68"/>
        <n v="145.85"/>
        <n v="402.61"/>
        <n v="144.57"/>
        <n v="21.62"/>
        <n v="275.48"/>
        <n v="16.47"/>
        <n v="253.46"/>
        <n v="99.51"/>
        <n v="51.82"/>
        <n v="433.87"/>
        <n v="235.4"/>
        <n v="19.93"/>
        <n v="190.6"/>
        <n v="81.33"/>
        <n v="503.87"/>
        <n v="58.93"/>
        <n v="297.81"/>
        <n v="238.56"/>
        <n v="116.78"/>
        <n v="187.12"/>
        <n v="325.75"/>
        <n v="218.71"/>
        <n v="52.53"/>
        <n v="40.79"/>
        <n v="203.48"/>
        <n v="65.099999999999994"/>
        <n v="485.07"/>
        <n v="75.680000000000007"/>
        <n v="112.61"/>
        <n v="147.63"/>
        <n v="368.37"/>
        <n v="129.33000000000001"/>
        <n v="49.79"/>
        <n v="292.66000000000003"/>
        <n v="13.02"/>
        <n v="298.8"/>
        <n v="49.43"/>
        <n v="16.07"/>
        <n v="319.20999999999998"/>
        <n v="19.260000000000002"/>
        <n v="179.5"/>
        <n v="157.9"/>
        <n v="201.96"/>
        <n v="218.02"/>
        <n v="147.72"/>
        <n v="276.86"/>
        <n v="107.15"/>
        <n v="416.54"/>
        <n v="90.27"/>
        <n v="209.55"/>
        <n v="206.01"/>
        <n v="98.09"/>
        <n v="183.06"/>
        <n v="289.31"/>
        <n v="82.51"/>
        <n v="48.77"/>
        <n v="340.03"/>
        <n v="280.98"/>
        <n v="162.08000000000001"/>
        <n v="127.34"/>
        <n v="378.86"/>
        <n v="67.03"/>
        <n v="226.71"/>
        <n v="160.4"/>
        <n v="347.21"/>
        <n v="44.83"/>
        <n v="243.51"/>
        <n v="185.24"/>
        <n v="216.66"/>
        <n v="97.2"/>
        <n v="135.31"/>
        <n v="251.6"/>
        <n v="289.02999999999997"/>
        <n v="121.77"/>
        <n v="39.450000000000003"/>
        <n v="37.35"/>
        <n v="63.32"/>
        <n v="460.82"/>
        <n v="212.22"/>
        <n v="61.29"/>
        <n v="127.1"/>
        <n v="441.76"/>
        <n v="263.2"/>
        <n v="164.04"/>
        <n v="175.3"/>
        <n v="447.75"/>
        <n v="29.94"/>
        <n v="106.66"/>
        <n v="29.25"/>
        <n v="132.59"/>
        <n v="43.06"/>
        <n v="277.22000000000003"/>
        <n v="18.77"/>
        <n v="240.25"/>
        <n v="225.43"/>
        <n v="93.61"/>
        <n v="161.74"/>
        <n v="124.83"/>
        <n v="204.24"/>
        <n v="128.13"/>
        <n v="464.72"/>
        <n v="578.69000000000005"/>
        <n v="447.95"/>
        <n v="321.25"/>
        <n v="346.85"/>
        <n v="123.14"/>
        <n v="14.92"/>
        <n v="64.540000000000006"/>
        <n v="119.99"/>
        <n v="302.31"/>
        <n v="108.08"/>
        <n v="196.82"/>
        <n v="35.17"/>
        <n v="138.54"/>
        <n v="203.42"/>
        <n v="146.33000000000001"/>
        <n v="359.89"/>
        <n v="61.33"/>
        <n v="104.49"/>
        <n v="94.1"/>
        <n v="249.93"/>
        <n v="326.77999999999997"/>
        <n v="321.68"/>
        <n v="263.68"/>
        <n v="143.49"/>
        <n v="233.91"/>
        <n v="426.63"/>
        <n v="27.99"/>
        <n v="11.78"/>
        <n v="236.95"/>
        <n v="28.83"/>
        <n v="383.35"/>
        <n v="16.37"/>
        <n v="119.72"/>
        <n v="22.13"/>
        <n v="265.95"/>
        <n v="86.24"/>
        <n v="70.88"/>
        <n v="164.3"/>
        <n v="339.12"/>
        <n v="454.02"/>
        <n v="100.72"/>
        <n v="18.2"/>
        <n v="85.97"/>
        <n v="100.6"/>
        <n v="23.12"/>
        <n v="322.18"/>
        <n v="99.75"/>
        <n v="85.83"/>
        <n v="167.69"/>
        <n v="119.98"/>
        <n v="225.3"/>
        <n v="99.88"/>
        <n v="272.27"/>
        <n v="328.37"/>
        <n v="171.62"/>
        <n v="201.84"/>
        <n v="148.88999999999999"/>
        <n v="282.42"/>
        <n v="206.41"/>
        <n v="399.62"/>
        <n v="110.87"/>
        <n v="113.02"/>
        <n v="73.05"/>
        <n v="157.97"/>
        <n v="43.07"/>
        <n v="176.1"/>
        <n v="257.58999999999997"/>
        <n v="35.15"/>
        <n v="81.83"/>
        <n v="19.63"/>
        <n v="114.64"/>
        <n v="513.96"/>
        <n v="121.56"/>
        <n v="37.79"/>
        <n v="126.82"/>
        <n v="26.02"/>
        <n v="245.21"/>
        <n v="280.55"/>
        <n v="463.19"/>
        <n v="262.25"/>
        <n v="154.16"/>
        <n v="90.3"/>
        <n v="222.98"/>
        <n v="91.16"/>
        <n v="251.91"/>
        <n v="294.58"/>
        <n v="9.2100000000000009"/>
        <n v="33.58"/>
        <n v="253.48"/>
        <n v="390.48"/>
        <n v="148.49"/>
        <n v="123.49"/>
        <n v="325.01"/>
        <n v="16.43"/>
        <n v="73.930000000000007"/>
        <n v="93.86"/>
        <n v="75.97"/>
        <n v="154.38"/>
        <n v="472.19"/>
        <n v="218.52"/>
        <n v="515.24"/>
        <n v="18.61"/>
        <n v="105.41"/>
        <n v="210.06"/>
        <n v="387.24"/>
        <n v="130.13"/>
        <n v="84.5"/>
        <n v="47.39"/>
        <n v="265.98"/>
        <n v="471.17"/>
        <n v="124.26"/>
        <n v="206.32"/>
        <n v="122.54"/>
        <n v="94.51"/>
        <n v="378.99"/>
        <n v="574.20000000000005"/>
        <n v="78.680000000000007"/>
        <n v="49.94"/>
        <n v="15.1"/>
        <n v="311.27999999999997"/>
        <n v="78.92"/>
        <n v="195.06"/>
        <n v="386.82"/>
        <n v="296.14999999999998"/>
        <n v="28.3"/>
        <n v="149.88"/>
        <n v="210.88"/>
        <n v="95.34"/>
        <n v="327.01"/>
        <n v="62.55"/>
        <n v="210.66"/>
        <n v="49.84"/>
        <n v="394.21"/>
        <n v="228.3"/>
        <n v="387.51"/>
        <n v="310.36"/>
        <n v="193.96"/>
        <n v="270.05"/>
        <n v="140.16999999999999"/>
        <n v="27.88"/>
        <n v="23.35"/>
        <n v="90.57"/>
        <n v="276.27999999999997"/>
        <n v="100.87"/>
        <n v="301.32"/>
        <n v="230.97"/>
        <n v="136.19"/>
        <n v="136.88"/>
        <n v="434.37"/>
        <n v="33.22"/>
        <n v="470.1"/>
        <n v="90.46"/>
        <n v="171.22"/>
        <n v="132.46"/>
        <n v="108.58"/>
        <n v="127.23"/>
        <n v="171.92"/>
        <n v="342.62"/>
        <n v="137.75"/>
        <n v="58.68"/>
        <n v="66.59"/>
        <n v="404.63"/>
        <n v="251.1"/>
        <n v="38.47"/>
        <n v="67.08"/>
        <n v="15.61"/>
        <n v="308.25"/>
        <n v="17.670000000000002"/>
        <n v="219.56"/>
        <n v="306.95"/>
        <n v="238.24"/>
        <n v="20.58"/>
        <n v="119.6"/>
        <n v="407.05"/>
        <n v="98.24"/>
        <n v="324.95999999999998"/>
        <n v="444.27"/>
        <n v="26.32"/>
        <n v="29.13"/>
        <n v="74.88"/>
        <n v="301.42"/>
        <n v="6.05"/>
        <n v="19.09"/>
        <n v="73.64"/>
        <n v="15.81"/>
        <n v="424.38"/>
        <n v="442.46"/>
        <n v="99.44"/>
        <n v="98.71"/>
        <n v="276.85000000000002"/>
        <n v="351.99"/>
        <n v="342.73"/>
        <n v="89.36"/>
        <n v="10.94"/>
        <n v="64.64"/>
        <n v="78.14"/>
        <n v="145.36000000000001"/>
        <n v="140.32"/>
        <n v="159.25"/>
        <n v="211.78"/>
        <n v="310.06"/>
        <n v="130.91999999999999"/>
        <n v="538.34"/>
        <n v="523.72"/>
        <n v="102.57"/>
        <n v="61.37"/>
        <n v="241.02"/>
        <n v="192.9"/>
        <n v="527.64"/>
        <n v="519.47"/>
        <n v="281.14999999999998"/>
        <n v="565.9"/>
        <n v="82.5"/>
        <n v="73.819999999999993"/>
        <n v="72.05"/>
        <n v="62.36"/>
        <n v="79.45"/>
        <n v="197.44"/>
        <n v="328.65"/>
        <n v="405.32"/>
        <n v="115.35"/>
        <n v="58.71"/>
        <n v="97.63"/>
        <n v="22.11"/>
        <n v="396.33"/>
        <n v="142.74"/>
        <n v="241.36"/>
        <n v="118.74"/>
        <n v="208.85"/>
        <n v="376.5"/>
        <n v="255.83"/>
        <n v="170.02"/>
        <n v="179.71"/>
        <n v="24.44"/>
        <n v="30.44"/>
        <n v="47.75"/>
        <n v="148.57"/>
        <n v="5.63"/>
        <n v="40.25"/>
        <n v="145.5"/>
        <n v="523.91"/>
        <n v="74.5"/>
        <n v="39.72"/>
        <n v="264.98"/>
        <n v="303.38"/>
        <n v="41.52"/>
        <n v="159.47999999999999"/>
        <n v="248.17"/>
        <n v="148.38"/>
        <n v="33.56"/>
        <n v="261.63"/>
        <n v="70.900000000000006"/>
        <n v="202.7"/>
        <n v="119.33"/>
        <n v="146.72999999999999"/>
        <n v="389.21"/>
        <n v="290.10000000000002"/>
        <n v="288.62"/>
        <n v="240.97"/>
        <n v="254.5"/>
        <n v="250.06"/>
        <n v="148.47999999999999"/>
        <n v="135.72999999999999"/>
        <n v="148.43"/>
        <n v="137.93"/>
        <n v="99.62"/>
        <n v="228"/>
        <n v="44.57"/>
        <n v="412.2"/>
        <n v="259.66000000000003"/>
        <n v="160.46"/>
        <n v="176.64"/>
        <n v="415.75"/>
        <n v="318.75"/>
        <n v="128.86000000000001"/>
        <n v="455.73"/>
        <n v="156.13"/>
        <n v="284.94"/>
        <n v="75.45"/>
        <n v="489.99"/>
        <n v="101.79"/>
        <n v="122.4"/>
        <n v="17.809999999999999"/>
        <n v="269.44"/>
        <n v="170.72"/>
        <n v="200.61"/>
        <n v="237.21"/>
        <n v="11.74"/>
        <n v="130.88999999999999"/>
        <n v="112.67"/>
        <n v="250.15"/>
        <n v="111.09"/>
        <n v="97.65"/>
        <n v="199.88"/>
        <n v="51.2"/>
        <n v="235.85"/>
        <n v="196.03"/>
        <n v="260.98"/>
        <n v="30.94"/>
        <n v="122.6"/>
        <n v="75.73"/>
        <n v="311.45999999999998"/>
        <n v="277.16000000000003"/>
        <n v="523.75"/>
        <n v="331.22"/>
        <n v="51.43"/>
        <n v="384.58"/>
        <n v="327.23"/>
        <n v="256.93"/>
        <n v="278.19"/>
        <n v="274.58"/>
        <n v="339.53"/>
        <n v="78.41"/>
      </sharedItems>
    </cacheField>
    <cacheField name="Customer Segment" numFmtId="0">
      <sharedItems count="3">
        <s v="Home Office"/>
        <s v="Consumer"/>
        <s v="Corporate"/>
      </sharedItems>
    </cacheField>
    <cacheField name="Payment Mode" numFmtId="0">
      <sharedItems count="4">
        <s v="Credit Card"/>
        <s v="Prepaid"/>
        <s v="UPI"/>
        <s v="Cash on Delivery"/>
      </sharedItems>
    </cacheField>
    <cacheField name="Months (Order Date)" numFmtId="0" databaseField="0">
      <fieldGroup base="1">
        <rangePr groupBy="months" startDate="2022-01-01T00:00:00" endDate="2025-01-01T00:00:00"/>
        <groupItems count="14">
          <s v="&lt;01-01-2022"/>
          <s v="Jan"/>
          <s v="Feb"/>
          <s v="Mar"/>
          <s v="Apr"/>
          <s v="May"/>
          <s v="Jun"/>
          <s v="Jul"/>
          <s v="Aug"/>
          <s v="Sep"/>
          <s v="Oct"/>
          <s v="Nov"/>
          <s v="Dec"/>
          <s v="&gt;01-01-2025"/>
        </groupItems>
      </fieldGroup>
    </cacheField>
    <cacheField name="Quarters (Order Date)" numFmtId="0" databaseField="0">
      <fieldGroup base="1">
        <rangePr groupBy="quarters" startDate="2022-01-01T00:00:00" endDate="2025-01-01T00:00:00"/>
        <groupItems count="6">
          <s v="&lt;01-01-2022"/>
          <s v="Qtr1"/>
          <s v="Qtr2"/>
          <s v="Qtr3"/>
          <s v="Qtr4"/>
          <s v="&gt;01-01-2025"/>
        </groupItems>
      </fieldGroup>
    </cacheField>
    <cacheField name="Years (Order Date)" numFmtId="0" databaseField="0">
      <fieldGroup base="1">
        <rangePr groupBy="years" startDate="2022-01-01T00:00:00" endDate="2025-01-01T00:00:00"/>
        <groupItems count="6">
          <s v="&lt;01-01-2022"/>
          <s v="2022"/>
          <s v="2023"/>
          <s v="2024"/>
          <s v="2025"/>
          <s v="&gt;01-01-2025"/>
        </groupItems>
      </fieldGroup>
    </cacheField>
  </cacheFields>
  <extLst>
    <ext xmlns:x14="http://schemas.microsoft.com/office/spreadsheetml/2009/9/main" uri="{725AE2AE-9491-48be-B2B4-4EB974FC3084}">
      <x14:pivotCacheDefinition pivotCacheId="7025260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6">
  <r>
    <s v="ORD00001"/>
    <x v="0"/>
    <x v="0"/>
    <x v="0"/>
    <x v="0"/>
    <x v="0"/>
    <x v="0"/>
    <x v="0"/>
    <x v="0"/>
  </r>
  <r>
    <s v="ORD00002"/>
    <x v="1"/>
    <x v="1"/>
    <x v="1"/>
    <x v="1"/>
    <x v="1"/>
    <x v="1"/>
    <x v="1"/>
    <x v="1"/>
  </r>
  <r>
    <s v="ORD00003"/>
    <x v="2"/>
    <x v="2"/>
    <x v="2"/>
    <x v="1"/>
    <x v="2"/>
    <x v="2"/>
    <x v="0"/>
    <x v="0"/>
  </r>
  <r>
    <s v="ORD00004"/>
    <x v="3"/>
    <x v="3"/>
    <x v="3"/>
    <x v="2"/>
    <x v="3"/>
    <x v="3"/>
    <x v="2"/>
    <x v="2"/>
  </r>
  <r>
    <s v="ORD00005"/>
    <x v="4"/>
    <x v="0"/>
    <x v="4"/>
    <x v="0"/>
    <x v="4"/>
    <x v="4"/>
    <x v="1"/>
    <x v="2"/>
  </r>
  <r>
    <s v="ORD00006"/>
    <x v="5"/>
    <x v="1"/>
    <x v="5"/>
    <x v="1"/>
    <x v="5"/>
    <x v="5"/>
    <x v="2"/>
    <x v="3"/>
  </r>
  <r>
    <s v="ORD00007"/>
    <x v="6"/>
    <x v="2"/>
    <x v="5"/>
    <x v="1"/>
    <x v="6"/>
    <x v="6"/>
    <x v="0"/>
    <x v="0"/>
  </r>
  <r>
    <s v="ORD00008"/>
    <x v="7"/>
    <x v="0"/>
    <x v="4"/>
    <x v="0"/>
    <x v="7"/>
    <x v="7"/>
    <x v="0"/>
    <x v="3"/>
  </r>
  <r>
    <s v="ORD00009"/>
    <x v="8"/>
    <x v="1"/>
    <x v="6"/>
    <x v="0"/>
    <x v="8"/>
    <x v="8"/>
    <x v="2"/>
    <x v="2"/>
  </r>
  <r>
    <s v="ORD00010"/>
    <x v="9"/>
    <x v="3"/>
    <x v="4"/>
    <x v="0"/>
    <x v="9"/>
    <x v="9"/>
    <x v="0"/>
    <x v="3"/>
  </r>
  <r>
    <s v="ORD00011"/>
    <x v="10"/>
    <x v="3"/>
    <x v="7"/>
    <x v="0"/>
    <x v="10"/>
    <x v="10"/>
    <x v="1"/>
    <x v="2"/>
  </r>
  <r>
    <s v="ORD00012"/>
    <x v="11"/>
    <x v="3"/>
    <x v="4"/>
    <x v="0"/>
    <x v="11"/>
    <x v="11"/>
    <x v="2"/>
    <x v="1"/>
  </r>
  <r>
    <s v="ORD00013"/>
    <x v="12"/>
    <x v="2"/>
    <x v="1"/>
    <x v="1"/>
    <x v="12"/>
    <x v="12"/>
    <x v="0"/>
    <x v="0"/>
  </r>
  <r>
    <s v="ORD00014"/>
    <x v="13"/>
    <x v="3"/>
    <x v="0"/>
    <x v="0"/>
    <x v="13"/>
    <x v="13"/>
    <x v="1"/>
    <x v="3"/>
  </r>
  <r>
    <s v="ORD00015"/>
    <x v="14"/>
    <x v="0"/>
    <x v="8"/>
    <x v="1"/>
    <x v="14"/>
    <x v="14"/>
    <x v="2"/>
    <x v="2"/>
  </r>
  <r>
    <s v="ORD00016"/>
    <x v="15"/>
    <x v="1"/>
    <x v="7"/>
    <x v="0"/>
    <x v="15"/>
    <x v="15"/>
    <x v="1"/>
    <x v="3"/>
  </r>
  <r>
    <s v="ORD00017"/>
    <x v="16"/>
    <x v="2"/>
    <x v="5"/>
    <x v="1"/>
    <x v="16"/>
    <x v="16"/>
    <x v="2"/>
    <x v="3"/>
  </r>
  <r>
    <s v="ORD00018"/>
    <x v="17"/>
    <x v="3"/>
    <x v="9"/>
    <x v="0"/>
    <x v="17"/>
    <x v="17"/>
    <x v="0"/>
    <x v="1"/>
  </r>
  <r>
    <s v="ORD00019"/>
    <x v="18"/>
    <x v="1"/>
    <x v="7"/>
    <x v="0"/>
    <x v="18"/>
    <x v="18"/>
    <x v="1"/>
    <x v="2"/>
  </r>
  <r>
    <s v="ORD00020"/>
    <x v="19"/>
    <x v="2"/>
    <x v="4"/>
    <x v="0"/>
    <x v="19"/>
    <x v="19"/>
    <x v="2"/>
    <x v="3"/>
  </r>
  <r>
    <s v="ORD00021"/>
    <x v="20"/>
    <x v="1"/>
    <x v="8"/>
    <x v="1"/>
    <x v="20"/>
    <x v="20"/>
    <x v="0"/>
    <x v="0"/>
  </r>
  <r>
    <s v="ORD00022"/>
    <x v="21"/>
    <x v="0"/>
    <x v="2"/>
    <x v="1"/>
    <x v="21"/>
    <x v="21"/>
    <x v="0"/>
    <x v="0"/>
  </r>
  <r>
    <s v="ORD00023"/>
    <x v="22"/>
    <x v="0"/>
    <x v="1"/>
    <x v="1"/>
    <x v="22"/>
    <x v="22"/>
    <x v="2"/>
    <x v="2"/>
  </r>
  <r>
    <s v="ORD00024"/>
    <x v="23"/>
    <x v="2"/>
    <x v="10"/>
    <x v="2"/>
    <x v="23"/>
    <x v="23"/>
    <x v="1"/>
    <x v="2"/>
  </r>
  <r>
    <s v="ORD00025"/>
    <x v="24"/>
    <x v="1"/>
    <x v="8"/>
    <x v="1"/>
    <x v="24"/>
    <x v="24"/>
    <x v="2"/>
    <x v="3"/>
  </r>
  <r>
    <s v="ORD00026"/>
    <x v="25"/>
    <x v="1"/>
    <x v="5"/>
    <x v="1"/>
    <x v="25"/>
    <x v="25"/>
    <x v="1"/>
    <x v="2"/>
  </r>
  <r>
    <s v="ORD00027"/>
    <x v="26"/>
    <x v="1"/>
    <x v="8"/>
    <x v="1"/>
    <x v="26"/>
    <x v="26"/>
    <x v="2"/>
    <x v="0"/>
  </r>
  <r>
    <s v="ORD00028"/>
    <x v="27"/>
    <x v="1"/>
    <x v="11"/>
    <x v="2"/>
    <x v="27"/>
    <x v="27"/>
    <x v="0"/>
    <x v="2"/>
  </r>
  <r>
    <s v="ORD00029"/>
    <x v="28"/>
    <x v="1"/>
    <x v="0"/>
    <x v="0"/>
    <x v="28"/>
    <x v="28"/>
    <x v="1"/>
    <x v="1"/>
  </r>
  <r>
    <s v="ORD00030"/>
    <x v="29"/>
    <x v="2"/>
    <x v="8"/>
    <x v="1"/>
    <x v="29"/>
    <x v="29"/>
    <x v="1"/>
    <x v="3"/>
  </r>
  <r>
    <s v="ORD00031"/>
    <x v="30"/>
    <x v="0"/>
    <x v="10"/>
    <x v="2"/>
    <x v="30"/>
    <x v="30"/>
    <x v="1"/>
    <x v="1"/>
  </r>
  <r>
    <s v="ORD00032"/>
    <x v="31"/>
    <x v="0"/>
    <x v="5"/>
    <x v="1"/>
    <x v="31"/>
    <x v="31"/>
    <x v="2"/>
    <x v="2"/>
  </r>
  <r>
    <s v="ORD00033"/>
    <x v="32"/>
    <x v="0"/>
    <x v="9"/>
    <x v="0"/>
    <x v="32"/>
    <x v="32"/>
    <x v="0"/>
    <x v="2"/>
  </r>
  <r>
    <s v="ORD00034"/>
    <x v="33"/>
    <x v="0"/>
    <x v="2"/>
    <x v="1"/>
    <x v="33"/>
    <x v="33"/>
    <x v="1"/>
    <x v="1"/>
  </r>
  <r>
    <s v="ORD00035"/>
    <x v="34"/>
    <x v="3"/>
    <x v="5"/>
    <x v="1"/>
    <x v="34"/>
    <x v="34"/>
    <x v="2"/>
    <x v="1"/>
  </r>
  <r>
    <s v="ORD00036"/>
    <x v="35"/>
    <x v="1"/>
    <x v="5"/>
    <x v="1"/>
    <x v="35"/>
    <x v="35"/>
    <x v="2"/>
    <x v="2"/>
  </r>
  <r>
    <s v="ORD00037"/>
    <x v="36"/>
    <x v="2"/>
    <x v="6"/>
    <x v="0"/>
    <x v="36"/>
    <x v="36"/>
    <x v="1"/>
    <x v="2"/>
  </r>
  <r>
    <s v="ORD00038"/>
    <x v="37"/>
    <x v="2"/>
    <x v="12"/>
    <x v="2"/>
    <x v="37"/>
    <x v="37"/>
    <x v="1"/>
    <x v="3"/>
  </r>
  <r>
    <s v="ORD00039"/>
    <x v="38"/>
    <x v="1"/>
    <x v="4"/>
    <x v="0"/>
    <x v="38"/>
    <x v="38"/>
    <x v="0"/>
    <x v="0"/>
  </r>
  <r>
    <s v="ORD00040"/>
    <x v="21"/>
    <x v="2"/>
    <x v="4"/>
    <x v="0"/>
    <x v="39"/>
    <x v="39"/>
    <x v="2"/>
    <x v="3"/>
  </r>
  <r>
    <s v="ORD00041"/>
    <x v="39"/>
    <x v="3"/>
    <x v="6"/>
    <x v="0"/>
    <x v="40"/>
    <x v="40"/>
    <x v="0"/>
    <x v="0"/>
  </r>
  <r>
    <s v="ORD00042"/>
    <x v="40"/>
    <x v="2"/>
    <x v="7"/>
    <x v="0"/>
    <x v="41"/>
    <x v="41"/>
    <x v="1"/>
    <x v="0"/>
  </r>
  <r>
    <s v="ORD00043"/>
    <x v="41"/>
    <x v="3"/>
    <x v="11"/>
    <x v="2"/>
    <x v="42"/>
    <x v="42"/>
    <x v="2"/>
    <x v="3"/>
  </r>
  <r>
    <s v="ORD00044"/>
    <x v="42"/>
    <x v="3"/>
    <x v="2"/>
    <x v="1"/>
    <x v="43"/>
    <x v="43"/>
    <x v="2"/>
    <x v="3"/>
  </r>
  <r>
    <s v="ORD00045"/>
    <x v="43"/>
    <x v="0"/>
    <x v="10"/>
    <x v="2"/>
    <x v="44"/>
    <x v="44"/>
    <x v="1"/>
    <x v="3"/>
  </r>
  <r>
    <s v="ORD00046"/>
    <x v="44"/>
    <x v="1"/>
    <x v="4"/>
    <x v="0"/>
    <x v="45"/>
    <x v="45"/>
    <x v="0"/>
    <x v="3"/>
  </r>
  <r>
    <s v="ORD00047"/>
    <x v="45"/>
    <x v="0"/>
    <x v="3"/>
    <x v="2"/>
    <x v="46"/>
    <x v="46"/>
    <x v="0"/>
    <x v="3"/>
  </r>
  <r>
    <s v="ORD00048"/>
    <x v="46"/>
    <x v="2"/>
    <x v="0"/>
    <x v="0"/>
    <x v="47"/>
    <x v="47"/>
    <x v="0"/>
    <x v="2"/>
  </r>
  <r>
    <s v="ORD00049"/>
    <x v="47"/>
    <x v="3"/>
    <x v="9"/>
    <x v="0"/>
    <x v="48"/>
    <x v="48"/>
    <x v="1"/>
    <x v="3"/>
  </r>
  <r>
    <s v="ORD00050"/>
    <x v="48"/>
    <x v="3"/>
    <x v="10"/>
    <x v="2"/>
    <x v="49"/>
    <x v="49"/>
    <x v="1"/>
    <x v="2"/>
  </r>
  <r>
    <s v="ORD00051"/>
    <x v="49"/>
    <x v="3"/>
    <x v="4"/>
    <x v="0"/>
    <x v="50"/>
    <x v="50"/>
    <x v="1"/>
    <x v="3"/>
  </r>
  <r>
    <s v="ORD00052"/>
    <x v="50"/>
    <x v="0"/>
    <x v="9"/>
    <x v="0"/>
    <x v="51"/>
    <x v="51"/>
    <x v="0"/>
    <x v="1"/>
  </r>
  <r>
    <s v="ORD00053"/>
    <x v="51"/>
    <x v="0"/>
    <x v="6"/>
    <x v="0"/>
    <x v="52"/>
    <x v="52"/>
    <x v="2"/>
    <x v="3"/>
  </r>
  <r>
    <s v="ORD00054"/>
    <x v="52"/>
    <x v="1"/>
    <x v="8"/>
    <x v="1"/>
    <x v="53"/>
    <x v="53"/>
    <x v="2"/>
    <x v="3"/>
  </r>
  <r>
    <s v="ORD00055"/>
    <x v="53"/>
    <x v="1"/>
    <x v="6"/>
    <x v="0"/>
    <x v="54"/>
    <x v="54"/>
    <x v="2"/>
    <x v="3"/>
  </r>
  <r>
    <s v="ORD00056"/>
    <x v="54"/>
    <x v="2"/>
    <x v="7"/>
    <x v="0"/>
    <x v="55"/>
    <x v="55"/>
    <x v="0"/>
    <x v="3"/>
  </r>
  <r>
    <s v="ORD00057"/>
    <x v="55"/>
    <x v="3"/>
    <x v="10"/>
    <x v="2"/>
    <x v="56"/>
    <x v="56"/>
    <x v="0"/>
    <x v="1"/>
  </r>
  <r>
    <s v="ORD00058"/>
    <x v="56"/>
    <x v="2"/>
    <x v="3"/>
    <x v="2"/>
    <x v="57"/>
    <x v="57"/>
    <x v="1"/>
    <x v="1"/>
  </r>
  <r>
    <s v="ORD00059"/>
    <x v="57"/>
    <x v="0"/>
    <x v="13"/>
    <x v="1"/>
    <x v="58"/>
    <x v="58"/>
    <x v="1"/>
    <x v="1"/>
  </r>
  <r>
    <s v="ORD00060"/>
    <x v="58"/>
    <x v="3"/>
    <x v="14"/>
    <x v="2"/>
    <x v="59"/>
    <x v="59"/>
    <x v="1"/>
    <x v="2"/>
  </r>
  <r>
    <s v="ORD00061"/>
    <x v="59"/>
    <x v="0"/>
    <x v="6"/>
    <x v="0"/>
    <x v="60"/>
    <x v="60"/>
    <x v="1"/>
    <x v="2"/>
  </r>
  <r>
    <s v="ORD00062"/>
    <x v="60"/>
    <x v="3"/>
    <x v="1"/>
    <x v="1"/>
    <x v="61"/>
    <x v="61"/>
    <x v="1"/>
    <x v="1"/>
  </r>
  <r>
    <s v="ORD00063"/>
    <x v="61"/>
    <x v="3"/>
    <x v="13"/>
    <x v="1"/>
    <x v="62"/>
    <x v="62"/>
    <x v="2"/>
    <x v="2"/>
  </r>
  <r>
    <s v="ORD00064"/>
    <x v="62"/>
    <x v="1"/>
    <x v="12"/>
    <x v="2"/>
    <x v="63"/>
    <x v="63"/>
    <x v="2"/>
    <x v="2"/>
  </r>
  <r>
    <s v="ORD00065"/>
    <x v="63"/>
    <x v="2"/>
    <x v="5"/>
    <x v="1"/>
    <x v="64"/>
    <x v="64"/>
    <x v="0"/>
    <x v="3"/>
  </r>
  <r>
    <s v="ORD00066"/>
    <x v="64"/>
    <x v="1"/>
    <x v="5"/>
    <x v="1"/>
    <x v="65"/>
    <x v="65"/>
    <x v="1"/>
    <x v="0"/>
  </r>
  <r>
    <s v="ORD00067"/>
    <x v="65"/>
    <x v="0"/>
    <x v="1"/>
    <x v="1"/>
    <x v="66"/>
    <x v="66"/>
    <x v="0"/>
    <x v="2"/>
  </r>
  <r>
    <s v="ORD00068"/>
    <x v="66"/>
    <x v="1"/>
    <x v="11"/>
    <x v="2"/>
    <x v="67"/>
    <x v="67"/>
    <x v="0"/>
    <x v="0"/>
  </r>
  <r>
    <s v="ORD00069"/>
    <x v="67"/>
    <x v="1"/>
    <x v="1"/>
    <x v="1"/>
    <x v="68"/>
    <x v="68"/>
    <x v="0"/>
    <x v="1"/>
  </r>
  <r>
    <s v="ORD00070"/>
    <x v="68"/>
    <x v="3"/>
    <x v="2"/>
    <x v="1"/>
    <x v="69"/>
    <x v="69"/>
    <x v="0"/>
    <x v="3"/>
  </r>
  <r>
    <s v="ORD00071"/>
    <x v="69"/>
    <x v="3"/>
    <x v="0"/>
    <x v="0"/>
    <x v="70"/>
    <x v="70"/>
    <x v="0"/>
    <x v="0"/>
  </r>
  <r>
    <s v="ORD00072"/>
    <x v="70"/>
    <x v="2"/>
    <x v="5"/>
    <x v="1"/>
    <x v="71"/>
    <x v="71"/>
    <x v="0"/>
    <x v="2"/>
  </r>
  <r>
    <s v="ORD00073"/>
    <x v="71"/>
    <x v="2"/>
    <x v="13"/>
    <x v="1"/>
    <x v="72"/>
    <x v="72"/>
    <x v="2"/>
    <x v="2"/>
  </r>
  <r>
    <s v="ORD00074"/>
    <x v="72"/>
    <x v="2"/>
    <x v="12"/>
    <x v="2"/>
    <x v="73"/>
    <x v="73"/>
    <x v="1"/>
    <x v="0"/>
  </r>
  <r>
    <s v="ORD00075"/>
    <x v="73"/>
    <x v="2"/>
    <x v="6"/>
    <x v="0"/>
    <x v="74"/>
    <x v="74"/>
    <x v="0"/>
    <x v="2"/>
  </r>
  <r>
    <s v="ORD00076"/>
    <x v="74"/>
    <x v="1"/>
    <x v="13"/>
    <x v="1"/>
    <x v="75"/>
    <x v="75"/>
    <x v="2"/>
    <x v="1"/>
  </r>
  <r>
    <s v="ORD00077"/>
    <x v="75"/>
    <x v="1"/>
    <x v="7"/>
    <x v="0"/>
    <x v="76"/>
    <x v="76"/>
    <x v="1"/>
    <x v="2"/>
  </r>
  <r>
    <s v="ORD00078"/>
    <x v="76"/>
    <x v="2"/>
    <x v="7"/>
    <x v="0"/>
    <x v="77"/>
    <x v="77"/>
    <x v="2"/>
    <x v="2"/>
  </r>
  <r>
    <s v="ORD00079"/>
    <x v="77"/>
    <x v="1"/>
    <x v="4"/>
    <x v="0"/>
    <x v="78"/>
    <x v="78"/>
    <x v="2"/>
    <x v="2"/>
  </r>
  <r>
    <s v="ORD00080"/>
    <x v="78"/>
    <x v="2"/>
    <x v="0"/>
    <x v="0"/>
    <x v="79"/>
    <x v="79"/>
    <x v="2"/>
    <x v="3"/>
  </r>
  <r>
    <s v="ORD00081"/>
    <x v="79"/>
    <x v="2"/>
    <x v="1"/>
    <x v="1"/>
    <x v="80"/>
    <x v="80"/>
    <x v="1"/>
    <x v="2"/>
  </r>
  <r>
    <s v="ORD00082"/>
    <x v="80"/>
    <x v="2"/>
    <x v="7"/>
    <x v="0"/>
    <x v="81"/>
    <x v="81"/>
    <x v="0"/>
    <x v="2"/>
  </r>
  <r>
    <s v="ORD00083"/>
    <x v="81"/>
    <x v="3"/>
    <x v="2"/>
    <x v="1"/>
    <x v="82"/>
    <x v="82"/>
    <x v="1"/>
    <x v="3"/>
  </r>
  <r>
    <s v="ORD00084"/>
    <x v="82"/>
    <x v="0"/>
    <x v="13"/>
    <x v="1"/>
    <x v="83"/>
    <x v="83"/>
    <x v="0"/>
    <x v="1"/>
  </r>
  <r>
    <s v="ORD00085"/>
    <x v="14"/>
    <x v="3"/>
    <x v="5"/>
    <x v="1"/>
    <x v="84"/>
    <x v="84"/>
    <x v="2"/>
    <x v="0"/>
  </r>
  <r>
    <s v="ORD00086"/>
    <x v="83"/>
    <x v="3"/>
    <x v="0"/>
    <x v="0"/>
    <x v="85"/>
    <x v="85"/>
    <x v="2"/>
    <x v="1"/>
  </r>
  <r>
    <s v="ORD00087"/>
    <x v="84"/>
    <x v="0"/>
    <x v="13"/>
    <x v="1"/>
    <x v="86"/>
    <x v="86"/>
    <x v="2"/>
    <x v="3"/>
  </r>
  <r>
    <s v="ORD00088"/>
    <x v="85"/>
    <x v="2"/>
    <x v="4"/>
    <x v="0"/>
    <x v="87"/>
    <x v="87"/>
    <x v="0"/>
    <x v="0"/>
  </r>
  <r>
    <s v="ORD00089"/>
    <x v="86"/>
    <x v="1"/>
    <x v="2"/>
    <x v="1"/>
    <x v="88"/>
    <x v="88"/>
    <x v="0"/>
    <x v="0"/>
  </r>
  <r>
    <s v="ORD00090"/>
    <x v="29"/>
    <x v="3"/>
    <x v="2"/>
    <x v="1"/>
    <x v="89"/>
    <x v="89"/>
    <x v="0"/>
    <x v="3"/>
  </r>
  <r>
    <s v="ORD00091"/>
    <x v="87"/>
    <x v="2"/>
    <x v="9"/>
    <x v="0"/>
    <x v="90"/>
    <x v="90"/>
    <x v="0"/>
    <x v="0"/>
  </r>
  <r>
    <s v="ORD00092"/>
    <x v="88"/>
    <x v="3"/>
    <x v="5"/>
    <x v="1"/>
    <x v="91"/>
    <x v="91"/>
    <x v="0"/>
    <x v="3"/>
  </r>
  <r>
    <s v="ORD00093"/>
    <x v="89"/>
    <x v="2"/>
    <x v="12"/>
    <x v="2"/>
    <x v="92"/>
    <x v="92"/>
    <x v="0"/>
    <x v="1"/>
  </r>
  <r>
    <s v="ORD00094"/>
    <x v="90"/>
    <x v="2"/>
    <x v="7"/>
    <x v="0"/>
    <x v="93"/>
    <x v="93"/>
    <x v="2"/>
    <x v="3"/>
  </r>
  <r>
    <s v="ORD00095"/>
    <x v="91"/>
    <x v="3"/>
    <x v="0"/>
    <x v="0"/>
    <x v="94"/>
    <x v="94"/>
    <x v="0"/>
    <x v="2"/>
  </r>
  <r>
    <s v="ORD00096"/>
    <x v="92"/>
    <x v="2"/>
    <x v="14"/>
    <x v="2"/>
    <x v="95"/>
    <x v="95"/>
    <x v="2"/>
    <x v="3"/>
  </r>
  <r>
    <s v="ORD00097"/>
    <x v="93"/>
    <x v="1"/>
    <x v="6"/>
    <x v="0"/>
    <x v="96"/>
    <x v="96"/>
    <x v="1"/>
    <x v="1"/>
  </r>
  <r>
    <s v="ORD00098"/>
    <x v="94"/>
    <x v="2"/>
    <x v="1"/>
    <x v="1"/>
    <x v="97"/>
    <x v="97"/>
    <x v="1"/>
    <x v="1"/>
  </r>
  <r>
    <s v="ORD00099"/>
    <x v="95"/>
    <x v="2"/>
    <x v="8"/>
    <x v="1"/>
    <x v="98"/>
    <x v="98"/>
    <x v="1"/>
    <x v="3"/>
  </r>
  <r>
    <s v="ORD00100"/>
    <x v="96"/>
    <x v="3"/>
    <x v="14"/>
    <x v="2"/>
    <x v="99"/>
    <x v="99"/>
    <x v="2"/>
    <x v="0"/>
  </r>
  <r>
    <s v="ORD00101"/>
    <x v="97"/>
    <x v="2"/>
    <x v="4"/>
    <x v="0"/>
    <x v="100"/>
    <x v="100"/>
    <x v="1"/>
    <x v="0"/>
  </r>
  <r>
    <s v="ORD00102"/>
    <x v="98"/>
    <x v="3"/>
    <x v="11"/>
    <x v="2"/>
    <x v="101"/>
    <x v="101"/>
    <x v="2"/>
    <x v="0"/>
  </r>
  <r>
    <s v="ORD00103"/>
    <x v="43"/>
    <x v="0"/>
    <x v="5"/>
    <x v="1"/>
    <x v="102"/>
    <x v="102"/>
    <x v="1"/>
    <x v="1"/>
  </r>
  <r>
    <s v="ORD00104"/>
    <x v="99"/>
    <x v="3"/>
    <x v="5"/>
    <x v="1"/>
    <x v="103"/>
    <x v="103"/>
    <x v="0"/>
    <x v="3"/>
  </r>
  <r>
    <s v="ORD00105"/>
    <x v="100"/>
    <x v="3"/>
    <x v="6"/>
    <x v="0"/>
    <x v="104"/>
    <x v="104"/>
    <x v="0"/>
    <x v="3"/>
  </r>
  <r>
    <s v="ORD00106"/>
    <x v="101"/>
    <x v="2"/>
    <x v="4"/>
    <x v="0"/>
    <x v="105"/>
    <x v="105"/>
    <x v="2"/>
    <x v="3"/>
  </r>
  <r>
    <s v="ORD00107"/>
    <x v="102"/>
    <x v="2"/>
    <x v="12"/>
    <x v="2"/>
    <x v="106"/>
    <x v="106"/>
    <x v="2"/>
    <x v="2"/>
  </r>
  <r>
    <s v="ORD00108"/>
    <x v="103"/>
    <x v="0"/>
    <x v="14"/>
    <x v="2"/>
    <x v="107"/>
    <x v="107"/>
    <x v="0"/>
    <x v="0"/>
  </r>
  <r>
    <s v="ORD00109"/>
    <x v="104"/>
    <x v="3"/>
    <x v="3"/>
    <x v="2"/>
    <x v="108"/>
    <x v="108"/>
    <x v="0"/>
    <x v="3"/>
  </r>
  <r>
    <s v="ORD00110"/>
    <x v="105"/>
    <x v="2"/>
    <x v="14"/>
    <x v="2"/>
    <x v="109"/>
    <x v="109"/>
    <x v="1"/>
    <x v="3"/>
  </r>
  <r>
    <s v="ORD00111"/>
    <x v="106"/>
    <x v="3"/>
    <x v="13"/>
    <x v="1"/>
    <x v="110"/>
    <x v="110"/>
    <x v="0"/>
    <x v="2"/>
  </r>
  <r>
    <s v="ORD00112"/>
    <x v="107"/>
    <x v="0"/>
    <x v="13"/>
    <x v="1"/>
    <x v="111"/>
    <x v="111"/>
    <x v="2"/>
    <x v="0"/>
  </r>
  <r>
    <s v="ORD00113"/>
    <x v="108"/>
    <x v="1"/>
    <x v="8"/>
    <x v="1"/>
    <x v="112"/>
    <x v="112"/>
    <x v="0"/>
    <x v="1"/>
  </r>
  <r>
    <s v="ORD00114"/>
    <x v="109"/>
    <x v="3"/>
    <x v="12"/>
    <x v="2"/>
    <x v="113"/>
    <x v="113"/>
    <x v="0"/>
    <x v="3"/>
  </r>
  <r>
    <s v="ORD00115"/>
    <x v="110"/>
    <x v="2"/>
    <x v="1"/>
    <x v="1"/>
    <x v="114"/>
    <x v="114"/>
    <x v="0"/>
    <x v="0"/>
  </r>
  <r>
    <s v="ORD00116"/>
    <x v="111"/>
    <x v="0"/>
    <x v="4"/>
    <x v="0"/>
    <x v="115"/>
    <x v="115"/>
    <x v="1"/>
    <x v="0"/>
  </r>
  <r>
    <s v="ORD00117"/>
    <x v="112"/>
    <x v="3"/>
    <x v="12"/>
    <x v="2"/>
    <x v="116"/>
    <x v="116"/>
    <x v="0"/>
    <x v="1"/>
  </r>
  <r>
    <s v="ORD00118"/>
    <x v="113"/>
    <x v="3"/>
    <x v="6"/>
    <x v="0"/>
    <x v="117"/>
    <x v="117"/>
    <x v="2"/>
    <x v="2"/>
  </r>
  <r>
    <s v="ORD00119"/>
    <x v="114"/>
    <x v="2"/>
    <x v="1"/>
    <x v="1"/>
    <x v="118"/>
    <x v="118"/>
    <x v="0"/>
    <x v="1"/>
  </r>
  <r>
    <s v="ORD00120"/>
    <x v="10"/>
    <x v="1"/>
    <x v="5"/>
    <x v="1"/>
    <x v="119"/>
    <x v="119"/>
    <x v="0"/>
    <x v="1"/>
  </r>
  <r>
    <s v="ORD00121"/>
    <x v="115"/>
    <x v="3"/>
    <x v="12"/>
    <x v="2"/>
    <x v="120"/>
    <x v="120"/>
    <x v="0"/>
    <x v="3"/>
  </r>
  <r>
    <s v="ORD00122"/>
    <x v="116"/>
    <x v="3"/>
    <x v="7"/>
    <x v="0"/>
    <x v="121"/>
    <x v="121"/>
    <x v="2"/>
    <x v="1"/>
  </r>
  <r>
    <s v="ORD00123"/>
    <x v="117"/>
    <x v="1"/>
    <x v="10"/>
    <x v="2"/>
    <x v="122"/>
    <x v="122"/>
    <x v="1"/>
    <x v="1"/>
  </r>
  <r>
    <s v="ORD00124"/>
    <x v="118"/>
    <x v="3"/>
    <x v="9"/>
    <x v="0"/>
    <x v="123"/>
    <x v="123"/>
    <x v="2"/>
    <x v="3"/>
  </r>
  <r>
    <s v="ORD00125"/>
    <x v="119"/>
    <x v="2"/>
    <x v="8"/>
    <x v="1"/>
    <x v="124"/>
    <x v="124"/>
    <x v="0"/>
    <x v="0"/>
  </r>
  <r>
    <s v="ORD00126"/>
    <x v="120"/>
    <x v="3"/>
    <x v="9"/>
    <x v="0"/>
    <x v="125"/>
    <x v="125"/>
    <x v="0"/>
    <x v="2"/>
  </r>
  <r>
    <s v="ORD00127"/>
    <x v="121"/>
    <x v="1"/>
    <x v="2"/>
    <x v="1"/>
    <x v="126"/>
    <x v="126"/>
    <x v="1"/>
    <x v="1"/>
  </r>
  <r>
    <s v="ORD00128"/>
    <x v="122"/>
    <x v="2"/>
    <x v="5"/>
    <x v="1"/>
    <x v="127"/>
    <x v="127"/>
    <x v="2"/>
    <x v="0"/>
  </r>
  <r>
    <s v="ORD00129"/>
    <x v="123"/>
    <x v="1"/>
    <x v="10"/>
    <x v="2"/>
    <x v="128"/>
    <x v="128"/>
    <x v="2"/>
    <x v="1"/>
  </r>
  <r>
    <s v="ORD00130"/>
    <x v="124"/>
    <x v="2"/>
    <x v="1"/>
    <x v="1"/>
    <x v="129"/>
    <x v="129"/>
    <x v="0"/>
    <x v="0"/>
  </r>
  <r>
    <s v="ORD00131"/>
    <x v="125"/>
    <x v="2"/>
    <x v="12"/>
    <x v="2"/>
    <x v="130"/>
    <x v="130"/>
    <x v="1"/>
    <x v="2"/>
  </r>
  <r>
    <s v="ORD00132"/>
    <x v="126"/>
    <x v="3"/>
    <x v="3"/>
    <x v="2"/>
    <x v="131"/>
    <x v="131"/>
    <x v="0"/>
    <x v="3"/>
  </r>
  <r>
    <s v="ORD00133"/>
    <x v="127"/>
    <x v="3"/>
    <x v="3"/>
    <x v="2"/>
    <x v="132"/>
    <x v="132"/>
    <x v="1"/>
    <x v="0"/>
  </r>
  <r>
    <s v="ORD00134"/>
    <x v="128"/>
    <x v="0"/>
    <x v="14"/>
    <x v="2"/>
    <x v="133"/>
    <x v="133"/>
    <x v="2"/>
    <x v="2"/>
  </r>
  <r>
    <s v="ORD00135"/>
    <x v="129"/>
    <x v="0"/>
    <x v="11"/>
    <x v="2"/>
    <x v="134"/>
    <x v="134"/>
    <x v="0"/>
    <x v="1"/>
  </r>
  <r>
    <s v="ORD00136"/>
    <x v="130"/>
    <x v="2"/>
    <x v="6"/>
    <x v="0"/>
    <x v="135"/>
    <x v="135"/>
    <x v="1"/>
    <x v="0"/>
  </r>
  <r>
    <s v="ORD00137"/>
    <x v="131"/>
    <x v="2"/>
    <x v="6"/>
    <x v="0"/>
    <x v="136"/>
    <x v="136"/>
    <x v="2"/>
    <x v="0"/>
  </r>
  <r>
    <s v="ORD00138"/>
    <x v="132"/>
    <x v="0"/>
    <x v="6"/>
    <x v="0"/>
    <x v="137"/>
    <x v="137"/>
    <x v="2"/>
    <x v="2"/>
  </r>
  <r>
    <s v="ORD00139"/>
    <x v="133"/>
    <x v="3"/>
    <x v="2"/>
    <x v="1"/>
    <x v="138"/>
    <x v="138"/>
    <x v="1"/>
    <x v="0"/>
  </r>
  <r>
    <s v="ORD00140"/>
    <x v="134"/>
    <x v="1"/>
    <x v="12"/>
    <x v="2"/>
    <x v="139"/>
    <x v="139"/>
    <x v="2"/>
    <x v="0"/>
  </r>
  <r>
    <s v="ORD00141"/>
    <x v="135"/>
    <x v="0"/>
    <x v="12"/>
    <x v="2"/>
    <x v="140"/>
    <x v="140"/>
    <x v="0"/>
    <x v="2"/>
  </r>
  <r>
    <s v="ORD00142"/>
    <x v="136"/>
    <x v="2"/>
    <x v="3"/>
    <x v="2"/>
    <x v="141"/>
    <x v="141"/>
    <x v="1"/>
    <x v="2"/>
  </r>
  <r>
    <s v="ORD00143"/>
    <x v="137"/>
    <x v="3"/>
    <x v="7"/>
    <x v="0"/>
    <x v="142"/>
    <x v="142"/>
    <x v="2"/>
    <x v="1"/>
  </r>
  <r>
    <s v="ORD00144"/>
    <x v="138"/>
    <x v="0"/>
    <x v="11"/>
    <x v="2"/>
    <x v="143"/>
    <x v="143"/>
    <x v="1"/>
    <x v="1"/>
  </r>
  <r>
    <s v="ORD00145"/>
    <x v="72"/>
    <x v="3"/>
    <x v="2"/>
    <x v="1"/>
    <x v="144"/>
    <x v="144"/>
    <x v="0"/>
    <x v="0"/>
  </r>
  <r>
    <s v="ORD00146"/>
    <x v="139"/>
    <x v="1"/>
    <x v="11"/>
    <x v="2"/>
    <x v="145"/>
    <x v="145"/>
    <x v="0"/>
    <x v="1"/>
  </r>
  <r>
    <s v="ORD00147"/>
    <x v="140"/>
    <x v="2"/>
    <x v="1"/>
    <x v="1"/>
    <x v="146"/>
    <x v="146"/>
    <x v="2"/>
    <x v="0"/>
  </r>
  <r>
    <s v="ORD00148"/>
    <x v="141"/>
    <x v="3"/>
    <x v="14"/>
    <x v="2"/>
    <x v="147"/>
    <x v="147"/>
    <x v="0"/>
    <x v="0"/>
  </r>
  <r>
    <s v="ORD00149"/>
    <x v="142"/>
    <x v="2"/>
    <x v="4"/>
    <x v="0"/>
    <x v="148"/>
    <x v="148"/>
    <x v="2"/>
    <x v="2"/>
  </r>
  <r>
    <s v="ORD00150"/>
    <x v="143"/>
    <x v="2"/>
    <x v="11"/>
    <x v="2"/>
    <x v="149"/>
    <x v="149"/>
    <x v="0"/>
    <x v="0"/>
  </r>
  <r>
    <s v="ORD00151"/>
    <x v="144"/>
    <x v="0"/>
    <x v="7"/>
    <x v="0"/>
    <x v="150"/>
    <x v="115"/>
    <x v="0"/>
    <x v="0"/>
  </r>
  <r>
    <s v="ORD00152"/>
    <x v="145"/>
    <x v="3"/>
    <x v="11"/>
    <x v="2"/>
    <x v="151"/>
    <x v="150"/>
    <x v="0"/>
    <x v="3"/>
  </r>
  <r>
    <s v="ORD00153"/>
    <x v="146"/>
    <x v="2"/>
    <x v="5"/>
    <x v="1"/>
    <x v="152"/>
    <x v="151"/>
    <x v="0"/>
    <x v="0"/>
  </r>
  <r>
    <s v="ORD00154"/>
    <x v="117"/>
    <x v="2"/>
    <x v="0"/>
    <x v="0"/>
    <x v="153"/>
    <x v="152"/>
    <x v="0"/>
    <x v="3"/>
  </r>
  <r>
    <s v="ORD00155"/>
    <x v="147"/>
    <x v="2"/>
    <x v="10"/>
    <x v="2"/>
    <x v="154"/>
    <x v="153"/>
    <x v="1"/>
    <x v="3"/>
  </r>
  <r>
    <s v="ORD00156"/>
    <x v="95"/>
    <x v="0"/>
    <x v="0"/>
    <x v="0"/>
    <x v="155"/>
    <x v="154"/>
    <x v="0"/>
    <x v="3"/>
  </r>
  <r>
    <s v="ORD00157"/>
    <x v="3"/>
    <x v="3"/>
    <x v="10"/>
    <x v="2"/>
    <x v="156"/>
    <x v="155"/>
    <x v="1"/>
    <x v="3"/>
  </r>
  <r>
    <s v="ORD00158"/>
    <x v="148"/>
    <x v="0"/>
    <x v="8"/>
    <x v="1"/>
    <x v="157"/>
    <x v="156"/>
    <x v="2"/>
    <x v="0"/>
  </r>
  <r>
    <s v="ORD00159"/>
    <x v="149"/>
    <x v="0"/>
    <x v="0"/>
    <x v="0"/>
    <x v="158"/>
    <x v="157"/>
    <x v="2"/>
    <x v="0"/>
  </r>
  <r>
    <s v="ORD00160"/>
    <x v="150"/>
    <x v="1"/>
    <x v="8"/>
    <x v="1"/>
    <x v="159"/>
    <x v="158"/>
    <x v="2"/>
    <x v="1"/>
  </r>
  <r>
    <s v="ORD00161"/>
    <x v="151"/>
    <x v="1"/>
    <x v="1"/>
    <x v="1"/>
    <x v="160"/>
    <x v="159"/>
    <x v="1"/>
    <x v="0"/>
  </r>
  <r>
    <s v="ORD00162"/>
    <x v="152"/>
    <x v="3"/>
    <x v="7"/>
    <x v="0"/>
    <x v="161"/>
    <x v="160"/>
    <x v="2"/>
    <x v="2"/>
  </r>
  <r>
    <s v="ORD00163"/>
    <x v="153"/>
    <x v="1"/>
    <x v="3"/>
    <x v="2"/>
    <x v="162"/>
    <x v="161"/>
    <x v="0"/>
    <x v="3"/>
  </r>
  <r>
    <s v="ORD00164"/>
    <x v="154"/>
    <x v="1"/>
    <x v="5"/>
    <x v="1"/>
    <x v="163"/>
    <x v="162"/>
    <x v="2"/>
    <x v="3"/>
  </r>
  <r>
    <s v="ORD00165"/>
    <x v="155"/>
    <x v="3"/>
    <x v="0"/>
    <x v="0"/>
    <x v="164"/>
    <x v="163"/>
    <x v="1"/>
    <x v="0"/>
  </r>
  <r>
    <s v="ORD00166"/>
    <x v="156"/>
    <x v="3"/>
    <x v="0"/>
    <x v="0"/>
    <x v="165"/>
    <x v="164"/>
    <x v="0"/>
    <x v="0"/>
  </r>
  <r>
    <s v="ORD00167"/>
    <x v="157"/>
    <x v="1"/>
    <x v="5"/>
    <x v="1"/>
    <x v="166"/>
    <x v="165"/>
    <x v="0"/>
    <x v="0"/>
  </r>
  <r>
    <s v="ORD00168"/>
    <x v="158"/>
    <x v="2"/>
    <x v="1"/>
    <x v="1"/>
    <x v="167"/>
    <x v="166"/>
    <x v="1"/>
    <x v="0"/>
  </r>
  <r>
    <s v="ORD00169"/>
    <x v="159"/>
    <x v="0"/>
    <x v="14"/>
    <x v="2"/>
    <x v="168"/>
    <x v="167"/>
    <x v="2"/>
    <x v="0"/>
  </r>
  <r>
    <s v="ORD00170"/>
    <x v="160"/>
    <x v="2"/>
    <x v="8"/>
    <x v="1"/>
    <x v="169"/>
    <x v="168"/>
    <x v="0"/>
    <x v="1"/>
  </r>
  <r>
    <s v="ORD00171"/>
    <x v="161"/>
    <x v="3"/>
    <x v="5"/>
    <x v="1"/>
    <x v="170"/>
    <x v="169"/>
    <x v="1"/>
    <x v="2"/>
  </r>
  <r>
    <s v="ORD00172"/>
    <x v="162"/>
    <x v="1"/>
    <x v="4"/>
    <x v="0"/>
    <x v="171"/>
    <x v="170"/>
    <x v="0"/>
    <x v="1"/>
  </r>
  <r>
    <s v="ORD00173"/>
    <x v="163"/>
    <x v="2"/>
    <x v="6"/>
    <x v="0"/>
    <x v="172"/>
    <x v="171"/>
    <x v="0"/>
    <x v="1"/>
  </r>
  <r>
    <s v="ORD00174"/>
    <x v="164"/>
    <x v="1"/>
    <x v="9"/>
    <x v="0"/>
    <x v="173"/>
    <x v="172"/>
    <x v="2"/>
    <x v="3"/>
  </r>
  <r>
    <s v="ORD00175"/>
    <x v="165"/>
    <x v="3"/>
    <x v="3"/>
    <x v="2"/>
    <x v="174"/>
    <x v="173"/>
    <x v="2"/>
    <x v="0"/>
  </r>
  <r>
    <s v="ORD00176"/>
    <x v="166"/>
    <x v="0"/>
    <x v="12"/>
    <x v="2"/>
    <x v="175"/>
    <x v="174"/>
    <x v="0"/>
    <x v="1"/>
  </r>
  <r>
    <s v="ORD00177"/>
    <x v="167"/>
    <x v="1"/>
    <x v="5"/>
    <x v="1"/>
    <x v="176"/>
    <x v="175"/>
    <x v="1"/>
    <x v="1"/>
  </r>
  <r>
    <s v="ORD00178"/>
    <x v="168"/>
    <x v="1"/>
    <x v="3"/>
    <x v="2"/>
    <x v="177"/>
    <x v="176"/>
    <x v="1"/>
    <x v="0"/>
  </r>
  <r>
    <s v="ORD00179"/>
    <x v="169"/>
    <x v="3"/>
    <x v="1"/>
    <x v="1"/>
    <x v="178"/>
    <x v="177"/>
    <x v="0"/>
    <x v="3"/>
  </r>
  <r>
    <s v="ORD00180"/>
    <x v="170"/>
    <x v="3"/>
    <x v="14"/>
    <x v="2"/>
    <x v="179"/>
    <x v="178"/>
    <x v="0"/>
    <x v="3"/>
  </r>
  <r>
    <s v="ORD00181"/>
    <x v="171"/>
    <x v="1"/>
    <x v="5"/>
    <x v="1"/>
    <x v="180"/>
    <x v="179"/>
    <x v="0"/>
    <x v="3"/>
  </r>
  <r>
    <s v="ORD00182"/>
    <x v="172"/>
    <x v="3"/>
    <x v="2"/>
    <x v="1"/>
    <x v="181"/>
    <x v="180"/>
    <x v="0"/>
    <x v="2"/>
  </r>
  <r>
    <s v="ORD00183"/>
    <x v="173"/>
    <x v="1"/>
    <x v="11"/>
    <x v="2"/>
    <x v="182"/>
    <x v="181"/>
    <x v="1"/>
    <x v="1"/>
  </r>
  <r>
    <s v="ORD00184"/>
    <x v="174"/>
    <x v="3"/>
    <x v="2"/>
    <x v="1"/>
    <x v="183"/>
    <x v="182"/>
    <x v="1"/>
    <x v="0"/>
  </r>
  <r>
    <s v="ORD00185"/>
    <x v="175"/>
    <x v="2"/>
    <x v="6"/>
    <x v="0"/>
    <x v="184"/>
    <x v="183"/>
    <x v="2"/>
    <x v="2"/>
  </r>
  <r>
    <s v="ORD00186"/>
    <x v="176"/>
    <x v="1"/>
    <x v="7"/>
    <x v="0"/>
    <x v="185"/>
    <x v="184"/>
    <x v="2"/>
    <x v="0"/>
  </r>
  <r>
    <s v="ORD00187"/>
    <x v="177"/>
    <x v="2"/>
    <x v="5"/>
    <x v="1"/>
    <x v="186"/>
    <x v="185"/>
    <x v="2"/>
    <x v="1"/>
  </r>
  <r>
    <s v="ORD00188"/>
    <x v="151"/>
    <x v="1"/>
    <x v="13"/>
    <x v="1"/>
    <x v="187"/>
    <x v="186"/>
    <x v="2"/>
    <x v="0"/>
  </r>
  <r>
    <s v="ORD00189"/>
    <x v="96"/>
    <x v="0"/>
    <x v="4"/>
    <x v="0"/>
    <x v="188"/>
    <x v="187"/>
    <x v="0"/>
    <x v="2"/>
  </r>
  <r>
    <s v="ORD00190"/>
    <x v="178"/>
    <x v="1"/>
    <x v="1"/>
    <x v="1"/>
    <x v="189"/>
    <x v="188"/>
    <x v="2"/>
    <x v="1"/>
  </r>
  <r>
    <s v="ORD00191"/>
    <x v="71"/>
    <x v="0"/>
    <x v="13"/>
    <x v="1"/>
    <x v="190"/>
    <x v="189"/>
    <x v="1"/>
    <x v="1"/>
  </r>
  <r>
    <s v="ORD00192"/>
    <x v="179"/>
    <x v="2"/>
    <x v="5"/>
    <x v="1"/>
    <x v="191"/>
    <x v="190"/>
    <x v="0"/>
    <x v="0"/>
  </r>
  <r>
    <s v="ORD00193"/>
    <x v="180"/>
    <x v="3"/>
    <x v="14"/>
    <x v="2"/>
    <x v="192"/>
    <x v="191"/>
    <x v="0"/>
    <x v="1"/>
  </r>
  <r>
    <s v="ORD00194"/>
    <x v="181"/>
    <x v="2"/>
    <x v="8"/>
    <x v="1"/>
    <x v="193"/>
    <x v="192"/>
    <x v="1"/>
    <x v="3"/>
  </r>
  <r>
    <s v="ORD00195"/>
    <x v="182"/>
    <x v="1"/>
    <x v="12"/>
    <x v="2"/>
    <x v="194"/>
    <x v="193"/>
    <x v="1"/>
    <x v="3"/>
  </r>
  <r>
    <s v="ORD00196"/>
    <x v="74"/>
    <x v="0"/>
    <x v="11"/>
    <x v="2"/>
    <x v="195"/>
    <x v="194"/>
    <x v="1"/>
    <x v="0"/>
  </r>
  <r>
    <s v="ORD00197"/>
    <x v="183"/>
    <x v="3"/>
    <x v="11"/>
    <x v="2"/>
    <x v="196"/>
    <x v="195"/>
    <x v="1"/>
    <x v="0"/>
  </r>
  <r>
    <s v="ORD00198"/>
    <x v="184"/>
    <x v="0"/>
    <x v="12"/>
    <x v="2"/>
    <x v="197"/>
    <x v="99"/>
    <x v="2"/>
    <x v="2"/>
  </r>
  <r>
    <s v="ORD00199"/>
    <x v="185"/>
    <x v="2"/>
    <x v="7"/>
    <x v="0"/>
    <x v="198"/>
    <x v="196"/>
    <x v="1"/>
    <x v="0"/>
  </r>
  <r>
    <s v="ORD00200"/>
    <x v="186"/>
    <x v="0"/>
    <x v="5"/>
    <x v="1"/>
    <x v="199"/>
    <x v="197"/>
    <x v="2"/>
    <x v="0"/>
  </r>
  <r>
    <s v="ORD00201"/>
    <x v="187"/>
    <x v="1"/>
    <x v="10"/>
    <x v="2"/>
    <x v="200"/>
    <x v="198"/>
    <x v="2"/>
    <x v="2"/>
  </r>
  <r>
    <s v="ORD00202"/>
    <x v="188"/>
    <x v="1"/>
    <x v="5"/>
    <x v="1"/>
    <x v="201"/>
    <x v="199"/>
    <x v="1"/>
    <x v="0"/>
  </r>
  <r>
    <s v="ORD00203"/>
    <x v="56"/>
    <x v="1"/>
    <x v="6"/>
    <x v="0"/>
    <x v="202"/>
    <x v="200"/>
    <x v="1"/>
    <x v="0"/>
  </r>
  <r>
    <s v="ORD00204"/>
    <x v="189"/>
    <x v="2"/>
    <x v="13"/>
    <x v="1"/>
    <x v="203"/>
    <x v="201"/>
    <x v="0"/>
    <x v="0"/>
  </r>
  <r>
    <s v="ORD00205"/>
    <x v="190"/>
    <x v="1"/>
    <x v="13"/>
    <x v="1"/>
    <x v="204"/>
    <x v="202"/>
    <x v="1"/>
    <x v="1"/>
  </r>
  <r>
    <s v="ORD00206"/>
    <x v="191"/>
    <x v="2"/>
    <x v="3"/>
    <x v="2"/>
    <x v="205"/>
    <x v="203"/>
    <x v="1"/>
    <x v="3"/>
  </r>
  <r>
    <s v="ORD00207"/>
    <x v="192"/>
    <x v="3"/>
    <x v="5"/>
    <x v="1"/>
    <x v="206"/>
    <x v="204"/>
    <x v="1"/>
    <x v="2"/>
  </r>
  <r>
    <s v="ORD00208"/>
    <x v="105"/>
    <x v="1"/>
    <x v="7"/>
    <x v="0"/>
    <x v="207"/>
    <x v="205"/>
    <x v="2"/>
    <x v="1"/>
  </r>
  <r>
    <s v="ORD00209"/>
    <x v="193"/>
    <x v="1"/>
    <x v="0"/>
    <x v="0"/>
    <x v="208"/>
    <x v="206"/>
    <x v="2"/>
    <x v="1"/>
  </r>
  <r>
    <s v="ORD00210"/>
    <x v="194"/>
    <x v="1"/>
    <x v="6"/>
    <x v="0"/>
    <x v="209"/>
    <x v="207"/>
    <x v="0"/>
    <x v="0"/>
  </r>
  <r>
    <s v="ORD00211"/>
    <x v="195"/>
    <x v="2"/>
    <x v="2"/>
    <x v="1"/>
    <x v="210"/>
    <x v="208"/>
    <x v="1"/>
    <x v="1"/>
  </r>
  <r>
    <s v="ORD00212"/>
    <x v="48"/>
    <x v="1"/>
    <x v="8"/>
    <x v="1"/>
    <x v="211"/>
    <x v="209"/>
    <x v="0"/>
    <x v="2"/>
  </r>
  <r>
    <s v="ORD00213"/>
    <x v="196"/>
    <x v="2"/>
    <x v="12"/>
    <x v="2"/>
    <x v="212"/>
    <x v="210"/>
    <x v="0"/>
    <x v="2"/>
  </r>
  <r>
    <s v="ORD00214"/>
    <x v="185"/>
    <x v="3"/>
    <x v="1"/>
    <x v="1"/>
    <x v="213"/>
    <x v="211"/>
    <x v="2"/>
    <x v="3"/>
  </r>
  <r>
    <s v="ORD00215"/>
    <x v="197"/>
    <x v="2"/>
    <x v="6"/>
    <x v="0"/>
    <x v="214"/>
    <x v="212"/>
    <x v="0"/>
    <x v="2"/>
  </r>
  <r>
    <s v="ORD00216"/>
    <x v="198"/>
    <x v="2"/>
    <x v="1"/>
    <x v="1"/>
    <x v="215"/>
    <x v="213"/>
    <x v="0"/>
    <x v="0"/>
  </r>
  <r>
    <s v="ORD00217"/>
    <x v="199"/>
    <x v="1"/>
    <x v="2"/>
    <x v="1"/>
    <x v="216"/>
    <x v="214"/>
    <x v="1"/>
    <x v="1"/>
  </r>
  <r>
    <s v="ORD00218"/>
    <x v="200"/>
    <x v="2"/>
    <x v="9"/>
    <x v="0"/>
    <x v="217"/>
    <x v="215"/>
    <x v="2"/>
    <x v="0"/>
  </r>
  <r>
    <s v="ORD00219"/>
    <x v="201"/>
    <x v="0"/>
    <x v="1"/>
    <x v="1"/>
    <x v="218"/>
    <x v="216"/>
    <x v="1"/>
    <x v="3"/>
  </r>
  <r>
    <s v="ORD00220"/>
    <x v="167"/>
    <x v="1"/>
    <x v="9"/>
    <x v="0"/>
    <x v="219"/>
    <x v="217"/>
    <x v="0"/>
    <x v="2"/>
  </r>
  <r>
    <s v="ORD00221"/>
    <x v="184"/>
    <x v="3"/>
    <x v="8"/>
    <x v="1"/>
    <x v="220"/>
    <x v="218"/>
    <x v="1"/>
    <x v="3"/>
  </r>
  <r>
    <s v="ORD00222"/>
    <x v="202"/>
    <x v="0"/>
    <x v="12"/>
    <x v="2"/>
    <x v="221"/>
    <x v="219"/>
    <x v="0"/>
    <x v="1"/>
  </r>
  <r>
    <s v="ORD00223"/>
    <x v="203"/>
    <x v="3"/>
    <x v="13"/>
    <x v="1"/>
    <x v="222"/>
    <x v="220"/>
    <x v="1"/>
    <x v="2"/>
  </r>
  <r>
    <s v="ORD00224"/>
    <x v="204"/>
    <x v="3"/>
    <x v="7"/>
    <x v="0"/>
    <x v="223"/>
    <x v="221"/>
    <x v="2"/>
    <x v="2"/>
  </r>
  <r>
    <s v="ORD00225"/>
    <x v="205"/>
    <x v="2"/>
    <x v="13"/>
    <x v="1"/>
    <x v="224"/>
    <x v="222"/>
    <x v="0"/>
    <x v="1"/>
  </r>
  <r>
    <s v="ORD00226"/>
    <x v="206"/>
    <x v="0"/>
    <x v="5"/>
    <x v="1"/>
    <x v="225"/>
    <x v="223"/>
    <x v="1"/>
    <x v="0"/>
  </r>
  <r>
    <s v="ORD00227"/>
    <x v="207"/>
    <x v="0"/>
    <x v="1"/>
    <x v="1"/>
    <x v="226"/>
    <x v="224"/>
    <x v="0"/>
    <x v="0"/>
  </r>
  <r>
    <s v="ORD00228"/>
    <x v="208"/>
    <x v="1"/>
    <x v="0"/>
    <x v="0"/>
    <x v="227"/>
    <x v="225"/>
    <x v="2"/>
    <x v="3"/>
  </r>
  <r>
    <s v="ORD00229"/>
    <x v="209"/>
    <x v="3"/>
    <x v="13"/>
    <x v="1"/>
    <x v="228"/>
    <x v="226"/>
    <x v="0"/>
    <x v="2"/>
  </r>
  <r>
    <s v="ORD00230"/>
    <x v="190"/>
    <x v="3"/>
    <x v="13"/>
    <x v="1"/>
    <x v="229"/>
    <x v="227"/>
    <x v="2"/>
    <x v="2"/>
  </r>
  <r>
    <s v="ORD00231"/>
    <x v="143"/>
    <x v="0"/>
    <x v="3"/>
    <x v="2"/>
    <x v="230"/>
    <x v="228"/>
    <x v="1"/>
    <x v="3"/>
  </r>
  <r>
    <s v="ORD00232"/>
    <x v="175"/>
    <x v="3"/>
    <x v="5"/>
    <x v="1"/>
    <x v="231"/>
    <x v="229"/>
    <x v="0"/>
    <x v="0"/>
  </r>
  <r>
    <s v="ORD00233"/>
    <x v="210"/>
    <x v="3"/>
    <x v="1"/>
    <x v="1"/>
    <x v="232"/>
    <x v="230"/>
    <x v="2"/>
    <x v="1"/>
  </r>
  <r>
    <s v="ORD00234"/>
    <x v="211"/>
    <x v="0"/>
    <x v="6"/>
    <x v="0"/>
    <x v="233"/>
    <x v="231"/>
    <x v="0"/>
    <x v="1"/>
  </r>
  <r>
    <s v="ORD00235"/>
    <x v="212"/>
    <x v="2"/>
    <x v="7"/>
    <x v="0"/>
    <x v="234"/>
    <x v="232"/>
    <x v="2"/>
    <x v="3"/>
  </r>
  <r>
    <s v="ORD00236"/>
    <x v="213"/>
    <x v="2"/>
    <x v="7"/>
    <x v="0"/>
    <x v="235"/>
    <x v="233"/>
    <x v="1"/>
    <x v="2"/>
  </r>
  <r>
    <s v="ORD00237"/>
    <x v="214"/>
    <x v="2"/>
    <x v="1"/>
    <x v="1"/>
    <x v="236"/>
    <x v="234"/>
    <x v="2"/>
    <x v="1"/>
  </r>
  <r>
    <s v="ORD00238"/>
    <x v="215"/>
    <x v="3"/>
    <x v="10"/>
    <x v="2"/>
    <x v="237"/>
    <x v="235"/>
    <x v="1"/>
    <x v="2"/>
  </r>
  <r>
    <s v="ORD00239"/>
    <x v="216"/>
    <x v="0"/>
    <x v="14"/>
    <x v="2"/>
    <x v="238"/>
    <x v="236"/>
    <x v="0"/>
    <x v="0"/>
  </r>
  <r>
    <s v="ORD00240"/>
    <x v="66"/>
    <x v="2"/>
    <x v="8"/>
    <x v="1"/>
    <x v="239"/>
    <x v="237"/>
    <x v="2"/>
    <x v="3"/>
  </r>
  <r>
    <s v="ORD00241"/>
    <x v="217"/>
    <x v="0"/>
    <x v="0"/>
    <x v="0"/>
    <x v="240"/>
    <x v="238"/>
    <x v="2"/>
    <x v="2"/>
  </r>
  <r>
    <s v="ORD00242"/>
    <x v="218"/>
    <x v="2"/>
    <x v="10"/>
    <x v="2"/>
    <x v="241"/>
    <x v="239"/>
    <x v="1"/>
    <x v="2"/>
  </r>
  <r>
    <s v="ORD00243"/>
    <x v="219"/>
    <x v="2"/>
    <x v="4"/>
    <x v="0"/>
    <x v="242"/>
    <x v="240"/>
    <x v="1"/>
    <x v="2"/>
  </r>
  <r>
    <s v="ORD00244"/>
    <x v="220"/>
    <x v="1"/>
    <x v="11"/>
    <x v="2"/>
    <x v="243"/>
    <x v="241"/>
    <x v="1"/>
    <x v="2"/>
  </r>
  <r>
    <s v="ORD00245"/>
    <x v="221"/>
    <x v="1"/>
    <x v="12"/>
    <x v="2"/>
    <x v="244"/>
    <x v="242"/>
    <x v="2"/>
    <x v="1"/>
  </r>
  <r>
    <s v="ORD00246"/>
    <x v="222"/>
    <x v="1"/>
    <x v="10"/>
    <x v="2"/>
    <x v="245"/>
    <x v="243"/>
    <x v="2"/>
    <x v="0"/>
  </r>
  <r>
    <s v="ORD00247"/>
    <x v="223"/>
    <x v="0"/>
    <x v="12"/>
    <x v="2"/>
    <x v="246"/>
    <x v="244"/>
    <x v="1"/>
    <x v="1"/>
  </r>
  <r>
    <s v="ORD00248"/>
    <x v="224"/>
    <x v="1"/>
    <x v="9"/>
    <x v="0"/>
    <x v="247"/>
    <x v="245"/>
    <x v="1"/>
    <x v="0"/>
  </r>
  <r>
    <s v="ORD00249"/>
    <x v="225"/>
    <x v="3"/>
    <x v="12"/>
    <x v="2"/>
    <x v="248"/>
    <x v="246"/>
    <x v="0"/>
    <x v="3"/>
  </r>
  <r>
    <s v="ORD00250"/>
    <x v="41"/>
    <x v="2"/>
    <x v="13"/>
    <x v="1"/>
    <x v="249"/>
    <x v="247"/>
    <x v="0"/>
    <x v="2"/>
  </r>
  <r>
    <s v="ORD00251"/>
    <x v="1"/>
    <x v="1"/>
    <x v="3"/>
    <x v="2"/>
    <x v="250"/>
    <x v="248"/>
    <x v="0"/>
    <x v="2"/>
  </r>
  <r>
    <s v="ORD00252"/>
    <x v="162"/>
    <x v="2"/>
    <x v="1"/>
    <x v="1"/>
    <x v="251"/>
    <x v="249"/>
    <x v="2"/>
    <x v="3"/>
  </r>
  <r>
    <s v="ORD00253"/>
    <x v="150"/>
    <x v="2"/>
    <x v="14"/>
    <x v="2"/>
    <x v="252"/>
    <x v="250"/>
    <x v="0"/>
    <x v="0"/>
  </r>
  <r>
    <s v="ORD00254"/>
    <x v="226"/>
    <x v="1"/>
    <x v="9"/>
    <x v="0"/>
    <x v="253"/>
    <x v="251"/>
    <x v="2"/>
    <x v="2"/>
  </r>
  <r>
    <s v="ORD00255"/>
    <x v="227"/>
    <x v="1"/>
    <x v="0"/>
    <x v="0"/>
    <x v="254"/>
    <x v="252"/>
    <x v="1"/>
    <x v="0"/>
  </r>
  <r>
    <s v="ORD00256"/>
    <x v="228"/>
    <x v="0"/>
    <x v="2"/>
    <x v="1"/>
    <x v="255"/>
    <x v="253"/>
    <x v="1"/>
    <x v="3"/>
  </r>
  <r>
    <s v="ORD00257"/>
    <x v="229"/>
    <x v="3"/>
    <x v="9"/>
    <x v="0"/>
    <x v="256"/>
    <x v="254"/>
    <x v="0"/>
    <x v="2"/>
  </r>
  <r>
    <s v="ORD00258"/>
    <x v="230"/>
    <x v="2"/>
    <x v="0"/>
    <x v="0"/>
    <x v="257"/>
    <x v="255"/>
    <x v="2"/>
    <x v="0"/>
  </r>
  <r>
    <s v="ORD00259"/>
    <x v="130"/>
    <x v="0"/>
    <x v="3"/>
    <x v="2"/>
    <x v="258"/>
    <x v="256"/>
    <x v="1"/>
    <x v="1"/>
  </r>
  <r>
    <s v="ORD00260"/>
    <x v="231"/>
    <x v="3"/>
    <x v="9"/>
    <x v="0"/>
    <x v="259"/>
    <x v="257"/>
    <x v="1"/>
    <x v="0"/>
  </r>
  <r>
    <s v="ORD00261"/>
    <x v="232"/>
    <x v="0"/>
    <x v="2"/>
    <x v="1"/>
    <x v="260"/>
    <x v="258"/>
    <x v="2"/>
    <x v="1"/>
  </r>
  <r>
    <s v="ORD00262"/>
    <x v="233"/>
    <x v="2"/>
    <x v="1"/>
    <x v="1"/>
    <x v="261"/>
    <x v="259"/>
    <x v="1"/>
    <x v="0"/>
  </r>
  <r>
    <s v="ORD00263"/>
    <x v="234"/>
    <x v="2"/>
    <x v="14"/>
    <x v="2"/>
    <x v="262"/>
    <x v="260"/>
    <x v="2"/>
    <x v="2"/>
  </r>
  <r>
    <s v="ORD00264"/>
    <x v="235"/>
    <x v="2"/>
    <x v="5"/>
    <x v="1"/>
    <x v="263"/>
    <x v="261"/>
    <x v="0"/>
    <x v="3"/>
  </r>
  <r>
    <s v="ORD00265"/>
    <x v="20"/>
    <x v="1"/>
    <x v="0"/>
    <x v="0"/>
    <x v="264"/>
    <x v="262"/>
    <x v="0"/>
    <x v="0"/>
  </r>
  <r>
    <s v="ORD00266"/>
    <x v="236"/>
    <x v="1"/>
    <x v="3"/>
    <x v="2"/>
    <x v="265"/>
    <x v="263"/>
    <x v="0"/>
    <x v="0"/>
  </r>
  <r>
    <s v="ORD00267"/>
    <x v="86"/>
    <x v="1"/>
    <x v="9"/>
    <x v="0"/>
    <x v="266"/>
    <x v="264"/>
    <x v="2"/>
    <x v="3"/>
  </r>
  <r>
    <s v="ORD00268"/>
    <x v="237"/>
    <x v="1"/>
    <x v="9"/>
    <x v="0"/>
    <x v="267"/>
    <x v="265"/>
    <x v="2"/>
    <x v="2"/>
  </r>
  <r>
    <s v="ORD00269"/>
    <x v="238"/>
    <x v="3"/>
    <x v="10"/>
    <x v="2"/>
    <x v="268"/>
    <x v="266"/>
    <x v="2"/>
    <x v="2"/>
  </r>
  <r>
    <s v="ORD00270"/>
    <x v="239"/>
    <x v="1"/>
    <x v="13"/>
    <x v="1"/>
    <x v="269"/>
    <x v="267"/>
    <x v="1"/>
    <x v="0"/>
  </r>
  <r>
    <s v="ORD00271"/>
    <x v="240"/>
    <x v="1"/>
    <x v="4"/>
    <x v="0"/>
    <x v="270"/>
    <x v="268"/>
    <x v="1"/>
    <x v="0"/>
  </r>
  <r>
    <s v="ORD00272"/>
    <x v="237"/>
    <x v="3"/>
    <x v="7"/>
    <x v="0"/>
    <x v="271"/>
    <x v="269"/>
    <x v="1"/>
    <x v="3"/>
  </r>
  <r>
    <s v="ORD00273"/>
    <x v="40"/>
    <x v="3"/>
    <x v="8"/>
    <x v="1"/>
    <x v="272"/>
    <x v="270"/>
    <x v="0"/>
    <x v="1"/>
  </r>
  <r>
    <s v="ORD00274"/>
    <x v="241"/>
    <x v="0"/>
    <x v="1"/>
    <x v="1"/>
    <x v="273"/>
    <x v="271"/>
    <x v="0"/>
    <x v="2"/>
  </r>
  <r>
    <s v="ORD00275"/>
    <x v="242"/>
    <x v="3"/>
    <x v="12"/>
    <x v="2"/>
    <x v="274"/>
    <x v="272"/>
    <x v="1"/>
    <x v="2"/>
  </r>
  <r>
    <s v="ORD00276"/>
    <x v="243"/>
    <x v="0"/>
    <x v="5"/>
    <x v="1"/>
    <x v="275"/>
    <x v="273"/>
    <x v="0"/>
    <x v="1"/>
  </r>
  <r>
    <s v="ORD00277"/>
    <x v="244"/>
    <x v="2"/>
    <x v="6"/>
    <x v="0"/>
    <x v="276"/>
    <x v="274"/>
    <x v="0"/>
    <x v="2"/>
  </r>
  <r>
    <s v="ORD00278"/>
    <x v="49"/>
    <x v="1"/>
    <x v="14"/>
    <x v="2"/>
    <x v="277"/>
    <x v="275"/>
    <x v="0"/>
    <x v="2"/>
  </r>
  <r>
    <s v="ORD00279"/>
    <x v="245"/>
    <x v="1"/>
    <x v="11"/>
    <x v="2"/>
    <x v="278"/>
    <x v="276"/>
    <x v="2"/>
    <x v="0"/>
  </r>
  <r>
    <s v="ORD00280"/>
    <x v="246"/>
    <x v="0"/>
    <x v="9"/>
    <x v="0"/>
    <x v="279"/>
    <x v="277"/>
    <x v="1"/>
    <x v="0"/>
  </r>
  <r>
    <s v="ORD00281"/>
    <x v="247"/>
    <x v="0"/>
    <x v="6"/>
    <x v="0"/>
    <x v="280"/>
    <x v="278"/>
    <x v="2"/>
    <x v="0"/>
  </r>
  <r>
    <s v="ORD00282"/>
    <x v="248"/>
    <x v="2"/>
    <x v="2"/>
    <x v="1"/>
    <x v="281"/>
    <x v="279"/>
    <x v="0"/>
    <x v="1"/>
  </r>
  <r>
    <s v="ORD00283"/>
    <x v="249"/>
    <x v="0"/>
    <x v="2"/>
    <x v="1"/>
    <x v="282"/>
    <x v="280"/>
    <x v="0"/>
    <x v="2"/>
  </r>
  <r>
    <s v="ORD00284"/>
    <x v="250"/>
    <x v="2"/>
    <x v="2"/>
    <x v="1"/>
    <x v="283"/>
    <x v="281"/>
    <x v="1"/>
    <x v="3"/>
  </r>
  <r>
    <s v="ORD00285"/>
    <x v="247"/>
    <x v="1"/>
    <x v="10"/>
    <x v="2"/>
    <x v="284"/>
    <x v="282"/>
    <x v="0"/>
    <x v="2"/>
  </r>
  <r>
    <s v="ORD00286"/>
    <x v="251"/>
    <x v="0"/>
    <x v="9"/>
    <x v="0"/>
    <x v="285"/>
    <x v="283"/>
    <x v="0"/>
    <x v="3"/>
  </r>
  <r>
    <s v="ORD00287"/>
    <x v="252"/>
    <x v="2"/>
    <x v="3"/>
    <x v="2"/>
    <x v="286"/>
    <x v="284"/>
    <x v="2"/>
    <x v="3"/>
  </r>
  <r>
    <s v="ORD00288"/>
    <x v="253"/>
    <x v="2"/>
    <x v="11"/>
    <x v="2"/>
    <x v="287"/>
    <x v="285"/>
    <x v="2"/>
    <x v="3"/>
  </r>
  <r>
    <s v="ORD00289"/>
    <x v="254"/>
    <x v="3"/>
    <x v="7"/>
    <x v="0"/>
    <x v="288"/>
    <x v="286"/>
    <x v="0"/>
    <x v="1"/>
  </r>
  <r>
    <s v="ORD00290"/>
    <x v="240"/>
    <x v="3"/>
    <x v="9"/>
    <x v="0"/>
    <x v="289"/>
    <x v="287"/>
    <x v="2"/>
    <x v="1"/>
  </r>
  <r>
    <s v="ORD00291"/>
    <x v="255"/>
    <x v="2"/>
    <x v="8"/>
    <x v="1"/>
    <x v="290"/>
    <x v="288"/>
    <x v="2"/>
    <x v="0"/>
  </r>
  <r>
    <s v="ORD00292"/>
    <x v="256"/>
    <x v="0"/>
    <x v="10"/>
    <x v="2"/>
    <x v="291"/>
    <x v="289"/>
    <x v="1"/>
    <x v="1"/>
  </r>
  <r>
    <s v="ORD00293"/>
    <x v="132"/>
    <x v="1"/>
    <x v="11"/>
    <x v="2"/>
    <x v="292"/>
    <x v="290"/>
    <x v="2"/>
    <x v="1"/>
  </r>
  <r>
    <s v="ORD00294"/>
    <x v="257"/>
    <x v="3"/>
    <x v="6"/>
    <x v="0"/>
    <x v="293"/>
    <x v="291"/>
    <x v="1"/>
    <x v="1"/>
  </r>
  <r>
    <s v="ORD00295"/>
    <x v="78"/>
    <x v="0"/>
    <x v="0"/>
    <x v="0"/>
    <x v="294"/>
    <x v="292"/>
    <x v="1"/>
    <x v="3"/>
  </r>
  <r>
    <s v="ORD00296"/>
    <x v="258"/>
    <x v="3"/>
    <x v="12"/>
    <x v="2"/>
    <x v="295"/>
    <x v="293"/>
    <x v="0"/>
    <x v="0"/>
  </r>
  <r>
    <s v="ORD00297"/>
    <x v="259"/>
    <x v="2"/>
    <x v="1"/>
    <x v="1"/>
    <x v="296"/>
    <x v="294"/>
    <x v="0"/>
    <x v="3"/>
  </r>
  <r>
    <s v="ORD00298"/>
    <x v="138"/>
    <x v="0"/>
    <x v="4"/>
    <x v="0"/>
    <x v="297"/>
    <x v="295"/>
    <x v="2"/>
    <x v="3"/>
  </r>
  <r>
    <s v="ORD00299"/>
    <x v="260"/>
    <x v="0"/>
    <x v="3"/>
    <x v="2"/>
    <x v="298"/>
    <x v="296"/>
    <x v="2"/>
    <x v="0"/>
  </r>
  <r>
    <s v="ORD00300"/>
    <x v="261"/>
    <x v="3"/>
    <x v="6"/>
    <x v="0"/>
    <x v="299"/>
    <x v="297"/>
    <x v="0"/>
    <x v="1"/>
  </r>
  <r>
    <s v="ORD00301"/>
    <x v="262"/>
    <x v="1"/>
    <x v="5"/>
    <x v="1"/>
    <x v="300"/>
    <x v="298"/>
    <x v="1"/>
    <x v="2"/>
  </r>
  <r>
    <s v="ORD00302"/>
    <x v="263"/>
    <x v="2"/>
    <x v="1"/>
    <x v="1"/>
    <x v="301"/>
    <x v="299"/>
    <x v="2"/>
    <x v="0"/>
  </r>
  <r>
    <s v="ORD00303"/>
    <x v="136"/>
    <x v="2"/>
    <x v="1"/>
    <x v="1"/>
    <x v="302"/>
    <x v="300"/>
    <x v="1"/>
    <x v="2"/>
  </r>
  <r>
    <s v="ORD00304"/>
    <x v="264"/>
    <x v="1"/>
    <x v="1"/>
    <x v="1"/>
    <x v="303"/>
    <x v="301"/>
    <x v="1"/>
    <x v="1"/>
  </r>
  <r>
    <s v="ORD00305"/>
    <x v="265"/>
    <x v="1"/>
    <x v="7"/>
    <x v="0"/>
    <x v="304"/>
    <x v="302"/>
    <x v="1"/>
    <x v="3"/>
  </r>
  <r>
    <s v="ORD00306"/>
    <x v="266"/>
    <x v="2"/>
    <x v="6"/>
    <x v="0"/>
    <x v="305"/>
    <x v="303"/>
    <x v="0"/>
    <x v="3"/>
  </r>
  <r>
    <s v="ORD00307"/>
    <x v="267"/>
    <x v="0"/>
    <x v="3"/>
    <x v="2"/>
    <x v="306"/>
    <x v="304"/>
    <x v="2"/>
    <x v="1"/>
  </r>
  <r>
    <s v="ORD00308"/>
    <x v="268"/>
    <x v="1"/>
    <x v="2"/>
    <x v="1"/>
    <x v="307"/>
    <x v="305"/>
    <x v="2"/>
    <x v="1"/>
  </r>
  <r>
    <s v="ORD00309"/>
    <x v="269"/>
    <x v="2"/>
    <x v="5"/>
    <x v="1"/>
    <x v="308"/>
    <x v="306"/>
    <x v="1"/>
    <x v="2"/>
  </r>
  <r>
    <s v="ORD00310"/>
    <x v="270"/>
    <x v="3"/>
    <x v="5"/>
    <x v="1"/>
    <x v="309"/>
    <x v="307"/>
    <x v="1"/>
    <x v="2"/>
  </r>
  <r>
    <s v="ORD00311"/>
    <x v="271"/>
    <x v="1"/>
    <x v="3"/>
    <x v="2"/>
    <x v="310"/>
    <x v="308"/>
    <x v="0"/>
    <x v="2"/>
  </r>
  <r>
    <s v="ORD00312"/>
    <x v="272"/>
    <x v="0"/>
    <x v="7"/>
    <x v="0"/>
    <x v="311"/>
    <x v="309"/>
    <x v="2"/>
    <x v="3"/>
  </r>
  <r>
    <s v="ORD00313"/>
    <x v="273"/>
    <x v="3"/>
    <x v="3"/>
    <x v="2"/>
    <x v="312"/>
    <x v="310"/>
    <x v="1"/>
    <x v="3"/>
  </r>
  <r>
    <s v="ORD00314"/>
    <x v="274"/>
    <x v="2"/>
    <x v="1"/>
    <x v="1"/>
    <x v="313"/>
    <x v="311"/>
    <x v="1"/>
    <x v="0"/>
  </r>
  <r>
    <s v="ORD00315"/>
    <x v="19"/>
    <x v="3"/>
    <x v="13"/>
    <x v="1"/>
    <x v="314"/>
    <x v="312"/>
    <x v="0"/>
    <x v="0"/>
  </r>
  <r>
    <s v="ORD00316"/>
    <x v="275"/>
    <x v="2"/>
    <x v="3"/>
    <x v="2"/>
    <x v="315"/>
    <x v="313"/>
    <x v="1"/>
    <x v="0"/>
  </r>
  <r>
    <s v="ORD00317"/>
    <x v="173"/>
    <x v="0"/>
    <x v="11"/>
    <x v="2"/>
    <x v="316"/>
    <x v="314"/>
    <x v="0"/>
    <x v="3"/>
  </r>
  <r>
    <s v="ORD00318"/>
    <x v="276"/>
    <x v="3"/>
    <x v="2"/>
    <x v="1"/>
    <x v="317"/>
    <x v="315"/>
    <x v="0"/>
    <x v="0"/>
  </r>
  <r>
    <s v="ORD00319"/>
    <x v="277"/>
    <x v="2"/>
    <x v="0"/>
    <x v="0"/>
    <x v="318"/>
    <x v="316"/>
    <x v="1"/>
    <x v="1"/>
  </r>
  <r>
    <s v="ORD00320"/>
    <x v="96"/>
    <x v="2"/>
    <x v="12"/>
    <x v="2"/>
    <x v="319"/>
    <x v="317"/>
    <x v="2"/>
    <x v="0"/>
  </r>
  <r>
    <s v="ORD00321"/>
    <x v="278"/>
    <x v="0"/>
    <x v="14"/>
    <x v="2"/>
    <x v="320"/>
    <x v="318"/>
    <x v="2"/>
    <x v="1"/>
  </r>
  <r>
    <s v="ORD00322"/>
    <x v="279"/>
    <x v="3"/>
    <x v="2"/>
    <x v="1"/>
    <x v="321"/>
    <x v="319"/>
    <x v="2"/>
    <x v="0"/>
  </r>
  <r>
    <s v="ORD00323"/>
    <x v="280"/>
    <x v="2"/>
    <x v="12"/>
    <x v="2"/>
    <x v="322"/>
    <x v="320"/>
    <x v="0"/>
    <x v="0"/>
  </r>
  <r>
    <s v="ORD00324"/>
    <x v="281"/>
    <x v="2"/>
    <x v="0"/>
    <x v="0"/>
    <x v="323"/>
    <x v="321"/>
    <x v="1"/>
    <x v="3"/>
  </r>
  <r>
    <s v="ORD00325"/>
    <x v="87"/>
    <x v="1"/>
    <x v="11"/>
    <x v="2"/>
    <x v="324"/>
    <x v="322"/>
    <x v="2"/>
    <x v="3"/>
  </r>
  <r>
    <s v="ORD00326"/>
    <x v="9"/>
    <x v="2"/>
    <x v="12"/>
    <x v="2"/>
    <x v="325"/>
    <x v="323"/>
    <x v="1"/>
    <x v="1"/>
  </r>
  <r>
    <s v="ORD00327"/>
    <x v="71"/>
    <x v="2"/>
    <x v="9"/>
    <x v="0"/>
    <x v="326"/>
    <x v="324"/>
    <x v="2"/>
    <x v="1"/>
  </r>
  <r>
    <s v="ORD00328"/>
    <x v="282"/>
    <x v="3"/>
    <x v="3"/>
    <x v="2"/>
    <x v="327"/>
    <x v="325"/>
    <x v="0"/>
    <x v="0"/>
  </r>
  <r>
    <s v="ORD00329"/>
    <x v="283"/>
    <x v="2"/>
    <x v="7"/>
    <x v="0"/>
    <x v="328"/>
    <x v="326"/>
    <x v="1"/>
    <x v="3"/>
  </r>
  <r>
    <s v="ORD00330"/>
    <x v="284"/>
    <x v="3"/>
    <x v="11"/>
    <x v="2"/>
    <x v="329"/>
    <x v="327"/>
    <x v="2"/>
    <x v="1"/>
  </r>
  <r>
    <s v="ORD00331"/>
    <x v="285"/>
    <x v="3"/>
    <x v="14"/>
    <x v="2"/>
    <x v="330"/>
    <x v="328"/>
    <x v="0"/>
    <x v="3"/>
  </r>
  <r>
    <s v="ORD00332"/>
    <x v="286"/>
    <x v="3"/>
    <x v="6"/>
    <x v="0"/>
    <x v="331"/>
    <x v="329"/>
    <x v="2"/>
    <x v="1"/>
  </r>
  <r>
    <s v="ORD00333"/>
    <x v="287"/>
    <x v="3"/>
    <x v="12"/>
    <x v="2"/>
    <x v="332"/>
    <x v="330"/>
    <x v="2"/>
    <x v="0"/>
  </r>
  <r>
    <s v="ORD00334"/>
    <x v="90"/>
    <x v="3"/>
    <x v="0"/>
    <x v="0"/>
    <x v="333"/>
    <x v="331"/>
    <x v="1"/>
    <x v="1"/>
  </r>
  <r>
    <s v="ORD00335"/>
    <x v="288"/>
    <x v="0"/>
    <x v="7"/>
    <x v="0"/>
    <x v="334"/>
    <x v="332"/>
    <x v="0"/>
    <x v="3"/>
  </r>
  <r>
    <s v="ORD00336"/>
    <x v="135"/>
    <x v="3"/>
    <x v="11"/>
    <x v="2"/>
    <x v="335"/>
    <x v="333"/>
    <x v="1"/>
    <x v="3"/>
  </r>
  <r>
    <s v="ORD00337"/>
    <x v="289"/>
    <x v="2"/>
    <x v="2"/>
    <x v="1"/>
    <x v="336"/>
    <x v="334"/>
    <x v="2"/>
    <x v="1"/>
  </r>
  <r>
    <s v="ORD00338"/>
    <x v="15"/>
    <x v="2"/>
    <x v="1"/>
    <x v="1"/>
    <x v="337"/>
    <x v="335"/>
    <x v="2"/>
    <x v="3"/>
  </r>
  <r>
    <s v="ORD00339"/>
    <x v="290"/>
    <x v="1"/>
    <x v="14"/>
    <x v="2"/>
    <x v="338"/>
    <x v="336"/>
    <x v="2"/>
    <x v="3"/>
  </r>
  <r>
    <s v="ORD00340"/>
    <x v="291"/>
    <x v="1"/>
    <x v="7"/>
    <x v="0"/>
    <x v="339"/>
    <x v="337"/>
    <x v="2"/>
    <x v="2"/>
  </r>
  <r>
    <s v="ORD00341"/>
    <x v="292"/>
    <x v="0"/>
    <x v="11"/>
    <x v="2"/>
    <x v="340"/>
    <x v="338"/>
    <x v="1"/>
    <x v="1"/>
  </r>
  <r>
    <s v="ORD00342"/>
    <x v="127"/>
    <x v="2"/>
    <x v="10"/>
    <x v="2"/>
    <x v="341"/>
    <x v="339"/>
    <x v="1"/>
    <x v="3"/>
  </r>
  <r>
    <s v="ORD00343"/>
    <x v="293"/>
    <x v="0"/>
    <x v="13"/>
    <x v="1"/>
    <x v="342"/>
    <x v="340"/>
    <x v="0"/>
    <x v="1"/>
  </r>
  <r>
    <s v="ORD00344"/>
    <x v="294"/>
    <x v="0"/>
    <x v="7"/>
    <x v="0"/>
    <x v="343"/>
    <x v="341"/>
    <x v="0"/>
    <x v="2"/>
  </r>
  <r>
    <s v="ORD00345"/>
    <x v="295"/>
    <x v="3"/>
    <x v="14"/>
    <x v="2"/>
    <x v="344"/>
    <x v="342"/>
    <x v="0"/>
    <x v="1"/>
  </r>
  <r>
    <s v="ORD00346"/>
    <x v="296"/>
    <x v="1"/>
    <x v="12"/>
    <x v="2"/>
    <x v="345"/>
    <x v="343"/>
    <x v="1"/>
    <x v="0"/>
  </r>
  <r>
    <s v="ORD00347"/>
    <x v="297"/>
    <x v="3"/>
    <x v="14"/>
    <x v="2"/>
    <x v="346"/>
    <x v="344"/>
    <x v="0"/>
    <x v="3"/>
  </r>
  <r>
    <s v="ORD00348"/>
    <x v="298"/>
    <x v="2"/>
    <x v="8"/>
    <x v="1"/>
    <x v="347"/>
    <x v="345"/>
    <x v="1"/>
    <x v="2"/>
  </r>
  <r>
    <s v="ORD00349"/>
    <x v="239"/>
    <x v="3"/>
    <x v="6"/>
    <x v="0"/>
    <x v="348"/>
    <x v="346"/>
    <x v="2"/>
    <x v="0"/>
  </r>
  <r>
    <s v="ORD00350"/>
    <x v="299"/>
    <x v="3"/>
    <x v="9"/>
    <x v="0"/>
    <x v="349"/>
    <x v="347"/>
    <x v="2"/>
    <x v="0"/>
  </r>
  <r>
    <s v="ORD00351"/>
    <x v="300"/>
    <x v="3"/>
    <x v="14"/>
    <x v="2"/>
    <x v="350"/>
    <x v="348"/>
    <x v="2"/>
    <x v="2"/>
  </r>
  <r>
    <s v="ORD00352"/>
    <x v="11"/>
    <x v="3"/>
    <x v="13"/>
    <x v="1"/>
    <x v="351"/>
    <x v="349"/>
    <x v="0"/>
    <x v="3"/>
  </r>
  <r>
    <s v="ORD00353"/>
    <x v="301"/>
    <x v="0"/>
    <x v="12"/>
    <x v="2"/>
    <x v="352"/>
    <x v="350"/>
    <x v="2"/>
    <x v="1"/>
  </r>
  <r>
    <s v="ORD00354"/>
    <x v="302"/>
    <x v="2"/>
    <x v="7"/>
    <x v="0"/>
    <x v="353"/>
    <x v="351"/>
    <x v="1"/>
    <x v="2"/>
  </r>
  <r>
    <s v="ORD00355"/>
    <x v="251"/>
    <x v="0"/>
    <x v="11"/>
    <x v="2"/>
    <x v="354"/>
    <x v="352"/>
    <x v="2"/>
    <x v="1"/>
  </r>
  <r>
    <s v="ORD00356"/>
    <x v="303"/>
    <x v="0"/>
    <x v="8"/>
    <x v="1"/>
    <x v="355"/>
    <x v="353"/>
    <x v="2"/>
    <x v="0"/>
  </r>
  <r>
    <s v="ORD00357"/>
    <x v="304"/>
    <x v="0"/>
    <x v="0"/>
    <x v="0"/>
    <x v="356"/>
    <x v="354"/>
    <x v="2"/>
    <x v="3"/>
  </r>
  <r>
    <s v="ORD00358"/>
    <x v="122"/>
    <x v="1"/>
    <x v="3"/>
    <x v="2"/>
    <x v="357"/>
    <x v="355"/>
    <x v="1"/>
    <x v="1"/>
  </r>
  <r>
    <s v="ORD00359"/>
    <x v="305"/>
    <x v="3"/>
    <x v="14"/>
    <x v="2"/>
    <x v="358"/>
    <x v="356"/>
    <x v="2"/>
    <x v="2"/>
  </r>
  <r>
    <s v="ORD00360"/>
    <x v="49"/>
    <x v="3"/>
    <x v="3"/>
    <x v="2"/>
    <x v="359"/>
    <x v="357"/>
    <x v="1"/>
    <x v="2"/>
  </r>
  <r>
    <s v="ORD00361"/>
    <x v="306"/>
    <x v="0"/>
    <x v="8"/>
    <x v="1"/>
    <x v="360"/>
    <x v="358"/>
    <x v="0"/>
    <x v="1"/>
  </r>
  <r>
    <s v="ORD00362"/>
    <x v="204"/>
    <x v="3"/>
    <x v="3"/>
    <x v="2"/>
    <x v="361"/>
    <x v="359"/>
    <x v="2"/>
    <x v="2"/>
  </r>
  <r>
    <s v="ORD00363"/>
    <x v="307"/>
    <x v="0"/>
    <x v="13"/>
    <x v="1"/>
    <x v="362"/>
    <x v="360"/>
    <x v="2"/>
    <x v="3"/>
  </r>
  <r>
    <s v="ORD00364"/>
    <x v="308"/>
    <x v="2"/>
    <x v="13"/>
    <x v="1"/>
    <x v="363"/>
    <x v="361"/>
    <x v="2"/>
    <x v="2"/>
  </r>
  <r>
    <s v="ORD00365"/>
    <x v="309"/>
    <x v="1"/>
    <x v="13"/>
    <x v="1"/>
    <x v="364"/>
    <x v="362"/>
    <x v="0"/>
    <x v="3"/>
  </r>
  <r>
    <s v="ORD00366"/>
    <x v="196"/>
    <x v="2"/>
    <x v="7"/>
    <x v="0"/>
    <x v="365"/>
    <x v="363"/>
    <x v="1"/>
    <x v="3"/>
  </r>
  <r>
    <s v="ORD00367"/>
    <x v="310"/>
    <x v="3"/>
    <x v="7"/>
    <x v="0"/>
    <x v="366"/>
    <x v="364"/>
    <x v="1"/>
    <x v="2"/>
  </r>
  <r>
    <s v="ORD00368"/>
    <x v="311"/>
    <x v="3"/>
    <x v="6"/>
    <x v="0"/>
    <x v="367"/>
    <x v="365"/>
    <x v="1"/>
    <x v="1"/>
  </r>
  <r>
    <s v="ORD00369"/>
    <x v="312"/>
    <x v="3"/>
    <x v="6"/>
    <x v="0"/>
    <x v="368"/>
    <x v="366"/>
    <x v="0"/>
    <x v="0"/>
  </r>
  <r>
    <s v="ORD00370"/>
    <x v="313"/>
    <x v="3"/>
    <x v="11"/>
    <x v="2"/>
    <x v="369"/>
    <x v="367"/>
    <x v="2"/>
    <x v="2"/>
  </r>
  <r>
    <s v="ORD00371"/>
    <x v="95"/>
    <x v="0"/>
    <x v="1"/>
    <x v="1"/>
    <x v="370"/>
    <x v="368"/>
    <x v="2"/>
    <x v="3"/>
  </r>
  <r>
    <s v="ORD00372"/>
    <x v="314"/>
    <x v="2"/>
    <x v="1"/>
    <x v="1"/>
    <x v="371"/>
    <x v="369"/>
    <x v="2"/>
    <x v="2"/>
  </r>
  <r>
    <s v="ORD00373"/>
    <x v="315"/>
    <x v="0"/>
    <x v="1"/>
    <x v="1"/>
    <x v="372"/>
    <x v="370"/>
    <x v="0"/>
    <x v="1"/>
  </r>
  <r>
    <s v="ORD00374"/>
    <x v="89"/>
    <x v="3"/>
    <x v="8"/>
    <x v="1"/>
    <x v="373"/>
    <x v="371"/>
    <x v="2"/>
    <x v="1"/>
  </r>
  <r>
    <s v="ORD00375"/>
    <x v="316"/>
    <x v="3"/>
    <x v="1"/>
    <x v="1"/>
    <x v="374"/>
    <x v="372"/>
    <x v="0"/>
    <x v="1"/>
  </r>
  <r>
    <s v="ORD00376"/>
    <x v="317"/>
    <x v="2"/>
    <x v="2"/>
    <x v="1"/>
    <x v="375"/>
    <x v="373"/>
    <x v="2"/>
    <x v="3"/>
  </r>
  <r>
    <s v="ORD00377"/>
    <x v="318"/>
    <x v="2"/>
    <x v="4"/>
    <x v="0"/>
    <x v="376"/>
    <x v="141"/>
    <x v="0"/>
    <x v="3"/>
  </r>
  <r>
    <s v="ORD00378"/>
    <x v="319"/>
    <x v="2"/>
    <x v="0"/>
    <x v="0"/>
    <x v="377"/>
    <x v="374"/>
    <x v="0"/>
    <x v="1"/>
  </r>
  <r>
    <s v="ORD00379"/>
    <x v="320"/>
    <x v="0"/>
    <x v="2"/>
    <x v="1"/>
    <x v="378"/>
    <x v="375"/>
    <x v="2"/>
    <x v="3"/>
  </r>
  <r>
    <s v="ORD00380"/>
    <x v="321"/>
    <x v="1"/>
    <x v="5"/>
    <x v="1"/>
    <x v="379"/>
    <x v="376"/>
    <x v="1"/>
    <x v="0"/>
  </r>
  <r>
    <s v="ORD00381"/>
    <x v="322"/>
    <x v="1"/>
    <x v="9"/>
    <x v="0"/>
    <x v="380"/>
    <x v="377"/>
    <x v="0"/>
    <x v="3"/>
  </r>
  <r>
    <s v="ORD00382"/>
    <x v="323"/>
    <x v="2"/>
    <x v="11"/>
    <x v="2"/>
    <x v="381"/>
    <x v="378"/>
    <x v="0"/>
    <x v="3"/>
  </r>
  <r>
    <s v="ORD00383"/>
    <x v="324"/>
    <x v="1"/>
    <x v="9"/>
    <x v="0"/>
    <x v="382"/>
    <x v="379"/>
    <x v="1"/>
    <x v="0"/>
  </r>
  <r>
    <s v="ORD00384"/>
    <x v="178"/>
    <x v="1"/>
    <x v="14"/>
    <x v="2"/>
    <x v="383"/>
    <x v="380"/>
    <x v="0"/>
    <x v="0"/>
  </r>
  <r>
    <s v="ORD00385"/>
    <x v="142"/>
    <x v="2"/>
    <x v="2"/>
    <x v="1"/>
    <x v="384"/>
    <x v="381"/>
    <x v="0"/>
    <x v="3"/>
  </r>
  <r>
    <s v="ORD00386"/>
    <x v="165"/>
    <x v="3"/>
    <x v="8"/>
    <x v="1"/>
    <x v="385"/>
    <x v="382"/>
    <x v="0"/>
    <x v="2"/>
  </r>
  <r>
    <s v="ORD00387"/>
    <x v="325"/>
    <x v="1"/>
    <x v="1"/>
    <x v="1"/>
    <x v="386"/>
    <x v="383"/>
    <x v="2"/>
    <x v="0"/>
  </r>
  <r>
    <s v="ORD00388"/>
    <x v="326"/>
    <x v="1"/>
    <x v="4"/>
    <x v="0"/>
    <x v="387"/>
    <x v="384"/>
    <x v="2"/>
    <x v="0"/>
  </r>
  <r>
    <s v="ORD00389"/>
    <x v="327"/>
    <x v="2"/>
    <x v="4"/>
    <x v="0"/>
    <x v="388"/>
    <x v="385"/>
    <x v="0"/>
    <x v="2"/>
  </r>
  <r>
    <s v="ORD00390"/>
    <x v="328"/>
    <x v="1"/>
    <x v="13"/>
    <x v="1"/>
    <x v="389"/>
    <x v="386"/>
    <x v="0"/>
    <x v="2"/>
  </r>
  <r>
    <s v="ORD00391"/>
    <x v="310"/>
    <x v="1"/>
    <x v="6"/>
    <x v="0"/>
    <x v="390"/>
    <x v="387"/>
    <x v="1"/>
    <x v="2"/>
  </r>
  <r>
    <s v="ORD00392"/>
    <x v="113"/>
    <x v="2"/>
    <x v="3"/>
    <x v="2"/>
    <x v="391"/>
    <x v="388"/>
    <x v="0"/>
    <x v="0"/>
  </r>
  <r>
    <s v="ORD00393"/>
    <x v="329"/>
    <x v="0"/>
    <x v="12"/>
    <x v="2"/>
    <x v="392"/>
    <x v="389"/>
    <x v="0"/>
    <x v="0"/>
  </r>
  <r>
    <s v="ORD00394"/>
    <x v="222"/>
    <x v="1"/>
    <x v="4"/>
    <x v="0"/>
    <x v="393"/>
    <x v="390"/>
    <x v="1"/>
    <x v="2"/>
  </r>
  <r>
    <s v="ORD00395"/>
    <x v="330"/>
    <x v="1"/>
    <x v="5"/>
    <x v="1"/>
    <x v="394"/>
    <x v="391"/>
    <x v="2"/>
    <x v="0"/>
  </r>
  <r>
    <s v="ORD00396"/>
    <x v="331"/>
    <x v="2"/>
    <x v="4"/>
    <x v="0"/>
    <x v="395"/>
    <x v="392"/>
    <x v="2"/>
    <x v="3"/>
  </r>
  <r>
    <s v="ORD00397"/>
    <x v="332"/>
    <x v="2"/>
    <x v="0"/>
    <x v="0"/>
    <x v="396"/>
    <x v="266"/>
    <x v="1"/>
    <x v="2"/>
  </r>
  <r>
    <s v="ORD00398"/>
    <x v="333"/>
    <x v="2"/>
    <x v="9"/>
    <x v="0"/>
    <x v="397"/>
    <x v="121"/>
    <x v="0"/>
    <x v="0"/>
  </r>
  <r>
    <s v="ORD00399"/>
    <x v="334"/>
    <x v="1"/>
    <x v="4"/>
    <x v="0"/>
    <x v="398"/>
    <x v="393"/>
    <x v="2"/>
    <x v="1"/>
  </r>
  <r>
    <s v="ORD00400"/>
    <x v="115"/>
    <x v="0"/>
    <x v="11"/>
    <x v="2"/>
    <x v="399"/>
    <x v="394"/>
    <x v="2"/>
    <x v="1"/>
  </r>
  <r>
    <s v="ORD00401"/>
    <x v="82"/>
    <x v="2"/>
    <x v="9"/>
    <x v="0"/>
    <x v="400"/>
    <x v="395"/>
    <x v="2"/>
    <x v="2"/>
  </r>
  <r>
    <s v="ORD00402"/>
    <x v="9"/>
    <x v="3"/>
    <x v="7"/>
    <x v="0"/>
    <x v="401"/>
    <x v="396"/>
    <x v="1"/>
    <x v="0"/>
  </r>
  <r>
    <s v="ORD00403"/>
    <x v="335"/>
    <x v="3"/>
    <x v="5"/>
    <x v="1"/>
    <x v="402"/>
    <x v="397"/>
    <x v="0"/>
    <x v="0"/>
  </r>
  <r>
    <s v="ORD00404"/>
    <x v="33"/>
    <x v="0"/>
    <x v="6"/>
    <x v="0"/>
    <x v="403"/>
    <x v="398"/>
    <x v="2"/>
    <x v="0"/>
  </r>
  <r>
    <s v="ORD00405"/>
    <x v="336"/>
    <x v="3"/>
    <x v="9"/>
    <x v="0"/>
    <x v="404"/>
    <x v="399"/>
    <x v="2"/>
    <x v="0"/>
  </r>
  <r>
    <s v="ORD00406"/>
    <x v="337"/>
    <x v="0"/>
    <x v="8"/>
    <x v="1"/>
    <x v="405"/>
    <x v="400"/>
    <x v="2"/>
    <x v="0"/>
  </r>
  <r>
    <s v="ORD00407"/>
    <x v="338"/>
    <x v="2"/>
    <x v="6"/>
    <x v="0"/>
    <x v="406"/>
    <x v="401"/>
    <x v="2"/>
    <x v="2"/>
  </r>
  <r>
    <s v="ORD00408"/>
    <x v="195"/>
    <x v="3"/>
    <x v="12"/>
    <x v="2"/>
    <x v="407"/>
    <x v="402"/>
    <x v="2"/>
    <x v="0"/>
  </r>
  <r>
    <s v="ORD00409"/>
    <x v="339"/>
    <x v="3"/>
    <x v="1"/>
    <x v="1"/>
    <x v="408"/>
    <x v="403"/>
    <x v="0"/>
    <x v="1"/>
  </r>
  <r>
    <s v="ORD00410"/>
    <x v="334"/>
    <x v="1"/>
    <x v="14"/>
    <x v="2"/>
    <x v="409"/>
    <x v="404"/>
    <x v="1"/>
    <x v="1"/>
  </r>
  <r>
    <s v="ORD00411"/>
    <x v="340"/>
    <x v="2"/>
    <x v="8"/>
    <x v="1"/>
    <x v="410"/>
    <x v="405"/>
    <x v="2"/>
    <x v="0"/>
  </r>
  <r>
    <s v="ORD00412"/>
    <x v="341"/>
    <x v="0"/>
    <x v="3"/>
    <x v="2"/>
    <x v="411"/>
    <x v="406"/>
    <x v="2"/>
    <x v="1"/>
  </r>
  <r>
    <s v="ORD00413"/>
    <x v="95"/>
    <x v="2"/>
    <x v="8"/>
    <x v="1"/>
    <x v="412"/>
    <x v="407"/>
    <x v="2"/>
    <x v="2"/>
  </r>
  <r>
    <s v="ORD00414"/>
    <x v="342"/>
    <x v="1"/>
    <x v="7"/>
    <x v="0"/>
    <x v="413"/>
    <x v="408"/>
    <x v="1"/>
    <x v="1"/>
  </r>
  <r>
    <s v="ORD00415"/>
    <x v="343"/>
    <x v="2"/>
    <x v="6"/>
    <x v="0"/>
    <x v="414"/>
    <x v="409"/>
    <x v="0"/>
    <x v="3"/>
  </r>
  <r>
    <s v="ORD00416"/>
    <x v="291"/>
    <x v="1"/>
    <x v="1"/>
    <x v="1"/>
    <x v="415"/>
    <x v="410"/>
    <x v="2"/>
    <x v="1"/>
  </r>
  <r>
    <s v="ORD00417"/>
    <x v="149"/>
    <x v="1"/>
    <x v="8"/>
    <x v="1"/>
    <x v="416"/>
    <x v="411"/>
    <x v="0"/>
    <x v="1"/>
  </r>
  <r>
    <s v="ORD00418"/>
    <x v="344"/>
    <x v="0"/>
    <x v="10"/>
    <x v="2"/>
    <x v="417"/>
    <x v="412"/>
    <x v="2"/>
    <x v="2"/>
  </r>
  <r>
    <s v="ORD00419"/>
    <x v="345"/>
    <x v="2"/>
    <x v="4"/>
    <x v="0"/>
    <x v="418"/>
    <x v="413"/>
    <x v="2"/>
    <x v="3"/>
  </r>
  <r>
    <s v="ORD00420"/>
    <x v="346"/>
    <x v="2"/>
    <x v="8"/>
    <x v="1"/>
    <x v="419"/>
    <x v="414"/>
    <x v="0"/>
    <x v="1"/>
  </r>
  <r>
    <s v="ORD00421"/>
    <x v="347"/>
    <x v="1"/>
    <x v="13"/>
    <x v="1"/>
    <x v="420"/>
    <x v="415"/>
    <x v="0"/>
    <x v="0"/>
  </r>
  <r>
    <s v="ORD00422"/>
    <x v="348"/>
    <x v="1"/>
    <x v="2"/>
    <x v="1"/>
    <x v="421"/>
    <x v="416"/>
    <x v="1"/>
    <x v="0"/>
  </r>
  <r>
    <s v="ORD00423"/>
    <x v="349"/>
    <x v="1"/>
    <x v="6"/>
    <x v="0"/>
    <x v="422"/>
    <x v="417"/>
    <x v="1"/>
    <x v="3"/>
  </r>
  <r>
    <s v="ORD00424"/>
    <x v="350"/>
    <x v="3"/>
    <x v="9"/>
    <x v="0"/>
    <x v="423"/>
    <x v="418"/>
    <x v="1"/>
    <x v="2"/>
  </r>
  <r>
    <s v="ORD00425"/>
    <x v="351"/>
    <x v="1"/>
    <x v="13"/>
    <x v="1"/>
    <x v="424"/>
    <x v="419"/>
    <x v="2"/>
    <x v="2"/>
  </r>
  <r>
    <s v="ORD00426"/>
    <x v="236"/>
    <x v="1"/>
    <x v="1"/>
    <x v="1"/>
    <x v="425"/>
    <x v="420"/>
    <x v="1"/>
    <x v="2"/>
  </r>
  <r>
    <s v="ORD00427"/>
    <x v="287"/>
    <x v="2"/>
    <x v="14"/>
    <x v="2"/>
    <x v="426"/>
    <x v="421"/>
    <x v="1"/>
    <x v="2"/>
  </r>
  <r>
    <s v="ORD00428"/>
    <x v="352"/>
    <x v="3"/>
    <x v="1"/>
    <x v="1"/>
    <x v="427"/>
    <x v="422"/>
    <x v="2"/>
    <x v="0"/>
  </r>
  <r>
    <s v="ORD00429"/>
    <x v="353"/>
    <x v="0"/>
    <x v="8"/>
    <x v="1"/>
    <x v="428"/>
    <x v="423"/>
    <x v="2"/>
    <x v="0"/>
  </r>
  <r>
    <s v="ORD00430"/>
    <x v="113"/>
    <x v="3"/>
    <x v="3"/>
    <x v="2"/>
    <x v="429"/>
    <x v="424"/>
    <x v="2"/>
    <x v="1"/>
  </r>
  <r>
    <s v="ORD00431"/>
    <x v="354"/>
    <x v="2"/>
    <x v="14"/>
    <x v="2"/>
    <x v="430"/>
    <x v="425"/>
    <x v="2"/>
    <x v="0"/>
  </r>
  <r>
    <s v="ORD00432"/>
    <x v="66"/>
    <x v="1"/>
    <x v="11"/>
    <x v="2"/>
    <x v="431"/>
    <x v="426"/>
    <x v="2"/>
    <x v="3"/>
  </r>
  <r>
    <s v="ORD00433"/>
    <x v="355"/>
    <x v="0"/>
    <x v="14"/>
    <x v="2"/>
    <x v="432"/>
    <x v="427"/>
    <x v="0"/>
    <x v="2"/>
  </r>
  <r>
    <s v="ORD00434"/>
    <x v="10"/>
    <x v="0"/>
    <x v="12"/>
    <x v="2"/>
    <x v="433"/>
    <x v="428"/>
    <x v="0"/>
    <x v="3"/>
  </r>
  <r>
    <s v="ORD00435"/>
    <x v="356"/>
    <x v="2"/>
    <x v="2"/>
    <x v="1"/>
    <x v="434"/>
    <x v="429"/>
    <x v="0"/>
    <x v="0"/>
  </r>
  <r>
    <s v="ORD00436"/>
    <x v="357"/>
    <x v="3"/>
    <x v="14"/>
    <x v="2"/>
    <x v="435"/>
    <x v="430"/>
    <x v="2"/>
    <x v="3"/>
  </r>
  <r>
    <s v="ORD00437"/>
    <x v="358"/>
    <x v="2"/>
    <x v="4"/>
    <x v="0"/>
    <x v="436"/>
    <x v="431"/>
    <x v="2"/>
    <x v="0"/>
  </r>
  <r>
    <s v="ORD00438"/>
    <x v="95"/>
    <x v="1"/>
    <x v="12"/>
    <x v="2"/>
    <x v="437"/>
    <x v="432"/>
    <x v="0"/>
    <x v="1"/>
  </r>
  <r>
    <s v="ORD00439"/>
    <x v="359"/>
    <x v="1"/>
    <x v="9"/>
    <x v="0"/>
    <x v="438"/>
    <x v="433"/>
    <x v="1"/>
    <x v="3"/>
  </r>
  <r>
    <s v="ORD00440"/>
    <x v="342"/>
    <x v="0"/>
    <x v="4"/>
    <x v="0"/>
    <x v="439"/>
    <x v="434"/>
    <x v="2"/>
    <x v="0"/>
  </r>
  <r>
    <s v="ORD00441"/>
    <x v="360"/>
    <x v="3"/>
    <x v="10"/>
    <x v="2"/>
    <x v="440"/>
    <x v="435"/>
    <x v="1"/>
    <x v="1"/>
  </r>
  <r>
    <s v="ORD00442"/>
    <x v="100"/>
    <x v="2"/>
    <x v="10"/>
    <x v="2"/>
    <x v="441"/>
    <x v="436"/>
    <x v="0"/>
    <x v="2"/>
  </r>
  <r>
    <s v="ORD00443"/>
    <x v="361"/>
    <x v="0"/>
    <x v="13"/>
    <x v="1"/>
    <x v="442"/>
    <x v="437"/>
    <x v="0"/>
    <x v="0"/>
  </r>
  <r>
    <s v="ORD00444"/>
    <x v="217"/>
    <x v="2"/>
    <x v="5"/>
    <x v="1"/>
    <x v="443"/>
    <x v="438"/>
    <x v="1"/>
    <x v="1"/>
  </r>
  <r>
    <s v="ORD00445"/>
    <x v="362"/>
    <x v="3"/>
    <x v="8"/>
    <x v="1"/>
    <x v="444"/>
    <x v="439"/>
    <x v="0"/>
    <x v="3"/>
  </r>
  <r>
    <s v="ORD00446"/>
    <x v="309"/>
    <x v="2"/>
    <x v="4"/>
    <x v="0"/>
    <x v="445"/>
    <x v="440"/>
    <x v="0"/>
    <x v="2"/>
  </r>
  <r>
    <s v="ORD00447"/>
    <x v="276"/>
    <x v="0"/>
    <x v="2"/>
    <x v="1"/>
    <x v="446"/>
    <x v="441"/>
    <x v="1"/>
    <x v="1"/>
  </r>
  <r>
    <s v="ORD00448"/>
    <x v="363"/>
    <x v="3"/>
    <x v="7"/>
    <x v="0"/>
    <x v="447"/>
    <x v="442"/>
    <x v="1"/>
    <x v="0"/>
  </r>
  <r>
    <s v="ORD00449"/>
    <x v="364"/>
    <x v="1"/>
    <x v="0"/>
    <x v="0"/>
    <x v="448"/>
    <x v="443"/>
    <x v="1"/>
    <x v="0"/>
  </r>
  <r>
    <s v="ORD00450"/>
    <x v="365"/>
    <x v="0"/>
    <x v="4"/>
    <x v="0"/>
    <x v="449"/>
    <x v="444"/>
    <x v="2"/>
    <x v="2"/>
  </r>
  <r>
    <s v="ORD00451"/>
    <x v="366"/>
    <x v="3"/>
    <x v="11"/>
    <x v="2"/>
    <x v="450"/>
    <x v="445"/>
    <x v="0"/>
    <x v="2"/>
  </r>
  <r>
    <s v="ORD00452"/>
    <x v="253"/>
    <x v="3"/>
    <x v="5"/>
    <x v="1"/>
    <x v="451"/>
    <x v="446"/>
    <x v="2"/>
    <x v="2"/>
  </r>
  <r>
    <s v="ORD00453"/>
    <x v="367"/>
    <x v="3"/>
    <x v="4"/>
    <x v="0"/>
    <x v="452"/>
    <x v="447"/>
    <x v="0"/>
    <x v="1"/>
  </r>
  <r>
    <s v="ORD00454"/>
    <x v="368"/>
    <x v="0"/>
    <x v="11"/>
    <x v="2"/>
    <x v="453"/>
    <x v="448"/>
    <x v="1"/>
    <x v="2"/>
  </r>
  <r>
    <s v="ORD00455"/>
    <x v="243"/>
    <x v="0"/>
    <x v="6"/>
    <x v="0"/>
    <x v="454"/>
    <x v="449"/>
    <x v="0"/>
    <x v="0"/>
  </r>
  <r>
    <s v="ORD00456"/>
    <x v="369"/>
    <x v="2"/>
    <x v="11"/>
    <x v="2"/>
    <x v="455"/>
    <x v="450"/>
    <x v="1"/>
    <x v="1"/>
  </r>
  <r>
    <s v="ORD00457"/>
    <x v="2"/>
    <x v="3"/>
    <x v="5"/>
    <x v="1"/>
    <x v="456"/>
    <x v="451"/>
    <x v="0"/>
    <x v="3"/>
  </r>
  <r>
    <s v="ORD00458"/>
    <x v="370"/>
    <x v="0"/>
    <x v="9"/>
    <x v="0"/>
    <x v="457"/>
    <x v="452"/>
    <x v="1"/>
    <x v="2"/>
  </r>
  <r>
    <s v="ORD00459"/>
    <x v="371"/>
    <x v="1"/>
    <x v="2"/>
    <x v="1"/>
    <x v="458"/>
    <x v="453"/>
    <x v="1"/>
    <x v="0"/>
  </r>
  <r>
    <s v="ORD00460"/>
    <x v="65"/>
    <x v="2"/>
    <x v="5"/>
    <x v="1"/>
    <x v="459"/>
    <x v="454"/>
    <x v="2"/>
    <x v="2"/>
  </r>
  <r>
    <s v="ORD00461"/>
    <x v="210"/>
    <x v="0"/>
    <x v="12"/>
    <x v="2"/>
    <x v="460"/>
    <x v="455"/>
    <x v="0"/>
    <x v="1"/>
  </r>
  <r>
    <s v="ORD00462"/>
    <x v="372"/>
    <x v="3"/>
    <x v="6"/>
    <x v="0"/>
    <x v="461"/>
    <x v="456"/>
    <x v="0"/>
    <x v="3"/>
  </r>
  <r>
    <s v="ORD00463"/>
    <x v="373"/>
    <x v="3"/>
    <x v="2"/>
    <x v="1"/>
    <x v="462"/>
    <x v="457"/>
    <x v="0"/>
    <x v="2"/>
  </r>
  <r>
    <s v="ORD00464"/>
    <x v="37"/>
    <x v="3"/>
    <x v="5"/>
    <x v="1"/>
    <x v="463"/>
    <x v="458"/>
    <x v="2"/>
    <x v="1"/>
  </r>
  <r>
    <s v="ORD00465"/>
    <x v="374"/>
    <x v="1"/>
    <x v="1"/>
    <x v="1"/>
    <x v="464"/>
    <x v="459"/>
    <x v="1"/>
    <x v="0"/>
  </r>
  <r>
    <s v="ORD00466"/>
    <x v="375"/>
    <x v="2"/>
    <x v="13"/>
    <x v="1"/>
    <x v="465"/>
    <x v="460"/>
    <x v="0"/>
    <x v="3"/>
  </r>
  <r>
    <s v="ORD00467"/>
    <x v="199"/>
    <x v="2"/>
    <x v="6"/>
    <x v="0"/>
    <x v="466"/>
    <x v="461"/>
    <x v="2"/>
    <x v="3"/>
  </r>
  <r>
    <s v="ORD00468"/>
    <x v="376"/>
    <x v="1"/>
    <x v="4"/>
    <x v="0"/>
    <x v="467"/>
    <x v="462"/>
    <x v="0"/>
    <x v="2"/>
  </r>
  <r>
    <s v="ORD00469"/>
    <x v="13"/>
    <x v="3"/>
    <x v="3"/>
    <x v="2"/>
    <x v="468"/>
    <x v="463"/>
    <x v="1"/>
    <x v="0"/>
  </r>
  <r>
    <s v="ORD00470"/>
    <x v="377"/>
    <x v="3"/>
    <x v="7"/>
    <x v="0"/>
    <x v="469"/>
    <x v="464"/>
    <x v="0"/>
    <x v="2"/>
  </r>
  <r>
    <s v="ORD00471"/>
    <x v="3"/>
    <x v="2"/>
    <x v="12"/>
    <x v="2"/>
    <x v="470"/>
    <x v="465"/>
    <x v="0"/>
    <x v="3"/>
  </r>
  <r>
    <s v="ORD00472"/>
    <x v="214"/>
    <x v="2"/>
    <x v="4"/>
    <x v="0"/>
    <x v="471"/>
    <x v="466"/>
    <x v="0"/>
    <x v="0"/>
  </r>
  <r>
    <s v="ORD00473"/>
    <x v="342"/>
    <x v="1"/>
    <x v="13"/>
    <x v="1"/>
    <x v="472"/>
    <x v="467"/>
    <x v="2"/>
    <x v="3"/>
  </r>
  <r>
    <s v="ORD00474"/>
    <x v="72"/>
    <x v="2"/>
    <x v="6"/>
    <x v="0"/>
    <x v="473"/>
    <x v="468"/>
    <x v="1"/>
    <x v="1"/>
  </r>
  <r>
    <s v="ORD00475"/>
    <x v="378"/>
    <x v="1"/>
    <x v="1"/>
    <x v="1"/>
    <x v="474"/>
    <x v="469"/>
    <x v="1"/>
    <x v="3"/>
  </r>
  <r>
    <s v="ORD00476"/>
    <x v="379"/>
    <x v="2"/>
    <x v="5"/>
    <x v="1"/>
    <x v="475"/>
    <x v="470"/>
    <x v="1"/>
    <x v="2"/>
  </r>
  <r>
    <s v="ORD00477"/>
    <x v="380"/>
    <x v="2"/>
    <x v="6"/>
    <x v="0"/>
    <x v="476"/>
    <x v="471"/>
    <x v="2"/>
    <x v="3"/>
  </r>
  <r>
    <s v="ORD00478"/>
    <x v="381"/>
    <x v="2"/>
    <x v="5"/>
    <x v="1"/>
    <x v="477"/>
    <x v="472"/>
    <x v="1"/>
    <x v="0"/>
  </r>
  <r>
    <s v="ORD00479"/>
    <x v="76"/>
    <x v="2"/>
    <x v="12"/>
    <x v="2"/>
    <x v="478"/>
    <x v="473"/>
    <x v="1"/>
    <x v="1"/>
  </r>
  <r>
    <s v="ORD00480"/>
    <x v="382"/>
    <x v="1"/>
    <x v="13"/>
    <x v="1"/>
    <x v="479"/>
    <x v="474"/>
    <x v="0"/>
    <x v="0"/>
  </r>
  <r>
    <s v="ORD00481"/>
    <x v="383"/>
    <x v="2"/>
    <x v="6"/>
    <x v="0"/>
    <x v="480"/>
    <x v="475"/>
    <x v="2"/>
    <x v="2"/>
  </r>
  <r>
    <s v="ORD00482"/>
    <x v="305"/>
    <x v="2"/>
    <x v="14"/>
    <x v="2"/>
    <x v="481"/>
    <x v="476"/>
    <x v="1"/>
    <x v="0"/>
  </r>
  <r>
    <s v="ORD00483"/>
    <x v="384"/>
    <x v="1"/>
    <x v="7"/>
    <x v="0"/>
    <x v="482"/>
    <x v="477"/>
    <x v="1"/>
    <x v="0"/>
  </r>
  <r>
    <s v="ORD00484"/>
    <x v="385"/>
    <x v="1"/>
    <x v="9"/>
    <x v="0"/>
    <x v="483"/>
    <x v="478"/>
    <x v="2"/>
    <x v="3"/>
  </r>
  <r>
    <s v="ORD00485"/>
    <x v="357"/>
    <x v="3"/>
    <x v="2"/>
    <x v="1"/>
    <x v="484"/>
    <x v="479"/>
    <x v="1"/>
    <x v="3"/>
  </r>
  <r>
    <s v="ORD00486"/>
    <x v="386"/>
    <x v="1"/>
    <x v="6"/>
    <x v="0"/>
    <x v="485"/>
    <x v="480"/>
    <x v="1"/>
    <x v="2"/>
  </r>
  <r>
    <s v="ORD00487"/>
    <x v="387"/>
    <x v="1"/>
    <x v="9"/>
    <x v="0"/>
    <x v="486"/>
    <x v="481"/>
    <x v="0"/>
    <x v="0"/>
  </r>
  <r>
    <s v="ORD00488"/>
    <x v="388"/>
    <x v="2"/>
    <x v="3"/>
    <x v="2"/>
    <x v="487"/>
    <x v="482"/>
    <x v="2"/>
    <x v="3"/>
  </r>
  <r>
    <s v="ORD00489"/>
    <x v="389"/>
    <x v="2"/>
    <x v="10"/>
    <x v="2"/>
    <x v="488"/>
    <x v="483"/>
    <x v="1"/>
    <x v="2"/>
  </r>
  <r>
    <s v="ORD00490"/>
    <x v="342"/>
    <x v="1"/>
    <x v="4"/>
    <x v="0"/>
    <x v="489"/>
    <x v="484"/>
    <x v="1"/>
    <x v="2"/>
  </r>
  <r>
    <s v="ORD00491"/>
    <x v="390"/>
    <x v="1"/>
    <x v="10"/>
    <x v="2"/>
    <x v="490"/>
    <x v="485"/>
    <x v="2"/>
    <x v="1"/>
  </r>
  <r>
    <s v="ORD00492"/>
    <x v="391"/>
    <x v="0"/>
    <x v="12"/>
    <x v="2"/>
    <x v="491"/>
    <x v="486"/>
    <x v="2"/>
    <x v="2"/>
  </r>
  <r>
    <s v="ORD00493"/>
    <x v="144"/>
    <x v="0"/>
    <x v="13"/>
    <x v="1"/>
    <x v="492"/>
    <x v="487"/>
    <x v="0"/>
    <x v="0"/>
  </r>
  <r>
    <s v="ORD00494"/>
    <x v="392"/>
    <x v="0"/>
    <x v="1"/>
    <x v="1"/>
    <x v="493"/>
    <x v="488"/>
    <x v="0"/>
    <x v="3"/>
  </r>
  <r>
    <s v="ORD00495"/>
    <x v="260"/>
    <x v="3"/>
    <x v="14"/>
    <x v="2"/>
    <x v="494"/>
    <x v="489"/>
    <x v="2"/>
    <x v="0"/>
  </r>
  <r>
    <s v="ORD00496"/>
    <x v="393"/>
    <x v="2"/>
    <x v="0"/>
    <x v="0"/>
    <x v="495"/>
    <x v="490"/>
    <x v="1"/>
    <x v="1"/>
  </r>
  <r>
    <s v="ORD00497"/>
    <x v="394"/>
    <x v="2"/>
    <x v="8"/>
    <x v="1"/>
    <x v="496"/>
    <x v="491"/>
    <x v="1"/>
    <x v="2"/>
  </r>
  <r>
    <s v="ORD00498"/>
    <x v="395"/>
    <x v="3"/>
    <x v="14"/>
    <x v="2"/>
    <x v="497"/>
    <x v="492"/>
    <x v="0"/>
    <x v="0"/>
  </r>
  <r>
    <s v="ORD00499"/>
    <x v="18"/>
    <x v="0"/>
    <x v="3"/>
    <x v="2"/>
    <x v="498"/>
    <x v="493"/>
    <x v="0"/>
    <x v="1"/>
  </r>
  <r>
    <s v="ORD00500"/>
    <x v="396"/>
    <x v="0"/>
    <x v="6"/>
    <x v="0"/>
    <x v="499"/>
    <x v="494"/>
    <x v="2"/>
    <x v="2"/>
  </r>
  <r>
    <s v="ORD00501"/>
    <x v="197"/>
    <x v="0"/>
    <x v="7"/>
    <x v="0"/>
    <x v="500"/>
    <x v="495"/>
    <x v="2"/>
    <x v="2"/>
  </r>
  <r>
    <s v="ORD00502"/>
    <x v="211"/>
    <x v="1"/>
    <x v="3"/>
    <x v="2"/>
    <x v="501"/>
    <x v="496"/>
    <x v="0"/>
    <x v="0"/>
  </r>
  <r>
    <s v="ORD00503"/>
    <x v="397"/>
    <x v="2"/>
    <x v="7"/>
    <x v="0"/>
    <x v="502"/>
    <x v="497"/>
    <x v="2"/>
    <x v="1"/>
  </r>
  <r>
    <s v="ORD00504"/>
    <x v="398"/>
    <x v="2"/>
    <x v="14"/>
    <x v="2"/>
    <x v="503"/>
    <x v="111"/>
    <x v="1"/>
    <x v="2"/>
  </r>
  <r>
    <s v="ORD00505"/>
    <x v="399"/>
    <x v="2"/>
    <x v="6"/>
    <x v="0"/>
    <x v="504"/>
    <x v="498"/>
    <x v="2"/>
    <x v="2"/>
  </r>
  <r>
    <s v="ORD00506"/>
    <x v="50"/>
    <x v="0"/>
    <x v="9"/>
    <x v="0"/>
    <x v="505"/>
    <x v="499"/>
    <x v="0"/>
    <x v="2"/>
  </r>
  <r>
    <s v="ORD00507"/>
    <x v="400"/>
    <x v="2"/>
    <x v="8"/>
    <x v="1"/>
    <x v="506"/>
    <x v="500"/>
    <x v="2"/>
    <x v="2"/>
  </r>
  <r>
    <s v="ORD00508"/>
    <x v="401"/>
    <x v="0"/>
    <x v="0"/>
    <x v="0"/>
    <x v="507"/>
    <x v="501"/>
    <x v="1"/>
    <x v="1"/>
  </r>
  <r>
    <s v="ORD00509"/>
    <x v="272"/>
    <x v="2"/>
    <x v="9"/>
    <x v="0"/>
    <x v="508"/>
    <x v="502"/>
    <x v="0"/>
    <x v="1"/>
  </r>
  <r>
    <s v="ORD00510"/>
    <x v="402"/>
    <x v="0"/>
    <x v="5"/>
    <x v="1"/>
    <x v="509"/>
    <x v="503"/>
    <x v="0"/>
    <x v="3"/>
  </r>
  <r>
    <s v="ORD00511"/>
    <x v="403"/>
    <x v="3"/>
    <x v="8"/>
    <x v="1"/>
    <x v="510"/>
    <x v="504"/>
    <x v="2"/>
    <x v="3"/>
  </r>
  <r>
    <s v="ORD00512"/>
    <x v="404"/>
    <x v="0"/>
    <x v="3"/>
    <x v="2"/>
    <x v="511"/>
    <x v="505"/>
    <x v="0"/>
    <x v="1"/>
  </r>
  <r>
    <s v="ORD00513"/>
    <x v="326"/>
    <x v="0"/>
    <x v="7"/>
    <x v="0"/>
    <x v="512"/>
    <x v="506"/>
    <x v="1"/>
    <x v="3"/>
  </r>
  <r>
    <s v="ORD00514"/>
    <x v="405"/>
    <x v="1"/>
    <x v="11"/>
    <x v="2"/>
    <x v="513"/>
    <x v="507"/>
    <x v="2"/>
    <x v="0"/>
  </r>
  <r>
    <s v="ORD00515"/>
    <x v="406"/>
    <x v="2"/>
    <x v="0"/>
    <x v="0"/>
    <x v="514"/>
    <x v="508"/>
    <x v="1"/>
    <x v="1"/>
  </r>
  <r>
    <s v="ORD00516"/>
    <x v="407"/>
    <x v="1"/>
    <x v="8"/>
    <x v="1"/>
    <x v="515"/>
    <x v="509"/>
    <x v="1"/>
    <x v="1"/>
  </r>
  <r>
    <s v="ORD00517"/>
    <x v="408"/>
    <x v="2"/>
    <x v="1"/>
    <x v="1"/>
    <x v="516"/>
    <x v="510"/>
    <x v="2"/>
    <x v="3"/>
  </r>
  <r>
    <s v="ORD00518"/>
    <x v="409"/>
    <x v="1"/>
    <x v="9"/>
    <x v="0"/>
    <x v="517"/>
    <x v="511"/>
    <x v="0"/>
    <x v="1"/>
  </r>
  <r>
    <s v="ORD00519"/>
    <x v="410"/>
    <x v="3"/>
    <x v="0"/>
    <x v="0"/>
    <x v="518"/>
    <x v="512"/>
    <x v="2"/>
    <x v="3"/>
  </r>
  <r>
    <s v="ORD00520"/>
    <x v="411"/>
    <x v="3"/>
    <x v="12"/>
    <x v="2"/>
    <x v="519"/>
    <x v="513"/>
    <x v="2"/>
    <x v="2"/>
  </r>
  <r>
    <s v="ORD00521"/>
    <x v="102"/>
    <x v="2"/>
    <x v="8"/>
    <x v="1"/>
    <x v="520"/>
    <x v="514"/>
    <x v="1"/>
    <x v="2"/>
  </r>
  <r>
    <s v="ORD00522"/>
    <x v="284"/>
    <x v="3"/>
    <x v="12"/>
    <x v="2"/>
    <x v="521"/>
    <x v="515"/>
    <x v="1"/>
    <x v="1"/>
  </r>
  <r>
    <s v="ORD00523"/>
    <x v="229"/>
    <x v="1"/>
    <x v="6"/>
    <x v="0"/>
    <x v="522"/>
    <x v="516"/>
    <x v="2"/>
    <x v="1"/>
  </r>
  <r>
    <s v="ORD00524"/>
    <x v="26"/>
    <x v="0"/>
    <x v="2"/>
    <x v="1"/>
    <x v="523"/>
    <x v="517"/>
    <x v="1"/>
    <x v="3"/>
  </r>
  <r>
    <s v="ORD00525"/>
    <x v="412"/>
    <x v="2"/>
    <x v="7"/>
    <x v="0"/>
    <x v="524"/>
    <x v="518"/>
    <x v="0"/>
    <x v="0"/>
  </r>
  <r>
    <s v="ORD00526"/>
    <x v="204"/>
    <x v="0"/>
    <x v="4"/>
    <x v="0"/>
    <x v="525"/>
    <x v="519"/>
    <x v="0"/>
    <x v="2"/>
  </r>
  <r>
    <s v="ORD00527"/>
    <x v="413"/>
    <x v="2"/>
    <x v="1"/>
    <x v="1"/>
    <x v="526"/>
    <x v="520"/>
    <x v="2"/>
    <x v="0"/>
  </r>
  <r>
    <s v="ORD00528"/>
    <x v="5"/>
    <x v="1"/>
    <x v="4"/>
    <x v="0"/>
    <x v="527"/>
    <x v="521"/>
    <x v="1"/>
    <x v="3"/>
  </r>
  <r>
    <s v="ORD00529"/>
    <x v="305"/>
    <x v="0"/>
    <x v="6"/>
    <x v="0"/>
    <x v="528"/>
    <x v="522"/>
    <x v="2"/>
    <x v="2"/>
  </r>
  <r>
    <s v="ORD00530"/>
    <x v="414"/>
    <x v="0"/>
    <x v="5"/>
    <x v="1"/>
    <x v="529"/>
    <x v="523"/>
    <x v="2"/>
    <x v="2"/>
  </r>
  <r>
    <s v="ORD00531"/>
    <x v="323"/>
    <x v="2"/>
    <x v="14"/>
    <x v="2"/>
    <x v="530"/>
    <x v="524"/>
    <x v="1"/>
    <x v="2"/>
  </r>
  <r>
    <s v="ORD00532"/>
    <x v="289"/>
    <x v="3"/>
    <x v="2"/>
    <x v="1"/>
    <x v="531"/>
    <x v="525"/>
    <x v="2"/>
    <x v="0"/>
  </r>
  <r>
    <s v="ORD00533"/>
    <x v="152"/>
    <x v="1"/>
    <x v="3"/>
    <x v="2"/>
    <x v="532"/>
    <x v="526"/>
    <x v="2"/>
    <x v="2"/>
  </r>
  <r>
    <s v="ORD00534"/>
    <x v="415"/>
    <x v="3"/>
    <x v="7"/>
    <x v="0"/>
    <x v="533"/>
    <x v="527"/>
    <x v="0"/>
    <x v="3"/>
  </r>
  <r>
    <s v="ORD00535"/>
    <x v="59"/>
    <x v="3"/>
    <x v="11"/>
    <x v="2"/>
    <x v="534"/>
    <x v="528"/>
    <x v="2"/>
    <x v="0"/>
  </r>
  <r>
    <s v="ORD00536"/>
    <x v="29"/>
    <x v="0"/>
    <x v="9"/>
    <x v="0"/>
    <x v="535"/>
    <x v="529"/>
    <x v="1"/>
    <x v="2"/>
  </r>
  <r>
    <s v="ORD00537"/>
    <x v="416"/>
    <x v="3"/>
    <x v="14"/>
    <x v="2"/>
    <x v="536"/>
    <x v="530"/>
    <x v="1"/>
    <x v="0"/>
  </r>
  <r>
    <s v="ORD00538"/>
    <x v="417"/>
    <x v="0"/>
    <x v="10"/>
    <x v="2"/>
    <x v="537"/>
    <x v="531"/>
    <x v="1"/>
    <x v="2"/>
  </r>
  <r>
    <s v="ORD00539"/>
    <x v="418"/>
    <x v="0"/>
    <x v="6"/>
    <x v="0"/>
    <x v="538"/>
    <x v="500"/>
    <x v="1"/>
    <x v="1"/>
  </r>
  <r>
    <s v="ORD00540"/>
    <x v="419"/>
    <x v="3"/>
    <x v="4"/>
    <x v="0"/>
    <x v="539"/>
    <x v="532"/>
    <x v="0"/>
    <x v="2"/>
  </r>
  <r>
    <s v="ORD00541"/>
    <x v="157"/>
    <x v="2"/>
    <x v="9"/>
    <x v="0"/>
    <x v="540"/>
    <x v="533"/>
    <x v="1"/>
    <x v="3"/>
  </r>
  <r>
    <s v="ORD00542"/>
    <x v="420"/>
    <x v="1"/>
    <x v="12"/>
    <x v="2"/>
    <x v="541"/>
    <x v="534"/>
    <x v="0"/>
    <x v="2"/>
  </r>
  <r>
    <s v="ORD00543"/>
    <x v="378"/>
    <x v="3"/>
    <x v="11"/>
    <x v="2"/>
    <x v="542"/>
    <x v="535"/>
    <x v="2"/>
    <x v="0"/>
  </r>
  <r>
    <s v="ORD00544"/>
    <x v="421"/>
    <x v="2"/>
    <x v="6"/>
    <x v="0"/>
    <x v="543"/>
    <x v="536"/>
    <x v="2"/>
    <x v="2"/>
  </r>
  <r>
    <s v="ORD00545"/>
    <x v="422"/>
    <x v="0"/>
    <x v="0"/>
    <x v="0"/>
    <x v="544"/>
    <x v="537"/>
    <x v="0"/>
    <x v="1"/>
  </r>
  <r>
    <s v="ORD00546"/>
    <x v="423"/>
    <x v="1"/>
    <x v="9"/>
    <x v="0"/>
    <x v="545"/>
    <x v="538"/>
    <x v="2"/>
    <x v="0"/>
  </r>
  <r>
    <s v="ORD00547"/>
    <x v="424"/>
    <x v="2"/>
    <x v="13"/>
    <x v="1"/>
    <x v="546"/>
    <x v="539"/>
    <x v="2"/>
    <x v="0"/>
  </r>
  <r>
    <s v="ORD00548"/>
    <x v="425"/>
    <x v="3"/>
    <x v="7"/>
    <x v="0"/>
    <x v="547"/>
    <x v="540"/>
    <x v="1"/>
    <x v="1"/>
  </r>
  <r>
    <s v="ORD00549"/>
    <x v="426"/>
    <x v="0"/>
    <x v="8"/>
    <x v="1"/>
    <x v="548"/>
    <x v="541"/>
    <x v="2"/>
    <x v="1"/>
  </r>
  <r>
    <s v="ORD00550"/>
    <x v="427"/>
    <x v="3"/>
    <x v="10"/>
    <x v="2"/>
    <x v="549"/>
    <x v="542"/>
    <x v="0"/>
    <x v="0"/>
  </r>
  <r>
    <s v="ORD00551"/>
    <x v="403"/>
    <x v="2"/>
    <x v="5"/>
    <x v="1"/>
    <x v="550"/>
    <x v="543"/>
    <x v="2"/>
    <x v="3"/>
  </r>
  <r>
    <s v="ORD00552"/>
    <x v="428"/>
    <x v="2"/>
    <x v="8"/>
    <x v="1"/>
    <x v="551"/>
    <x v="544"/>
    <x v="2"/>
    <x v="0"/>
  </r>
  <r>
    <s v="ORD00553"/>
    <x v="252"/>
    <x v="1"/>
    <x v="8"/>
    <x v="1"/>
    <x v="552"/>
    <x v="545"/>
    <x v="0"/>
    <x v="2"/>
  </r>
  <r>
    <s v="ORD00554"/>
    <x v="429"/>
    <x v="3"/>
    <x v="11"/>
    <x v="2"/>
    <x v="553"/>
    <x v="546"/>
    <x v="1"/>
    <x v="2"/>
  </r>
  <r>
    <s v="ORD00555"/>
    <x v="430"/>
    <x v="0"/>
    <x v="14"/>
    <x v="2"/>
    <x v="554"/>
    <x v="547"/>
    <x v="1"/>
    <x v="3"/>
  </r>
  <r>
    <s v="ORD00556"/>
    <x v="109"/>
    <x v="1"/>
    <x v="12"/>
    <x v="2"/>
    <x v="555"/>
    <x v="548"/>
    <x v="0"/>
    <x v="2"/>
  </r>
  <r>
    <s v="ORD00557"/>
    <x v="299"/>
    <x v="0"/>
    <x v="14"/>
    <x v="2"/>
    <x v="556"/>
    <x v="549"/>
    <x v="0"/>
    <x v="2"/>
  </r>
  <r>
    <s v="ORD00558"/>
    <x v="276"/>
    <x v="2"/>
    <x v="10"/>
    <x v="2"/>
    <x v="557"/>
    <x v="550"/>
    <x v="1"/>
    <x v="0"/>
  </r>
  <r>
    <s v="ORD00559"/>
    <x v="168"/>
    <x v="2"/>
    <x v="6"/>
    <x v="0"/>
    <x v="558"/>
    <x v="551"/>
    <x v="2"/>
    <x v="2"/>
  </r>
  <r>
    <s v="ORD00560"/>
    <x v="431"/>
    <x v="2"/>
    <x v="7"/>
    <x v="0"/>
    <x v="559"/>
    <x v="552"/>
    <x v="0"/>
    <x v="3"/>
  </r>
  <r>
    <s v="ORD00561"/>
    <x v="374"/>
    <x v="3"/>
    <x v="1"/>
    <x v="1"/>
    <x v="560"/>
    <x v="553"/>
    <x v="2"/>
    <x v="1"/>
  </r>
  <r>
    <s v="ORD00562"/>
    <x v="404"/>
    <x v="2"/>
    <x v="13"/>
    <x v="1"/>
    <x v="561"/>
    <x v="554"/>
    <x v="0"/>
    <x v="2"/>
  </r>
  <r>
    <s v="ORD00563"/>
    <x v="101"/>
    <x v="3"/>
    <x v="6"/>
    <x v="0"/>
    <x v="562"/>
    <x v="555"/>
    <x v="1"/>
    <x v="0"/>
  </r>
  <r>
    <s v="ORD00564"/>
    <x v="432"/>
    <x v="3"/>
    <x v="6"/>
    <x v="0"/>
    <x v="563"/>
    <x v="556"/>
    <x v="2"/>
    <x v="0"/>
  </r>
  <r>
    <s v="ORD00565"/>
    <x v="433"/>
    <x v="0"/>
    <x v="2"/>
    <x v="1"/>
    <x v="564"/>
    <x v="557"/>
    <x v="0"/>
    <x v="1"/>
  </r>
  <r>
    <s v="ORD00566"/>
    <x v="91"/>
    <x v="1"/>
    <x v="5"/>
    <x v="1"/>
    <x v="565"/>
    <x v="558"/>
    <x v="2"/>
    <x v="0"/>
  </r>
  <r>
    <s v="ORD00567"/>
    <x v="137"/>
    <x v="0"/>
    <x v="3"/>
    <x v="2"/>
    <x v="566"/>
    <x v="559"/>
    <x v="2"/>
    <x v="3"/>
  </r>
  <r>
    <s v="ORD00568"/>
    <x v="374"/>
    <x v="2"/>
    <x v="0"/>
    <x v="0"/>
    <x v="567"/>
    <x v="560"/>
    <x v="0"/>
    <x v="3"/>
  </r>
  <r>
    <s v="ORD00569"/>
    <x v="434"/>
    <x v="3"/>
    <x v="1"/>
    <x v="1"/>
    <x v="568"/>
    <x v="561"/>
    <x v="1"/>
    <x v="1"/>
  </r>
  <r>
    <s v="ORD00570"/>
    <x v="435"/>
    <x v="3"/>
    <x v="7"/>
    <x v="0"/>
    <x v="569"/>
    <x v="562"/>
    <x v="2"/>
    <x v="2"/>
  </r>
  <r>
    <s v="ORD00571"/>
    <x v="436"/>
    <x v="1"/>
    <x v="6"/>
    <x v="0"/>
    <x v="570"/>
    <x v="563"/>
    <x v="0"/>
    <x v="0"/>
  </r>
  <r>
    <s v="ORD00572"/>
    <x v="115"/>
    <x v="3"/>
    <x v="0"/>
    <x v="0"/>
    <x v="571"/>
    <x v="564"/>
    <x v="0"/>
    <x v="2"/>
  </r>
  <r>
    <s v="ORD00573"/>
    <x v="437"/>
    <x v="1"/>
    <x v="7"/>
    <x v="0"/>
    <x v="572"/>
    <x v="565"/>
    <x v="2"/>
    <x v="1"/>
  </r>
  <r>
    <s v="ORD00574"/>
    <x v="189"/>
    <x v="1"/>
    <x v="7"/>
    <x v="0"/>
    <x v="573"/>
    <x v="566"/>
    <x v="1"/>
    <x v="1"/>
  </r>
  <r>
    <s v="ORD00575"/>
    <x v="320"/>
    <x v="1"/>
    <x v="7"/>
    <x v="0"/>
    <x v="574"/>
    <x v="567"/>
    <x v="2"/>
    <x v="0"/>
  </r>
  <r>
    <s v="ORD00576"/>
    <x v="438"/>
    <x v="3"/>
    <x v="13"/>
    <x v="1"/>
    <x v="575"/>
    <x v="568"/>
    <x v="2"/>
    <x v="3"/>
  </r>
  <r>
    <s v="ORD00577"/>
    <x v="439"/>
    <x v="3"/>
    <x v="0"/>
    <x v="0"/>
    <x v="576"/>
    <x v="569"/>
    <x v="2"/>
    <x v="0"/>
  </r>
  <r>
    <s v="ORD00578"/>
    <x v="348"/>
    <x v="3"/>
    <x v="14"/>
    <x v="2"/>
    <x v="577"/>
    <x v="570"/>
    <x v="1"/>
    <x v="0"/>
  </r>
  <r>
    <s v="ORD00579"/>
    <x v="440"/>
    <x v="3"/>
    <x v="11"/>
    <x v="2"/>
    <x v="578"/>
    <x v="571"/>
    <x v="1"/>
    <x v="2"/>
  </r>
  <r>
    <s v="ORD00580"/>
    <x v="441"/>
    <x v="0"/>
    <x v="6"/>
    <x v="0"/>
    <x v="579"/>
    <x v="572"/>
    <x v="0"/>
    <x v="3"/>
  </r>
  <r>
    <s v="ORD00581"/>
    <x v="442"/>
    <x v="1"/>
    <x v="13"/>
    <x v="1"/>
    <x v="580"/>
    <x v="573"/>
    <x v="0"/>
    <x v="0"/>
  </r>
  <r>
    <s v="ORD00582"/>
    <x v="315"/>
    <x v="3"/>
    <x v="11"/>
    <x v="2"/>
    <x v="581"/>
    <x v="574"/>
    <x v="1"/>
    <x v="0"/>
  </r>
  <r>
    <s v="ORD00583"/>
    <x v="443"/>
    <x v="2"/>
    <x v="6"/>
    <x v="0"/>
    <x v="582"/>
    <x v="575"/>
    <x v="2"/>
    <x v="0"/>
  </r>
  <r>
    <s v="ORD00584"/>
    <x v="444"/>
    <x v="1"/>
    <x v="14"/>
    <x v="2"/>
    <x v="583"/>
    <x v="576"/>
    <x v="0"/>
    <x v="1"/>
  </r>
  <r>
    <s v="ORD00585"/>
    <x v="71"/>
    <x v="2"/>
    <x v="14"/>
    <x v="2"/>
    <x v="584"/>
    <x v="577"/>
    <x v="2"/>
    <x v="2"/>
  </r>
  <r>
    <s v="ORD00586"/>
    <x v="445"/>
    <x v="0"/>
    <x v="5"/>
    <x v="1"/>
    <x v="585"/>
    <x v="578"/>
    <x v="0"/>
    <x v="3"/>
  </r>
  <r>
    <s v="ORD00587"/>
    <x v="446"/>
    <x v="3"/>
    <x v="13"/>
    <x v="1"/>
    <x v="586"/>
    <x v="579"/>
    <x v="1"/>
    <x v="1"/>
  </r>
  <r>
    <s v="ORD00588"/>
    <x v="313"/>
    <x v="0"/>
    <x v="14"/>
    <x v="2"/>
    <x v="587"/>
    <x v="580"/>
    <x v="2"/>
    <x v="0"/>
  </r>
  <r>
    <s v="ORD00589"/>
    <x v="447"/>
    <x v="2"/>
    <x v="0"/>
    <x v="0"/>
    <x v="588"/>
    <x v="581"/>
    <x v="2"/>
    <x v="1"/>
  </r>
  <r>
    <s v="ORD00590"/>
    <x v="448"/>
    <x v="2"/>
    <x v="2"/>
    <x v="1"/>
    <x v="589"/>
    <x v="582"/>
    <x v="1"/>
    <x v="2"/>
  </r>
  <r>
    <s v="ORD00591"/>
    <x v="305"/>
    <x v="0"/>
    <x v="5"/>
    <x v="1"/>
    <x v="590"/>
    <x v="583"/>
    <x v="1"/>
    <x v="2"/>
  </r>
  <r>
    <s v="ORD00592"/>
    <x v="24"/>
    <x v="2"/>
    <x v="5"/>
    <x v="1"/>
    <x v="591"/>
    <x v="584"/>
    <x v="0"/>
    <x v="0"/>
  </r>
  <r>
    <s v="ORD00593"/>
    <x v="449"/>
    <x v="1"/>
    <x v="9"/>
    <x v="0"/>
    <x v="579"/>
    <x v="585"/>
    <x v="1"/>
    <x v="1"/>
  </r>
  <r>
    <s v="ORD00594"/>
    <x v="450"/>
    <x v="0"/>
    <x v="7"/>
    <x v="0"/>
    <x v="592"/>
    <x v="586"/>
    <x v="2"/>
    <x v="2"/>
  </r>
  <r>
    <s v="ORD00595"/>
    <x v="451"/>
    <x v="1"/>
    <x v="7"/>
    <x v="0"/>
    <x v="593"/>
    <x v="587"/>
    <x v="2"/>
    <x v="2"/>
  </r>
  <r>
    <s v="ORD00596"/>
    <x v="452"/>
    <x v="2"/>
    <x v="9"/>
    <x v="0"/>
    <x v="594"/>
    <x v="588"/>
    <x v="0"/>
    <x v="0"/>
  </r>
  <r>
    <s v="ORD00597"/>
    <x v="453"/>
    <x v="3"/>
    <x v="13"/>
    <x v="1"/>
    <x v="595"/>
    <x v="589"/>
    <x v="0"/>
    <x v="0"/>
  </r>
  <r>
    <s v="ORD00598"/>
    <x v="155"/>
    <x v="1"/>
    <x v="2"/>
    <x v="1"/>
    <x v="596"/>
    <x v="590"/>
    <x v="1"/>
    <x v="2"/>
  </r>
  <r>
    <s v="ORD00599"/>
    <x v="454"/>
    <x v="2"/>
    <x v="9"/>
    <x v="0"/>
    <x v="597"/>
    <x v="591"/>
    <x v="0"/>
    <x v="2"/>
  </r>
  <r>
    <s v="ORD00600"/>
    <x v="190"/>
    <x v="1"/>
    <x v="3"/>
    <x v="2"/>
    <x v="598"/>
    <x v="592"/>
    <x v="2"/>
    <x v="0"/>
  </r>
  <r>
    <s v="ORD00601"/>
    <x v="455"/>
    <x v="2"/>
    <x v="9"/>
    <x v="0"/>
    <x v="599"/>
    <x v="593"/>
    <x v="0"/>
    <x v="1"/>
  </r>
  <r>
    <s v="ORD00602"/>
    <x v="456"/>
    <x v="0"/>
    <x v="1"/>
    <x v="1"/>
    <x v="600"/>
    <x v="594"/>
    <x v="1"/>
    <x v="3"/>
  </r>
  <r>
    <s v="ORD00603"/>
    <x v="169"/>
    <x v="3"/>
    <x v="4"/>
    <x v="0"/>
    <x v="601"/>
    <x v="595"/>
    <x v="2"/>
    <x v="1"/>
  </r>
  <r>
    <s v="ORD00604"/>
    <x v="457"/>
    <x v="0"/>
    <x v="13"/>
    <x v="1"/>
    <x v="602"/>
    <x v="596"/>
    <x v="1"/>
    <x v="3"/>
  </r>
  <r>
    <s v="ORD00605"/>
    <x v="458"/>
    <x v="2"/>
    <x v="10"/>
    <x v="2"/>
    <x v="603"/>
    <x v="597"/>
    <x v="2"/>
    <x v="2"/>
  </r>
  <r>
    <s v="ORD00606"/>
    <x v="361"/>
    <x v="2"/>
    <x v="13"/>
    <x v="1"/>
    <x v="604"/>
    <x v="598"/>
    <x v="1"/>
    <x v="3"/>
  </r>
  <r>
    <s v="ORD00607"/>
    <x v="459"/>
    <x v="3"/>
    <x v="11"/>
    <x v="2"/>
    <x v="605"/>
    <x v="599"/>
    <x v="0"/>
    <x v="0"/>
  </r>
  <r>
    <s v="ORD00608"/>
    <x v="460"/>
    <x v="2"/>
    <x v="1"/>
    <x v="1"/>
    <x v="606"/>
    <x v="600"/>
    <x v="2"/>
    <x v="0"/>
  </r>
  <r>
    <s v="ORD00609"/>
    <x v="91"/>
    <x v="0"/>
    <x v="5"/>
    <x v="1"/>
    <x v="607"/>
    <x v="601"/>
    <x v="1"/>
    <x v="2"/>
  </r>
  <r>
    <s v="ORD00610"/>
    <x v="461"/>
    <x v="1"/>
    <x v="13"/>
    <x v="1"/>
    <x v="608"/>
    <x v="602"/>
    <x v="0"/>
    <x v="0"/>
  </r>
  <r>
    <s v="ORD00611"/>
    <x v="462"/>
    <x v="2"/>
    <x v="11"/>
    <x v="2"/>
    <x v="609"/>
    <x v="603"/>
    <x v="2"/>
    <x v="0"/>
  </r>
  <r>
    <s v="ORD00612"/>
    <x v="14"/>
    <x v="0"/>
    <x v="5"/>
    <x v="1"/>
    <x v="610"/>
    <x v="604"/>
    <x v="0"/>
    <x v="0"/>
  </r>
  <r>
    <s v="ORD00613"/>
    <x v="202"/>
    <x v="3"/>
    <x v="11"/>
    <x v="2"/>
    <x v="611"/>
    <x v="605"/>
    <x v="1"/>
    <x v="0"/>
  </r>
  <r>
    <s v="ORD00614"/>
    <x v="463"/>
    <x v="3"/>
    <x v="12"/>
    <x v="2"/>
    <x v="612"/>
    <x v="606"/>
    <x v="0"/>
    <x v="2"/>
  </r>
  <r>
    <s v="ORD00615"/>
    <x v="310"/>
    <x v="0"/>
    <x v="11"/>
    <x v="2"/>
    <x v="613"/>
    <x v="607"/>
    <x v="2"/>
    <x v="3"/>
  </r>
  <r>
    <s v="ORD00616"/>
    <x v="464"/>
    <x v="3"/>
    <x v="10"/>
    <x v="2"/>
    <x v="614"/>
    <x v="608"/>
    <x v="1"/>
    <x v="3"/>
  </r>
  <r>
    <s v="ORD00617"/>
    <x v="465"/>
    <x v="3"/>
    <x v="14"/>
    <x v="2"/>
    <x v="615"/>
    <x v="609"/>
    <x v="2"/>
    <x v="3"/>
  </r>
  <r>
    <s v="ORD00618"/>
    <x v="466"/>
    <x v="0"/>
    <x v="12"/>
    <x v="2"/>
    <x v="616"/>
    <x v="610"/>
    <x v="2"/>
    <x v="1"/>
  </r>
  <r>
    <s v="ORD00619"/>
    <x v="348"/>
    <x v="2"/>
    <x v="4"/>
    <x v="0"/>
    <x v="617"/>
    <x v="611"/>
    <x v="0"/>
    <x v="3"/>
  </r>
  <r>
    <s v="ORD00620"/>
    <x v="467"/>
    <x v="2"/>
    <x v="1"/>
    <x v="1"/>
    <x v="618"/>
    <x v="612"/>
    <x v="2"/>
    <x v="0"/>
  </r>
  <r>
    <s v="ORD00621"/>
    <x v="235"/>
    <x v="0"/>
    <x v="13"/>
    <x v="1"/>
    <x v="619"/>
    <x v="613"/>
    <x v="2"/>
    <x v="2"/>
  </r>
  <r>
    <s v="ORD00622"/>
    <x v="468"/>
    <x v="0"/>
    <x v="13"/>
    <x v="1"/>
    <x v="620"/>
    <x v="614"/>
    <x v="1"/>
    <x v="1"/>
  </r>
  <r>
    <s v="ORD00623"/>
    <x v="98"/>
    <x v="0"/>
    <x v="5"/>
    <x v="1"/>
    <x v="621"/>
    <x v="352"/>
    <x v="0"/>
    <x v="2"/>
  </r>
  <r>
    <s v="ORD00624"/>
    <x v="347"/>
    <x v="2"/>
    <x v="8"/>
    <x v="1"/>
    <x v="622"/>
    <x v="615"/>
    <x v="2"/>
    <x v="0"/>
  </r>
  <r>
    <s v="ORD00625"/>
    <x v="469"/>
    <x v="3"/>
    <x v="11"/>
    <x v="2"/>
    <x v="623"/>
    <x v="616"/>
    <x v="2"/>
    <x v="2"/>
  </r>
  <r>
    <s v="ORD00626"/>
    <x v="470"/>
    <x v="1"/>
    <x v="3"/>
    <x v="2"/>
    <x v="624"/>
    <x v="617"/>
    <x v="2"/>
    <x v="2"/>
  </r>
  <r>
    <s v="ORD00627"/>
    <x v="471"/>
    <x v="0"/>
    <x v="10"/>
    <x v="2"/>
    <x v="625"/>
    <x v="618"/>
    <x v="1"/>
    <x v="1"/>
  </r>
  <r>
    <s v="ORD00628"/>
    <x v="472"/>
    <x v="2"/>
    <x v="12"/>
    <x v="2"/>
    <x v="626"/>
    <x v="619"/>
    <x v="1"/>
    <x v="2"/>
  </r>
  <r>
    <s v="ORD00629"/>
    <x v="21"/>
    <x v="2"/>
    <x v="14"/>
    <x v="2"/>
    <x v="627"/>
    <x v="620"/>
    <x v="2"/>
    <x v="2"/>
  </r>
  <r>
    <s v="ORD00630"/>
    <x v="473"/>
    <x v="3"/>
    <x v="4"/>
    <x v="0"/>
    <x v="628"/>
    <x v="621"/>
    <x v="2"/>
    <x v="1"/>
  </r>
  <r>
    <s v="ORD00631"/>
    <x v="474"/>
    <x v="1"/>
    <x v="7"/>
    <x v="0"/>
    <x v="629"/>
    <x v="622"/>
    <x v="2"/>
    <x v="2"/>
  </r>
  <r>
    <s v="ORD00632"/>
    <x v="475"/>
    <x v="1"/>
    <x v="10"/>
    <x v="2"/>
    <x v="630"/>
    <x v="623"/>
    <x v="1"/>
    <x v="3"/>
  </r>
  <r>
    <s v="ORD00633"/>
    <x v="38"/>
    <x v="0"/>
    <x v="7"/>
    <x v="0"/>
    <x v="631"/>
    <x v="41"/>
    <x v="2"/>
    <x v="2"/>
  </r>
  <r>
    <s v="ORD00634"/>
    <x v="4"/>
    <x v="2"/>
    <x v="7"/>
    <x v="0"/>
    <x v="632"/>
    <x v="624"/>
    <x v="2"/>
    <x v="2"/>
  </r>
  <r>
    <s v="ORD00635"/>
    <x v="476"/>
    <x v="1"/>
    <x v="7"/>
    <x v="0"/>
    <x v="633"/>
    <x v="625"/>
    <x v="0"/>
    <x v="1"/>
  </r>
  <r>
    <s v="ORD00636"/>
    <x v="190"/>
    <x v="3"/>
    <x v="2"/>
    <x v="1"/>
    <x v="634"/>
    <x v="626"/>
    <x v="0"/>
    <x v="3"/>
  </r>
  <r>
    <s v="ORD00637"/>
    <x v="447"/>
    <x v="0"/>
    <x v="3"/>
    <x v="2"/>
    <x v="635"/>
    <x v="627"/>
    <x v="0"/>
    <x v="3"/>
  </r>
  <r>
    <s v="ORD00638"/>
    <x v="477"/>
    <x v="3"/>
    <x v="2"/>
    <x v="1"/>
    <x v="636"/>
    <x v="628"/>
    <x v="0"/>
    <x v="2"/>
  </r>
  <r>
    <s v="ORD00639"/>
    <x v="77"/>
    <x v="3"/>
    <x v="4"/>
    <x v="0"/>
    <x v="637"/>
    <x v="629"/>
    <x v="0"/>
    <x v="1"/>
  </r>
  <r>
    <s v="ORD00640"/>
    <x v="478"/>
    <x v="1"/>
    <x v="8"/>
    <x v="1"/>
    <x v="638"/>
    <x v="630"/>
    <x v="2"/>
    <x v="1"/>
  </r>
  <r>
    <s v="ORD00641"/>
    <x v="479"/>
    <x v="1"/>
    <x v="8"/>
    <x v="1"/>
    <x v="639"/>
    <x v="631"/>
    <x v="0"/>
    <x v="2"/>
  </r>
  <r>
    <s v="ORD00642"/>
    <x v="480"/>
    <x v="1"/>
    <x v="12"/>
    <x v="2"/>
    <x v="640"/>
    <x v="632"/>
    <x v="1"/>
    <x v="1"/>
  </r>
  <r>
    <s v="ORD00643"/>
    <x v="481"/>
    <x v="1"/>
    <x v="4"/>
    <x v="0"/>
    <x v="641"/>
    <x v="633"/>
    <x v="1"/>
    <x v="2"/>
  </r>
  <r>
    <s v="ORD00644"/>
    <x v="186"/>
    <x v="2"/>
    <x v="4"/>
    <x v="0"/>
    <x v="642"/>
    <x v="634"/>
    <x v="0"/>
    <x v="0"/>
  </r>
  <r>
    <s v="ORD00645"/>
    <x v="124"/>
    <x v="2"/>
    <x v="3"/>
    <x v="2"/>
    <x v="643"/>
    <x v="635"/>
    <x v="0"/>
    <x v="0"/>
  </r>
  <r>
    <s v="ORD00646"/>
    <x v="482"/>
    <x v="2"/>
    <x v="8"/>
    <x v="1"/>
    <x v="644"/>
    <x v="636"/>
    <x v="1"/>
    <x v="2"/>
  </r>
  <r>
    <s v="ORD00647"/>
    <x v="483"/>
    <x v="2"/>
    <x v="11"/>
    <x v="2"/>
    <x v="645"/>
    <x v="637"/>
    <x v="1"/>
    <x v="1"/>
  </r>
  <r>
    <s v="ORD00648"/>
    <x v="484"/>
    <x v="0"/>
    <x v="3"/>
    <x v="2"/>
    <x v="646"/>
    <x v="638"/>
    <x v="2"/>
    <x v="2"/>
  </r>
  <r>
    <s v="ORD00649"/>
    <x v="485"/>
    <x v="1"/>
    <x v="2"/>
    <x v="1"/>
    <x v="647"/>
    <x v="639"/>
    <x v="2"/>
    <x v="1"/>
  </r>
  <r>
    <s v="ORD00650"/>
    <x v="165"/>
    <x v="1"/>
    <x v="14"/>
    <x v="2"/>
    <x v="199"/>
    <x v="640"/>
    <x v="1"/>
    <x v="1"/>
  </r>
  <r>
    <s v="ORD00651"/>
    <x v="486"/>
    <x v="1"/>
    <x v="3"/>
    <x v="2"/>
    <x v="648"/>
    <x v="641"/>
    <x v="1"/>
    <x v="3"/>
  </r>
  <r>
    <s v="ORD00652"/>
    <x v="271"/>
    <x v="2"/>
    <x v="4"/>
    <x v="0"/>
    <x v="649"/>
    <x v="642"/>
    <x v="0"/>
    <x v="3"/>
  </r>
  <r>
    <s v="ORD00653"/>
    <x v="174"/>
    <x v="3"/>
    <x v="8"/>
    <x v="1"/>
    <x v="650"/>
    <x v="643"/>
    <x v="1"/>
    <x v="1"/>
  </r>
  <r>
    <s v="ORD00654"/>
    <x v="221"/>
    <x v="0"/>
    <x v="7"/>
    <x v="0"/>
    <x v="651"/>
    <x v="644"/>
    <x v="2"/>
    <x v="3"/>
  </r>
  <r>
    <s v="ORD00655"/>
    <x v="487"/>
    <x v="1"/>
    <x v="4"/>
    <x v="0"/>
    <x v="652"/>
    <x v="645"/>
    <x v="0"/>
    <x v="2"/>
  </r>
  <r>
    <s v="ORD00656"/>
    <x v="110"/>
    <x v="1"/>
    <x v="0"/>
    <x v="0"/>
    <x v="653"/>
    <x v="646"/>
    <x v="0"/>
    <x v="0"/>
  </r>
  <r>
    <s v="ORD00657"/>
    <x v="488"/>
    <x v="2"/>
    <x v="13"/>
    <x v="1"/>
    <x v="654"/>
    <x v="647"/>
    <x v="2"/>
    <x v="1"/>
  </r>
  <r>
    <s v="ORD00658"/>
    <x v="182"/>
    <x v="2"/>
    <x v="6"/>
    <x v="0"/>
    <x v="655"/>
    <x v="648"/>
    <x v="2"/>
    <x v="0"/>
  </r>
  <r>
    <s v="ORD00659"/>
    <x v="410"/>
    <x v="3"/>
    <x v="12"/>
    <x v="2"/>
    <x v="656"/>
    <x v="649"/>
    <x v="0"/>
    <x v="1"/>
  </r>
  <r>
    <s v="ORD00660"/>
    <x v="489"/>
    <x v="3"/>
    <x v="2"/>
    <x v="1"/>
    <x v="657"/>
    <x v="650"/>
    <x v="1"/>
    <x v="3"/>
  </r>
  <r>
    <s v="ORD00661"/>
    <x v="314"/>
    <x v="1"/>
    <x v="12"/>
    <x v="2"/>
    <x v="658"/>
    <x v="651"/>
    <x v="1"/>
    <x v="3"/>
  </r>
  <r>
    <s v="ORD00662"/>
    <x v="490"/>
    <x v="2"/>
    <x v="13"/>
    <x v="1"/>
    <x v="659"/>
    <x v="652"/>
    <x v="2"/>
    <x v="2"/>
  </r>
  <r>
    <s v="ORD00663"/>
    <x v="491"/>
    <x v="0"/>
    <x v="14"/>
    <x v="2"/>
    <x v="660"/>
    <x v="653"/>
    <x v="1"/>
    <x v="1"/>
  </r>
  <r>
    <s v="ORD00664"/>
    <x v="254"/>
    <x v="2"/>
    <x v="9"/>
    <x v="0"/>
    <x v="661"/>
    <x v="654"/>
    <x v="1"/>
    <x v="3"/>
  </r>
  <r>
    <s v="ORD00665"/>
    <x v="492"/>
    <x v="1"/>
    <x v="10"/>
    <x v="2"/>
    <x v="662"/>
    <x v="655"/>
    <x v="2"/>
    <x v="3"/>
  </r>
  <r>
    <s v="ORD00666"/>
    <x v="493"/>
    <x v="2"/>
    <x v="5"/>
    <x v="1"/>
    <x v="663"/>
    <x v="656"/>
    <x v="2"/>
    <x v="0"/>
  </r>
  <r>
    <s v="ORD00667"/>
    <x v="38"/>
    <x v="3"/>
    <x v="0"/>
    <x v="0"/>
    <x v="664"/>
    <x v="657"/>
    <x v="1"/>
    <x v="2"/>
  </r>
  <r>
    <s v="ORD00668"/>
    <x v="494"/>
    <x v="3"/>
    <x v="14"/>
    <x v="2"/>
    <x v="665"/>
    <x v="580"/>
    <x v="0"/>
    <x v="2"/>
  </r>
  <r>
    <s v="ORD00669"/>
    <x v="443"/>
    <x v="3"/>
    <x v="0"/>
    <x v="0"/>
    <x v="666"/>
    <x v="658"/>
    <x v="1"/>
    <x v="2"/>
  </r>
  <r>
    <s v="ORD00670"/>
    <x v="100"/>
    <x v="1"/>
    <x v="14"/>
    <x v="2"/>
    <x v="667"/>
    <x v="659"/>
    <x v="1"/>
    <x v="2"/>
  </r>
  <r>
    <s v="ORD00671"/>
    <x v="79"/>
    <x v="2"/>
    <x v="0"/>
    <x v="0"/>
    <x v="668"/>
    <x v="660"/>
    <x v="0"/>
    <x v="0"/>
  </r>
  <r>
    <s v="ORD00672"/>
    <x v="495"/>
    <x v="1"/>
    <x v="13"/>
    <x v="1"/>
    <x v="669"/>
    <x v="661"/>
    <x v="1"/>
    <x v="3"/>
  </r>
  <r>
    <s v="ORD00673"/>
    <x v="496"/>
    <x v="3"/>
    <x v="6"/>
    <x v="0"/>
    <x v="670"/>
    <x v="662"/>
    <x v="1"/>
    <x v="0"/>
  </r>
  <r>
    <s v="ORD00674"/>
    <x v="497"/>
    <x v="2"/>
    <x v="6"/>
    <x v="0"/>
    <x v="671"/>
    <x v="663"/>
    <x v="2"/>
    <x v="3"/>
  </r>
  <r>
    <s v="ORD00675"/>
    <x v="183"/>
    <x v="3"/>
    <x v="1"/>
    <x v="1"/>
    <x v="672"/>
    <x v="664"/>
    <x v="2"/>
    <x v="2"/>
  </r>
  <r>
    <s v="ORD00676"/>
    <x v="284"/>
    <x v="3"/>
    <x v="3"/>
    <x v="2"/>
    <x v="673"/>
    <x v="665"/>
    <x v="2"/>
    <x v="1"/>
  </r>
  <r>
    <s v="ORD00677"/>
    <x v="410"/>
    <x v="3"/>
    <x v="11"/>
    <x v="2"/>
    <x v="674"/>
    <x v="666"/>
    <x v="2"/>
    <x v="1"/>
  </r>
  <r>
    <s v="ORD00678"/>
    <x v="498"/>
    <x v="3"/>
    <x v="2"/>
    <x v="1"/>
    <x v="675"/>
    <x v="667"/>
    <x v="1"/>
    <x v="1"/>
  </r>
  <r>
    <s v="ORD00679"/>
    <x v="392"/>
    <x v="1"/>
    <x v="14"/>
    <x v="2"/>
    <x v="676"/>
    <x v="668"/>
    <x v="0"/>
    <x v="2"/>
  </r>
  <r>
    <s v="ORD00680"/>
    <x v="499"/>
    <x v="1"/>
    <x v="12"/>
    <x v="2"/>
    <x v="677"/>
    <x v="669"/>
    <x v="0"/>
    <x v="1"/>
  </r>
  <r>
    <s v="ORD00681"/>
    <x v="190"/>
    <x v="3"/>
    <x v="3"/>
    <x v="2"/>
    <x v="678"/>
    <x v="670"/>
    <x v="0"/>
    <x v="0"/>
  </r>
  <r>
    <s v="ORD00682"/>
    <x v="500"/>
    <x v="2"/>
    <x v="7"/>
    <x v="0"/>
    <x v="679"/>
    <x v="671"/>
    <x v="0"/>
    <x v="1"/>
  </r>
  <r>
    <s v="ORD00683"/>
    <x v="471"/>
    <x v="3"/>
    <x v="2"/>
    <x v="1"/>
    <x v="680"/>
    <x v="672"/>
    <x v="0"/>
    <x v="2"/>
  </r>
  <r>
    <s v="ORD00684"/>
    <x v="501"/>
    <x v="1"/>
    <x v="10"/>
    <x v="2"/>
    <x v="681"/>
    <x v="673"/>
    <x v="0"/>
    <x v="2"/>
  </r>
  <r>
    <s v="ORD00685"/>
    <x v="502"/>
    <x v="2"/>
    <x v="9"/>
    <x v="0"/>
    <x v="682"/>
    <x v="674"/>
    <x v="0"/>
    <x v="1"/>
  </r>
  <r>
    <s v="ORD00686"/>
    <x v="503"/>
    <x v="1"/>
    <x v="7"/>
    <x v="0"/>
    <x v="683"/>
    <x v="675"/>
    <x v="1"/>
    <x v="2"/>
  </r>
  <r>
    <s v="ORD00687"/>
    <x v="365"/>
    <x v="1"/>
    <x v="11"/>
    <x v="2"/>
    <x v="684"/>
    <x v="676"/>
    <x v="0"/>
    <x v="3"/>
  </r>
  <r>
    <s v="ORD00688"/>
    <x v="487"/>
    <x v="0"/>
    <x v="0"/>
    <x v="0"/>
    <x v="685"/>
    <x v="677"/>
    <x v="1"/>
    <x v="3"/>
  </r>
  <r>
    <s v="ORD00689"/>
    <x v="504"/>
    <x v="0"/>
    <x v="9"/>
    <x v="0"/>
    <x v="686"/>
    <x v="678"/>
    <x v="2"/>
    <x v="2"/>
  </r>
  <r>
    <s v="ORD00690"/>
    <x v="505"/>
    <x v="2"/>
    <x v="11"/>
    <x v="2"/>
    <x v="687"/>
    <x v="679"/>
    <x v="2"/>
    <x v="3"/>
  </r>
  <r>
    <s v="ORD00691"/>
    <x v="125"/>
    <x v="1"/>
    <x v="8"/>
    <x v="1"/>
    <x v="688"/>
    <x v="680"/>
    <x v="1"/>
    <x v="0"/>
  </r>
  <r>
    <s v="ORD00692"/>
    <x v="148"/>
    <x v="0"/>
    <x v="3"/>
    <x v="2"/>
    <x v="689"/>
    <x v="681"/>
    <x v="1"/>
    <x v="1"/>
  </r>
  <r>
    <s v="ORD00693"/>
    <x v="506"/>
    <x v="0"/>
    <x v="12"/>
    <x v="2"/>
    <x v="690"/>
    <x v="682"/>
    <x v="1"/>
    <x v="3"/>
  </r>
  <r>
    <s v="ORD00694"/>
    <x v="507"/>
    <x v="1"/>
    <x v="2"/>
    <x v="1"/>
    <x v="691"/>
    <x v="683"/>
    <x v="1"/>
    <x v="0"/>
  </r>
  <r>
    <s v="ORD00695"/>
    <x v="508"/>
    <x v="1"/>
    <x v="1"/>
    <x v="1"/>
    <x v="692"/>
    <x v="684"/>
    <x v="0"/>
    <x v="2"/>
  </r>
  <r>
    <s v="ORD00696"/>
    <x v="84"/>
    <x v="1"/>
    <x v="0"/>
    <x v="0"/>
    <x v="693"/>
    <x v="685"/>
    <x v="0"/>
    <x v="2"/>
  </r>
  <r>
    <s v="ORD00697"/>
    <x v="509"/>
    <x v="3"/>
    <x v="1"/>
    <x v="1"/>
    <x v="694"/>
    <x v="686"/>
    <x v="2"/>
    <x v="3"/>
  </r>
  <r>
    <s v="ORD00698"/>
    <x v="40"/>
    <x v="3"/>
    <x v="11"/>
    <x v="2"/>
    <x v="695"/>
    <x v="687"/>
    <x v="2"/>
    <x v="0"/>
  </r>
  <r>
    <s v="ORD00699"/>
    <x v="510"/>
    <x v="0"/>
    <x v="3"/>
    <x v="2"/>
    <x v="696"/>
    <x v="688"/>
    <x v="0"/>
    <x v="2"/>
  </r>
  <r>
    <s v="ORD00700"/>
    <x v="238"/>
    <x v="2"/>
    <x v="1"/>
    <x v="1"/>
    <x v="697"/>
    <x v="689"/>
    <x v="0"/>
    <x v="0"/>
  </r>
  <r>
    <s v="ORD00701"/>
    <x v="511"/>
    <x v="0"/>
    <x v="0"/>
    <x v="0"/>
    <x v="698"/>
    <x v="690"/>
    <x v="2"/>
    <x v="0"/>
  </r>
  <r>
    <s v="ORD00702"/>
    <x v="270"/>
    <x v="3"/>
    <x v="8"/>
    <x v="1"/>
    <x v="699"/>
    <x v="691"/>
    <x v="2"/>
    <x v="0"/>
  </r>
  <r>
    <s v="ORD00703"/>
    <x v="266"/>
    <x v="3"/>
    <x v="1"/>
    <x v="1"/>
    <x v="700"/>
    <x v="692"/>
    <x v="0"/>
    <x v="2"/>
  </r>
  <r>
    <s v="ORD00704"/>
    <x v="512"/>
    <x v="0"/>
    <x v="9"/>
    <x v="0"/>
    <x v="701"/>
    <x v="512"/>
    <x v="0"/>
    <x v="3"/>
  </r>
  <r>
    <s v="ORD00705"/>
    <x v="159"/>
    <x v="0"/>
    <x v="14"/>
    <x v="2"/>
    <x v="702"/>
    <x v="693"/>
    <x v="0"/>
    <x v="1"/>
  </r>
  <r>
    <s v="ORD00706"/>
    <x v="92"/>
    <x v="0"/>
    <x v="5"/>
    <x v="1"/>
    <x v="703"/>
    <x v="694"/>
    <x v="1"/>
    <x v="2"/>
  </r>
  <r>
    <s v="ORD00707"/>
    <x v="513"/>
    <x v="0"/>
    <x v="7"/>
    <x v="0"/>
    <x v="704"/>
    <x v="695"/>
    <x v="2"/>
    <x v="0"/>
  </r>
  <r>
    <s v="ORD00708"/>
    <x v="21"/>
    <x v="3"/>
    <x v="1"/>
    <x v="1"/>
    <x v="705"/>
    <x v="696"/>
    <x v="1"/>
    <x v="2"/>
  </r>
  <r>
    <s v="ORD00709"/>
    <x v="514"/>
    <x v="0"/>
    <x v="6"/>
    <x v="0"/>
    <x v="706"/>
    <x v="697"/>
    <x v="0"/>
    <x v="1"/>
  </r>
  <r>
    <s v="ORD00710"/>
    <x v="163"/>
    <x v="2"/>
    <x v="4"/>
    <x v="0"/>
    <x v="707"/>
    <x v="698"/>
    <x v="0"/>
    <x v="1"/>
  </r>
  <r>
    <s v="ORD00711"/>
    <x v="6"/>
    <x v="2"/>
    <x v="13"/>
    <x v="1"/>
    <x v="708"/>
    <x v="699"/>
    <x v="2"/>
    <x v="3"/>
  </r>
  <r>
    <s v="ORD00712"/>
    <x v="154"/>
    <x v="1"/>
    <x v="11"/>
    <x v="2"/>
    <x v="709"/>
    <x v="700"/>
    <x v="2"/>
    <x v="1"/>
  </r>
  <r>
    <s v="ORD00713"/>
    <x v="356"/>
    <x v="0"/>
    <x v="7"/>
    <x v="0"/>
    <x v="710"/>
    <x v="701"/>
    <x v="1"/>
    <x v="2"/>
  </r>
  <r>
    <s v="ORD00714"/>
    <x v="515"/>
    <x v="2"/>
    <x v="3"/>
    <x v="2"/>
    <x v="711"/>
    <x v="702"/>
    <x v="2"/>
    <x v="1"/>
  </r>
  <r>
    <s v="ORD00715"/>
    <x v="516"/>
    <x v="2"/>
    <x v="8"/>
    <x v="1"/>
    <x v="712"/>
    <x v="703"/>
    <x v="2"/>
    <x v="2"/>
  </r>
  <r>
    <s v="ORD00716"/>
    <x v="182"/>
    <x v="3"/>
    <x v="12"/>
    <x v="2"/>
    <x v="713"/>
    <x v="704"/>
    <x v="0"/>
    <x v="1"/>
  </r>
  <r>
    <s v="ORD00717"/>
    <x v="517"/>
    <x v="0"/>
    <x v="7"/>
    <x v="0"/>
    <x v="714"/>
    <x v="705"/>
    <x v="1"/>
    <x v="2"/>
  </r>
  <r>
    <s v="ORD00718"/>
    <x v="518"/>
    <x v="0"/>
    <x v="4"/>
    <x v="0"/>
    <x v="715"/>
    <x v="706"/>
    <x v="1"/>
    <x v="0"/>
  </r>
  <r>
    <s v="ORD00719"/>
    <x v="519"/>
    <x v="0"/>
    <x v="0"/>
    <x v="0"/>
    <x v="716"/>
    <x v="707"/>
    <x v="2"/>
    <x v="3"/>
  </r>
  <r>
    <s v="ORD00720"/>
    <x v="520"/>
    <x v="0"/>
    <x v="3"/>
    <x v="2"/>
    <x v="717"/>
    <x v="708"/>
    <x v="0"/>
    <x v="2"/>
  </r>
  <r>
    <s v="ORD00721"/>
    <x v="521"/>
    <x v="3"/>
    <x v="2"/>
    <x v="1"/>
    <x v="718"/>
    <x v="709"/>
    <x v="0"/>
    <x v="0"/>
  </r>
  <r>
    <s v="ORD00722"/>
    <x v="491"/>
    <x v="1"/>
    <x v="7"/>
    <x v="0"/>
    <x v="719"/>
    <x v="710"/>
    <x v="1"/>
    <x v="1"/>
  </r>
  <r>
    <s v="ORD00723"/>
    <x v="476"/>
    <x v="1"/>
    <x v="5"/>
    <x v="1"/>
    <x v="720"/>
    <x v="711"/>
    <x v="0"/>
    <x v="3"/>
  </r>
  <r>
    <s v="ORD00724"/>
    <x v="3"/>
    <x v="3"/>
    <x v="11"/>
    <x v="2"/>
    <x v="721"/>
    <x v="712"/>
    <x v="1"/>
    <x v="1"/>
  </r>
  <r>
    <s v="ORD00725"/>
    <x v="379"/>
    <x v="0"/>
    <x v="4"/>
    <x v="0"/>
    <x v="722"/>
    <x v="713"/>
    <x v="1"/>
    <x v="0"/>
  </r>
  <r>
    <s v="ORD00726"/>
    <x v="522"/>
    <x v="3"/>
    <x v="12"/>
    <x v="2"/>
    <x v="723"/>
    <x v="714"/>
    <x v="1"/>
    <x v="3"/>
  </r>
  <r>
    <s v="ORD00727"/>
    <x v="304"/>
    <x v="3"/>
    <x v="13"/>
    <x v="1"/>
    <x v="724"/>
    <x v="715"/>
    <x v="0"/>
    <x v="2"/>
  </r>
  <r>
    <s v="ORD00728"/>
    <x v="36"/>
    <x v="1"/>
    <x v="1"/>
    <x v="1"/>
    <x v="725"/>
    <x v="716"/>
    <x v="2"/>
    <x v="2"/>
  </r>
  <r>
    <s v="ORD00729"/>
    <x v="523"/>
    <x v="0"/>
    <x v="11"/>
    <x v="2"/>
    <x v="726"/>
    <x v="717"/>
    <x v="2"/>
    <x v="1"/>
  </r>
  <r>
    <s v="ORD00730"/>
    <x v="524"/>
    <x v="2"/>
    <x v="10"/>
    <x v="2"/>
    <x v="727"/>
    <x v="718"/>
    <x v="0"/>
    <x v="3"/>
  </r>
  <r>
    <s v="ORD00731"/>
    <x v="525"/>
    <x v="1"/>
    <x v="5"/>
    <x v="1"/>
    <x v="728"/>
    <x v="719"/>
    <x v="0"/>
    <x v="3"/>
  </r>
  <r>
    <s v="ORD00732"/>
    <x v="526"/>
    <x v="0"/>
    <x v="10"/>
    <x v="2"/>
    <x v="729"/>
    <x v="720"/>
    <x v="1"/>
    <x v="2"/>
  </r>
  <r>
    <s v="ORD00733"/>
    <x v="527"/>
    <x v="0"/>
    <x v="13"/>
    <x v="1"/>
    <x v="730"/>
    <x v="721"/>
    <x v="2"/>
    <x v="0"/>
  </r>
  <r>
    <s v="ORD00734"/>
    <x v="528"/>
    <x v="3"/>
    <x v="9"/>
    <x v="0"/>
    <x v="731"/>
    <x v="722"/>
    <x v="1"/>
    <x v="0"/>
  </r>
  <r>
    <s v="ORD00735"/>
    <x v="529"/>
    <x v="1"/>
    <x v="12"/>
    <x v="2"/>
    <x v="732"/>
    <x v="723"/>
    <x v="2"/>
    <x v="1"/>
  </r>
  <r>
    <s v="ORD00736"/>
    <x v="530"/>
    <x v="1"/>
    <x v="5"/>
    <x v="1"/>
    <x v="733"/>
    <x v="724"/>
    <x v="1"/>
    <x v="3"/>
  </r>
  <r>
    <s v="ORD00737"/>
    <x v="531"/>
    <x v="2"/>
    <x v="7"/>
    <x v="0"/>
    <x v="734"/>
    <x v="725"/>
    <x v="1"/>
    <x v="2"/>
  </r>
  <r>
    <s v="ORD00738"/>
    <x v="411"/>
    <x v="3"/>
    <x v="1"/>
    <x v="1"/>
    <x v="735"/>
    <x v="726"/>
    <x v="2"/>
    <x v="0"/>
  </r>
  <r>
    <s v="ORD00739"/>
    <x v="532"/>
    <x v="2"/>
    <x v="9"/>
    <x v="0"/>
    <x v="736"/>
    <x v="727"/>
    <x v="1"/>
    <x v="3"/>
  </r>
  <r>
    <s v="ORD00740"/>
    <x v="533"/>
    <x v="1"/>
    <x v="10"/>
    <x v="2"/>
    <x v="737"/>
    <x v="728"/>
    <x v="1"/>
    <x v="2"/>
  </r>
  <r>
    <s v="ORD00741"/>
    <x v="534"/>
    <x v="3"/>
    <x v="14"/>
    <x v="2"/>
    <x v="738"/>
    <x v="729"/>
    <x v="0"/>
    <x v="1"/>
  </r>
  <r>
    <s v="ORD00742"/>
    <x v="535"/>
    <x v="3"/>
    <x v="13"/>
    <x v="1"/>
    <x v="739"/>
    <x v="730"/>
    <x v="0"/>
    <x v="0"/>
  </r>
  <r>
    <s v="ORD00743"/>
    <x v="536"/>
    <x v="1"/>
    <x v="4"/>
    <x v="0"/>
    <x v="740"/>
    <x v="731"/>
    <x v="0"/>
    <x v="1"/>
  </r>
  <r>
    <s v="ORD00744"/>
    <x v="338"/>
    <x v="2"/>
    <x v="4"/>
    <x v="0"/>
    <x v="741"/>
    <x v="732"/>
    <x v="2"/>
    <x v="3"/>
  </r>
  <r>
    <s v="ORD00745"/>
    <x v="537"/>
    <x v="2"/>
    <x v="12"/>
    <x v="2"/>
    <x v="742"/>
    <x v="733"/>
    <x v="2"/>
    <x v="1"/>
  </r>
  <r>
    <s v="ORD00746"/>
    <x v="155"/>
    <x v="1"/>
    <x v="14"/>
    <x v="2"/>
    <x v="743"/>
    <x v="734"/>
    <x v="2"/>
    <x v="2"/>
  </r>
  <r>
    <s v="ORD00747"/>
    <x v="538"/>
    <x v="1"/>
    <x v="10"/>
    <x v="2"/>
    <x v="744"/>
    <x v="735"/>
    <x v="1"/>
    <x v="1"/>
  </r>
  <r>
    <s v="ORD00748"/>
    <x v="539"/>
    <x v="2"/>
    <x v="6"/>
    <x v="0"/>
    <x v="745"/>
    <x v="736"/>
    <x v="1"/>
    <x v="1"/>
  </r>
  <r>
    <s v="ORD00749"/>
    <x v="540"/>
    <x v="3"/>
    <x v="4"/>
    <x v="0"/>
    <x v="746"/>
    <x v="737"/>
    <x v="0"/>
    <x v="3"/>
  </r>
  <r>
    <s v="ORD00750"/>
    <x v="541"/>
    <x v="1"/>
    <x v="4"/>
    <x v="0"/>
    <x v="747"/>
    <x v="738"/>
    <x v="1"/>
    <x v="1"/>
  </r>
  <r>
    <s v="ORD00751"/>
    <x v="542"/>
    <x v="2"/>
    <x v="11"/>
    <x v="2"/>
    <x v="748"/>
    <x v="739"/>
    <x v="2"/>
    <x v="3"/>
  </r>
  <r>
    <s v="ORD00752"/>
    <x v="543"/>
    <x v="1"/>
    <x v="11"/>
    <x v="2"/>
    <x v="749"/>
    <x v="740"/>
    <x v="2"/>
    <x v="1"/>
  </r>
  <r>
    <s v="ORD00753"/>
    <x v="544"/>
    <x v="2"/>
    <x v="10"/>
    <x v="2"/>
    <x v="750"/>
    <x v="741"/>
    <x v="1"/>
    <x v="2"/>
  </r>
  <r>
    <s v="ORD00754"/>
    <x v="545"/>
    <x v="3"/>
    <x v="12"/>
    <x v="2"/>
    <x v="751"/>
    <x v="742"/>
    <x v="2"/>
    <x v="1"/>
  </r>
  <r>
    <s v="ORD00755"/>
    <x v="546"/>
    <x v="0"/>
    <x v="1"/>
    <x v="1"/>
    <x v="752"/>
    <x v="743"/>
    <x v="1"/>
    <x v="3"/>
  </r>
  <r>
    <s v="ORD00756"/>
    <x v="340"/>
    <x v="3"/>
    <x v="11"/>
    <x v="2"/>
    <x v="753"/>
    <x v="744"/>
    <x v="0"/>
    <x v="0"/>
  </r>
  <r>
    <s v="ORD00757"/>
    <x v="547"/>
    <x v="3"/>
    <x v="4"/>
    <x v="0"/>
    <x v="754"/>
    <x v="745"/>
    <x v="1"/>
    <x v="3"/>
  </r>
  <r>
    <s v="ORD00758"/>
    <x v="413"/>
    <x v="0"/>
    <x v="9"/>
    <x v="0"/>
    <x v="755"/>
    <x v="746"/>
    <x v="1"/>
    <x v="2"/>
  </r>
  <r>
    <s v="ORD00759"/>
    <x v="324"/>
    <x v="2"/>
    <x v="6"/>
    <x v="0"/>
    <x v="756"/>
    <x v="747"/>
    <x v="1"/>
    <x v="3"/>
  </r>
  <r>
    <s v="ORD00760"/>
    <x v="548"/>
    <x v="0"/>
    <x v="4"/>
    <x v="0"/>
    <x v="757"/>
    <x v="748"/>
    <x v="2"/>
    <x v="3"/>
  </r>
  <r>
    <s v="ORD00761"/>
    <x v="549"/>
    <x v="1"/>
    <x v="0"/>
    <x v="0"/>
    <x v="758"/>
    <x v="749"/>
    <x v="1"/>
    <x v="0"/>
  </r>
  <r>
    <s v="ORD00762"/>
    <x v="550"/>
    <x v="1"/>
    <x v="5"/>
    <x v="1"/>
    <x v="759"/>
    <x v="750"/>
    <x v="1"/>
    <x v="0"/>
  </r>
  <r>
    <s v="ORD00763"/>
    <x v="123"/>
    <x v="2"/>
    <x v="3"/>
    <x v="2"/>
    <x v="760"/>
    <x v="751"/>
    <x v="2"/>
    <x v="0"/>
  </r>
  <r>
    <s v="ORD00764"/>
    <x v="551"/>
    <x v="0"/>
    <x v="11"/>
    <x v="2"/>
    <x v="761"/>
    <x v="752"/>
    <x v="1"/>
    <x v="0"/>
  </r>
  <r>
    <s v="ORD00765"/>
    <x v="90"/>
    <x v="2"/>
    <x v="8"/>
    <x v="1"/>
    <x v="762"/>
    <x v="564"/>
    <x v="2"/>
    <x v="1"/>
  </r>
  <r>
    <s v="ORD00766"/>
    <x v="142"/>
    <x v="0"/>
    <x v="2"/>
    <x v="1"/>
    <x v="763"/>
    <x v="753"/>
    <x v="0"/>
    <x v="0"/>
  </r>
  <r>
    <s v="ORD00767"/>
    <x v="552"/>
    <x v="3"/>
    <x v="7"/>
    <x v="0"/>
    <x v="764"/>
    <x v="754"/>
    <x v="0"/>
    <x v="3"/>
  </r>
  <r>
    <s v="ORD00768"/>
    <x v="553"/>
    <x v="3"/>
    <x v="6"/>
    <x v="0"/>
    <x v="765"/>
    <x v="755"/>
    <x v="0"/>
    <x v="0"/>
  </r>
  <r>
    <s v="ORD00769"/>
    <x v="554"/>
    <x v="2"/>
    <x v="4"/>
    <x v="0"/>
    <x v="766"/>
    <x v="756"/>
    <x v="0"/>
    <x v="0"/>
  </r>
  <r>
    <s v="ORD00770"/>
    <x v="555"/>
    <x v="0"/>
    <x v="11"/>
    <x v="2"/>
    <x v="767"/>
    <x v="757"/>
    <x v="1"/>
    <x v="2"/>
  </r>
  <r>
    <s v="ORD00771"/>
    <x v="481"/>
    <x v="3"/>
    <x v="12"/>
    <x v="2"/>
    <x v="768"/>
    <x v="758"/>
    <x v="0"/>
    <x v="1"/>
  </r>
  <r>
    <s v="ORD00772"/>
    <x v="556"/>
    <x v="3"/>
    <x v="7"/>
    <x v="0"/>
    <x v="769"/>
    <x v="759"/>
    <x v="0"/>
    <x v="0"/>
  </r>
  <r>
    <s v="ORD00773"/>
    <x v="557"/>
    <x v="1"/>
    <x v="5"/>
    <x v="1"/>
    <x v="770"/>
    <x v="760"/>
    <x v="0"/>
    <x v="1"/>
  </r>
  <r>
    <s v="ORD00774"/>
    <x v="558"/>
    <x v="0"/>
    <x v="12"/>
    <x v="2"/>
    <x v="771"/>
    <x v="761"/>
    <x v="0"/>
    <x v="3"/>
  </r>
  <r>
    <s v="ORD00775"/>
    <x v="559"/>
    <x v="2"/>
    <x v="6"/>
    <x v="0"/>
    <x v="772"/>
    <x v="762"/>
    <x v="2"/>
    <x v="1"/>
  </r>
  <r>
    <s v="ORD00776"/>
    <x v="252"/>
    <x v="3"/>
    <x v="7"/>
    <x v="0"/>
    <x v="773"/>
    <x v="763"/>
    <x v="1"/>
    <x v="1"/>
  </r>
  <r>
    <s v="ORD00777"/>
    <x v="347"/>
    <x v="3"/>
    <x v="8"/>
    <x v="1"/>
    <x v="774"/>
    <x v="764"/>
    <x v="1"/>
    <x v="0"/>
  </r>
  <r>
    <s v="ORD00778"/>
    <x v="560"/>
    <x v="3"/>
    <x v="12"/>
    <x v="2"/>
    <x v="775"/>
    <x v="765"/>
    <x v="1"/>
    <x v="0"/>
  </r>
  <r>
    <s v="ORD00779"/>
    <x v="561"/>
    <x v="1"/>
    <x v="5"/>
    <x v="1"/>
    <x v="776"/>
    <x v="766"/>
    <x v="2"/>
    <x v="1"/>
  </r>
  <r>
    <s v="ORD00780"/>
    <x v="562"/>
    <x v="3"/>
    <x v="0"/>
    <x v="0"/>
    <x v="777"/>
    <x v="574"/>
    <x v="1"/>
    <x v="1"/>
  </r>
  <r>
    <s v="ORD00781"/>
    <x v="563"/>
    <x v="3"/>
    <x v="12"/>
    <x v="2"/>
    <x v="778"/>
    <x v="767"/>
    <x v="1"/>
    <x v="3"/>
  </r>
  <r>
    <s v="ORD00782"/>
    <x v="564"/>
    <x v="3"/>
    <x v="14"/>
    <x v="2"/>
    <x v="779"/>
    <x v="768"/>
    <x v="0"/>
    <x v="2"/>
  </r>
  <r>
    <s v="ORD00783"/>
    <x v="360"/>
    <x v="2"/>
    <x v="10"/>
    <x v="2"/>
    <x v="780"/>
    <x v="769"/>
    <x v="2"/>
    <x v="2"/>
  </r>
  <r>
    <s v="ORD00784"/>
    <x v="565"/>
    <x v="0"/>
    <x v="13"/>
    <x v="1"/>
    <x v="781"/>
    <x v="770"/>
    <x v="1"/>
    <x v="2"/>
  </r>
  <r>
    <s v="ORD00785"/>
    <x v="134"/>
    <x v="2"/>
    <x v="9"/>
    <x v="0"/>
    <x v="782"/>
    <x v="771"/>
    <x v="0"/>
    <x v="1"/>
  </r>
  <r>
    <s v="ORD00786"/>
    <x v="395"/>
    <x v="3"/>
    <x v="13"/>
    <x v="1"/>
    <x v="783"/>
    <x v="772"/>
    <x v="2"/>
    <x v="3"/>
  </r>
  <r>
    <s v="ORD00787"/>
    <x v="25"/>
    <x v="2"/>
    <x v="9"/>
    <x v="0"/>
    <x v="784"/>
    <x v="773"/>
    <x v="1"/>
    <x v="0"/>
  </r>
  <r>
    <s v="ORD00788"/>
    <x v="566"/>
    <x v="0"/>
    <x v="8"/>
    <x v="1"/>
    <x v="785"/>
    <x v="774"/>
    <x v="2"/>
    <x v="1"/>
  </r>
  <r>
    <s v="ORD00789"/>
    <x v="567"/>
    <x v="2"/>
    <x v="1"/>
    <x v="1"/>
    <x v="786"/>
    <x v="775"/>
    <x v="1"/>
    <x v="2"/>
  </r>
  <r>
    <s v="ORD00790"/>
    <x v="210"/>
    <x v="2"/>
    <x v="11"/>
    <x v="2"/>
    <x v="787"/>
    <x v="776"/>
    <x v="2"/>
    <x v="0"/>
  </r>
  <r>
    <s v="ORD00791"/>
    <x v="407"/>
    <x v="0"/>
    <x v="1"/>
    <x v="1"/>
    <x v="788"/>
    <x v="777"/>
    <x v="0"/>
    <x v="2"/>
  </r>
  <r>
    <s v="ORD00792"/>
    <x v="568"/>
    <x v="1"/>
    <x v="7"/>
    <x v="0"/>
    <x v="789"/>
    <x v="778"/>
    <x v="0"/>
    <x v="3"/>
  </r>
  <r>
    <s v="ORD00793"/>
    <x v="313"/>
    <x v="1"/>
    <x v="1"/>
    <x v="1"/>
    <x v="790"/>
    <x v="779"/>
    <x v="2"/>
    <x v="1"/>
  </r>
  <r>
    <s v="ORD00794"/>
    <x v="569"/>
    <x v="3"/>
    <x v="2"/>
    <x v="1"/>
    <x v="791"/>
    <x v="780"/>
    <x v="0"/>
    <x v="1"/>
  </r>
  <r>
    <s v="ORD00795"/>
    <x v="570"/>
    <x v="3"/>
    <x v="6"/>
    <x v="0"/>
    <x v="792"/>
    <x v="781"/>
    <x v="2"/>
    <x v="3"/>
  </r>
  <r>
    <s v="ORD00796"/>
    <x v="571"/>
    <x v="2"/>
    <x v="12"/>
    <x v="2"/>
    <x v="793"/>
    <x v="782"/>
    <x v="0"/>
    <x v="3"/>
  </r>
  <r>
    <s v="ORD00797"/>
    <x v="327"/>
    <x v="0"/>
    <x v="11"/>
    <x v="2"/>
    <x v="794"/>
    <x v="783"/>
    <x v="1"/>
    <x v="3"/>
  </r>
  <r>
    <s v="ORD00798"/>
    <x v="51"/>
    <x v="1"/>
    <x v="11"/>
    <x v="2"/>
    <x v="795"/>
    <x v="784"/>
    <x v="0"/>
    <x v="1"/>
  </r>
  <r>
    <s v="ORD00799"/>
    <x v="222"/>
    <x v="3"/>
    <x v="6"/>
    <x v="0"/>
    <x v="796"/>
    <x v="785"/>
    <x v="1"/>
    <x v="0"/>
  </r>
  <r>
    <s v="ORD00800"/>
    <x v="572"/>
    <x v="3"/>
    <x v="1"/>
    <x v="1"/>
    <x v="797"/>
    <x v="786"/>
    <x v="2"/>
    <x v="2"/>
  </r>
  <r>
    <s v="ORD00801"/>
    <x v="573"/>
    <x v="0"/>
    <x v="6"/>
    <x v="0"/>
    <x v="798"/>
    <x v="787"/>
    <x v="0"/>
    <x v="2"/>
  </r>
  <r>
    <s v="ORD00802"/>
    <x v="574"/>
    <x v="0"/>
    <x v="8"/>
    <x v="1"/>
    <x v="799"/>
    <x v="788"/>
    <x v="2"/>
    <x v="0"/>
  </r>
  <r>
    <s v="ORD00803"/>
    <x v="538"/>
    <x v="3"/>
    <x v="1"/>
    <x v="1"/>
    <x v="800"/>
    <x v="789"/>
    <x v="1"/>
    <x v="1"/>
  </r>
  <r>
    <s v="ORD00804"/>
    <x v="575"/>
    <x v="0"/>
    <x v="1"/>
    <x v="1"/>
    <x v="801"/>
    <x v="790"/>
    <x v="2"/>
    <x v="1"/>
  </r>
  <r>
    <s v="ORD00805"/>
    <x v="231"/>
    <x v="2"/>
    <x v="4"/>
    <x v="0"/>
    <x v="802"/>
    <x v="791"/>
    <x v="1"/>
    <x v="2"/>
  </r>
  <r>
    <s v="ORD00806"/>
    <x v="576"/>
    <x v="1"/>
    <x v="2"/>
    <x v="1"/>
    <x v="803"/>
    <x v="792"/>
    <x v="0"/>
    <x v="1"/>
  </r>
  <r>
    <s v="ORD00807"/>
    <x v="577"/>
    <x v="0"/>
    <x v="0"/>
    <x v="0"/>
    <x v="804"/>
    <x v="793"/>
    <x v="0"/>
    <x v="2"/>
  </r>
  <r>
    <s v="ORD00808"/>
    <x v="289"/>
    <x v="3"/>
    <x v="10"/>
    <x v="2"/>
    <x v="805"/>
    <x v="794"/>
    <x v="0"/>
    <x v="1"/>
  </r>
  <r>
    <s v="ORD00809"/>
    <x v="578"/>
    <x v="3"/>
    <x v="2"/>
    <x v="1"/>
    <x v="806"/>
    <x v="795"/>
    <x v="0"/>
    <x v="1"/>
  </r>
  <r>
    <s v="ORD00810"/>
    <x v="579"/>
    <x v="0"/>
    <x v="12"/>
    <x v="2"/>
    <x v="807"/>
    <x v="796"/>
    <x v="2"/>
    <x v="3"/>
  </r>
  <r>
    <s v="ORD00811"/>
    <x v="580"/>
    <x v="1"/>
    <x v="5"/>
    <x v="1"/>
    <x v="808"/>
    <x v="797"/>
    <x v="1"/>
    <x v="1"/>
  </r>
  <r>
    <s v="ORD00812"/>
    <x v="581"/>
    <x v="2"/>
    <x v="3"/>
    <x v="2"/>
    <x v="809"/>
    <x v="798"/>
    <x v="0"/>
    <x v="0"/>
  </r>
  <r>
    <s v="ORD00813"/>
    <x v="547"/>
    <x v="2"/>
    <x v="4"/>
    <x v="0"/>
    <x v="810"/>
    <x v="799"/>
    <x v="2"/>
    <x v="0"/>
  </r>
  <r>
    <s v="ORD00814"/>
    <x v="332"/>
    <x v="1"/>
    <x v="10"/>
    <x v="2"/>
    <x v="811"/>
    <x v="800"/>
    <x v="1"/>
    <x v="0"/>
  </r>
  <r>
    <s v="ORD00815"/>
    <x v="582"/>
    <x v="2"/>
    <x v="14"/>
    <x v="2"/>
    <x v="812"/>
    <x v="801"/>
    <x v="0"/>
    <x v="3"/>
  </r>
  <r>
    <s v="ORD00816"/>
    <x v="583"/>
    <x v="2"/>
    <x v="3"/>
    <x v="2"/>
    <x v="813"/>
    <x v="89"/>
    <x v="1"/>
    <x v="0"/>
  </r>
  <r>
    <s v="ORD00817"/>
    <x v="407"/>
    <x v="0"/>
    <x v="11"/>
    <x v="2"/>
    <x v="814"/>
    <x v="802"/>
    <x v="1"/>
    <x v="2"/>
  </r>
  <r>
    <s v="ORD00818"/>
    <x v="584"/>
    <x v="2"/>
    <x v="1"/>
    <x v="1"/>
    <x v="815"/>
    <x v="803"/>
    <x v="0"/>
    <x v="1"/>
  </r>
  <r>
    <s v="ORD00819"/>
    <x v="4"/>
    <x v="3"/>
    <x v="3"/>
    <x v="2"/>
    <x v="816"/>
    <x v="804"/>
    <x v="2"/>
    <x v="1"/>
  </r>
  <r>
    <s v="ORD00820"/>
    <x v="273"/>
    <x v="0"/>
    <x v="12"/>
    <x v="2"/>
    <x v="817"/>
    <x v="805"/>
    <x v="0"/>
    <x v="0"/>
  </r>
  <r>
    <s v="ORD00821"/>
    <x v="585"/>
    <x v="1"/>
    <x v="6"/>
    <x v="0"/>
    <x v="818"/>
    <x v="806"/>
    <x v="0"/>
    <x v="0"/>
  </r>
  <r>
    <s v="ORD00822"/>
    <x v="586"/>
    <x v="1"/>
    <x v="9"/>
    <x v="0"/>
    <x v="819"/>
    <x v="807"/>
    <x v="0"/>
    <x v="1"/>
  </r>
  <r>
    <s v="ORD00823"/>
    <x v="216"/>
    <x v="2"/>
    <x v="10"/>
    <x v="2"/>
    <x v="820"/>
    <x v="808"/>
    <x v="2"/>
    <x v="2"/>
  </r>
  <r>
    <s v="ORD00824"/>
    <x v="560"/>
    <x v="2"/>
    <x v="7"/>
    <x v="0"/>
    <x v="821"/>
    <x v="809"/>
    <x v="2"/>
    <x v="3"/>
  </r>
  <r>
    <s v="ORD00825"/>
    <x v="515"/>
    <x v="1"/>
    <x v="11"/>
    <x v="2"/>
    <x v="822"/>
    <x v="810"/>
    <x v="2"/>
    <x v="2"/>
  </r>
  <r>
    <s v="ORD00826"/>
    <x v="417"/>
    <x v="2"/>
    <x v="0"/>
    <x v="0"/>
    <x v="823"/>
    <x v="811"/>
    <x v="2"/>
    <x v="2"/>
  </r>
  <r>
    <s v="ORD00827"/>
    <x v="383"/>
    <x v="0"/>
    <x v="0"/>
    <x v="0"/>
    <x v="824"/>
    <x v="812"/>
    <x v="2"/>
    <x v="2"/>
  </r>
  <r>
    <s v="ORD00828"/>
    <x v="587"/>
    <x v="0"/>
    <x v="11"/>
    <x v="2"/>
    <x v="825"/>
    <x v="813"/>
    <x v="2"/>
    <x v="2"/>
  </r>
  <r>
    <s v="ORD00829"/>
    <x v="78"/>
    <x v="2"/>
    <x v="12"/>
    <x v="2"/>
    <x v="826"/>
    <x v="814"/>
    <x v="2"/>
    <x v="0"/>
  </r>
  <r>
    <s v="ORD00830"/>
    <x v="588"/>
    <x v="1"/>
    <x v="8"/>
    <x v="1"/>
    <x v="827"/>
    <x v="815"/>
    <x v="0"/>
    <x v="0"/>
  </r>
  <r>
    <s v="ORD00831"/>
    <x v="589"/>
    <x v="3"/>
    <x v="0"/>
    <x v="0"/>
    <x v="828"/>
    <x v="816"/>
    <x v="0"/>
    <x v="1"/>
  </r>
  <r>
    <s v="ORD00832"/>
    <x v="288"/>
    <x v="2"/>
    <x v="7"/>
    <x v="0"/>
    <x v="829"/>
    <x v="817"/>
    <x v="2"/>
    <x v="0"/>
  </r>
  <r>
    <s v="ORD00833"/>
    <x v="590"/>
    <x v="3"/>
    <x v="2"/>
    <x v="1"/>
    <x v="830"/>
    <x v="818"/>
    <x v="0"/>
    <x v="2"/>
  </r>
  <r>
    <s v="ORD00834"/>
    <x v="248"/>
    <x v="1"/>
    <x v="9"/>
    <x v="0"/>
    <x v="831"/>
    <x v="819"/>
    <x v="1"/>
    <x v="0"/>
  </r>
  <r>
    <s v="ORD00835"/>
    <x v="347"/>
    <x v="2"/>
    <x v="14"/>
    <x v="2"/>
    <x v="832"/>
    <x v="820"/>
    <x v="1"/>
    <x v="1"/>
  </r>
  <r>
    <s v="ORD00836"/>
    <x v="1"/>
    <x v="2"/>
    <x v="0"/>
    <x v="0"/>
    <x v="833"/>
    <x v="821"/>
    <x v="0"/>
    <x v="3"/>
  </r>
  <r>
    <s v="ORD00837"/>
    <x v="591"/>
    <x v="3"/>
    <x v="2"/>
    <x v="1"/>
    <x v="834"/>
    <x v="822"/>
    <x v="0"/>
    <x v="0"/>
  </r>
  <r>
    <s v="ORD00838"/>
    <x v="592"/>
    <x v="3"/>
    <x v="1"/>
    <x v="1"/>
    <x v="835"/>
    <x v="823"/>
    <x v="0"/>
    <x v="0"/>
  </r>
  <r>
    <s v="ORD00839"/>
    <x v="593"/>
    <x v="1"/>
    <x v="1"/>
    <x v="1"/>
    <x v="836"/>
    <x v="824"/>
    <x v="1"/>
    <x v="0"/>
  </r>
  <r>
    <s v="ORD00840"/>
    <x v="112"/>
    <x v="2"/>
    <x v="1"/>
    <x v="1"/>
    <x v="837"/>
    <x v="825"/>
    <x v="2"/>
    <x v="1"/>
  </r>
  <r>
    <s v="ORD00841"/>
    <x v="594"/>
    <x v="0"/>
    <x v="13"/>
    <x v="1"/>
    <x v="838"/>
    <x v="826"/>
    <x v="1"/>
    <x v="3"/>
  </r>
  <r>
    <s v="ORD00842"/>
    <x v="150"/>
    <x v="3"/>
    <x v="4"/>
    <x v="0"/>
    <x v="839"/>
    <x v="827"/>
    <x v="2"/>
    <x v="3"/>
  </r>
  <r>
    <s v="ORD00843"/>
    <x v="595"/>
    <x v="2"/>
    <x v="14"/>
    <x v="2"/>
    <x v="840"/>
    <x v="828"/>
    <x v="1"/>
    <x v="0"/>
  </r>
  <r>
    <s v="ORD00844"/>
    <x v="345"/>
    <x v="1"/>
    <x v="3"/>
    <x v="2"/>
    <x v="841"/>
    <x v="829"/>
    <x v="1"/>
    <x v="0"/>
  </r>
  <r>
    <s v="ORD00845"/>
    <x v="71"/>
    <x v="1"/>
    <x v="6"/>
    <x v="0"/>
    <x v="842"/>
    <x v="830"/>
    <x v="0"/>
    <x v="3"/>
  </r>
  <r>
    <s v="ORD00846"/>
    <x v="596"/>
    <x v="2"/>
    <x v="6"/>
    <x v="0"/>
    <x v="843"/>
    <x v="831"/>
    <x v="1"/>
    <x v="2"/>
  </r>
  <r>
    <s v="ORD00847"/>
    <x v="209"/>
    <x v="1"/>
    <x v="5"/>
    <x v="1"/>
    <x v="844"/>
    <x v="832"/>
    <x v="1"/>
    <x v="3"/>
  </r>
  <r>
    <s v="ORD00848"/>
    <x v="32"/>
    <x v="2"/>
    <x v="5"/>
    <x v="1"/>
    <x v="845"/>
    <x v="833"/>
    <x v="1"/>
    <x v="3"/>
  </r>
  <r>
    <s v="ORD00849"/>
    <x v="98"/>
    <x v="1"/>
    <x v="3"/>
    <x v="2"/>
    <x v="846"/>
    <x v="834"/>
    <x v="1"/>
    <x v="1"/>
  </r>
  <r>
    <s v="ORD00850"/>
    <x v="358"/>
    <x v="0"/>
    <x v="8"/>
    <x v="1"/>
    <x v="847"/>
    <x v="835"/>
    <x v="1"/>
    <x v="2"/>
  </r>
  <r>
    <s v="ORD00851"/>
    <x v="398"/>
    <x v="0"/>
    <x v="14"/>
    <x v="2"/>
    <x v="848"/>
    <x v="836"/>
    <x v="1"/>
    <x v="3"/>
  </r>
  <r>
    <s v="ORD00852"/>
    <x v="597"/>
    <x v="3"/>
    <x v="9"/>
    <x v="0"/>
    <x v="849"/>
    <x v="837"/>
    <x v="2"/>
    <x v="1"/>
  </r>
  <r>
    <s v="ORD00853"/>
    <x v="598"/>
    <x v="1"/>
    <x v="9"/>
    <x v="0"/>
    <x v="850"/>
    <x v="838"/>
    <x v="2"/>
    <x v="1"/>
  </r>
  <r>
    <s v="ORD00854"/>
    <x v="599"/>
    <x v="0"/>
    <x v="1"/>
    <x v="1"/>
    <x v="851"/>
    <x v="839"/>
    <x v="2"/>
    <x v="3"/>
  </r>
  <r>
    <s v="ORD00855"/>
    <x v="324"/>
    <x v="1"/>
    <x v="11"/>
    <x v="2"/>
    <x v="852"/>
    <x v="840"/>
    <x v="0"/>
    <x v="1"/>
  </r>
  <r>
    <s v="ORD00856"/>
    <x v="427"/>
    <x v="1"/>
    <x v="13"/>
    <x v="1"/>
    <x v="853"/>
    <x v="841"/>
    <x v="1"/>
    <x v="1"/>
  </r>
  <r>
    <s v="ORD00857"/>
    <x v="600"/>
    <x v="3"/>
    <x v="14"/>
    <x v="2"/>
    <x v="854"/>
    <x v="842"/>
    <x v="2"/>
    <x v="3"/>
  </r>
  <r>
    <s v="ORD00858"/>
    <x v="601"/>
    <x v="1"/>
    <x v="10"/>
    <x v="2"/>
    <x v="855"/>
    <x v="843"/>
    <x v="2"/>
    <x v="2"/>
  </r>
  <r>
    <s v="ORD00859"/>
    <x v="602"/>
    <x v="3"/>
    <x v="10"/>
    <x v="2"/>
    <x v="856"/>
    <x v="844"/>
    <x v="2"/>
    <x v="0"/>
  </r>
  <r>
    <s v="ORD00860"/>
    <x v="239"/>
    <x v="3"/>
    <x v="10"/>
    <x v="2"/>
    <x v="857"/>
    <x v="845"/>
    <x v="1"/>
    <x v="1"/>
  </r>
  <r>
    <s v="ORD00861"/>
    <x v="156"/>
    <x v="0"/>
    <x v="12"/>
    <x v="2"/>
    <x v="858"/>
    <x v="846"/>
    <x v="1"/>
    <x v="3"/>
  </r>
  <r>
    <s v="ORD00862"/>
    <x v="603"/>
    <x v="0"/>
    <x v="0"/>
    <x v="0"/>
    <x v="859"/>
    <x v="847"/>
    <x v="0"/>
    <x v="2"/>
  </r>
  <r>
    <s v="ORD00863"/>
    <x v="285"/>
    <x v="0"/>
    <x v="0"/>
    <x v="0"/>
    <x v="860"/>
    <x v="848"/>
    <x v="0"/>
    <x v="1"/>
  </r>
  <r>
    <s v="ORD00864"/>
    <x v="604"/>
    <x v="2"/>
    <x v="8"/>
    <x v="1"/>
    <x v="861"/>
    <x v="808"/>
    <x v="1"/>
    <x v="1"/>
  </r>
  <r>
    <s v="ORD00865"/>
    <x v="605"/>
    <x v="0"/>
    <x v="14"/>
    <x v="2"/>
    <x v="862"/>
    <x v="849"/>
    <x v="0"/>
    <x v="3"/>
  </r>
  <r>
    <s v="ORD00866"/>
    <x v="83"/>
    <x v="1"/>
    <x v="8"/>
    <x v="1"/>
    <x v="863"/>
    <x v="850"/>
    <x v="1"/>
    <x v="3"/>
  </r>
  <r>
    <s v="ORD00867"/>
    <x v="565"/>
    <x v="3"/>
    <x v="4"/>
    <x v="0"/>
    <x v="864"/>
    <x v="851"/>
    <x v="1"/>
    <x v="0"/>
  </r>
  <r>
    <s v="ORD00868"/>
    <x v="336"/>
    <x v="3"/>
    <x v="9"/>
    <x v="0"/>
    <x v="865"/>
    <x v="409"/>
    <x v="1"/>
    <x v="2"/>
  </r>
  <r>
    <s v="ORD00869"/>
    <x v="606"/>
    <x v="1"/>
    <x v="13"/>
    <x v="1"/>
    <x v="866"/>
    <x v="852"/>
    <x v="2"/>
    <x v="3"/>
  </r>
  <r>
    <s v="ORD00870"/>
    <x v="510"/>
    <x v="2"/>
    <x v="10"/>
    <x v="2"/>
    <x v="867"/>
    <x v="853"/>
    <x v="2"/>
    <x v="3"/>
  </r>
  <r>
    <s v="ORD00871"/>
    <x v="607"/>
    <x v="2"/>
    <x v="12"/>
    <x v="2"/>
    <x v="868"/>
    <x v="854"/>
    <x v="1"/>
    <x v="1"/>
  </r>
  <r>
    <s v="ORD00872"/>
    <x v="425"/>
    <x v="1"/>
    <x v="3"/>
    <x v="2"/>
    <x v="869"/>
    <x v="855"/>
    <x v="0"/>
    <x v="2"/>
  </r>
  <r>
    <s v="ORD00873"/>
    <x v="608"/>
    <x v="3"/>
    <x v="14"/>
    <x v="2"/>
    <x v="870"/>
    <x v="856"/>
    <x v="2"/>
    <x v="1"/>
  </r>
  <r>
    <s v="ORD00874"/>
    <x v="609"/>
    <x v="0"/>
    <x v="11"/>
    <x v="2"/>
    <x v="871"/>
    <x v="857"/>
    <x v="1"/>
    <x v="1"/>
  </r>
  <r>
    <s v="ORD00875"/>
    <x v="300"/>
    <x v="1"/>
    <x v="2"/>
    <x v="1"/>
    <x v="872"/>
    <x v="858"/>
    <x v="1"/>
    <x v="1"/>
  </r>
  <r>
    <s v="ORD00876"/>
    <x v="610"/>
    <x v="2"/>
    <x v="6"/>
    <x v="0"/>
    <x v="873"/>
    <x v="859"/>
    <x v="0"/>
    <x v="3"/>
  </r>
  <r>
    <s v="ORD00877"/>
    <x v="611"/>
    <x v="2"/>
    <x v="10"/>
    <x v="2"/>
    <x v="874"/>
    <x v="860"/>
    <x v="2"/>
    <x v="2"/>
  </r>
  <r>
    <s v="ORD00878"/>
    <x v="612"/>
    <x v="2"/>
    <x v="3"/>
    <x v="2"/>
    <x v="875"/>
    <x v="861"/>
    <x v="2"/>
    <x v="2"/>
  </r>
  <r>
    <s v="ORD00879"/>
    <x v="255"/>
    <x v="2"/>
    <x v="12"/>
    <x v="2"/>
    <x v="876"/>
    <x v="862"/>
    <x v="2"/>
    <x v="0"/>
  </r>
  <r>
    <s v="ORD00880"/>
    <x v="143"/>
    <x v="0"/>
    <x v="13"/>
    <x v="1"/>
    <x v="877"/>
    <x v="863"/>
    <x v="1"/>
    <x v="3"/>
  </r>
  <r>
    <s v="ORD00881"/>
    <x v="455"/>
    <x v="0"/>
    <x v="4"/>
    <x v="0"/>
    <x v="878"/>
    <x v="864"/>
    <x v="2"/>
    <x v="1"/>
  </r>
  <r>
    <s v="ORD00882"/>
    <x v="580"/>
    <x v="0"/>
    <x v="7"/>
    <x v="0"/>
    <x v="879"/>
    <x v="865"/>
    <x v="0"/>
    <x v="1"/>
  </r>
  <r>
    <s v="ORD00883"/>
    <x v="613"/>
    <x v="0"/>
    <x v="7"/>
    <x v="0"/>
    <x v="880"/>
    <x v="866"/>
    <x v="1"/>
    <x v="1"/>
  </r>
  <r>
    <s v="ORD00884"/>
    <x v="614"/>
    <x v="0"/>
    <x v="0"/>
    <x v="0"/>
    <x v="881"/>
    <x v="867"/>
    <x v="2"/>
    <x v="1"/>
  </r>
  <r>
    <s v="ORD00885"/>
    <x v="198"/>
    <x v="2"/>
    <x v="0"/>
    <x v="0"/>
    <x v="882"/>
    <x v="868"/>
    <x v="2"/>
    <x v="0"/>
  </r>
  <r>
    <s v="ORD00886"/>
    <x v="563"/>
    <x v="3"/>
    <x v="7"/>
    <x v="0"/>
    <x v="883"/>
    <x v="869"/>
    <x v="2"/>
    <x v="1"/>
  </r>
  <r>
    <s v="ORD00887"/>
    <x v="615"/>
    <x v="2"/>
    <x v="4"/>
    <x v="0"/>
    <x v="884"/>
    <x v="870"/>
    <x v="1"/>
    <x v="1"/>
  </r>
  <r>
    <s v="ORD00888"/>
    <x v="462"/>
    <x v="1"/>
    <x v="9"/>
    <x v="0"/>
    <x v="885"/>
    <x v="871"/>
    <x v="1"/>
    <x v="1"/>
  </r>
  <r>
    <s v="ORD00889"/>
    <x v="616"/>
    <x v="3"/>
    <x v="14"/>
    <x v="2"/>
    <x v="886"/>
    <x v="872"/>
    <x v="2"/>
    <x v="0"/>
  </r>
  <r>
    <s v="ORD00890"/>
    <x v="617"/>
    <x v="3"/>
    <x v="11"/>
    <x v="2"/>
    <x v="887"/>
    <x v="95"/>
    <x v="1"/>
    <x v="0"/>
  </r>
  <r>
    <s v="ORD00891"/>
    <x v="475"/>
    <x v="3"/>
    <x v="0"/>
    <x v="0"/>
    <x v="888"/>
    <x v="873"/>
    <x v="2"/>
    <x v="3"/>
  </r>
  <r>
    <s v="ORD00892"/>
    <x v="618"/>
    <x v="0"/>
    <x v="3"/>
    <x v="2"/>
    <x v="889"/>
    <x v="874"/>
    <x v="0"/>
    <x v="0"/>
  </r>
  <r>
    <s v="ORD00893"/>
    <x v="619"/>
    <x v="1"/>
    <x v="10"/>
    <x v="2"/>
    <x v="890"/>
    <x v="875"/>
    <x v="1"/>
    <x v="0"/>
  </r>
  <r>
    <s v="ORD00894"/>
    <x v="620"/>
    <x v="2"/>
    <x v="14"/>
    <x v="2"/>
    <x v="891"/>
    <x v="876"/>
    <x v="2"/>
    <x v="0"/>
  </r>
  <r>
    <s v="ORD00895"/>
    <x v="546"/>
    <x v="1"/>
    <x v="7"/>
    <x v="0"/>
    <x v="892"/>
    <x v="877"/>
    <x v="0"/>
    <x v="1"/>
  </r>
  <r>
    <s v="ORD00896"/>
    <x v="621"/>
    <x v="0"/>
    <x v="11"/>
    <x v="2"/>
    <x v="893"/>
    <x v="878"/>
    <x v="1"/>
    <x v="1"/>
  </r>
  <r>
    <s v="ORD00897"/>
    <x v="500"/>
    <x v="0"/>
    <x v="8"/>
    <x v="1"/>
    <x v="894"/>
    <x v="879"/>
    <x v="2"/>
    <x v="1"/>
  </r>
  <r>
    <s v="ORD00898"/>
    <x v="622"/>
    <x v="3"/>
    <x v="10"/>
    <x v="2"/>
    <x v="895"/>
    <x v="880"/>
    <x v="1"/>
    <x v="0"/>
  </r>
  <r>
    <s v="ORD00899"/>
    <x v="623"/>
    <x v="1"/>
    <x v="8"/>
    <x v="1"/>
    <x v="896"/>
    <x v="881"/>
    <x v="0"/>
    <x v="0"/>
  </r>
  <r>
    <s v="ORD00900"/>
    <x v="326"/>
    <x v="1"/>
    <x v="3"/>
    <x v="2"/>
    <x v="897"/>
    <x v="882"/>
    <x v="1"/>
    <x v="1"/>
  </r>
  <r>
    <s v="ORD00901"/>
    <x v="624"/>
    <x v="3"/>
    <x v="6"/>
    <x v="0"/>
    <x v="898"/>
    <x v="883"/>
    <x v="2"/>
    <x v="2"/>
  </r>
  <r>
    <s v="ORD00902"/>
    <x v="625"/>
    <x v="1"/>
    <x v="3"/>
    <x v="2"/>
    <x v="899"/>
    <x v="884"/>
    <x v="1"/>
    <x v="3"/>
  </r>
  <r>
    <s v="ORD00903"/>
    <x v="35"/>
    <x v="2"/>
    <x v="8"/>
    <x v="1"/>
    <x v="900"/>
    <x v="885"/>
    <x v="2"/>
    <x v="2"/>
  </r>
  <r>
    <s v="ORD00904"/>
    <x v="626"/>
    <x v="1"/>
    <x v="5"/>
    <x v="1"/>
    <x v="901"/>
    <x v="886"/>
    <x v="2"/>
    <x v="0"/>
  </r>
  <r>
    <s v="ORD00905"/>
    <x v="381"/>
    <x v="0"/>
    <x v="8"/>
    <x v="1"/>
    <x v="902"/>
    <x v="887"/>
    <x v="1"/>
    <x v="2"/>
  </r>
  <r>
    <s v="ORD00906"/>
    <x v="627"/>
    <x v="0"/>
    <x v="10"/>
    <x v="2"/>
    <x v="903"/>
    <x v="888"/>
    <x v="2"/>
    <x v="0"/>
  </r>
  <r>
    <s v="ORD00907"/>
    <x v="126"/>
    <x v="0"/>
    <x v="7"/>
    <x v="0"/>
    <x v="904"/>
    <x v="889"/>
    <x v="1"/>
    <x v="0"/>
  </r>
  <r>
    <s v="ORD00908"/>
    <x v="628"/>
    <x v="3"/>
    <x v="4"/>
    <x v="0"/>
    <x v="905"/>
    <x v="890"/>
    <x v="2"/>
    <x v="0"/>
  </r>
  <r>
    <s v="ORD00909"/>
    <x v="108"/>
    <x v="3"/>
    <x v="0"/>
    <x v="0"/>
    <x v="906"/>
    <x v="891"/>
    <x v="1"/>
    <x v="3"/>
  </r>
  <r>
    <s v="ORD00910"/>
    <x v="629"/>
    <x v="0"/>
    <x v="14"/>
    <x v="2"/>
    <x v="907"/>
    <x v="892"/>
    <x v="1"/>
    <x v="3"/>
  </r>
  <r>
    <s v="ORD00911"/>
    <x v="3"/>
    <x v="0"/>
    <x v="10"/>
    <x v="2"/>
    <x v="908"/>
    <x v="893"/>
    <x v="2"/>
    <x v="2"/>
  </r>
  <r>
    <s v="ORD00912"/>
    <x v="630"/>
    <x v="0"/>
    <x v="12"/>
    <x v="2"/>
    <x v="909"/>
    <x v="894"/>
    <x v="0"/>
    <x v="1"/>
  </r>
  <r>
    <s v="ORD00913"/>
    <x v="246"/>
    <x v="3"/>
    <x v="5"/>
    <x v="1"/>
    <x v="910"/>
    <x v="895"/>
    <x v="2"/>
    <x v="2"/>
  </r>
  <r>
    <s v="ORD00914"/>
    <x v="631"/>
    <x v="2"/>
    <x v="12"/>
    <x v="2"/>
    <x v="911"/>
    <x v="896"/>
    <x v="0"/>
    <x v="2"/>
  </r>
  <r>
    <s v="ORD00915"/>
    <x v="426"/>
    <x v="1"/>
    <x v="12"/>
    <x v="2"/>
    <x v="912"/>
    <x v="897"/>
    <x v="0"/>
    <x v="2"/>
  </r>
  <r>
    <s v="ORD00916"/>
    <x v="300"/>
    <x v="0"/>
    <x v="14"/>
    <x v="2"/>
    <x v="913"/>
    <x v="898"/>
    <x v="2"/>
    <x v="1"/>
  </r>
  <r>
    <s v="ORD00917"/>
    <x v="170"/>
    <x v="0"/>
    <x v="12"/>
    <x v="2"/>
    <x v="914"/>
    <x v="899"/>
    <x v="2"/>
    <x v="1"/>
  </r>
  <r>
    <s v="ORD00918"/>
    <x v="632"/>
    <x v="0"/>
    <x v="11"/>
    <x v="2"/>
    <x v="915"/>
    <x v="900"/>
    <x v="0"/>
    <x v="0"/>
  </r>
  <r>
    <s v="ORD00919"/>
    <x v="119"/>
    <x v="3"/>
    <x v="1"/>
    <x v="1"/>
    <x v="916"/>
    <x v="901"/>
    <x v="2"/>
    <x v="1"/>
  </r>
  <r>
    <s v="ORD00920"/>
    <x v="633"/>
    <x v="3"/>
    <x v="13"/>
    <x v="1"/>
    <x v="917"/>
    <x v="902"/>
    <x v="2"/>
    <x v="0"/>
  </r>
  <r>
    <s v="ORD00921"/>
    <x v="182"/>
    <x v="1"/>
    <x v="11"/>
    <x v="2"/>
    <x v="918"/>
    <x v="903"/>
    <x v="2"/>
    <x v="3"/>
  </r>
  <r>
    <s v="ORD00922"/>
    <x v="634"/>
    <x v="2"/>
    <x v="1"/>
    <x v="1"/>
    <x v="919"/>
    <x v="904"/>
    <x v="1"/>
    <x v="3"/>
  </r>
  <r>
    <s v="ORD00923"/>
    <x v="124"/>
    <x v="3"/>
    <x v="0"/>
    <x v="0"/>
    <x v="920"/>
    <x v="905"/>
    <x v="1"/>
    <x v="3"/>
  </r>
  <r>
    <s v="ORD00924"/>
    <x v="3"/>
    <x v="3"/>
    <x v="0"/>
    <x v="0"/>
    <x v="921"/>
    <x v="906"/>
    <x v="2"/>
    <x v="3"/>
  </r>
  <r>
    <s v="ORD00925"/>
    <x v="635"/>
    <x v="1"/>
    <x v="3"/>
    <x v="2"/>
    <x v="922"/>
    <x v="907"/>
    <x v="2"/>
    <x v="1"/>
  </r>
  <r>
    <s v="ORD00926"/>
    <x v="125"/>
    <x v="0"/>
    <x v="7"/>
    <x v="0"/>
    <x v="923"/>
    <x v="908"/>
    <x v="2"/>
    <x v="2"/>
  </r>
  <r>
    <s v="ORD00927"/>
    <x v="636"/>
    <x v="0"/>
    <x v="2"/>
    <x v="1"/>
    <x v="924"/>
    <x v="909"/>
    <x v="0"/>
    <x v="3"/>
  </r>
  <r>
    <s v="ORD00928"/>
    <x v="637"/>
    <x v="1"/>
    <x v="13"/>
    <x v="1"/>
    <x v="925"/>
    <x v="910"/>
    <x v="2"/>
    <x v="2"/>
  </r>
  <r>
    <s v="ORD00929"/>
    <x v="638"/>
    <x v="0"/>
    <x v="6"/>
    <x v="0"/>
    <x v="926"/>
    <x v="911"/>
    <x v="0"/>
    <x v="1"/>
  </r>
  <r>
    <s v="ORD00930"/>
    <x v="15"/>
    <x v="2"/>
    <x v="9"/>
    <x v="0"/>
    <x v="927"/>
    <x v="912"/>
    <x v="0"/>
    <x v="0"/>
  </r>
  <r>
    <s v="ORD00931"/>
    <x v="17"/>
    <x v="1"/>
    <x v="13"/>
    <x v="1"/>
    <x v="928"/>
    <x v="913"/>
    <x v="2"/>
    <x v="1"/>
  </r>
  <r>
    <s v="ORD00932"/>
    <x v="548"/>
    <x v="0"/>
    <x v="0"/>
    <x v="0"/>
    <x v="929"/>
    <x v="914"/>
    <x v="2"/>
    <x v="0"/>
  </r>
  <r>
    <s v="ORD00933"/>
    <x v="639"/>
    <x v="2"/>
    <x v="5"/>
    <x v="1"/>
    <x v="930"/>
    <x v="915"/>
    <x v="0"/>
    <x v="3"/>
  </r>
  <r>
    <s v="ORD00934"/>
    <x v="471"/>
    <x v="2"/>
    <x v="13"/>
    <x v="1"/>
    <x v="931"/>
    <x v="916"/>
    <x v="0"/>
    <x v="2"/>
  </r>
  <r>
    <s v="ORD00935"/>
    <x v="22"/>
    <x v="3"/>
    <x v="5"/>
    <x v="1"/>
    <x v="932"/>
    <x v="917"/>
    <x v="2"/>
    <x v="3"/>
  </r>
  <r>
    <s v="ORD00936"/>
    <x v="640"/>
    <x v="1"/>
    <x v="9"/>
    <x v="0"/>
    <x v="933"/>
    <x v="918"/>
    <x v="0"/>
    <x v="3"/>
  </r>
  <r>
    <s v="ORD00937"/>
    <x v="641"/>
    <x v="3"/>
    <x v="10"/>
    <x v="2"/>
    <x v="934"/>
    <x v="919"/>
    <x v="2"/>
    <x v="0"/>
  </r>
  <r>
    <s v="ORD00938"/>
    <x v="478"/>
    <x v="3"/>
    <x v="6"/>
    <x v="0"/>
    <x v="935"/>
    <x v="920"/>
    <x v="2"/>
    <x v="0"/>
  </r>
  <r>
    <s v="ORD00939"/>
    <x v="272"/>
    <x v="1"/>
    <x v="14"/>
    <x v="2"/>
    <x v="936"/>
    <x v="921"/>
    <x v="1"/>
    <x v="2"/>
  </r>
  <r>
    <s v="ORD00940"/>
    <x v="177"/>
    <x v="2"/>
    <x v="1"/>
    <x v="1"/>
    <x v="937"/>
    <x v="922"/>
    <x v="1"/>
    <x v="2"/>
  </r>
  <r>
    <s v="ORD00941"/>
    <x v="127"/>
    <x v="3"/>
    <x v="5"/>
    <x v="1"/>
    <x v="938"/>
    <x v="923"/>
    <x v="0"/>
    <x v="0"/>
  </r>
  <r>
    <s v="ORD00942"/>
    <x v="642"/>
    <x v="2"/>
    <x v="11"/>
    <x v="2"/>
    <x v="939"/>
    <x v="924"/>
    <x v="0"/>
    <x v="0"/>
  </r>
  <r>
    <s v="ORD00943"/>
    <x v="643"/>
    <x v="0"/>
    <x v="14"/>
    <x v="2"/>
    <x v="940"/>
    <x v="925"/>
    <x v="1"/>
    <x v="3"/>
  </r>
  <r>
    <s v="ORD00944"/>
    <x v="644"/>
    <x v="1"/>
    <x v="2"/>
    <x v="1"/>
    <x v="941"/>
    <x v="926"/>
    <x v="2"/>
    <x v="0"/>
  </r>
  <r>
    <s v="ORD00945"/>
    <x v="211"/>
    <x v="3"/>
    <x v="6"/>
    <x v="0"/>
    <x v="942"/>
    <x v="538"/>
    <x v="1"/>
    <x v="3"/>
  </r>
  <r>
    <s v="ORD00946"/>
    <x v="645"/>
    <x v="1"/>
    <x v="7"/>
    <x v="0"/>
    <x v="943"/>
    <x v="927"/>
    <x v="0"/>
    <x v="2"/>
  </r>
  <r>
    <s v="ORD00947"/>
    <x v="113"/>
    <x v="3"/>
    <x v="2"/>
    <x v="1"/>
    <x v="944"/>
    <x v="928"/>
    <x v="1"/>
    <x v="1"/>
  </r>
  <r>
    <s v="ORD00948"/>
    <x v="646"/>
    <x v="3"/>
    <x v="1"/>
    <x v="1"/>
    <x v="945"/>
    <x v="929"/>
    <x v="2"/>
    <x v="2"/>
  </r>
  <r>
    <s v="ORD00949"/>
    <x v="539"/>
    <x v="2"/>
    <x v="1"/>
    <x v="1"/>
    <x v="946"/>
    <x v="930"/>
    <x v="1"/>
    <x v="1"/>
  </r>
  <r>
    <s v="ORD00950"/>
    <x v="265"/>
    <x v="1"/>
    <x v="0"/>
    <x v="0"/>
    <x v="947"/>
    <x v="931"/>
    <x v="2"/>
    <x v="0"/>
  </r>
  <r>
    <s v="ORD00951"/>
    <x v="408"/>
    <x v="0"/>
    <x v="11"/>
    <x v="2"/>
    <x v="948"/>
    <x v="932"/>
    <x v="1"/>
    <x v="2"/>
  </r>
  <r>
    <s v="ORD00952"/>
    <x v="647"/>
    <x v="0"/>
    <x v="11"/>
    <x v="2"/>
    <x v="949"/>
    <x v="933"/>
    <x v="0"/>
    <x v="3"/>
  </r>
  <r>
    <s v="ORD00953"/>
    <x v="588"/>
    <x v="3"/>
    <x v="14"/>
    <x v="2"/>
    <x v="950"/>
    <x v="934"/>
    <x v="2"/>
    <x v="0"/>
  </r>
  <r>
    <s v="ORD00954"/>
    <x v="648"/>
    <x v="3"/>
    <x v="6"/>
    <x v="0"/>
    <x v="951"/>
    <x v="935"/>
    <x v="2"/>
    <x v="2"/>
  </r>
  <r>
    <s v="ORD00955"/>
    <x v="649"/>
    <x v="0"/>
    <x v="0"/>
    <x v="0"/>
    <x v="952"/>
    <x v="936"/>
    <x v="2"/>
    <x v="3"/>
  </r>
  <r>
    <s v="ORD00956"/>
    <x v="409"/>
    <x v="1"/>
    <x v="13"/>
    <x v="1"/>
    <x v="953"/>
    <x v="937"/>
    <x v="2"/>
    <x v="3"/>
  </r>
  <r>
    <s v="ORD00957"/>
    <x v="322"/>
    <x v="3"/>
    <x v="9"/>
    <x v="0"/>
    <x v="954"/>
    <x v="938"/>
    <x v="1"/>
    <x v="0"/>
  </r>
  <r>
    <s v="ORD00958"/>
    <x v="423"/>
    <x v="0"/>
    <x v="11"/>
    <x v="2"/>
    <x v="955"/>
    <x v="939"/>
    <x v="0"/>
    <x v="1"/>
  </r>
  <r>
    <s v="ORD00959"/>
    <x v="650"/>
    <x v="3"/>
    <x v="9"/>
    <x v="0"/>
    <x v="956"/>
    <x v="882"/>
    <x v="2"/>
    <x v="0"/>
  </r>
  <r>
    <s v="ORD00960"/>
    <x v="385"/>
    <x v="1"/>
    <x v="4"/>
    <x v="0"/>
    <x v="957"/>
    <x v="940"/>
    <x v="1"/>
    <x v="1"/>
  </r>
  <r>
    <s v="ORD00961"/>
    <x v="651"/>
    <x v="3"/>
    <x v="9"/>
    <x v="0"/>
    <x v="958"/>
    <x v="941"/>
    <x v="0"/>
    <x v="0"/>
  </r>
  <r>
    <s v="ORD00962"/>
    <x v="335"/>
    <x v="2"/>
    <x v="4"/>
    <x v="0"/>
    <x v="959"/>
    <x v="942"/>
    <x v="2"/>
    <x v="2"/>
  </r>
  <r>
    <s v="ORD00963"/>
    <x v="374"/>
    <x v="0"/>
    <x v="6"/>
    <x v="0"/>
    <x v="960"/>
    <x v="943"/>
    <x v="0"/>
    <x v="0"/>
  </r>
  <r>
    <s v="ORD00964"/>
    <x v="652"/>
    <x v="2"/>
    <x v="5"/>
    <x v="1"/>
    <x v="961"/>
    <x v="944"/>
    <x v="0"/>
    <x v="3"/>
  </r>
  <r>
    <s v="ORD00965"/>
    <x v="223"/>
    <x v="2"/>
    <x v="13"/>
    <x v="1"/>
    <x v="962"/>
    <x v="945"/>
    <x v="0"/>
    <x v="2"/>
  </r>
  <r>
    <s v="ORD00966"/>
    <x v="452"/>
    <x v="0"/>
    <x v="7"/>
    <x v="0"/>
    <x v="963"/>
    <x v="946"/>
    <x v="2"/>
    <x v="2"/>
  </r>
  <r>
    <s v="ORD00967"/>
    <x v="653"/>
    <x v="0"/>
    <x v="8"/>
    <x v="1"/>
    <x v="964"/>
    <x v="947"/>
    <x v="2"/>
    <x v="3"/>
  </r>
  <r>
    <s v="ORD00968"/>
    <x v="654"/>
    <x v="2"/>
    <x v="14"/>
    <x v="2"/>
    <x v="965"/>
    <x v="948"/>
    <x v="0"/>
    <x v="0"/>
  </r>
  <r>
    <s v="ORD00969"/>
    <x v="655"/>
    <x v="0"/>
    <x v="11"/>
    <x v="2"/>
    <x v="966"/>
    <x v="949"/>
    <x v="0"/>
    <x v="0"/>
  </r>
  <r>
    <s v="ORD00970"/>
    <x v="285"/>
    <x v="3"/>
    <x v="10"/>
    <x v="2"/>
    <x v="967"/>
    <x v="950"/>
    <x v="0"/>
    <x v="1"/>
  </r>
  <r>
    <s v="ORD00971"/>
    <x v="152"/>
    <x v="0"/>
    <x v="3"/>
    <x v="2"/>
    <x v="968"/>
    <x v="951"/>
    <x v="0"/>
    <x v="0"/>
  </r>
  <r>
    <s v="ORD00972"/>
    <x v="656"/>
    <x v="3"/>
    <x v="1"/>
    <x v="1"/>
    <x v="969"/>
    <x v="952"/>
    <x v="2"/>
    <x v="2"/>
  </r>
  <r>
    <s v="ORD00973"/>
    <x v="614"/>
    <x v="1"/>
    <x v="14"/>
    <x v="2"/>
    <x v="970"/>
    <x v="953"/>
    <x v="0"/>
    <x v="2"/>
  </r>
  <r>
    <s v="ORD00974"/>
    <x v="657"/>
    <x v="3"/>
    <x v="11"/>
    <x v="2"/>
    <x v="971"/>
    <x v="954"/>
    <x v="2"/>
    <x v="3"/>
  </r>
  <r>
    <s v="ORD00975"/>
    <x v="658"/>
    <x v="0"/>
    <x v="11"/>
    <x v="2"/>
    <x v="972"/>
    <x v="955"/>
    <x v="2"/>
    <x v="3"/>
  </r>
  <r>
    <s v="ORD00976"/>
    <x v="659"/>
    <x v="1"/>
    <x v="11"/>
    <x v="2"/>
    <x v="973"/>
    <x v="956"/>
    <x v="2"/>
    <x v="1"/>
  </r>
  <r>
    <s v="ORD00977"/>
    <x v="660"/>
    <x v="1"/>
    <x v="13"/>
    <x v="1"/>
    <x v="974"/>
    <x v="957"/>
    <x v="0"/>
    <x v="2"/>
  </r>
  <r>
    <s v="ORD00978"/>
    <x v="606"/>
    <x v="3"/>
    <x v="9"/>
    <x v="0"/>
    <x v="975"/>
    <x v="958"/>
    <x v="0"/>
    <x v="2"/>
  </r>
  <r>
    <s v="ORD00979"/>
    <x v="661"/>
    <x v="0"/>
    <x v="1"/>
    <x v="1"/>
    <x v="976"/>
    <x v="959"/>
    <x v="2"/>
    <x v="0"/>
  </r>
  <r>
    <s v="ORD00980"/>
    <x v="662"/>
    <x v="2"/>
    <x v="6"/>
    <x v="0"/>
    <x v="977"/>
    <x v="960"/>
    <x v="2"/>
    <x v="3"/>
  </r>
  <r>
    <s v="ORD00981"/>
    <x v="663"/>
    <x v="0"/>
    <x v="11"/>
    <x v="2"/>
    <x v="978"/>
    <x v="961"/>
    <x v="2"/>
    <x v="1"/>
  </r>
  <r>
    <s v="ORD00982"/>
    <x v="664"/>
    <x v="2"/>
    <x v="10"/>
    <x v="2"/>
    <x v="979"/>
    <x v="962"/>
    <x v="0"/>
    <x v="3"/>
  </r>
  <r>
    <s v="ORD00983"/>
    <x v="241"/>
    <x v="0"/>
    <x v="5"/>
    <x v="1"/>
    <x v="980"/>
    <x v="963"/>
    <x v="2"/>
    <x v="1"/>
  </r>
  <r>
    <s v="ORD00984"/>
    <x v="665"/>
    <x v="3"/>
    <x v="5"/>
    <x v="1"/>
    <x v="981"/>
    <x v="964"/>
    <x v="2"/>
    <x v="0"/>
  </r>
  <r>
    <s v="ORD00985"/>
    <x v="162"/>
    <x v="2"/>
    <x v="8"/>
    <x v="1"/>
    <x v="982"/>
    <x v="965"/>
    <x v="0"/>
    <x v="2"/>
  </r>
  <r>
    <s v="ORD00986"/>
    <x v="64"/>
    <x v="1"/>
    <x v="7"/>
    <x v="0"/>
    <x v="983"/>
    <x v="966"/>
    <x v="1"/>
    <x v="3"/>
  </r>
  <r>
    <s v="ORD00987"/>
    <x v="241"/>
    <x v="3"/>
    <x v="8"/>
    <x v="1"/>
    <x v="984"/>
    <x v="967"/>
    <x v="0"/>
    <x v="3"/>
  </r>
  <r>
    <s v="ORD00988"/>
    <x v="281"/>
    <x v="2"/>
    <x v="13"/>
    <x v="1"/>
    <x v="985"/>
    <x v="968"/>
    <x v="1"/>
    <x v="0"/>
  </r>
  <r>
    <s v="ORD00989"/>
    <x v="666"/>
    <x v="3"/>
    <x v="1"/>
    <x v="1"/>
    <x v="986"/>
    <x v="969"/>
    <x v="1"/>
    <x v="3"/>
  </r>
  <r>
    <s v="ORD00990"/>
    <x v="571"/>
    <x v="0"/>
    <x v="8"/>
    <x v="1"/>
    <x v="987"/>
    <x v="970"/>
    <x v="0"/>
    <x v="2"/>
  </r>
  <r>
    <s v="ORD00991"/>
    <x v="659"/>
    <x v="1"/>
    <x v="1"/>
    <x v="1"/>
    <x v="988"/>
    <x v="971"/>
    <x v="0"/>
    <x v="2"/>
  </r>
  <r>
    <s v="ORD00992"/>
    <x v="364"/>
    <x v="3"/>
    <x v="12"/>
    <x v="2"/>
    <x v="989"/>
    <x v="972"/>
    <x v="2"/>
    <x v="1"/>
  </r>
  <r>
    <s v="ORD00993"/>
    <x v="667"/>
    <x v="0"/>
    <x v="14"/>
    <x v="2"/>
    <x v="990"/>
    <x v="973"/>
    <x v="1"/>
    <x v="3"/>
  </r>
  <r>
    <s v="ORD00994"/>
    <x v="224"/>
    <x v="3"/>
    <x v="6"/>
    <x v="0"/>
    <x v="991"/>
    <x v="974"/>
    <x v="0"/>
    <x v="2"/>
  </r>
  <r>
    <s v="ORD00995"/>
    <x v="149"/>
    <x v="0"/>
    <x v="14"/>
    <x v="2"/>
    <x v="992"/>
    <x v="975"/>
    <x v="0"/>
    <x v="3"/>
  </r>
  <r>
    <s v="ORD00996"/>
    <x v="668"/>
    <x v="3"/>
    <x v="7"/>
    <x v="0"/>
    <x v="993"/>
    <x v="976"/>
    <x v="2"/>
    <x v="2"/>
  </r>
  <r>
    <s v="ORD00997"/>
    <x v="516"/>
    <x v="0"/>
    <x v="11"/>
    <x v="2"/>
    <x v="994"/>
    <x v="977"/>
    <x v="0"/>
    <x v="3"/>
  </r>
  <r>
    <s v="ORD00998"/>
    <x v="669"/>
    <x v="0"/>
    <x v="12"/>
    <x v="2"/>
    <x v="995"/>
    <x v="978"/>
    <x v="0"/>
    <x v="0"/>
  </r>
  <r>
    <s v="ORD00999"/>
    <x v="89"/>
    <x v="3"/>
    <x v="4"/>
    <x v="0"/>
    <x v="996"/>
    <x v="979"/>
    <x v="2"/>
    <x v="2"/>
  </r>
  <r>
    <s v="ORD01000"/>
    <x v="670"/>
    <x v="3"/>
    <x v="8"/>
    <x v="1"/>
    <x v="997"/>
    <x v="980"/>
    <x v="0"/>
    <x v="0"/>
  </r>
  <r>
    <s v="ORD01001"/>
    <x v="671"/>
    <x v="1"/>
    <x v="1"/>
    <x v="1"/>
    <x v="998"/>
    <x v="981"/>
    <x v="2"/>
    <x v="2"/>
  </r>
  <r>
    <s v="ORD01002"/>
    <x v="672"/>
    <x v="1"/>
    <x v="11"/>
    <x v="2"/>
    <x v="999"/>
    <x v="982"/>
    <x v="0"/>
    <x v="2"/>
  </r>
  <r>
    <s v="ORD01003"/>
    <x v="467"/>
    <x v="3"/>
    <x v="8"/>
    <x v="1"/>
    <x v="1000"/>
    <x v="983"/>
    <x v="0"/>
    <x v="0"/>
  </r>
  <r>
    <s v="ORD01004"/>
    <x v="200"/>
    <x v="3"/>
    <x v="11"/>
    <x v="2"/>
    <x v="1001"/>
    <x v="984"/>
    <x v="2"/>
    <x v="0"/>
  </r>
  <r>
    <s v="ORD01005"/>
    <x v="163"/>
    <x v="3"/>
    <x v="4"/>
    <x v="0"/>
    <x v="1002"/>
    <x v="985"/>
    <x v="0"/>
    <x v="3"/>
  </r>
  <r>
    <s v="ORD01006"/>
    <x v="673"/>
    <x v="0"/>
    <x v="9"/>
    <x v="0"/>
    <x v="1003"/>
    <x v="986"/>
    <x v="2"/>
    <x v="1"/>
  </r>
  <r>
    <s v="ORD01007"/>
    <x v="635"/>
    <x v="1"/>
    <x v="11"/>
    <x v="2"/>
    <x v="1004"/>
    <x v="987"/>
    <x v="0"/>
    <x v="2"/>
  </r>
  <r>
    <s v="ORD01008"/>
    <x v="134"/>
    <x v="0"/>
    <x v="6"/>
    <x v="0"/>
    <x v="1005"/>
    <x v="988"/>
    <x v="1"/>
    <x v="1"/>
  </r>
  <r>
    <s v="ORD01009"/>
    <x v="160"/>
    <x v="2"/>
    <x v="13"/>
    <x v="1"/>
    <x v="1006"/>
    <x v="989"/>
    <x v="0"/>
    <x v="0"/>
  </r>
  <r>
    <s v="ORD01010"/>
    <x v="97"/>
    <x v="0"/>
    <x v="14"/>
    <x v="2"/>
    <x v="1007"/>
    <x v="990"/>
    <x v="0"/>
    <x v="2"/>
  </r>
  <r>
    <s v="ORD01011"/>
    <x v="290"/>
    <x v="1"/>
    <x v="9"/>
    <x v="0"/>
    <x v="1008"/>
    <x v="991"/>
    <x v="0"/>
    <x v="3"/>
  </r>
  <r>
    <s v="ORD01012"/>
    <x v="674"/>
    <x v="1"/>
    <x v="1"/>
    <x v="1"/>
    <x v="1009"/>
    <x v="992"/>
    <x v="1"/>
    <x v="2"/>
  </r>
  <r>
    <s v="ORD01013"/>
    <x v="549"/>
    <x v="3"/>
    <x v="9"/>
    <x v="0"/>
    <x v="1010"/>
    <x v="993"/>
    <x v="1"/>
    <x v="0"/>
  </r>
  <r>
    <s v="ORD01014"/>
    <x v="253"/>
    <x v="2"/>
    <x v="14"/>
    <x v="2"/>
    <x v="1011"/>
    <x v="994"/>
    <x v="0"/>
    <x v="1"/>
  </r>
  <r>
    <s v="ORD01015"/>
    <x v="413"/>
    <x v="3"/>
    <x v="10"/>
    <x v="2"/>
    <x v="1012"/>
    <x v="995"/>
    <x v="1"/>
    <x v="1"/>
  </r>
  <r>
    <s v="ORD01016"/>
    <x v="675"/>
    <x v="2"/>
    <x v="3"/>
    <x v="2"/>
    <x v="1013"/>
    <x v="996"/>
    <x v="0"/>
    <x v="0"/>
  </r>
  <r>
    <s v="ORD01017"/>
    <x v="114"/>
    <x v="0"/>
    <x v="11"/>
    <x v="2"/>
    <x v="1014"/>
    <x v="997"/>
    <x v="0"/>
    <x v="2"/>
  </r>
  <r>
    <s v="ORD01018"/>
    <x v="598"/>
    <x v="3"/>
    <x v="10"/>
    <x v="2"/>
    <x v="1015"/>
    <x v="998"/>
    <x v="0"/>
    <x v="3"/>
  </r>
  <r>
    <s v="ORD01019"/>
    <x v="676"/>
    <x v="1"/>
    <x v="8"/>
    <x v="1"/>
    <x v="1016"/>
    <x v="999"/>
    <x v="1"/>
    <x v="1"/>
  </r>
  <r>
    <s v="ORD01020"/>
    <x v="677"/>
    <x v="0"/>
    <x v="3"/>
    <x v="2"/>
    <x v="1017"/>
    <x v="1000"/>
    <x v="0"/>
    <x v="1"/>
  </r>
  <r>
    <s v="ORD01021"/>
    <x v="484"/>
    <x v="2"/>
    <x v="4"/>
    <x v="0"/>
    <x v="1018"/>
    <x v="1001"/>
    <x v="1"/>
    <x v="3"/>
  </r>
  <r>
    <s v="ORD01022"/>
    <x v="678"/>
    <x v="0"/>
    <x v="7"/>
    <x v="0"/>
    <x v="1019"/>
    <x v="1002"/>
    <x v="1"/>
    <x v="3"/>
  </r>
  <r>
    <s v="ORD01023"/>
    <x v="258"/>
    <x v="0"/>
    <x v="12"/>
    <x v="2"/>
    <x v="1020"/>
    <x v="396"/>
    <x v="2"/>
    <x v="1"/>
  </r>
  <r>
    <s v="ORD01024"/>
    <x v="679"/>
    <x v="1"/>
    <x v="13"/>
    <x v="1"/>
    <x v="1021"/>
    <x v="1003"/>
    <x v="0"/>
    <x v="0"/>
  </r>
  <r>
    <s v="ORD01025"/>
    <x v="436"/>
    <x v="3"/>
    <x v="6"/>
    <x v="0"/>
    <x v="1022"/>
    <x v="1004"/>
    <x v="2"/>
    <x v="1"/>
  </r>
  <r>
    <s v="ORD01026"/>
    <x v="368"/>
    <x v="1"/>
    <x v="4"/>
    <x v="0"/>
    <x v="1023"/>
    <x v="1005"/>
    <x v="0"/>
    <x v="1"/>
  </r>
  <r>
    <s v="ORD01027"/>
    <x v="591"/>
    <x v="1"/>
    <x v="10"/>
    <x v="2"/>
    <x v="1024"/>
    <x v="1006"/>
    <x v="2"/>
    <x v="0"/>
  </r>
  <r>
    <s v="ORD01028"/>
    <x v="680"/>
    <x v="0"/>
    <x v="12"/>
    <x v="2"/>
    <x v="1025"/>
    <x v="843"/>
    <x v="0"/>
    <x v="3"/>
  </r>
  <r>
    <s v="ORD01029"/>
    <x v="681"/>
    <x v="1"/>
    <x v="4"/>
    <x v="0"/>
    <x v="1026"/>
    <x v="1007"/>
    <x v="0"/>
    <x v="0"/>
  </r>
  <r>
    <s v="ORD01030"/>
    <x v="682"/>
    <x v="1"/>
    <x v="13"/>
    <x v="1"/>
    <x v="1027"/>
    <x v="1008"/>
    <x v="1"/>
    <x v="0"/>
  </r>
  <r>
    <s v="ORD01031"/>
    <x v="683"/>
    <x v="1"/>
    <x v="13"/>
    <x v="1"/>
    <x v="1028"/>
    <x v="1009"/>
    <x v="0"/>
    <x v="3"/>
  </r>
  <r>
    <s v="ORD01032"/>
    <x v="171"/>
    <x v="0"/>
    <x v="7"/>
    <x v="0"/>
    <x v="1029"/>
    <x v="1010"/>
    <x v="0"/>
    <x v="3"/>
  </r>
  <r>
    <s v="ORD01033"/>
    <x v="517"/>
    <x v="1"/>
    <x v="13"/>
    <x v="1"/>
    <x v="1030"/>
    <x v="1011"/>
    <x v="0"/>
    <x v="2"/>
  </r>
  <r>
    <s v="ORD01034"/>
    <x v="213"/>
    <x v="1"/>
    <x v="12"/>
    <x v="2"/>
    <x v="1031"/>
    <x v="1012"/>
    <x v="2"/>
    <x v="3"/>
  </r>
  <r>
    <s v="ORD01035"/>
    <x v="678"/>
    <x v="1"/>
    <x v="9"/>
    <x v="0"/>
    <x v="1032"/>
    <x v="1013"/>
    <x v="2"/>
    <x v="1"/>
  </r>
  <r>
    <s v="ORD01036"/>
    <x v="59"/>
    <x v="1"/>
    <x v="0"/>
    <x v="0"/>
    <x v="1033"/>
    <x v="1014"/>
    <x v="0"/>
    <x v="0"/>
  </r>
  <r>
    <s v="ORD01037"/>
    <x v="191"/>
    <x v="0"/>
    <x v="5"/>
    <x v="1"/>
    <x v="1034"/>
    <x v="1015"/>
    <x v="0"/>
    <x v="0"/>
  </r>
  <r>
    <s v="ORD01038"/>
    <x v="418"/>
    <x v="1"/>
    <x v="0"/>
    <x v="0"/>
    <x v="1035"/>
    <x v="1016"/>
    <x v="1"/>
    <x v="0"/>
  </r>
  <r>
    <s v="ORD01039"/>
    <x v="684"/>
    <x v="1"/>
    <x v="3"/>
    <x v="2"/>
    <x v="1036"/>
    <x v="1017"/>
    <x v="2"/>
    <x v="2"/>
  </r>
  <r>
    <s v="ORD01040"/>
    <x v="288"/>
    <x v="3"/>
    <x v="10"/>
    <x v="2"/>
    <x v="1037"/>
    <x v="1018"/>
    <x v="1"/>
    <x v="0"/>
  </r>
  <r>
    <s v="ORD01041"/>
    <x v="685"/>
    <x v="3"/>
    <x v="10"/>
    <x v="2"/>
    <x v="1038"/>
    <x v="1019"/>
    <x v="0"/>
    <x v="1"/>
  </r>
  <r>
    <s v="ORD01042"/>
    <x v="686"/>
    <x v="2"/>
    <x v="12"/>
    <x v="2"/>
    <x v="1039"/>
    <x v="1020"/>
    <x v="2"/>
    <x v="3"/>
  </r>
  <r>
    <s v="ORD01043"/>
    <x v="687"/>
    <x v="1"/>
    <x v="4"/>
    <x v="0"/>
    <x v="1040"/>
    <x v="1021"/>
    <x v="2"/>
    <x v="1"/>
  </r>
  <r>
    <s v="ORD01044"/>
    <x v="688"/>
    <x v="1"/>
    <x v="9"/>
    <x v="0"/>
    <x v="1041"/>
    <x v="1022"/>
    <x v="1"/>
    <x v="1"/>
  </r>
  <r>
    <s v="ORD01045"/>
    <x v="617"/>
    <x v="1"/>
    <x v="8"/>
    <x v="1"/>
    <x v="310"/>
    <x v="1023"/>
    <x v="2"/>
    <x v="3"/>
  </r>
  <r>
    <s v="ORD01046"/>
    <x v="517"/>
    <x v="2"/>
    <x v="0"/>
    <x v="0"/>
    <x v="1042"/>
    <x v="1024"/>
    <x v="0"/>
    <x v="3"/>
  </r>
  <r>
    <s v="ORD01047"/>
    <x v="272"/>
    <x v="1"/>
    <x v="14"/>
    <x v="2"/>
    <x v="1043"/>
    <x v="1025"/>
    <x v="0"/>
    <x v="2"/>
  </r>
  <r>
    <s v="ORD01048"/>
    <x v="223"/>
    <x v="3"/>
    <x v="14"/>
    <x v="2"/>
    <x v="1044"/>
    <x v="1026"/>
    <x v="2"/>
    <x v="1"/>
  </r>
  <r>
    <s v="ORD01049"/>
    <x v="576"/>
    <x v="2"/>
    <x v="8"/>
    <x v="1"/>
    <x v="1045"/>
    <x v="1027"/>
    <x v="2"/>
    <x v="3"/>
  </r>
  <r>
    <s v="ORD01050"/>
    <x v="689"/>
    <x v="0"/>
    <x v="8"/>
    <x v="1"/>
    <x v="1046"/>
    <x v="1028"/>
    <x v="2"/>
    <x v="2"/>
  </r>
  <r>
    <s v="ORD01051"/>
    <x v="535"/>
    <x v="0"/>
    <x v="3"/>
    <x v="2"/>
    <x v="1047"/>
    <x v="1029"/>
    <x v="0"/>
    <x v="2"/>
  </r>
  <r>
    <s v="ORD01052"/>
    <x v="690"/>
    <x v="0"/>
    <x v="4"/>
    <x v="0"/>
    <x v="1048"/>
    <x v="1030"/>
    <x v="2"/>
    <x v="1"/>
  </r>
  <r>
    <s v="ORD01053"/>
    <x v="691"/>
    <x v="0"/>
    <x v="4"/>
    <x v="0"/>
    <x v="1049"/>
    <x v="1031"/>
    <x v="2"/>
    <x v="1"/>
  </r>
  <r>
    <s v="ORD01054"/>
    <x v="692"/>
    <x v="1"/>
    <x v="10"/>
    <x v="2"/>
    <x v="1050"/>
    <x v="1032"/>
    <x v="0"/>
    <x v="3"/>
  </r>
  <r>
    <s v="ORD01055"/>
    <x v="546"/>
    <x v="0"/>
    <x v="13"/>
    <x v="1"/>
    <x v="1051"/>
    <x v="1033"/>
    <x v="1"/>
    <x v="2"/>
  </r>
  <r>
    <s v="ORD01056"/>
    <x v="18"/>
    <x v="1"/>
    <x v="7"/>
    <x v="0"/>
    <x v="1052"/>
    <x v="1034"/>
    <x v="0"/>
    <x v="0"/>
  </r>
  <r>
    <s v="ORD01057"/>
    <x v="693"/>
    <x v="1"/>
    <x v="6"/>
    <x v="0"/>
    <x v="1053"/>
    <x v="1035"/>
    <x v="2"/>
    <x v="2"/>
  </r>
  <r>
    <s v="ORD01058"/>
    <x v="694"/>
    <x v="3"/>
    <x v="1"/>
    <x v="1"/>
    <x v="1054"/>
    <x v="1036"/>
    <x v="1"/>
    <x v="0"/>
  </r>
  <r>
    <s v="ORD01059"/>
    <x v="634"/>
    <x v="2"/>
    <x v="11"/>
    <x v="2"/>
    <x v="1055"/>
    <x v="1037"/>
    <x v="2"/>
    <x v="2"/>
  </r>
  <r>
    <s v="ORD01060"/>
    <x v="655"/>
    <x v="1"/>
    <x v="14"/>
    <x v="2"/>
    <x v="1056"/>
    <x v="1038"/>
    <x v="1"/>
    <x v="1"/>
  </r>
  <r>
    <s v="ORD01061"/>
    <x v="594"/>
    <x v="1"/>
    <x v="6"/>
    <x v="0"/>
    <x v="1057"/>
    <x v="1039"/>
    <x v="2"/>
    <x v="3"/>
  </r>
  <r>
    <s v="ORD01062"/>
    <x v="695"/>
    <x v="3"/>
    <x v="12"/>
    <x v="2"/>
    <x v="1058"/>
    <x v="1040"/>
    <x v="1"/>
    <x v="3"/>
  </r>
  <r>
    <s v="ORD01063"/>
    <x v="696"/>
    <x v="1"/>
    <x v="10"/>
    <x v="2"/>
    <x v="1059"/>
    <x v="1041"/>
    <x v="1"/>
    <x v="1"/>
  </r>
  <r>
    <s v="ORD01064"/>
    <x v="183"/>
    <x v="1"/>
    <x v="5"/>
    <x v="1"/>
    <x v="1060"/>
    <x v="1042"/>
    <x v="1"/>
    <x v="2"/>
  </r>
  <r>
    <s v="ORD01065"/>
    <x v="326"/>
    <x v="1"/>
    <x v="4"/>
    <x v="0"/>
    <x v="1061"/>
    <x v="1043"/>
    <x v="1"/>
    <x v="0"/>
  </r>
  <r>
    <s v="ORD01066"/>
    <x v="697"/>
    <x v="3"/>
    <x v="5"/>
    <x v="1"/>
    <x v="1062"/>
    <x v="1044"/>
    <x v="1"/>
    <x v="2"/>
  </r>
  <r>
    <s v="ORD01067"/>
    <x v="698"/>
    <x v="0"/>
    <x v="6"/>
    <x v="0"/>
    <x v="1063"/>
    <x v="1045"/>
    <x v="1"/>
    <x v="1"/>
  </r>
  <r>
    <s v="ORD01068"/>
    <x v="699"/>
    <x v="3"/>
    <x v="3"/>
    <x v="2"/>
    <x v="1064"/>
    <x v="1046"/>
    <x v="0"/>
    <x v="3"/>
  </r>
  <r>
    <s v="ORD01069"/>
    <x v="700"/>
    <x v="3"/>
    <x v="4"/>
    <x v="0"/>
    <x v="1065"/>
    <x v="1047"/>
    <x v="2"/>
    <x v="3"/>
  </r>
  <r>
    <s v="ORD01070"/>
    <x v="265"/>
    <x v="0"/>
    <x v="9"/>
    <x v="0"/>
    <x v="1066"/>
    <x v="1048"/>
    <x v="2"/>
    <x v="0"/>
  </r>
  <r>
    <s v="ORD01071"/>
    <x v="652"/>
    <x v="0"/>
    <x v="6"/>
    <x v="0"/>
    <x v="1067"/>
    <x v="1049"/>
    <x v="2"/>
    <x v="3"/>
  </r>
  <r>
    <s v="ORD01072"/>
    <x v="265"/>
    <x v="1"/>
    <x v="5"/>
    <x v="1"/>
    <x v="1068"/>
    <x v="1050"/>
    <x v="0"/>
    <x v="2"/>
  </r>
  <r>
    <s v="ORD01073"/>
    <x v="701"/>
    <x v="0"/>
    <x v="14"/>
    <x v="2"/>
    <x v="1069"/>
    <x v="1051"/>
    <x v="2"/>
    <x v="2"/>
  </r>
  <r>
    <s v="ORD01074"/>
    <x v="702"/>
    <x v="0"/>
    <x v="7"/>
    <x v="0"/>
    <x v="1070"/>
    <x v="1052"/>
    <x v="1"/>
    <x v="3"/>
  </r>
  <r>
    <s v="ORD01075"/>
    <x v="591"/>
    <x v="3"/>
    <x v="9"/>
    <x v="0"/>
    <x v="1071"/>
    <x v="1053"/>
    <x v="2"/>
    <x v="1"/>
  </r>
  <r>
    <s v="ORD01076"/>
    <x v="251"/>
    <x v="3"/>
    <x v="14"/>
    <x v="2"/>
    <x v="1072"/>
    <x v="1054"/>
    <x v="2"/>
    <x v="3"/>
  </r>
  <r>
    <s v="ORD01077"/>
    <x v="52"/>
    <x v="2"/>
    <x v="3"/>
    <x v="2"/>
    <x v="1073"/>
    <x v="1055"/>
    <x v="0"/>
    <x v="1"/>
  </r>
  <r>
    <s v="ORD01078"/>
    <x v="504"/>
    <x v="0"/>
    <x v="3"/>
    <x v="2"/>
    <x v="1074"/>
    <x v="1056"/>
    <x v="2"/>
    <x v="2"/>
  </r>
  <r>
    <s v="ORD01079"/>
    <x v="378"/>
    <x v="3"/>
    <x v="11"/>
    <x v="2"/>
    <x v="1075"/>
    <x v="1057"/>
    <x v="0"/>
    <x v="0"/>
  </r>
  <r>
    <s v="ORD01080"/>
    <x v="588"/>
    <x v="0"/>
    <x v="11"/>
    <x v="2"/>
    <x v="1076"/>
    <x v="1058"/>
    <x v="2"/>
    <x v="3"/>
  </r>
  <r>
    <s v="ORD01081"/>
    <x v="645"/>
    <x v="1"/>
    <x v="4"/>
    <x v="0"/>
    <x v="1077"/>
    <x v="1059"/>
    <x v="0"/>
    <x v="0"/>
  </r>
  <r>
    <s v="ORD01082"/>
    <x v="464"/>
    <x v="2"/>
    <x v="12"/>
    <x v="2"/>
    <x v="1078"/>
    <x v="1060"/>
    <x v="2"/>
    <x v="1"/>
  </r>
  <r>
    <s v="ORD01083"/>
    <x v="703"/>
    <x v="0"/>
    <x v="14"/>
    <x v="2"/>
    <x v="1079"/>
    <x v="1061"/>
    <x v="0"/>
    <x v="3"/>
  </r>
  <r>
    <s v="ORD01084"/>
    <x v="704"/>
    <x v="3"/>
    <x v="2"/>
    <x v="1"/>
    <x v="1080"/>
    <x v="1062"/>
    <x v="0"/>
    <x v="3"/>
  </r>
  <r>
    <s v="ORD01085"/>
    <x v="705"/>
    <x v="3"/>
    <x v="6"/>
    <x v="0"/>
    <x v="1081"/>
    <x v="1063"/>
    <x v="2"/>
    <x v="0"/>
  </r>
  <r>
    <s v="ORD01086"/>
    <x v="487"/>
    <x v="2"/>
    <x v="4"/>
    <x v="0"/>
    <x v="1082"/>
    <x v="1064"/>
    <x v="1"/>
    <x v="2"/>
  </r>
  <r>
    <s v="ORD01087"/>
    <x v="427"/>
    <x v="2"/>
    <x v="14"/>
    <x v="2"/>
    <x v="1083"/>
    <x v="1065"/>
    <x v="2"/>
    <x v="1"/>
  </r>
  <r>
    <s v="ORD01088"/>
    <x v="124"/>
    <x v="2"/>
    <x v="12"/>
    <x v="2"/>
    <x v="1084"/>
    <x v="1066"/>
    <x v="2"/>
    <x v="1"/>
  </r>
  <r>
    <s v="ORD01089"/>
    <x v="605"/>
    <x v="0"/>
    <x v="0"/>
    <x v="0"/>
    <x v="1085"/>
    <x v="1067"/>
    <x v="0"/>
    <x v="0"/>
  </r>
  <r>
    <s v="ORD01090"/>
    <x v="52"/>
    <x v="1"/>
    <x v="1"/>
    <x v="1"/>
    <x v="1086"/>
    <x v="1068"/>
    <x v="2"/>
    <x v="3"/>
  </r>
  <r>
    <s v="ORD01091"/>
    <x v="409"/>
    <x v="0"/>
    <x v="14"/>
    <x v="2"/>
    <x v="1087"/>
    <x v="1069"/>
    <x v="0"/>
    <x v="0"/>
  </r>
  <r>
    <s v="ORD01092"/>
    <x v="131"/>
    <x v="1"/>
    <x v="14"/>
    <x v="2"/>
    <x v="1088"/>
    <x v="1070"/>
    <x v="2"/>
    <x v="0"/>
  </r>
  <r>
    <s v="ORD01093"/>
    <x v="377"/>
    <x v="3"/>
    <x v="14"/>
    <x v="2"/>
    <x v="1089"/>
    <x v="1071"/>
    <x v="2"/>
    <x v="0"/>
  </r>
  <r>
    <s v="ORD01094"/>
    <x v="706"/>
    <x v="3"/>
    <x v="9"/>
    <x v="0"/>
    <x v="1090"/>
    <x v="1072"/>
    <x v="2"/>
    <x v="0"/>
  </r>
  <r>
    <s v="ORD01095"/>
    <x v="707"/>
    <x v="0"/>
    <x v="14"/>
    <x v="2"/>
    <x v="1091"/>
    <x v="1073"/>
    <x v="0"/>
    <x v="0"/>
  </r>
  <r>
    <s v="ORD01096"/>
    <x v="83"/>
    <x v="0"/>
    <x v="7"/>
    <x v="0"/>
    <x v="1092"/>
    <x v="1074"/>
    <x v="1"/>
    <x v="2"/>
  </r>
  <r>
    <s v="ORD01097"/>
    <x v="418"/>
    <x v="1"/>
    <x v="14"/>
    <x v="2"/>
    <x v="1093"/>
    <x v="1075"/>
    <x v="2"/>
    <x v="0"/>
  </r>
  <r>
    <s v="ORD01098"/>
    <x v="18"/>
    <x v="1"/>
    <x v="13"/>
    <x v="1"/>
    <x v="1094"/>
    <x v="1076"/>
    <x v="2"/>
    <x v="0"/>
  </r>
  <r>
    <s v="ORD01099"/>
    <x v="504"/>
    <x v="0"/>
    <x v="7"/>
    <x v="0"/>
    <x v="1095"/>
    <x v="1077"/>
    <x v="2"/>
    <x v="3"/>
  </r>
  <r>
    <s v="ORD01100"/>
    <x v="220"/>
    <x v="3"/>
    <x v="4"/>
    <x v="0"/>
    <x v="1096"/>
    <x v="1078"/>
    <x v="0"/>
    <x v="2"/>
  </r>
  <r>
    <s v="ORD01101"/>
    <x v="708"/>
    <x v="3"/>
    <x v="4"/>
    <x v="0"/>
    <x v="1097"/>
    <x v="1079"/>
    <x v="2"/>
    <x v="2"/>
  </r>
  <r>
    <s v="ORD01102"/>
    <x v="533"/>
    <x v="2"/>
    <x v="7"/>
    <x v="0"/>
    <x v="1098"/>
    <x v="1080"/>
    <x v="2"/>
    <x v="3"/>
  </r>
  <r>
    <s v="ORD01103"/>
    <x v="709"/>
    <x v="1"/>
    <x v="13"/>
    <x v="1"/>
    <x v="1099"/>
    <x v="1081"/>
    <x v="0"/>
    <x v="3"/>
  </r>
  <r>
    <s v="ORD01104"/>
    <x v="710"/>
    <x v="3"/>
    <x v="12"/>
    <x v="2"/>
    <x v="1100"/>
    <x v="1082"/>
    <x v="2"/>
    <x v="1"/>
  </r>
  <r>
    <s v="ORD01105"/>
    <x v="711"/>
    <x v="3"/>
    <x v="4"/>
    <x v="0"/>
    <x v="1101"/>
    <x v="1083"/>
    <x v="1"/>
    <x v="1"/>
  </r>
  <r>
    <s v="ORD01106"/>
    <x v="398"/>
    <x v="1"/>
    <x v="8"/>
    <x v="1"/>
    <x v="1102"/>
    <x v="1084"/>
    <x v="1"/>
    <x v="1"/>
  </r>
  <r>
    <s v="ORD01107"/>
    <x v="712"/>
    <x v="1"/>
    <x v="5"/>
    <x v="1"/>
    <x v="1103"/>
    <x v="1085"/>
    <x v="2"/>
    <x v="0"/>
  </r>
  <r>
    <s v="ORD01108"/>
    <x v="130"/>
    <x v="2"/>
    <x v="11"/>
    <x v="2"/>
    <x v="1104"/>
    <x v="1086"/>
    <x v="2"/>
    <x v="2"/>
  </r>
  <r>
    <s v="ORD01109"/>
    <x v="589"/>
    <x v="1"/>
    <x v="13"/>
    <x v="1"/>
    <x v="1105"/>
    <x v="1087"/>
    <x v="2"/>
    <x v="1"/>
  </r>
  <r>
    <s v="ORD01110"/>
    <x v="33"/>
    <x v="3"/>
    <x v="9"/>
    <x v="0"/>
    <x v="1106"/>
    <x v="1088"/>
    <x v="1"/>
    <x v="0"/>
  </r>
  <r>
    <s v="ORD01111"/>
    <x v="713"/>
    <x v="2"/>
    <x v="6"/>
    <x v="0"/>
    <x v="1107"/>
    <x v="1089"/>
    <x v="1"/>
    <x v="2"/>
  </r>
  <r>
    <s v="ORD01112"/>
    <x v="542"/>
    <x v="1"/>
    <x v="12"/>
    <x v="2"/>
    <x v="1108"/>
    <x v="1090"/>
    <x v="1"/>
    <x v="2"/>
  </r>
  <r>
    <s v="ORD01113"/>
    <x v="714"/>
    <x v="1"/>
    <x v="8"/>
    <x v="1"/>
    <x v="1109"/>
    <x v="1091"/>
    <x v="0"/>
    <x v="3"/>
  </r>
  <r>
    <s v="ORD01114"/>
    <x v="486"/>
    <x v="0"/>
    <x v="11"/>
    <x v="2"/>
    <x v="1110"/>
    <x v="1092"/>
    <x v="1"/>
    <x v="1"/>
  </r>
  <r>
    <s v="ORD01115"/>
    <x v="136"/>
    <x v="0"/>
    <x v="2"/>
    <x v="1"/>
    <x v="1111"/>
    <x v="1093"/>
    <x v="2"/>
    <x v="0"/>
  </r>
  <r>
    <s v="ORD01116"/>
    <x v="313"/>
    <x v="0"/>
    <x v="1"/>
    <x v="1"/>
    <x v="1112"/>
    <x v="1094"/>
    <x v="1"/>
    <x v="3"/>
  </r>
  <r>
    <s v="ORD01117"/>
    <x v="112"/>
    <x v="1"/>
    <x v="12"/>
    <x v="2"/>
    <x v="1113"/>
    <x v="1095"/>
    <x v="1"/>
    <x v="2"/>
  </r>
  <r>
    <s v="ORD01118"/>
    <x v="158"/>
    <x v="0"/>
    <x v="9"/>
    <x v="0"/>
    <x v="1114"/>
    <x v="1096"/>
    <x v="1"/>
    <x v="1"/>
  </r>
  <r>
    <s v="ORD01119"/>
    <x v="715"/>
    <x v="0"/>
    <x v="5"/>
    <x v="1"/>
    <x v="1115"/>
    <x v="1097"/>
    <x v="2"/>
    <x v="2"/>
  </r>
  <r>
    <s v="ORD01120"/>
    <x v="125"/>
    <x v="0"/>
    <x v="0"/>
    <x v="0"/>
    <x v="1116"/>
    <x v="1098"/>
    <x v="0"/>
    <x v="2"/>
  </r>
  <r>
    <s v="ORD01121"/>
    <x v="206"/>
    <x v="1"/>
    <x v="0"/>
    <x v="0"/>
    <x v="1117"/>
    <x v="1099"/>
    <x v="0"/>
    <x v="1"/>
  </r>
  <r>
    <s v="ORD01122"/>
    <x v="675"/>
    <x v="0"/>
    <x v="9"/>
    <x v="0"/>
    <x v="1118"/>
    <x v="229"/>
    <x v="2"/>
    <x v="1"/>
  </r>
  <r>
    <s v="ORD01123"/>
    <x v="716"/>
    <x v="3"/>
    <x v="6"/>
    <x v="0"/>
    <x v="1119"/>
    <x v="1100"/>
    <x v="2"/>
    <x v="1"/>
  </r>
  <r>
    <s v="ORD01124"/>
    <x v="70"/>
    <x v="2"/>
    <x v="12"/>
    <x v="2"/>
    <x v="1120"/>
    <x v="1101"/>
    <x v="0"/>
    <x v="2"/>
  </r>
  <r>
    <s v="ORD01125"/>
    <x v="717"/>
    <x v="3"/>
    <x v="4"/>
    <x v="0"/>
    <x v="1121"/>
    <x v="1102"/>
    <x v="0"/>
    <x v="1"/>
  </r>
  <r>
    <s v="ORD01126"/>
    <x v="718"/>
    <x v="0"/>
    <x v="14"/>
    <x v="2"/>
    <x v="1122"/>
    <x v="1103"/>
    <x v="0"/>
    <x v="1"/>
  </r>
  <r>
    <s v="ORD01127"/>
    <x v="243"/>
    <x v="1"/>
    <x v="13"/>
    <x v="1"/>
    <x v="1123"/>
    <x v="1104"/>
    <x v="1"/>
    <x v="1"/>
  </r>
  <r>
    <s v="ORD01128"/>
    <x v="719"/>
    <x v="1"/>
    <x v="11"/>
    <x v="2"/>
    <x v="1124"/>
    <x v="1105"/>
    <x v="0"/>
    <x v="3"/>
  </r>
  <r>
    <s v="ORD01129"/>
    <x v="538"/>
    <x v="3"/>
    <x v="1"/>
    <x v="1"/>
    <x v="1125"/>
    <x v="1106"/>
    <x v="1"/>
    <x v="2"/>
  </r>
  <r>
    <s v="ORD01130"/>
    <x v="720"/>
    <x v="0"/>
    <x v="7"/>
    <x v="0"/>
    <x v="1126"/>
    <x v="1107"/>
    <x v="1"/>
    <x v="0"/>
  </r>
  <r>
    <s v="ORD01131"/>
    <x v="163"/>
    <x v="3"/>
    <x v="1"/>
    <x v="1"/>
    <x v="1127"/>
    <x v="1108"/>
    <x v="1"/>
    <x v="3"/>
  </r>
  <r>
    <s v="ORD01132"/>
    <x v="721"/>
    <x v="0"/>
    <x v="4"/>
    <x v="0"/>
    <x v="1128"/>
    <x v="1109"/>
    <x v="1"/>
    <x v="2"/>
  </r>
  <r>
    <s v="ORD01133"/>
    <x v="722"/>
    <x v="1"/>
    <x v="8"/>
    <x v="1"/>
    <x v="1129"/>
    <x v="532"/>
    <x v="1"/>
    <x v="0"/>
  </r>
  <r>
    <s v="ORD01134"/>
    <x v="723"/>
    <x v="1"/>
    <x v="14"/>
    <x v="2"/>
    <x v="1130"/>
    <x v="1110"/>
    <x v="2"/>
    <x v="1"/>
  </r>
  <r>
    <s v="ORD01135"/>
    <x v="331"/>
    <x v="3"/>
    <x v="2"/>
    <x v="1"/>
    <x v="1131"/>
    <x v="753"/>
    <x v="1"/>
    <x v="2"/>
  </r>
  <r>
    <s v="ORD01136"/>
    <x v="724"/>
    <x v="3"/>
    <x v="0"/>
    <x v="0"/>
    <x v="1132"/>
    <x v="1111"/>
    <x v="1"/>
    <x v="0"/>
  </r>
  <r>
    <s v="ORD01137"/>
    <x v="222"/>
    <x v="0"/>
    <x v="4"/>
    <x v="0"/>
    <x v="1133"/>
    <x v="1112"/>
    <x v="1"/>
    <x v="2"/>
  </r>
  <r>
    <s v="ORD01138"/>
    <x v="21"/>
    <x v="3"/>
    <x v="0"/>
    <x v="0"/>
    <x v="1134"/>
    <x v="1113"/>
    <x v="2"/>
    <x v="0"/>
  </r>
  <r>
    <s v="ORD01139"/>
    <x v="725"/>
    <x v="3"/>
    <x v="11"/>
    <x v="2"/>
    <x v="1135"/>
    <x v="1114"/>
    <x v="2"/>
    <x v="0"/>
  </r>
  <r>
    <s v="ORD01140"/>
    <x v="190"/>
    <x v="0"/>
    <x v="5"/>
    <x v="1"/>
    <x v="1136"/>
    <x v="1115"/>
    <x v="0"/>
    <x v="3"/>
  </r>
  <r>
    <s v="ORD01141"/>
    <x v="726"/>
    <x v="3"/>
    <x v="11"/>
    <x v="2"/>
    <x v="1137"/>
    <x v="631"/>
    <x v="2"/>
    <x v="1"/>
  </r>
  <r>
    <s v="ORD01142"/>
    <x v="727"/>
    <x v="1"/>
    <x v="4"/>
    <x v="0"/>
    <x v="1138"/>
    <x v="1116"/>
    <x v="0"/>
    <x v="1"/>
  </r>
  <r>
    <s v="ORD01143"/>
    <x v="251"/>
    <x v="3"/>
    <x v="8"/>
    <x v="1"/>
    <x v="1139"/>
    <x v="1117"/>
    <x v="0"/>
    <x v="2"/>
  </r>
  <r>
    <s v="ORD01144"/>
    <x v="728"/>
    <x v="1"/>
    <x v="9"/>
    <x v="0"/>
    <x v="1140"/>
    <x v="1118"/>
    <x v="1"/>
    <x v="0"/>
  </r>
  <r>
    <s v="ORD01145"/>
    <x v="729"/>
    <x v="0"/>
    <x v="1"/>
    <x v="1"/>
    <x v="1141"/>
    <x v="1119"/>
    <x v="2"/>
    <x v="1"/>
  </r>
  <r>
    <s v="ORD01146"/>
    <x v="94"/>
    <x v="2"/>
    <x v="2"/>
    <x v="1"/>
    <x v="1142"/>
    <x v="1120"/>
    <x v="1"/>
    <x v="2"/>
  </r>
  <r>
    <s v="ORD01147"/>
    <x v="280"/>
    <x v="3"/>
    <x v="12"/>
    <x v="2"/>
    <x v="1143"/>
    <x v="1121"/>
    <x v="0"/>
    <x v="1"/>
  </r>
  <r>
    <s v="ORD01148"/>
    <x v="407"/>
    <x v="0"/>
    <x v="3"/>
    <x v="2"/>
    <x v="1144"/>
    <x v="1122"/>
    <x v="0"/>
    <x v="2"/>
  </r>
  <r>
    <s v="ORD01149"/>
    <x v="188"/>
    <x v="2"/>
    <x v="6"/>
    <x v="0"/>
    <x v="1145"/>
    <x v="1123"/>
    <x v="0"/>
    <x v="3"/>
  </r>
  <r>
    <s v="ORD01150"/>
    <x v="730"/>
    <x v="2"/>
    <x v="4"/>
    <x v="0"/>
    <x v="1146"/>
    <x v="1124"/>
    <x v="0"/>
    <x v="2"/>
  </r>
  <r>
    <s v="ORD01151"/>
    <x v="731"/>
    <x v="3"/>
    <x v="9"/>
    <x v="0"/>
    <x v="1147"/>
    <x v="1125"/>
    <x v="2"/>
    <x v="1"/>
  </r>
  <r>
    <s v="ORD01152"/>
    <x v="732"/>
    <x v="0"/>
    <x v="12"/>
    <x v="2"/>
    <x v="1148"/>
    <x v="1126"/>
    <x v="0"/>
    <x v="0"/>
  </r>
  <r>
    <s v="ORD01153"/>
    <x v="724"/>
    <x v="0"/>
    <x v="2"/>
    <x v="1"/>
    <x v="1149"/>
    <x v="1127"/>
    <x v="1"/>
    <x v="0"/>
  </r>
  <r>
    <s v="ORD01154"/>
    <x v="733"/>
    <x v="2"/>
    <x v="11"/>
    <x v="2"/>
    <x v="1150"/>
    <x v="1128"/>
    <x v="2"/>
    <x v="3"/>
  </r>
  <r>
    <s v="ORD01155"/>
    <x v="462"/>
    <x v="0"/>
    <x v="8"/>
    <x v="1"/>
    <x v="1151"/>
    <x v="1129"/>
    <x v="1"/>
    <x v="0"/>
  </r>
  <r>
    <s v="ORD01156"/>
    <x v="210"/>
    <x v="2"/>
    <x v="5"/>
    <x v="1"/>
    <x v="1152"/>
    <x v="1130"/>
    <x v="0"/>
    <x v="3"/>
  </r>
  <r>
    <s v="ORD01157"/>
    <x v="392"/>
    <x v="2"/>
    <x v="5"/>
    <x v="1"/>
    <x v="1153"/>
    <x v="1131"/>
    <x v="1"/>
    <x v="0"/>
  </r>
  <r>
    <s v="ORD01158"/>
    <x v="734"/>
    <x v="3"/>
    <x v="1"/>
    <x v="1"/>
    <x v="1154"/>
    <x v="1132"/>
    <x v="1"/>
    <x v="0"/>
  </r>
  <r>
    <s v="ORD01159"/>
    <x v="735"/>
    <x v="0"/>
    <x v="2"/>
    <x v="1"/>
    <x v="1155"/>
    <x v="1133"/>
    <x v="2"/>
    <x v="0"/>
  </r>
  <r>
    <s v="ORD01160"/>
    <x v="112"/>
    <x v="1"/>
    <x v="12"/>
    <x v="2"/>
    <x v="1156"/>
    <x v="1134"/>
    <x v="2"/>
    <x v="0"/>
  </r>
  <r>
    <s v="ORD01161"/>
    <x v="629"/>
    <x v="3"/>
    <x v="1"/>
    <x v="1"/>
    <x v="1157"/>
    <x v="1135"/>
    <x v="0"/>
    <x v="3"/>
  </r>
  <r>
    <s v="ORD01162"/>
    <x v="736"/>
    <x v="3"/>
    <x v="14"/>
    <x v="2"/>
    <x v="1158"/>
    <x v="1136"/>
    <x v="1"/>
    <x v="0"/>
  </r>
  <r>
    <s v="ORD01163"/>
    <x v="301"/>
    <x v="2"/>
    <x v="10"/>
    <x v="2"/>
    <x v="1159"/>
    <x v="1137"/>
    <x v="2"/>
    <x v="2"/>
  </r>
  <r>
    <s v="ORD01164"/>
    <x v="180"/>
    <x v="2"/>
    <x v="7"/>
    <x v="0"/>
    <x v="1160"/>
    <x v="1138"/>
    <x v="2"/>
    <x v="0"/>
  </r>
  <r>
    <s v="ORD01165"/>
    <x v="171"/>
    <x v="3"/>
    <x v="7"/>
    <x v="0"/>
    <x v="1161"/>
    <x v="1139"/>
    <x v="2"/>
    <x v="0"/>
  </r>
  <r>
    <s v="ORD01166"/>
    <x v="737"/>
    <x v="2"/>
    <x v="6"/>
    <x v="0"/>
    <x v="1162"/>
    <x v="1140"/>
    <x v="1"/>
    <x v="0"/>
  </r>
  <r>
    <s v="ORD01167"/>
    <x v="738"/>
    <x v="2"/>
    <x v="8"/>
    <x v="1"/>
    <x v="1163"/>
    <x v="1141"/>
    <x v="1"/>
    <x v="1"/>
  </r>
  <r>
    <s v="ORD01168"/>
    <x v="170"/>
    <x v="0"/>
    <x v="6"/>
    <x v="0"/>
    <x v="1164"/>
    <x v="1142"/>
    <x v="2"/>
    <x v="0"/>
  </r>
  <r>
    <s v="ORD01169"/>
    <x v="368"/>
    <x v="1"/>
    <x v="2"/>
    <x v="1"/>
    <x v="1165"/>
    <x v="1143"/>
    <x v="1"/>
    <x v="2"/>
  </r>
  <r>
    <s v="ORD01170"/>
    <x v="739"/>
    <x v="1"/>
    <x v="9"/>
    <x v="0"/>
    <x v="1166"/>
    <x v="1144"/>
    <x v="0"/>
    <x v="2"/>
  </r>
  <r>
    <s v="ORD01171"/>
    <x v="51"/>
    <x v="2"/>
    <x v="1"/>
    <x v="1"/>
    <x v="1167"/>
    <x v="1145"/>
    <x v="2"/>
    <x v="0"/>
  </r>
  <r>
    <s v="ORD01172"/>
    <x v="627"/>
    <x v="1"/>
    <x v="0"/>
    <x v="0"/>
    <x v="1168"/>
    <x v="1146"/>
    <x v="0"/>
    <x v="2"/>
  </r>
  <r>
    <s v="ORD01173"/>
    <x v="708"/>
    <x v="3"/>
    <x v="2"/>
    <x v="1"/>
    <x v="1169"/>
    <x v="1147"/>
    <x v="1"/>
    <x v="0"/>
  </r>
  <r>
    <s v="ORD01174"/>
    <x v="657"/>
    <x v="0"/>
    <x v="1"/>
    <x v="1"/>
    <x v="1170"/>
    <x v="1148"/>
    <x v="2"/>
    <x v="0"/>
  </r>
  <r>
    <s v="ORD01175"/>
    <x v="740"/>
    <x v="3"/>
    <x v="3"/>
    <x v="2"/>
    <x v="1171"/>
    <x v="1149"/>
    <x v="1"/>
    <x v="1"/>
  </r>
  <r>
    <s v="ORD01176"/>
    <x v="279"/>
    <x v="3"/>
    <x v="13"/>
    <x v="1"/>
    <x v="1172"/>
    <x v="1150"/>
    <x v="2"/>
    <x v="1"/>
  </r>
  <r>
    <s v="ORD01177"/>
    <x v="41"/>
    <x v="1"/>
    <x v="13"/>
    <x v="1"/>
    <x v="1173"/>
    <x v="1151"/>
    <x v="0"/>
    <x v="3"/>
  </r>
  <r>
    <s v="ORD01178"/>
    <x v="50"/>
    <x v="0"/>
    <x v="8"/>
    <x v="1"/>
    <x v="1174"/>
    <x v="1152"/>
    <x v="2"/>
    <x v="2"/>
  </r>
  <r>
    <s v="ORD01179"/>
    <x v="500"/>
    <x v="3"/>
    <x v="4"/>
    <x v="0"/>
    <x v="1175"/>
    <x v="1153"/>
    <x v="0"/>
    <x v="2"/>
  </r>
  <r>
    <s v="ORD01180"/>
    <x v="75"/>
    <x v="2"/>
    <x v="6"/>
    <x v="0"/>
    <x v="1176"/>
    <x v="1154"/>
    <x v="1"/>
    <x v="0"/>
  </r>
  <r>
    <s v="ORD01181"/>
    <x v="313"/>
    <x v="1"/>
    <x v="0"/>
    <x v="0"/>
    <x v="1177"/>
    <x v="1155"/>
    <x v="1"/>
    <x v="2"/>
  </r>
  <r>
    <s v="ORD01182"/>
    <x v="646"/>
    <x v="2"/>
    <x v="14"/>
    <x v="2"/>
    <x v="1178"/>
    <x v="1156"/>
    <x v="2"/>
    <x v="3"/>
  </r>
  <r>
    <s v="ORD01183"/>
    <x v="323"/>
    <x v="3"/>
    <x v="5"/>
    <x v="1"/>
    <x v="1179"/>
    <x v="1157"/>
    <x v="1"/>
    <x v="1"/>
  </r>
  <r>
    <s v="ORD01184"/>
    <x v="729"/>
    <x v="1"/>
    <x v="0"/>
    <x v="0"/>
    <x v="1180"/>
    <x v="1158"/>
    <x v="1"/>
    <x v="2"/>
  </r>
  <r>
    <s v="ORD01185"/>
    <x v="49"/>
    <x v="1"/>
    <x v="7"/>
    <x v="0"/>
    <x v="1181"/>
    <x v="1159"/>
    <x v="0"/>
    <x v="3"/>
  </r>
  <r>
    <s v="ORD01186"/>
    <x v="214"/>
    <x v="1"/>
    <x v="3"/>
    <x v="2"/>
    <x v="1182"/>
    <x v="1160"/>
    <x v="0"/>
    <x v="3"/>
  </r>
  <r>
    <s v="ORD01187"/>
    <x v="279"/>
    <x v="3"/>
    <x v="7"/>
    <x v="0"/>
    <x v="1183"/>
    <x v="1161"/>
    <x v="1"/>
    <x v="3"/>
  </r>
  <r>
    <s v="ORD01188"/>
    <x v="741"/>
    <x v="2"/>
    <x v="13"/>
    <x v="1"/>
    <x v="1184"/>
    <x v="1162"/>
    <x v="1"/>
    <x v="0"/>
  </r>
  <r>
    <s v="ORD01189"/>
    <x v="161"/>
    <x v="0"/>
    <x v="11"/>
    <x v="2"/>
    <x v="1185"/>
    <x v="1163"/>
    <x v="2"/>
    <x v="0"/>
  </r>
  <r>
    <s v="ORD01190"/>
    <x v="71"/>
    <x v="0"/>
    <x v="3"/>
    <x v="2"/>
    <x v="1186"/>
    <x v="1164"/>
    <x v="1"/>
    <x v="2"/>
  </r>
  <r>
    <s v="ORD01191"/>
    <x v="742"/>
    <x v="2"/>
    <x v="13"/>
    <x v="1"/>
    <x v="1187"/>
    <x v="1165"/>
    <x v="0"/>
    <x v="1"/>
  </r>
  <r>
    <s v="ORD01192"/>
    <x v="743"/>
    <x v="1"/>
    <x v="6"/>
    <x v="0"/>
    <x v="1188"/>
    <x v="1166"/>
    <x v="2"/>
    <x v="1"/>
  </r>
  <r>
    <s v="ORD01193"/>
    <x v="523"/>
    <x v="1"/>
    <x v="0"/>
    <x v="0"/>
    <x v="1189"/>
    <x v="1167"/>
    <x v="0"/>
    <x v="0"/>
  </r>
  <r>
    <s v="ORD01194"/>
    <x v="653"/>
    <x v="3"/>
    <x v="3"/>
    <x v="2"/>
    <x v="1190"/>
    <x v="1168"/>
    <x v="0"/>
    <x v="3"/>
  </r>
  <r>
    <s v="ORD01195"/>
    <x v="161"/>
    <x v="3"/>
    <x v="0"/>
    <x v="0"/>
    <x v="1191"/>
    <x v="1169"/>
    <x v="2"/>
    <x v="1"/>
  </r>
  <r>
    <s v="ORD01196"/>
    <x v="744"/>
    <x v="0"/>
    <x v="1"/>
    <x v="1"/>
    <x v="1192"/>
    <x v="1170"/>
    <x v="2"/>
    <x v="0"/>
  </r>
  <r>
    <s v="ORD01197"/>
    <x v="351"/>
    <x v="0"/>
    <x v="10"/>
    <x v="2"/>
    <x v="1193"/>
    <x v="1171"/>
    <x v="0"/>
    <x v="3"/>
  </r>
  <r>
    <s v="ORD01198"/>
    <x v="115"/>
    <x v="0"/>
    <x v="3"/>
    <x v="2"/>
    <x v="1194"/>
    <x v="1172"/>
    <x v="2"/>
    <x v="1"/>
  </r>
  <r>
    <s v="ORD01199"/>
    <x v="701"/>
    <x v="2"/>
    <x v="11"/>
    <x v="2"/>
    <x v="1195"/>
    <x v="1173"/>
    <x v="1"/>
    <x v="2"/>
  </r>
  <r>
    <s v="ORD01200"/>
    <x v="250"/>
    <x v="1"/>
    <x v="13"/>
    <x v="1"/>
    <x v="1196"/>
    <x v="1174"/>
    <x v="2"/>
    <x v="1"/>
  </r>
  <r>
    <s v="ORD01201"/>
    <x v="721"/>
    <x v="3"/>
    <x v="8"/>
    <x v="1"/>
    <x v="1197"/>
    <x v="1175"/>
    <x v="0"/>
    <x v="1"/>
  </r>
  <r>
    <s v="ORD01202"/>
    <x v="529"/>
    <x v="3"/>
    <x v="12"/>
    <x v="2"/>
    <x v="1198"/>
    <x v="1176"/>
    <x v="1"/>
    <x v="1"/>
  </r>
  <r>
    <s v="ORD01203"/>
    <x v="745"/>
    <x v="3"/>
    <x v="7"/>
    <x v="0"/>
    <x v="1199"/>
    <x v="844"/>
    <x v="0"/>
    <x v="3"/>
  </r>
  <r>
    <s v="ORD01204"/>
    <x v="413"/>
    <x v="1"/>
    <x v="0"/>
    <x v="0"/>
    <x v="1200"/>
    <x v="1177"/>
    <x v="2"/>
    <x v="3"/>
  </r>
  <r>
    <s v="ORD01205"/>
    <x v="0"/>
    <x v="0"/>
    <x v="4"/>
    <x v="0"/>
    <x v="1201"/>
    <x v="1178"/>
    <x v="0"/>
    <x v="2"/>
  </r>
  <r>
    <s v="ORD01206"/>
    <x v="746"/>
    <x v="0"/>
    <x v="11"/>
    <x v="2"/>
    <x v="1202"/>
    <x v="1179"/>
    <x v="0"/>
    <x v="2"/>
  </r>
  <r>
    <s v="ORD01207"/>
    <x v="292"/>
    <x v="0"/>
    <x v="12"/>
    <x v="2"/>
    <x v="1203"/>
    <x v="1180"/>
    <x v="1"/>
    <x v="2"/>
  </r>
  <r>
    <s v="ORD01208"/>
    <x v="747"/>
    <x v="1"/>
    <x v="7"/>
    <x v="0"/>
    <x v="1204"/>
    <x v="1181"/>
    <x v="0"/>
    <x v="0"/>
  </r>
  <r>
    <s v="ORD01209"/>
    <x v="748"/>
    <x v="0"/>
    <x v="2"/>
    <x v="1"/>
    <x v="1205"/>
    <x v="1182"/>
    <x v="0"/>
    <x v="2"/>
  </r>
  <r>
    <s v="ORD01210"/>
    <x v="598"/>
    <x v="1"/>
    <x v="7"/>
    <x v="0"/>
    <x v="1206"/>
    <x v="1183"/>
    <x v="2"/>
    <x v="3"/>
  </r>
  <r>
    <s v="ORD01211"/>
    <x v="749"/>
    <x v="1"/>
    <x v="8"/>
    <x v="1"/>
    <x v="1207"/>
    <x v="1184"/>
    <x v="1"/>
    <x v="2"/>
  </r>
  <r>
    <s v="ORD01212"/>
    <x v="750"/>
    <x v="1"/>
    <x v="8"/>
    <x v="1"/>
    <x v="1208"/>
    <x v="1185"/>
    <x v="1"/>
    <x v="2"/>
  </r>
  <r>
    <s v="ORD01213"/>
    <x v="58"/>
    <x v="3"/>
    <x v="7"/>
    <x v="0"/>
    <x v="1209"/>
    <x v="1186"/>
    <x v="0"/>
    <x v="1"/>
  </r>
  <r>
    <s v="ORD01215"/>
    <x v="751"/>
    <x v="2"/>
    <x v="3"/>
    <x v="2"/>
    <x v="1210"/>
    <x v="1187"/>
    <x v="1"/>
    <x v="3"/>
  </r>
  <r>
    <s v="ORD01216"/>
    <x v="752"/>
    <x v="2"/>
    <x v="7"/>
    <x v="0"/>
    <x v="1211"/>
    <x v="1188"/>
    <x v="0"/>
    <x v="2"/>
  </r>
  <r>
    <s v="ORD01217"/>
    <x v="635"/>
    <x v="0"/>
    <x v="9"/>
    <x v="0"/>
    <x v="1000"/>
    <x v="1189"/>
    <x v="1"/>
    <x v="1"/>
  </r>
  <r>
    <s v="ORD01218"/>
    <x v="725"/>
    <x v="1"/>
    <x v="7"/>
    <x v="0"/>
    <x v="1212"/>
    <x v="1190"/>
    <x v="2"/>
    <x v="0"/>
  </r>
  <r>
    <s v="ORD01219"/>
    <x v="385"/>
    <x v="1"/>
    <x v="5"/>
    <x v="1"/>
    <x v="1213"/>
    <x v="1191"/>
    <x v="2"/>
    <x v="0"/>
  </r>
  <r>
    <s v="ORD01220"/>
    <x v="753"/>
    <x v="1"/>
    <x v="5"/>
    <x v="1"/>
    <x v="1214"/>
    <x v="1192"/>
    <x v="1"/>
    <x v="0"/>
  </r>
  <r>
    <s v="ORD01221"/>
    <x v="408"/>
    <x v="2"/>
    <x v="0"/>
    <x v="0"/>
    <x v="1215"/>
    <x v="1193"/>
    <x v="1"/>
    <x v="1"/>
  </r>
  <r>
    <s v="ORD01222"/>
    <x v="213"/>
    <x v="3"/>
    <x v="4"/>
    <x v="0"/>
    <x v="1216"/>
    <x v="1194"/>
    <x v="0"/>
    <x v="3"/>
  </r>
  <r>
    <s v="ORD01223"/>
    <x v="425"/>
    <x v="1"/>
    <x v="14"/>
    <x v="2"/>
    <x v="1217"/>
    <x v="1195"/>
    <x v="0"/>
    <x v="3"/>
  </r>
  <r>
    <s v="ORD01224"/>
    <x v="96"/>
    <x v="0"/>
    <x v="7"/>
    <x v="0"/>
    <x v="1218"/>
    <x v="1196"/>
    <x v="0"/>
    <x v="2"/>
  </r>
  <r>
    <s v="ORD01225"/>
    <x v="149"/>
    <x v="0"/>
    <x v="1"/>
    <x v="1"/>
    <x v="1219"/>
    <x v="1197"/>
    <x v="0"/>
    <x v="2"/>
  </r>
  <r>
    <s v="ORD01226"/>
    <x v="754"/>
    <x v="3"/>
    <x v="4"/>
    <x v="0"/>
    <x v="1220"/>
    <x v="1198"/>
    <x v="1"/>
    <x v="0"/>
  </r>
  <r>
    <s v="ORD01227"/>
    <x v="755"/>
    <x v="2"/>
    <x v="11"/>
    <x v="2"/>
    <x v="1221"/>
    <x v="1199"/>
    <x v="0"/>
    <x v="3"/>
  </r>
  <r>
    <s v="ORD01228"/>
    <x v="39"/>
    <x v="0"/>
    <x v="4"/>
    <x v="0"/>
    <x v="1222"/>
    <x v="1200"/>
    <x v="0"/>
    <x v="0"/>
  </r>
  <r>
    <s v="ORD01229"/>
    <x v="297"/>
    <x v="1"/>
    <x v="12"/>
    <x v="2"/>
    <x v="1223"/>
    <x v="1201"/>
    <x v="1"/>
    <x v="0"/>
  </r>
  <r>
    <s v="ORD01230"/>
    <x v="756"/>
    <x v="2"/>
    <x v="9"/>
    <x v="0"/>
    <x v="1224"/>
    <x v="1202"/>
    <x v="0"/>
    <x v="0"/>
  </r>
  <r>
    <s v="ORD01231"/>
    <x v="193"/>
    <x v="2"/>
    <x v="8"/>
    <x v="1"/>
    <x v="1225"/>
    <x v="1203"/>
    <x v="2"/>
    <x v="2"/>
  </r>
  <r>
    <s v="ORD01232"/>
    <x v="593"/>
    <x v="2"/>
    <x v="8"/>
    <x v="1"/>
    <x v="1226"/>
    <x v="1204"/>
    <x v="1"/>
    <x v="1"/>
  </r>
  <r>
    <s v="ORD01233"/>
    <x v="748"/>
    <x v="1"/>
    <x v="0"/>
    <x v="0"/>
    <x v="1227"/>
    <x v="1205"/>
    <x v="0"/>
    <x v="1"/>
  </r>
  <r>
    <s v="ORD01234"/>
    <x v="9"/>
    <x v="2"/>
    <x v="1"/>
    <x v="1"/>
    <x v="1228"/>
    <x v="1206"/>
    <x v="1"/>
    <x v="1"/>
  </r>
  <r>
    <s v="ORD01235"/>
    <x v="75"/>
    <x v="0"/>
    <x v="0"/>
    <x v="0"/>
    <x v="1229"/>
    <x v="1207"/>
    <x v="1"/>
    <x v="3"/>
  </r>
  <r>
    <s v="ORD01236"/>
    <x v="604"/>
    <x v="3"/>
    <x v="10"/>
    <x v="2"/>
    <x v="1230"/>
    <x v="1208"/>
    <x v="2"/>
    <x v="3"/>
  </r>
  <r>
    <s v="ORD01237"/>
    <x v="757"/>
    <x v="2"/>
    <x v="13"/>
    <x v="1"/>
    <x v="1231"/>
    <x v="1209"/>
    <x v="1"/>
    <x v="2"/>
  </r>
  <r>
    <s v="ORD01238"/>
    <x v="488"/>
    <x v="1"/>
    <x v="4"/>
    <x v="0"/>
    <x v="1232"/>
    <x v="1210"/>
    <x v="1"/>
    <x v="2"/>
  </r>
  <r>
    <s v="ORD01239"/>
    <x v="758"/>
    <x v="2"/>
    <x v="11"/>
    <x v="2"/>
    <x v="1233"/>
    <x v="1211"/>
    <x v="1"/>
    <x v="0"/>
  </r>
  <r>
    <s v="ORD01240"/>
    <x v="759"/>
    <x v="0"/>
    <x v="12"/>
    <x v="2"/>
    <x v="1234"/>
    <x v="1212"/>
    <x v="1"/>
    <x v="3"/>
  </r>
  <r>
    <s v="ORD01241"/>
    <x v="439"/>
    <x v="3"/>
    <x v="12"/>
    <x v="2"/>
    <x v="1235"/>
    <x v="1213"/>
    <x v="0"/>
    <x v="3"/>
  </r>
  <r>
    <s v="ORD01242"/>
    <x v="74"/>
    <x v="0"/>
    <x v="0"/>
    <x v="0"/>
    <x v="1236"/>
    <x v="1214"/>
    <x v="0"/>
    <x v="3"/>
  </r>
  <r>
    <s v="ORD01243"/>
    <x v="305"/>
    <x v="3"/>
    <x v="9"/>
    <x v="0"/>
    <x v="1237"/>
    <x v="1215"/>
    <x v="0"/>
    <x v="1"/>
  </r>
  <r>
    <s v="ORD01244"/>
    <x v="760"/>
    <x v="0"/>
    <x v="2"/>
    <x v="1"/>
    <x v="1238"/>
    <x v="1216"/>
    <x v="1"/>
    <x v="1"/>
  </r>
  <r>
    <s v="ORD01245"/>
    <x v="761"/>
    <x v="0"/>
    <x v="6"/>
    <x v="0"/>
    <x v="1239"/>
    <x v="1217"/>
    <x v="1"/>
    <x v="1"/>
  </r>
  <r>
    <s v="ORD01246"/>
    <x v="553"/>
    <x v="3"/>
    <x v="11"/>
    <x v="2"/>
    <x v="1240"/>
    <x v="1218"/>
    <x v="2"/>
    <x v="1"/>
  </r>
  <r>
    <s v="ORD01247"/>
    <x v="762"/>
    <x v="0"/>
    <x v="13"/>
    <x v="1"/>
    <x v="1241"/>
    <x v="1219"/>
    <x v="2"/>
    <x v="3"/>
  </r>
  <r>
    <s v="ORD01248"/>
    <x v="97"/>
    <x v="0"/>
    <x v="1"/>
    <x v="1"/>
    <x v="1242"/>
    <x v="1220"/>
    <x v="2"/>
    <x v="0"/>
  </r>
  <r>
    <s v="ORD01249"/>
    <x v="556"/>
    <x v="2"/>
    <x v="8"/>
    <x v="1"/>
    <x v="1243"/>
    <x v="1221"/>
    <x v="1"/>
    <x v="1"/>
  </r>
  <r>
    <s v="ORD01250"/>
    <x v="697"/>
    <x v="1"/>
    <x v="2"/>
    <x v="1"/>
    <x v="1244"/>
    <x v="1222"/>
    <x v="2"/>
    <x v="2"/>
  </r>
  <r>
    <s v="ORD01251"/>
    <x v="763"/>
    <x v="0"/>
    <x v="14"/>
    <x v="2"/>
    <x v="1245"/>
    <x v="1223"/>
    <x v="0"/>
    <x v="0"/>
  </r>
  <r>
    <s v="ORD01252"/>
    <x v="764"/>
    <x v="1"/>
    <x v="6"/>
    <x v="0"/>
    <x v="1246"/>
    <x v="1224"/>
    <x v="2"/>
    <x v="1"/>
  </r>
  <r>
    <s v="ORD01253"/>
    <x v="323"/>
    <x v="1"/>
    <x v="5"/>
    <x v="1"/>
    <x v="1247"/>
    <x v="1225"/>
    <x v="2"/>
    <x v="3"/>
  </r>
  <r>
    <s v="ORD01254"/>
    <x v="752"/>
    <x v="1"/>
    <x v="4"/>
    <x v="0"/>
    <x v="1248"/>
    <x v="1226"/>
    <x v="0"/>
    <x v="1"/>
  </r>
  <r>
    <s v="ORD01255"/>
    <x v="222"/>
    <x v="0"/>
    <x v="2"/>
    <x v="1"/>
    <x v="1249"/>
    <x v="1227"/>
    <x v="1"/>
    <x v="0"/>
  </r>
  <r>
    <s v="ORD01256"/>
    <x v="170"/>
    <x v="1"/>
    <x v="13"/>
    <x v="1"/>
    <x v="1250"/>
    <x v="1228"/>
    <x v="0"/>
    <x v="1"/>
  </r>
  <r>
    <s v="ORD01257"/>
    <x v="574"/>
    <x v="2"/>
    <x v="2"/>
    <x v="1"/>
    <x v="1251"/>
    <x v="1229"/>
    <x v="2"/>
    <x v="1"/>
  </r>
  <r>
    <s v="ORD01258"/>
    <x v="267"/>
    <x v="3"/>
    <x v="14"/>
    <x v="2"/>
    <x v="1252"/>
    <x v="1230"/>
    <x v="2"/>
    <x v="0"/>
  </r>
  <r>
    <s v="ORD01259"/>
    <x v="573"/>
    <x v="2"/>
    <x v="6"/>
    <x v="0"/>
    <x v="1253"/>
    <x v="1231"/>
    <x v="0"/>
    <x v="1"/>
  </r>
  <r>
    <s v="ORD01260"/>
    <x v="654"/>
    <x v="2"/>
    <x v="13"/>
    <x v="1"/>
    <x v="1254"/>
    <x v="1232"/>
    <x v="2"/>
    <x v="1"/>
  </r>
  <r>
    <s v="ORD01261"/>
    <x v="433"/>
    <x v="3"/>
    <x v="11"/>
    <x v="2"/>
    <x v="1255"/>
    <x v="1233"/>
    <x v="2"/>
    <x v="3"/>
  </r>
  <r>
    <s v="ORD01262"/>
    <x v="344"/>
    <x v="1"/>
    <x v="1"/>
    <x v="1"/>
    <x v="1256"/>
    <x v="1234"/>
    <x v="0"/>
    <x v="1"/>
  </r>
  <r>
    <s v="ORD01263"/>
    <x v="765"/>
    <x v="3"/>
    <x v="12"/>
    <x v="2"/>
    <x v="1257"/>
    <x v="1235"/>
    <x v="0"/>
    <x v="2"/>
  </r>
  <r>
    <s v="ORD01264"/>
    <x v="766"/>
    <x v="2"/>
    <x v="0"/>
    <x v="0"/>
    <x v="1258"/>
    <x v="1236"/>
    <x v="2"/>
    <x v="1"/>
  </r>
  <r>
    <s v="ORD01265"/>
    <x v="127"/>
    <x v="1"/>
    <x v="4"/>
    <x v="0"/>
    <x v="1259"/>
    <x v="1237"/>
    <x v="2"/>
    <x v="2"/>
  </r>
  <r>
    <s v="ORD01266"/>
    <x v="319"/>
    <x v="0"/>
    <x v="11"/>
    <x v="2"/>
    <x v="1260"/>
    <x v="1238"/>
    <x v="1"/>
    <x v="1"/>
  </r>
  <r>
    <s v="ORD01267"/>
    <x v="282"/>
    <x v="1"/>
    <x v="1"/>
    <x v="1"/>
    <x v="1261"/>
    <x v="1239"/>
    <x v="2"/>
    <x v="1"/>
  </r>
  <r>
    <s v="ORD01268"/>
    <x v="195"/>
    <x v="2"/>
    <x v="2"/>
    <x v="1"/>
    <x v="1262"/>
    <x v="1240"/>
    <x v="0"/>
    <x v="1"/>
  </r>
  <r>
    <s v="ORD01269"/>
    <x v="457"/>
    <x v="1"/>
    <x v="14"/>
    <x v="2"/>
    <x v="1263"/>
    <x v="1241"/>
    <x v="0"/>
    <x v="2"/>
  </r>
  <r>
    <s v="ORD01270"/>
    <x v="767"/>
    <x v="1"/>
    <x v="8"/>
    <x v="1"/>
    <x v="1264"/>
    <x v="1242"/>
    <x v="1"/>
    <x v="2"/>
  </r>
  <r>
    <s v="ORD01271"/>
    <x v="429"/>
    <x v="0"/>
    <x v="12"/>
    <x v="2"/>
    <x v="1265"/>
    <x v="1243"/>
    <x v="1"/>
    <x v="0"/>
  </r>
  <r>
    <s v="ORD01272"/>
    <x v="768"/>
    <x v="1"/>
    <x v="12"/>
    <x v="2"/>
    <x v="1266"/>
    <x v="1244"/>
    <x v="2"/>
    <x v="2"/>
  </r>
  <r>
    <s v="ORD01273"/>
    <x v="769"/>
    <x v="0"/>
    <x v="6"/>
    <x v="0"/>
    <x v="1267"/>
    <x v="1245"/>
    <x v="2"/>
    <x v="2"/>
  </r>
  <r>
    <s v="ORD01274"/>
    <x v="770"/>
    <x v="0"/>
    <x v="10"/>
    <x v="2"/>
    <x v="1268"/>
    <x v="1246"/>
    <x v="1"/>
    <x v="3"/>
  </r>
  <r>
    <s v="ORD01275"/>
    <x v="150"/>
    <x v="1"/>
    <x v="4"/>
    <x v="0"/>
    <x v="1269"/>
    <x v="1247"/>
    <x v="0"/>
    <x v="2"/>
  </r>
  <r>
    <s v="ORD01276"/>
    <x v="605"/>
    <x v="2"/>
    <x v="12"/>
    <x v="2"/>
    <x v="1270"/>
    <x v="1248"/>
    <x v="1"/>
    <x v="1"/>
  </r>
  <r>
    <s v="ORD01277"/>
    <x v="771"/>
    <x v="0"/>
    <x v="1"/>
    <x v="1"/>
    <x v="1271"/>
    <x v="1249"/>
    <x v="0"/>
    <x v="0"/>
  </r>
  <r>
    <s v="ORD01278"/>
    <x v="772"/>
    <x v="2"/>
    <x v="10"/>
    <x v="2"/>
    <x v="1272"/>
    <x v="1250"/>
    <x v="2"/>
    <x v="1"/>
  </r>
  <r>
    <s v="ORD01279"/>
    <x v="427"/>
    <x v="0"/>
    <x v="9"/>
    <x v="0"/>
    <x v="1273"/>
    <x v="895"/>
    <x v="1"/>
    <x v="0"/>
  </r>
  <r>
    <s v="ORD01280"/>
    <x v="393"/>
    <x v="3"/>
    <x v="5"/>
    <x v="1"/>
    <x v="1274"/>
    <x v="1251"/>
    <x v="0"/>
    <x v="0"/>
  </r>
  <r>
    <s v="ORD01281"/>
    <x v="166"/>
    <x v="0"/>
    <x v="14"/>
    <x v="2"/>
    <x v="1275"/>
    <x v="1252"/>
    <x v="2"/>
    <x v="0"/>
  </r>
  <r>
    <s v="ORD01282"/>
    <x v="573"/>
    <x v="2"/>
    <x v="1"/>
    <x v="1"/>
    <x v="1276"/>
    <x v="1253"/>
    <x v="2"/>
    <x v="0"/>
  </r>
  <r>
    <s v="ORD01283"/>
    <x v="365"/>
    <x v="0"/>
    <x v="8"/>
    <x v="1"/>
    <x v="1277"/>
    <x v="1254"/>
    <x v="0"/>
    <x v="3"/>
  </r>
  <r>
    <s v="ORD01284"/>
    <x v="639"/>
    <x v="2"/>
    <x v="0"/>
    <x v="0"/>
    <x v="1278"/>
    <x v="1255"/>
    <x v="1"/>
    <x v="1"/>
  </r>
  <r>
    <s v="ORD01285"/>
    <x v="240"/>
    <x v="1"/>
    <x v="4"/>
    <x v="0"/>
    <x v="1279"/>
    <x v="1256"/>
    <x v="1"/>
    <x v="2"/>
  </r>
  <r>
    <s v="ORD01286"/>
    <x v="657"/>
    <x v="2"/>
    <x v="10"/>
    <x v="2"/>
    <x v="1280"/>
    <x v="1257"/>
    <x v="0"/>
    <x v="2"/>
  </r>
  <r>
    <s v="ORD01287"/>
    <x v="773"/>
    <x v="1"/>
    <x v="0"/>
    <x v="0"/>
    <x v="1281"/>
    <x v="997"/>
    <x v="2"/>
    <x v="3"/>
  </r>
  <r>
    <s v="ORD01288"/>
    <x v="575"/>
    <x v="1"/>
    <x v="11"/>
    <x v="2"/>
    <x v="1282"/>
    <x v="1258"/>
    <x v="2"/>
    <x v="3"/>
  </r>
  <r>
    <s v="ORD01289"/>
    <x v="207"/>
    <x v="1"/>
    <x v="8"/>
    <x v="1"/>
    <x v="1283"/>
    <x v="1259"/>
    <x v="1"/>
    <x v="1"/>
  </r>
  <r>
    <s v="ORD01290"/>
    <x v="774"/>
    <x v="0"/>
    <x v="10"/>
    <x v="2"/>
    <x v="1284"/>
    <x v="1260"/>
    <x v="1"/>
    <x v="0"/>
  </r>
  <r>
    <s v="ORD01291"/>
    <x v="775"/>
    <x v="1"/>
    <x v="13"/>
    <x v="1"/>
    <x v="1285"/>
    <x v="1127"/>
    <x v="2"/>
    <x v="0"/>
  </r>
  <r>
    <s v="ORD01292"/>
    <x v="544"/>
    <x v="0"/>
    <x v="1"/>
    <x v="1"/>
    <x v="1286"/>
    <x v="1261"/>
    <x v="2"/>
    <x v="2"/>
  </r>
  <r>
    <s v="ORD01293"/>
    <x v="15"/>
    <x v="3"/>
    <x v="13"/>
    <x v="1"/>
    <x v="1287"/>
    <x v="1262"/>
    <x v="2"/>
    <x v="1"/>
  </r>
  <r>
    <s v="ORD01294"/>
    <x v="556"/>
    <x v="3"/>
    <x v="4"/>
    <x v="0"/>
    <x v="1288"/>
    <x v="1263"/>
    <x v="1"/>
    <x v="0"/>
  </r>
  <r>
    <s v="ORD01295"/>
    <x v="728"/>
    <x v="1"/>
    <x v="4"/>
    <x v="0"/>
    <x v="1289"/>
    <x v="1264"/>
    <x v="1"/>
    <x v="3"/>
  </r>
  <r>
    <s v="ORD01296"/>
    <x v="191"/>
    <x v="2"/>
    <x v="5"/>
    <x v="1"/>
    <x v="1290"/>
    <x v="1265"/>
    <x v="2"/>
    <x v="2"/>
  </r>
  <r>
    <s v="ORD01297"/>
    <x v="245"/>
    <x v="1"/>
    <x v="2"/>
    <x v="1"/>
    <x v="1291"/>
    <x v="1266"/>
    <x v="1"/>
    <x v="0"/>
  </r>
  <r>
    <s v="ORD01298"/>
    <x v="718"/>
    <x v="1"/>
    <x v="13"/>
    <x v="1"/>
    <x v="1292"/>
    <x v="1267"/>
    <x v="1"/>
    <x v="3"/>
  </r>
  <r>
    <s v="ORD01299"/>
    <x v="770"/>
    <x v="3"/>
    <x v="4"/>
    <x v="0"/>
    <x v="1293"/>
    <x v="1268"/>
    <x v="2"/>
    <x v="2"/>
  </r>
  <r>
    <s v="ORD01300"/>
    <x v="166"/>
    <x v="3"/>
    <x v="11"/>
    <x v="2"/>
    <x v="1294"/>
    <x v="1269"/>
    <x v="0"/>
    <x v="3"/>
  </r>
  <r>
    <s v="ORD01301"/>
    <x v="580"/>
    <x v="3"/>
    <x v="7"/>
    <x v="0"/>
    <x v="1295"/>
    <x v="1270"/>
    <x v="2"/>
    <x v="1"/>
  </r>
  <r>
    <s v="ORD01302"/>
    <x v="643"/>
    <x v="0"/>
    <x v="6"/>
    <x v="0"/>
    <x v="1296"/>
    <x v="1271"/>
    <x v="0"/>
    <x v="1"/>
  </r>
  <r>
    <s v="ORD01303"/>
    <x v="776"/>
    <x v="1"/>
    <x v="13"/>
    <x v="1"/>
    <x v="1297"/>
    <x v="1272"/>
    <x v="1"/>
    <x v="0"/>
  </r>
  <r>
    <s v="ORD01304"/>
    <x v="123"/>
    <x v="1"/>
    <x v="7"/>
    <x v="0"/>
    <x v="1298"/>
    <x v="1273"/>
    <x v="1"/>
    <x v="2"/>
  </r>
  <r>
    <s v="ORD01305"/>
    <x v="777"/>
    <x v="3"/>
    <x v="8"/>
    <x v="1"/>
    <x v="1299"/>
    <x v="1274"/>
    <x v="1"/>
    <x v="3"/>
  </r>
  <r>
    <s v="ORD01306"/>
    <x v="685"/>
    <x v="3"/>
    <x v="5"/>
    <x v="1"/>
    <x v="1300"/>
    <x v="1275"/>
    <x v="2"/>
    <x v="0"/>
  </r>
  <r>
    <s v="ORD01307"/>
    <x v="704"/>
    <x v="2"/>
    <x v="12"/>
    <x v="2"/>
    <x v="1301"/>
    <x v="1276"/>
    <x v="1"/>
    <x v="0"/>
  </r>
  <r>
    <s v="ORD01308"/>
    <x v="301"/>
    <x v="3"/>
    <x v="2"/>
    <x v="1"/>
    <x v="1302"/>
    <x v="1277"/>
    <x v="0"/>
    <x v="3"/>
  </r>
  <r>
    <s v="ORD01309"/>
    <x v="778"/>
    <x v="2"/>
    <x v="0"/>
    <x v="0"/>
    <x v="1303"/>
    <x v="1278"/>
    <x v="2"/>
    <x v="1"/>
  </r>
  <r>
    <s v="ORD01310"/>
    <x v="386"/>
    <x v="2"/>
    <x v="12"/>
    <x v="2"/>
    <x v="1304"/>
    <x v="1279"/>
    <x v="1"/>
    <x v="2"/>
  </r>
  <r>
    <s v="ORD01311"/>
    <x v="613"/>
    <x v="0"/>
    <x v="9"/>
    <x v="0"/>
    <x v="1305"/>
    <x v="1280"/>
    <x v="0"/>
    <x v="0"/>
  </r>
  <r>
    <s v="ORD01312"/>
    <x v="694"/>
    <x v="2"/>
    <x v="4"/>
    <x v="0"/>
    <x v="1306"/>
    <x v="1281"/>
    <x v="1"/>
    <x v="0"/>
  </r>
  <r>
    <s v="ORD01313"/>
    <x v="582"/>
    <x v="0"/>
    <x v="9"/>
    <x v="0"/>
    <x v="1307"/>
    <x v="1282"/>
    <x v="1"/>
    <x v="1"/>
  </r>
  <r>
    <s v="ORD01314"/>
    <x v="323"/>
    <x v="3"/>
    <x v="2"/>
    <x v="1"/>
    <x v="1308"/>
    <x v="1283"/>
    <x v="1"/>
    <x v="0"/>
  </r>
  <r>
    <s v="ORD01315"/>
    <x v="215"/>
    <x v="2"/>
    <x v="2"/>
    <x v="1"/>
    <x v="1309"/>
    <x v="1284"/>
    <x v="1"/>
    <x v="0"/>
  </r>
  <r>
    <s v="ORD01316"/>
    <x v="372"/>
    <x v="0"/>
    <x v="2"/>
    <x v="1"/>
    <x v="1310"/>
    <x v="1285"/>
    <x v="0"/>
    <x v="1"/>
  </r>
  <r>
    <s v="ORD01317"/>
    <x v="141"/>
    <x v="1"/>
    <x v="0"/>
    <x v="0"/>
    <x v="1311"/>
    <x v="1286"/>
    <x v="2"/>
    <x v="1"/>
  </r>
  <r>
    <s v="ORD01318"/>
    <x v="549"/>
    <x v="1"/>
    <x v="11"/>
    <x v="2"/>
    <x v="1312"/>
    <x v="1287"/>
    <x v="2"/>
    <x v="2"/>
  </r>
  <r>
    <s v="ORD01319"/>
    <x v="779"/>
    <x v="1"/>
    <x v="4"/>
    <x v="0"/>
    <x v="1313"/>
    <x v="1288"/>
    <x v="0"/>
    <x v="2"/>
  </r>
  <r>
    <s v="ORD01320"/>
    <x v="780"/>
    <x v="1"/>
    <x v="14"/>
    <x v="2"/>
    <x v="1314"/>
    <x v="1289"/>
    <x v="2"/>
    <x v="0"/>
  </r>
  <r>
    <s v="ORD01321"/>
    <x v="383"/>
    <x v="0"/>
    <x v="7"/>
    <x v="0"/>
    <x v="1315"/>
    <x v="1290"/>
    <x v="2"/>
    <x v="1"/>
  </r>
  <r>
    <s v="ORD01322"/>
    <x v="763"/>
    <x v="2"/>
    <x v="14"/>
    <x v="2"/>
    <x v="1316"/>
    <x v="1291"/>
    <x v="0"/>
    <x v="0"/>
  </r>
  <r>
    <s v="ORD01323"/>
    <x v="666"/>
    <x v="0"/>
    <x v="6"/>
    <x v="0"/>
    <x v="1317"/>
    <x v="1292"/>
    <x v="1"/>
    <x v="2"/>
  </r>
  <r>
    <s v="ORD01324"/>
    <x v="262"/>
    <x v="1"/>
    <x v="6"/>
    <x v="0"/>
    <x v="1318"/>
    <x v="1293"/>
    <x v="2"/>
    <x v="2"/>
  </r>
  <r>
    <s v="ORD01325"/>
    <x v="459"/>
    <x v="0"/>
    <x v="9"/>
    <x v="0"/>
    <x v="1319"/>
    <x v="1294"/>
    <x v="1"/>
    <x v="1"/>
  </r>
  <r>
    <s v="ORD01326"/>
    <x v="486"/>
    <x v="0"/>
    <x v="3"/>
    <x v="2"/>
    <x v="1320"/>
    <x v="1295"/>
    <x v="2"/>
    <x v="2"/>
  </r>
  <r>
    <s v="ORD01327"/>
    <x v="568"/>
    <x v="0"/>
    <x v="8"/>
    <x v="1"/>
    <x v="1321"/>
    <x v="1296"/>
    <x v="2"/>
    <x v="1"/>
  </r>
  <r>
    <s v="ORD01328"/>
    <x v="323"/>
    <x v="0"/>
    <x v="3"/>
    <x v="2"/>
    <x v="1322"/>
    <x v="1297"/>
    <x v="1"/>
    <x v="1"/>
  </r>
  <r>
    <s v="ORD01329"/>
    <x v="781"/>
    <x v="0"/>
    <x v="10"/>
    <x v="2"/>
    <x v="1323"/>
    <x v="1298"/>
    <x v="1"/>
    <x v="2"/>
  </r>
  <r>
    <s v="ORD01330"/>
    <x v="398"/>
    <x v="2"/>
    <x v="9"/>
    <x v="0"/>
    <x v="1324"/>
    <x v="1299"/>
    <x v="2"/>
    <x v="1"/>
  </r>
  <r>
    <s v="ORD01331"/>
    <x v="771"/>
    <x v="2"/>
    <x v="12"/>
    <x v="2"/>
    <x v="1325"/>
    <x v="1300"/>
    <x v="0"/>
    <x v="3"/>
  </r>
  <r>
    <s v="ORD01332"/>
    <x v="419"/>
    <x v="2"/>
    <x v="1"/>
    <x v="1"/>
    <x v="1326"/>
    <x v="1301"/>
    <x v="1"/>
    <x v="0"/>
  </r>
  <r>
    <s v="ORD01333"/>
    <x v="666"/>
    <x v="2"/>
    <x v="11"/>
    <x v="2"/>
    <x v="1327"/>
    <x v="1302"/>
    <x v="0"/>
    <x v="3"/>
  </r>
  <r>
    <s v="ORD01334"/>
    <x v="58"/>
    <x v="3"/>
    <x v="1"/>
    <x v="1"/>
    <x v="1328"/>
    <x v="1303"/>
    <x v="2"/>
    <x v="0"/>
  </r>
  <r>
    <s v="ORD01335"/>
    <x v="782"/>
    <x v="3"/>
    <x v="8"/>
    <x v="1"/>
    <x v="1329"/>
    <x v="1304"/>
    <x v="1"/>
    <x v="3"/>
  </r>
  <r>
    <s v="ORD01336"/>
    <x v="466"/>
    <x v="3"/>
    <x v="3"/>
    <x v="2"/>
    <x v="1330"/>
    <x v="1305"/>
    <x v="1"/>
    <x v="0"/>
  </r>
  <r>
    <s v="ORD01337"/>
    <x v="261"/>
    <x v="1"/>
    <x v="3"/>
    <x v="2"/>
    <x v="1331"/>
    <x v="722"/>
    <x v="1"/>
    <x v="2"/>
  </r>
  <r>
    <s v="ORD01338"/>
    <x v="61"/>
    <x v="1"/>
    <x v="5"/>
    <x v="1"/>
    <x v="1332"/>
    <x v="1306"/>
    <x v="0"/>
    <x v="1"/>
  </r>
  <r>
    <s v="ORD01339"/>
    <x v="783"/>
    <x v="1"/>
    <x v="14"/>
    <x v="2"/>
    <x v="1333"/>
    <x v="1307"/>
    <x v="2"/>
    <x v="3"/>
  </r>
  <r>
    <s v="ORD01340"/>
    <x v="690"/>
    <x v="2"/>
    <x v="11"/>
    <x v="2"/>
    <x v="1334"/>
    <x v="1308"/>
    <x v="0"/>
    <x v="1"/>
  </r>
  <r>
    <s v="ORD01341"/>
    <x v="660"/>
    <x v="0"/>
    <x v="9"/>
    <x v="0"/>
    <x v="1335"/>
    <x v="1265"/>
    <x v="0"/>
    <x v="2"/>
  </r>
  <r>
    <s v="ORD01342"/>
    <x v="23"/>
    <x v="0"/>
    <x v="2"/>
    <x v="1"/>
    <x v="1336"/>
    <x v="1309"/>
    <x v="1"/>
    <x v="1"/>
  </r>
  <r>
    <s v="ORD01343"/>
    <x v="784"/>
    <x v="1"/>
    <x v="13"/>
    <x v="1"/>
    <x v="1337"/>
    <x v="1310"/>
    <x v="1"/>
    <x v="0"/>
  </r>
  <r>
    <s v="ORD01344"/>
    <x v="708"/>
    <x v="2"/>
    <x v="0"/>
    <x v="0"/>
    <x v="1338"/>
    <x v="1311"/>
    <x v="1"/>
    <x v="1"/>
  </r>
  <r>
    <s v="ORD01345"/>
    <x v="603"/>
    <x v="3"/>
    <x v="6"/>
    <x v="0"/>
    <x v="1339"/>
    <x v="1312"/>
    <x v="2"/>
    <x v="0"/>
  </r>
  <r>
    <s v="ORD01346"/>
    <x v="740"/>
    <x v="0"/>
    <x v="14"/>
    <x v="2"/>
    <x v="1340"/>
    <x v="1313"/>
    <x v="2"/>
    <x v="2"/>
  </r>
  <r>
    <s v="ORD01347"/>
    <x v="415"/>
    <x v="3"/>
    <x v="5"/>
    <x v="1"/>
    <x v="311"/>
    <x v="1314"/>
    <x v="1"/>
    <x v="0"/>
  </r>
  <r>
    <s v="ORD01348"/>
    <x v="785"/>
    <x v="0"/>
    <x v="5"/>
    <x v="1"/>
    <x v="1341"/>
    <x v="1315"/>
    <x v="1"/>
    <x v="3"/>
  </r>
  <r>
    <s v="ORD01349"/>
    <x v="531"/>
    <x v="0"/>
    <x v="12"/>
    <x v="2"/>
    <x v="1342"/>
    <x v="1316"/>
    <x v="1"/>
    <x v="1"/>
  </r>
  <r>
    <s v="ORD01350"/>
    <x v="728"/>
    <x v="1"/>
    <x v="14"/>
    <x v="2"/>
    <x v="1343"/>
    <x v="1317"/>
    <x v="2"/>
    <x v="3"/>
  </r>
  <r>
    <s v="ORD01351"/>
    <x v="263"/>
    <x v="3"/>
    <x v="6"/>
    <x v="0"/>
    <x v="1344"/>
    <x v="1318"/>
    <x v="0"/>
    <x v="3"/>
  </r>
  <r>
    <s v="ORD01352"/>
    <x v="525"/>
    <x v="0"/>
    <x v="6"/>
    <x v="0"/>
    <x v="1345"/>
    <x v="1319"/>
    <x v="1"/>
    <x v="2"/>
  </r>
  <r>
    <s v="ORD01353"/>
    <x v="480"/>
    <x v="1"/>
    <x v="7"/>
    <x v="0"/>
    <x v="1346"/>
    <x v="1320"/>
    <x v="2"/>
    <x v="3"/>
  </r>
  <r>
    <s v="ORD01354"/>
    <x v="74"/>
    <x v="2"/>
    <x v="11"/>
    <x v="2"/>
    <x v="1347"/>
    <x v="1321"/>
    <x v="1"/>
    <x v="3"/>
  </r>
  <r>
    <s v="ORD01355"/>
    <x v="786"/>
    <x v="3"/>
    <x v="10"/>
    <x v="2"/>
    <x v="1348"/>
    <x v="1322"/>
    <x v="0"/>
    <x v="1"/>
  </r>
  <r>
    <s v="ORD01356"/>
    <x v="787"/>
    <x v="1"/>
    <x v="11"/>
    <x v="2"/>
    <x v="1349"/>
    <x v="1323"/>
    <x v="0"/>
    <x v="0"/>
  </r>
  <r>
    <s v="ORD01357"/>
    <x v="439"/>
    <x v="3"/>
    <x v="11"/>
    <x v="2"/>
    <x v="1350"/>
    <x v="1324"/>
    <x v="0"/>
    <x v="1"/>
  </r>
  <r>
    <s v="ORD01358"/>
    <x v="788"/>
    <x v="1"/>
    <x v="7"/>
    <x v="0"/>
    <x v="1351"/>
    <x v="1325"/>
    <x v="1"/>
    <x v="1"/>
  </r>
  <r>
    <s v="ORD01359"/>
    <x v="170"/>
    <x v="1"/>
    <x v="11"/>
    <x v="2"/>
    <x v="1352"/>
    <x v="1326"/>
    <x v="0"/>
    <x v="2"/>
  </r>
  <r>
    <s v="ORD01360"/>
    <x v="357"/>
    <x v="2"/>
    <x v="14"/>
    <x v="2"/>
    <x v="1353"/>
    <x v="1327"/>
    <x v="0"/>
    <x v="0"/>
  </r>
  <r>
    <s v="ORD01361"/>
    <x v="372"/>
    <x v="1"/>
    <x v="12"/>
    <x v="2"/>
    <x v="1354"/>
    <x v="1328"/>
    <x v="1"/>
    <x v="1"/>
  </r>
  <r>
    <s v="ORD01362"/>
    <x v="789"/>
    <x v="0"/>
    <x v="12"/>
    <x v="2"/>
    <x v="1355"/>
    <x v="1329"/>
    <x v="1"/>
    <x v="3"/>
  </r>
  <r>
    <s v="ORD01363"/>
    <x v="368"/>
    <x v="0"/>
    <x v="6"/>
    <x v="0"/>
    <x v="1356"/>
    <x v="1330"/>
    <x v="1"/>
    <x v="1"/>
  </r>
  <r>
    <s v="ORD01364"/>
    <x v="456"/>
    <x v="2"/>
    <x v="6"/>
    <x v="0"/>
    <x v="1357"/>
    <x v="1331"/>
    <x v="2"/>
    <x v="2"/>
  </r>
  <r>
    <s v="ORD01365"/>
    <x v="158"/>
    <x v="3"/>
    <x v="11"/>
    <x v="2"/>
    <x v="1358"/>
    <x v="1332"/>
    <x v="2"/>
    <x v="1"/>
  </r>
  <r>
    <s v="ORD01366"/>
    <x v="642"/>
    <x v="0"/>
    <x v="13"/>
    <x v="1"/>
    <x v="1359"/>
    <x v="1333"/>
    <x v="2"/>
    <x v="3"/>
  </r>
  <r>
    <s v="ORD01367"/>
    <x v="708"/>
    <x v="2"/>
    <x v="6"/>
    <x v="0"/>
    <x v="1360"/>
    <x v="1334"/>
    <x v="1"/>
    <x v="1"/>
  </r>
  <r>
    <s v="ORD01368"/>
    <x v="362"/>
    <x v="0"/>
    <x v="1"/>
    <x v="1"/>
    <x v="1361"/>
    <x v="1335"/>
    <x v="0"/>
    <x v="2"/>
  </r>
  <r>
    <s v="ORD01369"/>
    <x v="790"/>
    <x v="3"/>
    <x v="5"/>
    <x v="1"/>
    <x v="1362"/>
    <x v="1336"/>
    <x v="2"/>
    <x v="0"/>
  </r>
  <r>
    <s v="ORD01370"/>
    <x v="328"/>
    <x v="2"/>
    <x v="13"/>
    <x v="1"/>
    <x v="1363"/>
    <x v="1337"/>
    <x v="1"/>
    <x v="0"/>
  </r>
  <r>
    <s v="ORD01371"/>
    <x v="465"/>
    <x v="3"/>
    <x v="4"/>
    <x v="0"/>
    <x v="1364"/>
    <x v="1338"/>
    <x v="1"/>
    <x v="0"/>
  </r>
  <r>
    <s v="ORD01372"/>
    <x v="155"/>
    <x v="2"/>
    <x v="13"/>
    <x v="1"/>
    <x v="1365"/>
    <x v="1339"/>
    <x v="2"/>
    <x v="1"/>
  </r>
  <r>
    <s v="ORD01373"/>
    <x v="64"/>
    <x v="0"/>
    <x v="13"/>
    <x v="1"/>
    <x v="1171"/>
    <x v="1340"/>
    <x v="0"/>
    <x v="2"/>
  </r>
  <r>
    <s v="ORD01374"/>
    <x v="791"/>
    <x v="3"/>
    <x v="13"/>
    <x v="1"/>
    <x v="1366"/>
    <x v="1341"/>
    <x v="2"/>
    <x v="0"/>
  </r>
  <r>
    <s v="ORD01375"/>
    <x v="10"/>
    <x v="1"/>
    <x v="4"/>
    <x v="0"/>
    <x v="1367"/>
    <x v="1087"/>
    <x v="2"/>
    <x v="3"/>
  </r>
  <r>
    <s v="ORD01376"/>
    <x v="316"/>
    <x v="2"/>
    <x v="13"/>
    <x v="1"/>
    <x v="1368"/>
    <x v="1342"/>
    <x v="0"/>
    <x v="3"/>
  </r>
  <r>
    <s v="ORD01377"/>
    <x v="141"/>
    <x v="1"/>
    <x v="1"/>
    <x v="1"/>
    <x v="1369"/>
    <x v="1343"/>
    <x v="1"/>
    <x v="0"/>
  </r>
  <r>
    <s v="ORD01378"/>
    <x v="792"/>
    <x v="1"/>
    <x v="2"/>
    <x v="1"/>
    <x v="1370"/>
    <x v="1344"/>
    <x v="0"/>
    <x v="2"/>
  </r>
  <r>
    <s v="ORD01379"/>
    <x v="315"/>
    <x v="0"/>
    <x v="4"/>
    <x v="0"/>
    <x v="1371"/>
    <x v="1345"/>
    <x v="2"/>
    <x v="1"/>
  </r>
  <r>
    <s v="ORD01380"/>
    <x v="233"/>
    <x v="3"/>
    <x v="12"/>
    <x v="2"/>
    <x v="1372"/>
    <x v="1346"/>
    <x v="1"/>
    <x v="0"/>
  </r>
  <r>
    <s v="ORD01381"/>
    <x v="595"/>
    <x v="3"/>
    <x v="2"/>
    <x v="1"/>
    <x v="1373"/>
    <x v="1347"/>
    <x v="2"/>
    <x v="1"/>
  </r>
  <r>
    <s v="ORD01382"/>
    <x v="12"/>
    <x v="0"/>
    <x v="10"/>
    <x v="2"/>
    <x v="1374"/>
    <x v="1348"/>
    <x v="0"/>
    <x v="3"/>
  </r>
  <r>
    <s v="ORD01383"/>
    <x v="410"/>
    <x v="0"/>
    <x v="1"/>
    <x v="1"/>
    <x v="1375"/>
    <x v="1349"/>
    <x v="2"/>
    <x v="2"/>
  </r>
  <r>
    <s v="ORD01384"/>
    <x v="450"/>
    <x v="3"/>
    <x v="13"/>
    <x v="1"/>
    <x v="1376"/>
    <x v="1350"/>
    <x v="1"/>
    <x v="3"/>
  </r>
  <r>
    <s v="ORD01385"/>
    <x v="445"/>
    <x v="0"/>
    <x v="10"/>
    <x v="2"/>
    <x v="1377"/>
    <x v="1351"/>
    <x v="2"/>
    <x v="3"/>
  </r>
  <r>
    <s v="ORD01386"/>
    <x v="190"/>
    <x v="2"/>
    <x v="6"/>
    <x v="0"/>
    <x v="1378"/>
    <x v="1352"/>
    <x v="2"/>
    <x v="2"/>
  </r>
  <r>
    <s v="ORD01387"/>
    <x v="793"/>
    <x v="0"/>
    <x v="11"/>
    <x v="2"/>
    <x v="1379"/>
    <x v="1353"/>
    <x v="0"/>
    <x v="1"/>
  </r>
  <r>
    <s v="ORD01388"/>
    <x v="794"/>
    <x v="3"/>
    <x v="8"/>
    <x v="1"/>
    <x v="1380"/>
    <x v="1354"/>
    <x v="0"/>
    <x v="0"/>
  </r>
  <r>
    <s v="ORD01389"/>
    <x v="264"/>
    <x v="2"/>
    <x v="2"/>
    <x v="1"/>
    <x v="1381"/>
    <x v="1355"/>
    <x v="1"/>
    <x v="0"/>
  </r>
  <r>
    <s v="ORD01390"/>
    <x v="795"/>
    <x v="0"/>
    <x v="11"/>
    <x v="2"/>
    <x v="1382"/>
    <x v="1356"/>
    <x v="0"/>
    <x v="1"/>
  </r>
  <r>
    <s v="ORD01391"/>
    <x v="737"/>
    <x v="2"/>
    <x v="9"/>
    <x v="0"/>
    <x v="1383"/>
    <x v="1357"/>
    <x v="0"/>
    <x v="3"/>
  </r>
  <r>
    <s v="ORD01392"/>
    <x v="54"/>
    <x v="0"/>
    <x v="3"/>
    <x v="2"/>
    <x v="1384"/>
    <x v="1358"/>
    <x v="2"/>
    <x v="3"/>
  </r>
  <r>
    <s v="ORD01393"/>
    <x v="33"/>
    <x v="0"/>
    <x v="0"/>
    <x v="0"/>
    <x v="1385"/>
    <x v="1359"/>
    <x v="2"/>
    <x v="3"/>
  </r>
  <r>
    <s v="ORD01394"/>
    <x v="796"/>
    <x v="3"/>
    <x v="13"/>
    <x v="1"/>
    <x v="1386"/>
    <x v="1360"/>
    <x v="0"/>
    <x v="0"/>
  </r>
  <r>
    <s v="ORD01395"/>
    <x v="47"/>
    <x v="1"/>
    <x v="7"/>
    <x v="0"/>
    <x v="1387"/>
    <x v="1361"/>
    <x v="2"/>
    <x v="3"/>
  </r>
  <r>
    <s v="ORD01396"/>
    <x v="561"/>
    <x v="3"/>
    <x v="0"/>
    <x v="0"/>
    <x v="1388"/>
    <x v="1362"/>
    <x v="2"/>
    <x v="2"/>
  </r>
  <r>
    <s v="ORD01397"/>
    <x v="302"/>
    <x v="3"/>
    <x v="11"/>
    <x v="2"/>
    <x v="1389"/>
    <x v="1363"/>
    <x v="1"/>
    <x v="3"/>
  </r>
  <r>
    <s v="ORD01398"/>
    <x v="797"/>
    <x v="0"/>
    <x v="14"/>
    <x v="2"/>
    <x v="1390"/>
    <x v="1364"/>
    <x v="2"/>
    <x v="0"/>
  </r>
  <r>
    <s v="ORD01399"/>
    <x v="798"/>
    <x v="2"/>
    <x v="8"/>
    <x v="1"/>
    <x v="1391"/>
    <x v="1365"/>
    <x v="0"/>
    <x v="0"/>
  </r>
  <r>
    <s v="ORD01400"/>
    <x v="799"/>
    <x v="0"/>
    <x v="12"/>
    <x v="2"/>
    <x v="1392"/>
    <x v="1366"/>
    <x v="2"/>
    <x v="0"/>
  </r>
  <r>
    <s v="ORD01401"/>
    <x v="800"/>
    <x v="3"/>
    <x v="3"/>
    <x v="2"/>
    <x v="1393"/>
    <x v="1367"/>
    <x v="1"/>
    <x v="1"/>
  </r>
  <r>
    <s v="ORD01402"/>
    <x v="358"/>
    <x v="3"/>
    <x v="10"/>
    <x v="2"/>
    <x v="1394"/>
    <x v="1368"/>
    <x v="0"/>
    <x v="3"/>
  </r>
  <r>
    <s v="ORD01403"/>
    <x v="294"/>
    <x v="0"/>
    <x v="3"/>
    <x v="2"/>
    <x v="1395"/>
    <x v="1369"/>
    <x v="2"/>
    <x v="3"/>
  </r>
  <r>
    <s v="ORD01404"/>
    <x v="801"/>
    <x v="1"/>
    <x v="3"/>
    <x v="2"/>
    <x v="1396"/>
    <x v="1370"/>
    <x v="2"/>
    <x v="0"/>
  </r>
  <r>
    <s v="ORD01405"/>
    <x v="588"/>
    <x v="2"/>
    <x v="9"/>
    <x v="0"/>
    <x v="1397"/>
    <x v="1371"/>
    <x v="1"/>
    <x v="0"/>
  </r>
  <r>
    <s v="ORD01406"/>
    <x v="363"/>
    <x v="1"/>
    <x v="13"/>
    <x v="1"/>
    <x v="1398"/>
    <x v="1372"/>
    <x v="1"/>
    <x v="0"/>
  </r>
  <r>
    <s v="ORD01407"/>
    <x v="386"/>
    <x v="0"/>
    <x v="3"/>
    <x v="2"/>
    <x v="1399"/>
    <x v="1373"/>
    <x v="0"/>
    <x v="3"/>
  </r>
  <r>
    <s v="ORD01408"/>
    <x v="401"/>
    <x v="0"/>
    <x v="6"/>
    <x v="0"/>
    <x v="1400"/>
    <x v="1374"/>
    <x v="2"/>
    <x v="0"/>
  </r>
  <r>
    <s v="ORD01409"/>
    <x v="137"/>
    <x v="3"/>
    <x v="8"/>
    <x v="1"/>
    <x v="1401"/>
    <x v="1375"/>
    <x v="2"/>
    <x v="2"/>
  </r>
  <r>
    <s v="ORD01410"/>
    <x v="73"/>
    <x v="3"/>
    <x v="9"/>
    <x v="0"/>
    <x v="1402"/>
    <x v="1376"/>
    <x v="1"/>
    <x v="0"/>
  </r>
  <r>
    <s v="ORD01411"/>
    <x v="251"/>
    <x v="3"/>
    <x v="3"/>
    <x v="2"/>
    <x v="1403"/>
    <x v="1377"/>
    <x v="2"/>
    <x v="2"/>
  </r>
  <r>
    <s v="ORD01412"/>
    <x v="229"/>
    <x v="3"/>
    <x v="11"/>
    <x v="2"/>
    <x v="1404"/>
    <x v="1378"/>
    <x v="2"/>
    <x v="2"/>
  </r>
  <r>
    <s v="ORD01413"/>
    <x v="766"/>
    <x v="2"/>
    <x v="11"/>
    <x v="2"/>
    <x v="1405"/>
    <x v="1379"/>
    <x v="0"/>
    <x v="0"/>
  </r>
  <r>
    <s v="ORD01414"/>
    <x v="25"/>
    <x v="2"/>
    <x v="10"/>
    <x v="2"/>
    <x v="1406"/>
    <x v="1380"/>
    <x v="0"/>
    <x v="3"/>
  </r>
  <r>
    <s v="ORD01415"/>
    <x v="802"/>
    <x v="2"/>
    <x v="13"/>
    <x v="1"/>
    <x v="1407"/>
    <x v="1381"/>
    <x v="1"/>
    <x v="1"/>
  </r>
  <r>
    <s v="ORD01416"/>
    <x v="803"/>
    <x v="2"/>
    <x v="3"/>
    <x v="2"/>
    <x v="1408"/>
    <x v="1382"/>
    <x v="1"/>
    <x v="0"/>
  </r>
  <r>
    <s v="ORD01417"/>
    <x v="154"/>
    <x v="3"/>
    <x v="12"/>
    <x v="2"/>
    <x v="1409"/>
    <x v="1383"/>
    <x v="0"/>
    <x v="3"/>
  </r>
  <r>
    <s v="ORD01418"/>
    <x v="33"/>
    <x v="2"/>
    <x v="11"/>
    <x v="2"/>
    <x v="1410"/>
    <x v="1384"/>
    <x v="1"/>
    <x v="0"/>
  </r>
  <r>
    <s v="ORD01419"/>
    <x v="137"/>
    <x v="0"/>
    <x v="7"/>
    <x v="0"/>
    <x v="1411"/>
    <x v="1385"/>
    <x v="2"/>
    <x v="2"/>
  </r>
  <r>
    <s v="ORD01420"/>
    <x v="520"/>
    <x v="1"/>
    <x v="4"/>
    <x v="0"/>
    <x v="1412"/>
    <x v="1386"/>
    <x v="1"/>
    <x v="2"/>
  </r>
  <r>
    <s v="ORD01421"/>
    <x v="254"/>
    <x v="3"/>
    <x v="6"/>
    <x v="0"/>
    <x v="1413"/>
    <x v="1387"/>
    <x v="1"/>
    <x v="1"/>
  </r>
  <r>
    <s v="ORD01422"/>
    <x v="339"/>
    <x v="2"/>
    <x v="2"/>
    <x v="1"/>
    <x v="1414"/>
    <x v="1388"/>
    <x v="0"/>
    <x v="0"/>
  </r>
  <r>
    <s v="ORD01423"/>
    <x v="804"/>
    <x v="3"/>
    <x v="14"/>
    <x v="2"/>
    <x v="1415"/>
    <x v="1389"/>
    <x v="1"/>
    <x v="1"/>
  </r>
  <r>
    <s v="ORD01424"/>
    <x v="56"/>
    <x v="3"/>
    <x v="4"/>
    <x v="0"/>
    <x v="1416"/>
    <x v="1390"/>
    <x v="2"/>
    <x v="1"/>
  </r>
  <r>
    <s v="ORD01425"/>
    <x v="805"/>
    <x v="0"/>
    <x v="12"/>
    <x v="2"/>
    <x v="1417"/>
    <x v="1391"/>
    <x v="0"/>
    <x v="1"/>
  </r>
  <r>
    <s v="ORD01426"/>
    <x v="719"/>
    <x v="1"/>
    <x v="7"/>
    <x v="0"/>
    <x v="1418"/>
    <x v="1392"/>
    <x v="2"/>
    <x v="3"/>
  </r>
  <r>
    <s v="ORD01427"/>
    <x v="806"/>
    <x v="1"/>
    <x v="14"/>
    <x v="2"/>
    <x v="1419"/>
    <x v="1393"/>
    <x v="1"/>
    <x v="2"/>
  </r>
  <r>
    <s v="ORD01428"/>
    <x v="607"/>
    <x v="2"/>
    <x v="7"/>
    <x v="0"/>
    <x v="1420"/>
    <x v="1394"/>
    <x v="0"/>
    <x v="1"/>
  </r>
  <r>
    <s v="ORD01429"/>
    <x v="725"/>
    <x v="3"/>
    <x v="4"/>
    <x v="0"/>
    <x v="1421"/>
    <x v="1395"/>
    <x v="1"/>
    <x v="2"/>
  </r>
  <r>
    <s v="ORD01430"/>
    <x v="261"/>
    <x v="2"/>
    <x v="14"/>
    <x v="2"/>
    <x v="1422"/>
    <x v="1396"/>
    <x v="0"/>
    <x v="1"/>
  </r>
  <r>
    <s v="ORD01431"/>
    <x v="807"/>
    <x v="1"/>
    <x v="11"/>
    <x v="2"/>
    <x v="1423"/>
    <x v="1397"/>
    <x v="1"/>
    <x v="1"/>
  </r>
  <r>
    <s v="ORD01432"/>
    <x v="747"/>
    <x v="2"/>
    <x v="3"/>
    <x v="2"/>
    <x v="1424"/>
    <x v="1398"/>
    <x v="0"/>
    <x v="3"/>
  </r>
  <r>
    <s v="ORD01433"/>
    <x v="237"/>
    <x v="0"/>
    <x v="12"/>
    <x v="2"/>
    <x v="1425"/>
    <x v="1399"/>
    <x v="2"/>
    <x v="2"/>
  </r>
  <r>
    <s v="ORD01434"/>
    <x v="319"/>
    <x v="1"/>
    <x v="3"/>
    <x v="2"/>
    <x v="1426"/>
    <x v="1400"/>
    <x v="0"/>
    <x v="2"/>
  </r>
  <r>
    <s v="ORD01435"/>
    <x v="24"/>
    <x v="0"/>
    <x v="12"/>
    <x v="2"/>
    <x v="1427"/>
    <x v="1401"/>
    <x v="0"/>
    <x v="0"/>
  </r>
  <r>
    <s v="ORD01436"/>
    <x v="51"/>
    <x v="3"/>
    <x v="14"/>
    <x v="2"/>
    <x v="1428"/>
    <x v="1402"/>
    <x v="0"/>
    <x v="2"/>
  </r>
  <r>
    <s v="ORD01437"/>
    <x v="767"/>
    <x v="3"/>
    <x v="11"/>
    <x v="2"/>
    <x v="1429"/>
    <x v="1403"/>
    <x v="0"/>
    <x v="0"/>
  </r>
  <r>
    <s v="ORD01438"/>
    <x v="740"/>
    <x v="1"/>
    <x v="13"/>
    <x v="1"/>
    <x v="1430"/>
    <x v="1404"/>
    <x v="2"/>
    <x v="0"/>
  </r>
  <r>
    <s v="ORD01439"/>
    <x v="751"/>
    <x v="1"/>
    <x v="8"/>
    <x v="1"/>
    <x v="1431"/>
    <x v="96"/>
    <x v="2"/>
    <x v="3"/>
  </r>
  <r>
    <s v="ORD01440"/>
    <x v="219"/>
    <x v="2"/>
    <x v="3"/>
    <x v="2"/>
    <x v="1432"/>
    <x v="1405"/>
    <x v="0"/>
    <x v="1"/>
  </r>
  <r>
    <s v="ORD01441"/>
    <x v="699"/>
    <x v="1"/>
    <x v="8"/>
    <x v="1"/>
    <x v="1433"/>
    <x v="1406"/>
    <x v="2"/>
    <x v="3"/>
  </r>
  <r>
    <s v="ORD01442"/>
    <x v="808"/>
    <x v="1"/>
    <x v="6"/>
    <x v="0"/>
    <x v="1434"/>
    <x v="1407"/>
    <x v="0"/>
    <x v="2"/>
  </r>
  <r>
    <s v="ORD01443"/>
    <x v="554"/>
    <x v="0"/>
    <x v="11"/>
    <x v="2"/>
    <x v="1435"/>
    <x v="1408"/>
    <x v="1"/>
    <x v="0"/>
  </r>
  <r>
    <s v="ORD01444"/>
    <x v="809"/>
    <x v="3"/>
    <x v="0"/>
    <x v="0"/>
    <x v="1436"/>
    <x v="1409"/>
    <x v="1"/>
    <x v="3"/>
  </r>
  <r>
    <s v="ORD01445"/>
    <x v="235"/>
    <x v="3"/>
    <x v="9"/>
    <x v="0"/>
    <x v="1437"/>
    <x v="1410"/>
    <x v="1"/>
    <x v="2"/>
  </r>
  <r>
    <s v="ORD01446"/>
    <x v="2"/>
    <x v="3"/>
    <x v="14"/>
    <x v="2"/>
    <x v="1438"/>
    <x v="1411"/>
    <x v="1"/>
    <x v="2"/>
  </r>
  <r>
    <s v="ORD01447"/>
    <x v="291"/>
    <x v="3"/>
    <x v="2"/>
    <x v="1"/>
    <x v="1439"/>
    <x v="1412"/>
    <x v="1"/>
    <x v="1"/>
  </r>
  <r>
    <s v="ORD01448"/>
    <x v="687"/>
    <x v="0"/>
    <x v="8"/>
    <x v="1"/>
    <x v="1440"/>
    <x v="1413"/>
    <x v="2"/>
    <x v="3"/>
  </r>
  <r>
    <s v="ORD01449"/>
    <x v="47"/>
    <x v="2"/>
    <x v="11"/>
    <x v="2"/>
    <x v="1441"/>
    <x v="1414"/>
    <x v="2"/>
    <x v="1"/>
  </r>
  <r>
    <s v="ORD01450"/>
    <x v="170"/>
    <x v="2"/>
    <x v="5"/>
    <x v="1"/>
    <x v="1442"/>
    <x v="1415"/>
    <x v="1"/>
    <x v="0"/>
  </r>
  <r>
    <s v="ORD01451"/>
    <x v="121"/>
    <x v="2"/>
    <x v="12"/>
    <x v="2"/>
    <x v="1443"/>
    <x v="1416"/>
    <x v="2"/>
    <x v="2"/>
  </r>
  <r>
    <s v="ORD01452"/>
    <x v="810"/>
    <x v="3"/>
    <x v="3"/>
    <x v="2"/>
    <x v="1444"/>
    <x v="1417"/>
    <x v="2"/>
    <x v="0"/>
  </r>
  <r>
    <s v="ORD01453"/>
    <x v="634"/>
    <x v="3"/>
    <x v="0"/>
    <x v="0"/>
    <x v="1445"/>
    <x v="521"/>
    <x v="2"/>
    <x v="1"/>
  </r>
  <r>
    <s v="ORD01454"/>
    <x v="435"/>
    <x v="1"/>
    <x v="9"/>
    <x v="0"/>
    <x v="1446"/>
    <x v="1418"/>
    <x v="0"/>
    <x v="3"/>
  </r>
  <r>
    <s v="ORD01455"/>
    <x v="231"/>
    <x v="2"/>
    <x v="13"/>
    <x v="1"/>
    <x v="1447"/>
    <x v="1419"/>
    <x v="0"/>
    <x v="3"/>
  </r>
  <r>
    <s v="ORD01456"/>
    <x v="34"/>
    <x v="1"/>
    <x v="8"/>
    <x v="1"/>
    <x v="1448"/>
    <x v="1420"/>
    <x v="0"/>
    <x v="1"/>
  </r>
  <r>
    <s v="ORD01457"/>
    <x v="493"/>
    <x v="2"/>
    <x v="2"/>
    <x v="1"/>
    <x v="1449"/>
    <x v="1421"/>
    <x v="1"/>
    <x v="2"/>
  </r>
  <r>
    <s v="ORD01458"/>
    <x v="87"/>
    <x v="1"/>
    <x v="10"/>
    <x v="2"/>
    <x v="1450"/>
    <x v="1422"/>
    <x v="1"/>
    <x v="0"/>
  </r>
  <r>
    <s v="ORD01459"/>
    <x v="673"/>
    <x v="3"/>
    <x v="7"/>
    <x v="0"/>
    <x v="1451"/>
    <x v="1423"/>
    <x v="2"/>
    <x v="3"/>
  </r>
  <r>
    <s v="ORD01460"/>
    <x v="24"/>
    <x v="3"/>
    <x v="6"/>
    <x v="0"/>
    <x v="1452"/>
    <x v="1424"/>
    <x v="2"/>
    <x v="0"/>
  </r>
  <r>
    <s v="ORD01461"/>
    <x v="191"/>
    <x v="0"/>
    <x v="2"/>
    <x v="1"/>
    <x v="1453"/>
    <x v="1425"/>
    <x v="2"/>
    <x v="2"/>
  </r>
  <r>
    <s v="ORD01462"/>
    <x v="811"/>
    <x v="0"/>
    <x v="1"/>
    <x v="1"/>
    <x v="1454"/>
    <x v="1426"/>
    <x v="2"/>
    <x v="1"/>
  </r>
  <r>
    <s v="ORD01463"/>
    <x v="449"/>
    <x v="2"/>
    <x v="14"/>
    <x v="2"/>
    <x v="1455"/>
    <x v="1427"/>
    <x v="0"/>
    <x v="1"/>
  </r>
  <r>
    <s v="ORD01464"/>
    <x v="96"/>
    <x v="0"/>
    <x v="2"/>
    <x v="1"/>
    <x v="1456"/>
    <x v="1428"/>
    <x v="1"/>
    <x v="0"/>
  </r>
  <r>
    <s v="ORD01465"/>
    <x v="812"/>
    <x v="1"/>
    <x v="12"/>
    <x v="2"/>
    <x v="1457"/>
    <x v="1429"/>
    <x v="0"/>
    <x v="0"/>
  </r>
  <r>
    <s v="ORD01466"/>
    <x v="365"/>
    <x v="0"/>
    <x v="7"/>
    <x v="0"/>
    <x v="1458"/>
    <x v="1430"/>
    <x v="0"/>
    <x v="3"/>
  </r>
  <r>
    <s v="ORD01467"/>
    <x v="111"/>
    <x v="3"/>
    <x v="2"/>
    <x v="1"/>
    <x v="1459"/>
    <x v="1431"/>
    <x v="1"/>
    <x v="3"/>
  </r>
  <r>
    <s v="ORD01468"/>
    <x v="463"/>
    <x v="3"/>
    <x v="9"/>
    <x v="0"/>
    <x v="1460"/>
    <x v="1432"/>
    <x v="2"/>
    <x v="0"/>
  </r>
  <r>
    <s v="ORD01469"/>
    <x v="82"/>
    <x v="1"/>
    <x v="9"/>
    <x v="0"/>
    <x v="1461"/>
    <x v="1433"/>
    <x v="0"/>
    <x v="2"/>
  </r>
  <r>
    <s v="ORD01470"/>
    <x v="94"/>
    <x v="3"/>
    <x v="7"/>
    <x v="0"/>
    <x v="1462"/>
    <x v="1434"/>
    <x v="0"/>
    <x v="0"/>
  </r>
  <r>
    <s v="ORD01471"/>
    <x v="813"/>
    <x v="3"/>
    <x v="4"/>
    <x v="0"/>
    <x v="1463"/>
    <x v="1435"/>
    <x v="0"/>
    <x v="2"/>
  </r>
  <r>
    <s v="ORD01472"/>
    <x v="492"/>
    <x v="2"/>
    <x v="6"/>
    <x v="0"/>
    <x v="1464"/>
    <x v="1436"/>
    <x v="1"/>
    <x v="3"/>
  </r>
  <r>
    <s v="ORD01473"/>
    <x v="527"/>
    <x v="3"/>
    <x v="0"/>
    <x v="0"/>
    <x v="1465"/>
    <x v="1437"/>
    <x v="2"/>
    <x v="3"/>
  </r>
  <r>
    <s v="ORD01474"/>
    <x v="814"/>
    <x v="1"/>
    <x v="3"/>
    <x v="2"/>
    <x v="1466"/>
    <x v="1438"/>
    <x v="0"/>
    <x v="0"/>
  </r>
  <r>
    <s v="ORD01475"/>
    <x v="815"/>
    <x v="0"/>
    <x v="6"/>
    <x v="0"/>
    <x v="1467"/>
    <x v="1439"/>
    <x v="0"/>
    <x v="2"/>
  </r>
  <r>
    <s v="ORD01476"/>
    <x v="683"/>
    <x v="3"/>
    <x v="14"/>
    <x v="2"/>
    <x v="1468"/>
    <x v="1440"/>
    <x v="0"/>
    <x v="2"/>
  </r>
  <r>
    <s v="ORD01477"/>
    <x v="189"/>
    <x v="3"/>
    <x v="11"/>
    <x v="2"/>
    <x v="1469"/>
    <x v="1441"/>
    <x v="0"/>
    <x v="2"/>
  </r>
  <r>
    <s v="ORD01478"/>
    <x v="99"/>
    <x v="1"/>
    <x v="7"/>
    <x v="0"/>
    <x v="1470"/>
    <x v="1442"/>
    <x v="1"/>
    <x v="2"/>
  </r>
  <r>
    <s v="ORD01479"/>
    <x v="56"/>
    <x v="3"/>
    <x v="9"/>
    <x v="0"/>
    <x v="1471"/>
    <x v="1443"/>
    <x v="0"/>
    <x v="0"/>
  </r>
  <r>
    <s v="ORD01480"/>
    <x v="816"/>
    <x v="3"/>
    <x v="4"/>
    <x v="0"/>
    <x v="1472"/>
    <x v="1444"/>
    <x v="2"/>
    <x v="3"/>
  </r>
  <r>
    <s v="ORD01481"/>
    <x v="817"/>
    <x v="2"/>
    <x v="14"/>
    <x v="2"/>
    <x v="1473"/>
    <x v="1445"/>
    <x v="0"/>
    <x v="3"/>
  </r>
  <r>
    <s v="ORD01482"/>
    <x v="517"/>
    <x v="0"/>
    <x v="8"/>
    <x v="1"/>
    <x v="1474"/>
    <x v="1446"/>
    <x v="1"/>
    <x v="3"/>
  </r>
  <r>
    <s v="ORD01483"/>
    <x v="187"/>
    <x v="1"/>
    <x v="14"/>
    <x v="2"/>
    <x v="1475"/>
    <x v="1447"/>
    <x v="2"/>
    <x v="2"/>
  </r>
  <r>
    <s v="ORD01484"/>
    <x v="806"/>
    <x v="0"/>
    <x v="9"/>
    <x v="0"/>
    <x v="1476"/>
    <x v="1448"/>
    <x v="0"/>
    <x v="0"/>
  </r>
  <r>
    <s v="ORD01485"/>
    <x v="756"/>
    <x v="0"/>
    <x v="7"/>
    <x v="0"/>
    <x v="1477"/>
    <x v="1449"/>
    <x v="0"/>
    <x v="3"/>
  </r>
  <r>
    <s v="ORD01486"/>
    <x v="291"/>
    <x v="2"/>
    <x v="3"/>
    <x v="2"/>
    <x v="1478"/>
    <x v="1450"/>
    <x v="0"/>
    <x v="3"/>
  </r>
  <r>
    <s v="ORD01487"/>
    <x v="630"/>
    <x v="3"/>
    <x v="6"/>
    <x v="0"/>
    <x v="1479"/>
    <x v="1211"/>
    <x v="0"/>
    <x v="2"/>
  </r>
  <r>
    <s v="ORD01488"/>
    <x v="745"/>
    <x v="2"/>
    <x v="4"/>
    <x v="0"/>
    <x v="1480"/>
    <x v="1451"/>
    <x v="0"/>
    <x v="0"/>
  </r>
  <r>
    <s v="ORD01489"/>
    <x v="431"/>
    <x v="2"/>
    <x v="9"/>
    <x v="0"/>
    <x v="1481"/>
    <x v="1452"/>
    <x v="1"/>
    <x v="0"/>
  </r>
  <r>
    <s v="ORD01490"/>
    <x v="818"/>
    <x v="0"/>
    <x v="5"/>
    <x v="1"/>
    <x v="1482"/>
    <x v="1453"/>
    <x v="1"/>
    <x v="1"/>
  </r>
  <r>
    <s v="ORD01491"/>
    <x v="803"/>
    <x v="1"/>
    <x v="4"/>
    <x v="0"/>
    <x v="1483"/>
    <x v="1454"/>
    <x v="0"/>
    <x v="3"/>
  </r>
  <r>
    <s v="ORD01492"/>
    <x v="480"/>
    <x v="0"/>
    <x v="12"/>
    <x v="2"/>
    <x v="1484"/>
    <x v="1455"/>
    <x v="2"/>
    <x v="0"/>
  </r>
  <r>
    <s v="ORD01493"/>
    <x v="68"/>
    <x v="2"/>
    <x v="1"/>
    <x v="1"/>
    <x v="1485"/>
    <x v="1456"/>
    <x v="2"/>
    <x v="0"/>
  </r>
  <r>
    <s v="ORD01494"/>
    <x v="819"/>
    <x v="1"/>
    <x v="6"/>
    <x v="0"/>
    <x v="1486"/>
    <x v="1457"/>
    <x v="2"/>
    <x v="0"/>
  </r>
  <r>
    <s v="ORD01495"/>
    <x v="207"/>
    <x v="3"/>
    <x v="4"/>
    <x v="0"/>
    <x v="1487"/>
    <x v="1458"/>
    <x v="2"/>
    <x v="0"/>
  </r>
  <r>
    <s v="ORD01496"/>
    <x v="582"/>
    <x v="0"/>
    <x v="8"/>
    <x v="1"/>
    <x v="1488"/>
    <x v="1459"/>
    <x v="1"/>
    <x v="1"/>
  </r>
  <r>
    <s v="ORD01497"/>
    <x v="494"/>
    <x v="0"/>
    <x v="11"/>
    <x v="2"/>
    <x v="1489"/>
    <x v="321"/>
    <x v="2"/>
    <x v="0"/>
  </r>
  <r>
    <s v="ORD01498"/>
    <x v="94"/>
    <x v="0"/>
    <x v="6"/>
    <x v="0"/>
    <x v="1490"/>
    <x v="1460"/>
    <x v="0"/>
    <x v="1"/>
  </r>
  <r>
    <s v="ORD01499"/>
    <x v="479"/>
    <x v="3"/>
    <x v="9"/>
    <x v="0"/>
    <x v="1491"/>
    <x v="1461"/>
    <x v="2"/>
    <x v="3"/>
  </r>
  <r>
    <s v="ORD01500"/>
    <x v="245"/>
    <x v="2"/>
    <x v="7"/>
    <x v="0"/>
    <x v="1492"/>
    <x v="1462"/>
    <x v="2"/>
    <x v="0"/>
  </r>
  <r>
    <s v="ORD01501"/>
    <x v="538"/>
    <x v="1"/>
    <x v="4"/>
    <x v="0"/>
    <x v="1493"/>
    <x v="1463"/>
    <x v="2"/>
    <x v="0"/>
  </r>
  <r>
    <s v="ORD01502"/>
    <x v="732"/>
    <x v="3"/>
    <x v="6"/>
    <x v="0"/>
    <x v="1494"/>
    <x v="1464"/>
    <x v="2"/>
    <x v="1"/>
  </r>
  <r>
    <s v="ORD01503"/>
    <x v="448"/>
    <x v="1"/>
    <x v="4"/>
    <x v="0"/>
    <x v="1495"/>
    <x v="1465"/>
    <x v="2"/>
    <x v="0"/>
  </r>
  <r>
    <s v="ORD01504"/>
    <x v="559"/>
    <x v="3"/>
    <x v="12"/>
    <x v="2"/>
    <x v="1496"/>
    <x v="1466"/>
    <x v="1"/>
    <x v="2"/>
  </r>
  <r>
    <s v="ORD01505"/>
    <x v="820"/>
    <x v="0"/>
    <x v="8"/>
    <x v="1"/>
    <x v="1497"/>
    <x v="1467"/>
    <x v="0"/>
    <x v="2"/>
  </r>
  <r>
    <s v="ORD01506"/>
    <x v="821"/>
    <x v="0"/>
    <x v="9"/>
    <x v="0"/>
    <x v="1498"/>
    <x v="1468"/>
    <x v="2"/>
    <x v="1"/>
  </r>
  <r>
    <s v="ORD01507"/>
    <x v="822"/>
    <x v="1"/>
    <x v="12"/>
    <x v="2"/>
    <x v="1499"/>
    <x v="1469"/>
    <x v="2"/>
    <x v="3"/>
  </r>
  <r>
    <s v="ORD01508"/>
    <x v="823"/>
    <x v="2"/>
    <x v="0"/>
    <x v="0"/>
    <x v="1500"/>
    <x v="1470"/>
    <x v="0"/>
    <x v="0"/>
  </r>
  <r>
    <s v="ORD01509"/>
    <x v="37"/>
    <x v="0"/>
    <x v="9"/>
    <x v="0"/>
    <x v="1501"/>
    <x v="1471"/>
    <x v="2"/>
    <x v="1"/>
  </r>
  <r>
    <s v="ORD01510"/>
    <x v="144"/>
    <x v="1"/>
    <x v="14"/>
    <x v="2"/>
    <x v="1502"/>
    <x v="1427"/>
    <x v="0"/>
    <x v="0"/>
  </r>
  <r>
    <s v="ORD01511"/>
    <x v="223"/>
    <x v="2"/>
    <x v="8"/>
    <x v="1"/>
    <x v="1503"/>
    <x v="1472"/>
    <x v="0"/>
    <x v="0"/>
  </r>
  <r>
    <s v="ORD01512"/>
    <x v="430"/>
    <x v="2"/>
    <x v="0"/>
    <x v="0"/>
    <x v="1504"/>
    <x v="1473"/>
    <x v="2"/>
    <x v="2"/>
  </r>
  <r>
    <s v="ORD01513"/>
    <x v="201"/>
    <x v="3"/>
    <x v="6"/>
    <x v="0"/>
    <x v="1505"/>
    <x v="1474"/>
    <x v="0"/>
    <x v="3"/>
  </r>
  <r>
    <s v="ORD01514"/>
    <x v="180"/>
    <x v="1"/>
    <x v="14"/>
    <x v="2"/>
    <x v="1506"/>
    <x v="1475"/>
    <x v="1"/>
    <x v="0"/>
  </r>
  <r>
    <s v="ORD01515"/>
    <x v="529"/>
    <x v="1"/>
    <x v="9"/>
    <x v="0"/>
    <x v="1507"/>
    <x v="1035"/>
    <x v="1"/>
    <x v="2"/>
  </r>
  <r>
    <s v="ORD01516"/>
    <x v="15"/>
    <x v="0"/>
    <x v="6"/>
    <x v="0"/>
    <x v="1508"/>
    <x v="1476"/>
    <x v="1"/>
    <x v="3"/>
  </r>
  <r>
    <s v="ORD01517"/>
    <x v="824"/>
    <x v="1"/>
    <x v="9"/>
    <x v="0"/>
    <x v="1509"/>
    <x v="1477"/>
    <x v="0"/>
    <x v="3"/>
  </r>
  <r>
    <s v="ORD01518"/>
    <x v="223"/>
    <x v="1"/>
    <x v="13"/>
    <x v="1"/>
    <x v="1510"/>
    <x v="1478"/>
    <x v="2"/>
    <x v="1"/>
  </r>
  <r>
    <s v="ORD01519"/>
    <x v="127"/>
    <x v="0"/>
    <x v="14"/>
    <x v="2"/>
    <x v="1511"/>
    <x v="1479"/>
    <x v="0"/>
    <x v="0"/>
  </r>
  <r>
    <s v="ORD01520"/>
    <x v="825"/>
    <x v="2"/>
    <x v="9"/>
    <x v="0"/>
    <x v="1512"/>
    <x v="1480"/>
    <x v="0"/>
    <x v="0"/>
  </r>
  <r>
    <s v="ORD01521"/>
    <x v="19"/>
    <x v="2"/>
    <x v="11"/>
    <x v="2"/>
    <x v="1513"/>
    <x v="1481"/>
    <x v="2"/>
    <x v="0"/>
  </r>
  <r>
    <s v="ORD01522"/>
    <x v="174"/>
    <x v="0"/>
    <x v="4"/>
    <x v="0"/>
    <x v="1514"/>
    <x v="1482"/>
    <x v="2"/>
    <x v="3"/>
  </r>
  <r>
    <s v="ORD01523"/>
    <x v="74"/>
    <x v="2"/>
    <x v="10"/>
    <x v="2"/>
    <x v="1515"/>
    <x v="1483"/>
    <x v="2"/>
    <x v="1"/>
  </r>
  <r>
    <s v="ORD01524"/>
    <x v="239"/>
    <x v="2"/>
    <x v="2"/>
    <x v="1"/>
    <x v="1516"/>
    <x v="1484"/>
    <x v="1"/>
    <x v="2"/>
  </r>
  <r>
    <s v="ORD01525"/>
    <x v="715"/>
    <x v="1"/>
    <x v="7"/>
    <x v="0"/>
    <x v="406"/>
    <x v="1485"/>
    <x v="2"/>
    <x v="0"/>
  </r>
  <r>
    <s v="ORD01526"/>
    <x v="356"/>
    <x v="2"/>
    <x v="13"/>
    <x v="1"/>
    <x v="1517"/>
    <x v="1486"/>
    <x v="0"/>
    <x v="2"/>
  </r>
  <r>
    <s v="ORD01527"/>
    <x v="679"/>
    <x v="3"/>
    <x v="6"/>
    <x v="0"/>
    <x v="1518"/>
    <x v="1487"/>
    <x v="2"/>
    <x v="2"/>
  </r>
  <r>
    <s v="ORD01528"/>
    <x v="826"/>
    <x v="3"/>
    <x v="7"/>
    <x v="0"/>
    <x v="1519"/>
    <x v="1488"/>
    <x v="2"/>
    <x v="0"/>
  </r>
  <r>
    <s v="ORD01529"/>
    <x v="286"/>
    <x v="0"/>
    <x v="9"/>
    <x v="0"/>
    <x v="1520"/>
    <x v="1489"/>
    <x v="0"/>
    <x v="2"/>
  </r>
  <r>
    <s v="ORD01530"/>
    <x v="668"/>
    <x v="2"/>
    <x v="11"/>
    <x v="2"/>
    <x v="1521"/>
    <x v="1490"/>
    <x v="2"/>
    <x v="2"/>
  </r>
  <r>
    <s v="ORD01531"/>
    <x v="655"/>
    <x v="0"/>
    <x v="3"/>
    <x v="2"/>
    <x v="1522"/>
    <x v="1491"/>
    <x v="1"/>
    <x v="1"/>
  </r>
  <r>
    <s v="ORD01532"/>
    <x v="1"/>
    <x v="0"/>
    <x v="13"/>
    <x v="1"/>
    <x v="1523"/>
    <x v="1492"/>
    <x v="1"/>
    <x v="2"/>
  </r>
  <r>
    <s v="ORD01533"/>
    <x v="494"/>
    <x v="0"/>
    <x v="5"/>
    <x v="1"/>
    <x v="1524"/>
    <x v="1493"/>
    <x v="0"/>
    <x v="2"/>
  </r>
  <r>
    <s v="ORD01534"/>
    <x v="827"/>
    <x v="3"/>
    <x v="12"/>
    <x v="2"/>
    <x v="1525"/>
    <x v="1494"/>
    <x v="2"/>
    <x v="1"/>
  </r>
  <r>
    <s v="ORD01535"/>
    <x v="607"/>
    <x v="2"/>
    <x v="1"/>
    <x v="1"/>
    <x v="1526"/>
    <x v="1495"/>
    <x v="2"/>
    <x v="0"/>
  </r>
  <r>
    <s v="ORD01536"/>
    <x v="749"/>
    <x v="1"/>
    <x v="12"/>
    <x v="2"/>
    <x v="1527"/>
    <x v="1496"/>
    <x v="2"/>
    <x v="0"/>
  </r>
  <r>
    <s v="ORD01537"/>
    <x v="356"/>
    <x v="1"/>
    <x v="2"/>
    <x v="1"/>
    <x v="1528"/>
    <x v="1497"/>
    <x v="0"/>
    <x v="1"/>
  </r>
  <r>
    <s v="ORD01538"/>
    <x v="111"/>
    <x v="2"/>
    <x v="8"/>
    <x v="1"/>
    <x v="1529"/>
    <x v="1498"/>
    <x v="2"/>
    <x v="1"/>
  </r>
  <r>
    <s v="ORD01539"/>
    <x v="819"/>
    <x v="1"/>
    <x v="9"/>
    <x v="0"/>
    <x v="1530"/>
    <x v="1499"/>
    <x v="2"/>
    <x v="2"/>
  </r>
  <r>
    <s v="ORD01540"/>
    <x v="210"/>
    <x v="3"/>
    <x v="6"/>
    <x v="0"/>
    <x v="1531"/>
    <x v="1500"/>
    <x v="2"/>
    <x v="0"/>
  </r>
  <r>
    <s v="ORD01541"/>
    <x v="720"/>
    <x v="2"/>
    <x v="6"/>
    <x v="0"/>
    <x v="1532"/>
    <x v="1501"/>
    <x v="0"/>
    <x v="3"/>
  </r>
  <r>
    <s v="ORD01542"/>
    <x v="622"/>
    <x v="1"/>
    <x v="10"/>
    <x v="2"/>
    <x v="1533"/>
    <x v="1502"/>
    <x v="1"/>
    <x v="0"/>
  </r>
  <r>
    <s v="ORD01543"/>
    <x v="609"/>
    <x v="0"/>
    <x v="12"/>
    <x v="2"/>
    <x v="1534"/>
    <x v="1503"/>
    <x v="1"/>
    <x v="2"/>
  </r>
  <r>
    <s v="ORD01544"/>
    <x v="113"/>
    <x v="1"/>
    <x v="3"/>
    <x v="2"/>
    <x v="1535"/>
    <x v="1504"/>
    <x v="2"/>
    <x v="0"/>
  </r>
  <r>
    <s v="ORD01545"/>
    <x v="371"/>
    <x v="3"/>
    <x v="12"/>
    <x v="2"/>
    <x v="1536"/>
    <x v="1505"/>
    <x v="2"/>
    <x v="2"/>
  </r>
  <r>
    <s v="ORD01546"/>
    <x v="35"/>
    <x v="0"/>
    <x v="12"/>
    <x v="2"/>
    <x v="1537"/>
    <x v="1506"/>
    <x v="0"/>
    <x v="0"/>
  </r>
  <r>
    <s v="ORD01547"/>
    <x v="155"/>
    <x v="0"/>
    <x v="5"/>
    <x v="1"/>
    <x v="1538"/>
    <x v="1507"/>
    <x v="1"/>
    <x v="1"/>
  </r>
  <r>
    <s v="ORD01548"/>
    <x v="203"/>
    <x v="1"/>
    <x v="3"/>
    <x v="2"/>
    <x v="1539"/>
    <x v="1508"/>
    <x v="1"/>
    <x v="3"/>
  </r>
  <r>
    <s v="ORD01549"/>
    <x v="276"/>
    <x v="1"/>
    <x v="11"/>
    <x v="2"/>
    <x v="1540"/>
    <x v="1509"/>
    <x v="1"/>
    <x v="3"/>
  </r>
  <r>
    <s v="ORD01550"/>
    <x v="828"/>
    <x v="2"/>
    <x v="6"/>
    <x v="0"/>
    <x v="1541"/>
    <x v="1510"/>
    <x v="0"/>
    <x v="1"/>
  </r>
  <r>
    <s v="ORD01551"/>
    <x v="526"/>
    <x v="1"/>
    <x v="9"/>
    <x v="0"/>
    <x v="1542"/>
    <x v="1511"/>
    <x v="0"/>
    <x v="1"/>
  </r>
  <r>
    <s v="ORD01552"/>
    <x v="829"/>
    <x v="0"/>
    <x v="0"/>
    <x v="0"/>
    <x v="1543"/>
    <x v="224"/>
    <x v="0"/>
    <x v="2"/>
  </r>
  <r>
    <s v="ORD01553"/>
    <x v="500"/>
    <x v="2"/>
    <x v="0"/>
    <x v="0"/>
    <x v="1544"/>
    <x v="1512"/>
    <x v="1"/>
    <x v="1"/>
  </r>
  <r>
    <s v="ORD01554"/>
    <x v="830"/>
    <x v="1"/>
    <x v="6"/>
    <x v="0"/>
    <x v="1545"/>
    <x v="1513"/>
    <x v="2"/>
    <x v="3"/>
  </r>
  <r>
    <s v="ORD01555"/>
    <x v="831"/>
    <x v="3"/>
    <x v="10"/>
    <x v="2"/>
    <x v="1546"/>
    <x v="1514"/>
    <x v="1"/>
    <x v="1"/>
  </r>
  <r>
    <s v="ORD01556"/>
    <x v="689"/>
    <x v="1"/>
    <x v="9"/>
    <x v="0"/>
    <x v="1547"/>
    <x v="1515"/>
    <x v="1"/>
    <x v="0"/>
  </r>
  <r>
    <s v="ORD01557"/>
    <x v="162"/>
    <x v="1"/>
    <x v="14"/>
    <x v="2"/>
    <x v="1548"/>
    <x v="1516"/>
    <x v="2"/>
    <x v="0"/>
  </r>
  <r>
    <s v="ORD01558"/>
    <x v="58"/>
    <x v="1"/>
    <x v="8"/>
    <x v="1"/>
    <x v="1549"/>
    <x v="1517"/>
    <x v="2"/>
    <x v="3"/>
  </r>
  <r>
    <s v="ORD01559"/>
    <x v="183"/>
    <x v="0"/>
    <x v="8"/>
    <x v="1"/>
    <x v="1550"/>
    <x v="1518"/>
    <x v="1"/>
    <x v="1"/>
  </r>
  <r>
    <s v="ORD01560"/>
    <x v="832"/>
    <x v="1"/>
    <x v="2"/>
    <x v="1"/>
    <x v="384"/>
    <x v="1519"/>
    <x v="0"/>
    <x v="3"/>
  </r>
  <r>
    <s v="ORD01561"/>
    <x v="833"/>
    <x v="0"/>
    <x v="7"/>
    <x v="0"/>
    <x v="1551"/>
    <x v="1520"/>
    <x v="1"/>
    <x v="2"/>
  </r>
  <r>
    <s v="ORD01562"/>
    <x v="161"/>
    <x v="2"/>
    <x v="1"/>
    <x v="1"/>
    <x v="1552"/>
    <x v="1521"/>
    <x v="2"/>
    <x v="2"/>
  </r>
  <r>
    <s v="ORD01563"/>
    <x v="811"/>
    <x v="1"/>
    <x v="12"/>
    <x v="2"/>
    <x v="1553"/>
    <x v="1522"/>
    <x v="2"/>
    <x v="0"/>
  </r>
  <r>
    <s v="ORD01564"/>
    <x v="567"/>
    <x v="0"/>
    <x v="5"/>
    <x v="1"/>
    <x v="1554"/>
    <x v="1523"/>
    <x v="1"/>
    <x v="3"/>
  </r>
  <r>
    <s v="ORD01565"/>
    <x v="253"/>
    <x v="3"/>
    <x v="4"/>
    <x v="0"/>
    <x v="1555"/>
    <x v="1524"/>
    <x v="1"/>
    <x v="2"/>
  </r>
  <r>
    <s v="ORD01566"/>
    <x v="97"/>
    <x v="0"/>
    <x v="4"/>
    <x v="0"/>
    <x v="1556"/>
    <x v="1525"/>
    <x v="0"/>
    <x v="0"/>
  </r>
  <r>
    <s v="ORD01567"/>
    <x v="794"/>
    <x v="0"/>
    <x v="6"/>
    <x v="0"/>
    <x v="1557"/>
    <x v="1526"/>
    <x v="1"/>
    <x v="1"/>
  </r>
  <r>
    <s v="ORD01568"/>
    <x v="827"/>
    <x v="3"/>
    <x v="4"/>
    <x v="0"/>
    <x v="1558"/>
    <x v="1527"/>
    <x v="1"/>
    <x v="1"/>
  </r>
  <r>
    <s v="ORD01569"/>
    <x v="604"/>
    <x v="2"/>
    <x v="0"/>
    <x v="0"/>
    <x v="1559"/>
    <x v="1528"/>
    <x v="1"/>
    <x v="0"/>
  </r>
  <r>
    <s v="ORD01570"/>
    <x v="834"/>
    <x v="1"/>
    <x v="9"/>
    <x v="0"/>
    <x v="1560"/>
    <x v="1529"/>
    <x v="2"/>
    <x v="3"/>
  </r>
  <r>
    <s v="ORD01571"/>
    <x v="300"/>
    <x v="1"/>
    <x v="12"/>
    <x v="2"/>
    <x v="1561"/>
    <x v="1530"/>
    <x v="1"/>
    <x v="1"/>
  </r>
  <r>
    <s v="ORD01572"/>
    <x v="183"/>
    <x v="3"/>
    <x v="8"/>
    <x v="1"/>
    <x v="1562"/>
    <x v="714"/>
    <x v="2"/>
    <x v="0"/>
  </r>
  <r>
    <s v="ORD01573"/>
    <x v="101"/>
    <x v="0"/>
    <x v="6"/>
    <x v="0"/>
    <x v="1563"/>
    <x v="1531"/>
    <x v="1"/>
    <x v="2"/>
  </r>
  <r>
    <s v="ORD01574"/>
    <x v="835"/>
    <x v="1"/>
    <x v="1"/>
    <x v="1"/>
    <x v="1564"/>
    <x v="179"/>
    <x v="2"/>
    <x v="0"/>
  </r>
  <r>
    <s v="ORD01575"/>
    <x v="345"/>
    <x v="0"/>
    <x v="7"/>
    <x v="0"/>
    <x v="1565"/>
    <x v="1532"/>
    <x v="2"/>
    <x v="2"/>
  </r>
  <r>
    <s v="ORD01576"/>
    <x v="836"/>
    <x v="0"/>
    <x v="1"/>
    <x v="1"/>
    <x v="1566"/>
    <x v="1533"/>
    <x v="2"/>
    <x v="2"/>
  </r>
  <r>
    <s v="ORD01577"/>
    <x v="0"/>
    <x v="0"/>
    <x v="11"/>
    <x v="2"/>
    <x v="1567"/>
    <x v="1534"/>
    <x v="2"/>
    <x v="2"/>
  </r>
  <r>
    <s v="ORD01578"/>
    <x v="107"/>
    <x v="2"/>
    <x v="7"/>
    <x v="0"/>
    <x v="1568"/>
    <x v="1535"/>
    <x v="0"/>
    <x v="0"/>
  </r>
  <r>
    <s v="ORD01579"/>
    <x v="558"/>
    <x v="3"/>
    <x v="8"/>
    <x v="1"/>
    <x v="1569"/>
    <x v="1536"/>
    <x v="2"/>
    <x v="2"/>
  </r>
  <r>
    <s v="ORD01580"/>
    <x v="837"/>
    <x v="1"/>
    <x v="6"/>
    <x v="0"/>
    <x v="1570"/>
    <x v="1537"/>
    <x v="1"/>
    <x v="0"/>
  </r>
  <r>
    <s v="ORD01581"/>
    <x v="118"/>
    <x v="2"/>
    <x v="6"/>
    <x v="0"/>
    <x v="1571"/>
    <x v="1538"/>
    <x v="0"/>
    <x v="2"/>
  </r>
  <r>
    <s v="ORD01582"/>
    <x v="838"/>
    <x v="0"/>
    <x v="2"/>
    <x v="1"/>
    <x v="1572"/>
    <x v="1539"/>
    <x v="1"/>
    <x v="0"/>
  </r>
  <r>
    <s v="ORD01583"/>
    <x v="839"/>
    <x v="2"/>
    <x v="9"/>
    <x v="0"/>
    <x v="1573"/>
    <x v="1540"/>
    <x v="2"/>
    <x v="3"/>
  </r>
  <r>
    <s v="ORD01584"/>
    <x v="320"/>
    <x v="2"/>
    <x v="6"/>
    <x v="0"/>
    <x v="1574"/>
    <x v="1541"/>
    <x v="2"/>
    <x v="2"/>
  </r>
  <r>
    <s v="ORD01585"/>
    <x v="140"/>
    <x v="3"/>
    <x v="12"/>
    <x v="2"/>
    <x v="1575"/>
    <x v="1542"/>
    <x v="0"/>
    <x v="1"/>
  </r>
  <r>
    <s v="ORD01586"/>
    <x v="840"/>
    <x v="3"/>
    <x v="2"/>
    <x v="1"/>
    <x v="1576"/>
    <x v="1543"/>
    <x v="0"/>
    <x v="2"/>
  </r>
  <r>
    <s v="ORD01587"/>
    <x v="74"/>
    <x v="3"/>
    <x v="2"/>
    <x v="1"/>
    <x v="1577"/>
    <x v="1544"/>
    <x v="2"/>
    <x v="3"/>
  </r>
  <r>
    <s v="ORD01588"/>
    <x v="579"/>
    <x v="3"/>
    <x v="1"/>
    <x v="1"/>
    <x v="1578"/>
    <x v="1545"/>
    <x v="2"/>
    <x v="3"/>
  </r>
  <r>
    <s v="ORD01589"/>
    <x v="603"/>
    <x v="0"/>
    <x v="12"/>
    <x v="2"/>
    <x v="1579"/>
    <x v="1546"/>
    <x v="2"/>
    <x v="2"/>
  </r>
  <r>
    <s v="ORD01590"/>
    <x v="841"/>
    <x v="1"/>
    <x v="1"/>
    <x v="1"/>
    <x v="1580"/>
    <x v="1547"/>
    <x v="1"/>
    <x v="2"/>
  </r>
  <r>
    <s v="ORD01591"/>
    <x v="23"/>
    <x v="1"/>
    <x v="5"/>
    <x v="1"/>
    <x v="1581"/>
    <x v="1548"/>
    <x v="0"/>
    <x v="1"/>
  </r>
  <r>
    <s v="ORD01592"/>
    <x v="336"/>
    <x v="0"/>
    <x v="2"/>
    <x v="1"/>
    <x v="1582"/>
    <x v="1549"/>
    <x v="2"/>
    <x v="3"/>
  </r>
  <r>
    <s v="ORD01593"/>
    <x v="395"/>
    <x v="3"/>
    <x v="5"/>
    <x v="1"/>
    <x v="1583"/>
    <x v="1550"/>
    <x v="0"/>
    <x v="0"/>
  </r>
  <r>
    <s v="ORD01594"/>
    <x v="489"/>
    <x v="3"/>
    <x v="14"/>
    <x v="2"/>
    <x v="1584"/>
    <x v="1551"/>
    <x v="2"/>
    <x v="0"/>
  </r>
  <r>
    <s v="ORD01595"/>
    <x v="743"/>
    <x v="0"/>
    <x v="6"/>
    <x v="0"/>
    <x v="1585"/>
    <x v="1552"/>
    <x v="0"/>
    <x v="0"/>
  </r>
  <r>
    <s v="ORD01596"/>
    <x v="778"/>
    <x v="0"/>
    <x v="12"/>
    <x v="2"/>
    <x v="1586"/>
    <x v="1553"/>
    <x v="0"/>
    <x v="1"/>
  </r>
  <r>
    <s v="ORD01597"/>
    <x v="157"/>
    <x v="2"/>
    <x v="3"/>
    <x v="2"/>
    <x v="1587"/>
    <x v="1554"/>
    <x v="2"/>
    <x v="1"/>
  </r>
  <r>
    <s v="ORD01598"/>
    <x v="842"/>
    <x v="1"/>
    <x v="10"/>
    <x v="2"/>
    <x v="1588"/>
    <x v="1555"/>
    <x v="1"/>
    <x v="3"/>
  </r>
  <r>
    <s v="ORD01599"/>
    <x v="516"/>
    <x v="1"/>
    <x v="9"/>
    <x v="0"/>
    <x v="1589"/>
    <x v="1556"/>
    <x v="1"/>
    <x v="1"/>
  </r>
  <r>
    <s v="ORD01600"/>
    <x v="843"/>
    <x v="0"/>
    <x v="12"/>
    <x v="2"/>
    <x v="1590"/>
    <x v="1557"/>
    <x v="2"/>
    <x v="0"/>
  </r>
  <r>
    <s v="ORD01601"/>
    <x v="130"/>
    <x v="0"/>
    <x v="13"/>
    <x v="1"/>
    <x v="1591"/>
    <x v="1558"/>
    <x v="0"/>
    <x v="3"/>
  </r>
  <r>
    <s v="ORD01602"/>
    <x v="740"/>
    <x v="0"/>
    <x v="8"/>
    <x v="1"/>
    <x v="1592"/>
    <x v="1559"/>
    <x v="2"/>
    <x v="0"/>
  </r>
  <r>
    <s v="ORD01603"/>
    <x v="170"/>
    <x v="3"/>
    <x v="10"/>
    <x v="2"/>
    <x v="1593"/>
    <x v="1560"/>
    <x v="1"/>
    <x v="0"/>
  </r>
  <r>
    <s v="ORD01604"/>
    <x v="844"/>
    <x v="2"/>
    <x v="8"/>
    <x v="1"/>
    <x v="1594"/>
    <x v="1561"/>
    <x v="0"/>
    <x v="0"/>
  </r>
  <r>
    <s v="ORD01605"/>
    <x v="423"/>
    <x v="1"/>
    <x v="12"/>
    <x v="2"/>
    <x v="1595"/>
    <x v="1562"/>
    <x v="2"/>
    <x v="3"/>
  </r>
  <r>
    <s v="ORD01606"/>
    <x v="188"/>
    <x v="2"/>
    <x v="9"/>
    <x v="0"/>
    <x v="1596"/>
    <x v="1563"/>
    <x v="1"/>
    <x v="1"/>
  </r>
  <r>
    <s v="ORD01607"/>
    <x v="778"/>
    <x v="3"/>
    <x v="5"/>
    <x v="1"/>
    <x v="1597"/>
    <x v="1564"/>
    <x v="2"/>
    <x v="2"/>
  </r>
  <r>
    <s v="ORD01608"/>
    <x v="845"/>
    <x v="0"/>
    <x v="4"/>
    <x v="0"/>
    <x v="1598"/>
    <x v="1565"/>
    <x v="0"/>
    <x v="3"/>
  </r>
  <r>
    <s v="ORD01609"/>
    <x v="846"/>
    <x v="0"/>
    <x v="9"/>
    <x v="0"/>
    <x v="1599"/>
    <x v="1566"/>
    <x v="0"/>
    <x v="3"/>
  </r>
  <r>
    <s v="ORD01610"/>
    <x v="652"/>
    <x v="3"/>
    <x v="12"/>
    <x v="2"/>
    <x v="1600"/>
    <x v="1567"/>
    <x v="1"/>
    <x v="2"/>
  </r>
  <r>
    <s v="ORD01611"/>
    <x v="847"/>
    <x v="0"/>
    <x v="1"/>
    <x v="1"/>
    <x v="1601"/>
    <x v="344"/>
    <x v="0"/>
    <x v="1"/>
  </r>
  <r>
    <s v="ORD01612"/>
    <x v="848"/>
    <x v="2"/>
    <x v="13"/>
    <x v="1"/>
    <x v="1602"/>
    <x v="1568"/>
    <x v="2"/>
    <x v="1"/>
  </r>
  <r>
    <s v="ORD01613"/>
    <x v="582"/>
    <x v="2"/>
    <x v="7"/>
    <x v="0"/>
    <x v="1603"/>
    <x v="1569"/>
    <x v="2"/>
    <x v="2"/>
  </r>
  <r>
    <s v="ORD01614"/>
    <x v="29"/>
    <x v="0"/>
    <x v="1"/>
    <x v="1"/>
    <x v="1604"/>
    <x v="17"/>
    <x v="2"/>
    <x v="2"/>
  </r>
  <r>
    <s v="ORD01615"/>
    <x v="561"/>
    <x v="3"/>
    <x v="10"/>
    <x v="2"/>
    <x v="1605"/>
    <x v="1570"/>
    <x v="0"/>
    <x v="2"/>
  </r>
  <r>
    <s v="ORD01616"/>
    <x v="191"/>
    <x v="2"/>
    <x v="4"/>
    <x v="0"/>
    <x v="1606"/>
    <x v="1571"/>
    <x v="0"/>
    <x v="0"/>
  </r>
  <r>
    <s v="ORD01617"/>
    <x v="512"/>
    <x v="1"/>
    <x v="14"/>
    <x v="2"/>
    <x v="1607"/>
    <x v="1572"/>
    <x v="1"/>
    <x v="0"/>
  </r>
  <r>
    <s v="ORD01618"/>
    <x v="849"/>
    <x v="3"/>
    <x v="4"/>
    <x v="0"/>
    <x v="1608"/>
    <x v="1573"/>
    <x v="0"/>
    <x v="0"/>
  </r>
  <r>
    <s v="ORD01619"/>
    <x v="304"/>
    <x v="2"/>
    <x v="5"/>
    <x v="1"/>
    <x v="1609"/>
    <x v="1574"/>
    <x v="2"/>
    <x v="1"/>
  </r>
  <r>
    <s v="ORD01620"/>
    <x v="178"/>
    <x v="3"/>
    <x v="8"/>
    <x v="1"/>
    <x v="1610"/>
    <x v="1575"/>
    <x v="0"/>
    <x v="1"/>
  </r>
  <r>
    <s v="ORD01621"/>
    <x v="822"/>
    <x v="2"/>
    <x v="14"/>
    <x v="2"/>
    <x v="1611"/>
    <x v="1576"/>
    <x v="0"/>
    <x v="0"/>
  </r>
  <r>
    <s v="ORD01622"/>
    <x v="593"/>
    <x v="2"/>
    <x v="8"/>
    <x v="1"/>
    <x v="1612"/>
    <x v="1577"/>
    <x v="0"/>
    <x v="2"/>
  </r>
  <r>
    <s v="ORD01623"/>
    <x v="114"/>
    <x v="0"/>
    <x v="7"/>
    <x v="0"/>
    <x v="1056"/>
    <x v="1578"/>
    <x v="0"/>
    <x v="0"/>
  </r>
  <r>
    <s v="ORD01624"/>
    <x v="80"/>
    <x v="1"/>
    <x v="7"/>
    <x v="0"/>
    <x v="1613"/>
    <x v="332"/>
    <x v="2"/>
    <x v="1"/>
  </r>
  <r>
    <s v="ORD01625"/>
    <x v="705"/>
    <x v="0"/>
    <x v="3"/>
    <x v="2"/>
    <x v="1614"/>
    <x v="1579"/>
    <x v="2"/>
    <x v="3"/>
  </r>
  <r>
    <s v="ORD01626"/>
    <x v="850"/>
    <x v="3"/>
    <x v="12"/>
    <x v="2"/>
    <x v="1615"/>
    <x v="1580"/>
    <x v="1"/>
    <x v="2"/>
  </r>
  <r>
    <s v="ORD01627"/>
    <x v="818"/>
    <x v="0"/>
    <x v="13"/>
    <x v="1"/>
    <x v="1616"/>
    <x v="1581"/>
    <x v="0"/>
    <x v="1"/>
  </r>
  <r>
    <s v="ORD01628"/>
    <x v="524"/>
    <x v="2"/>
    <x v="13"/>
    <x v="1"/>
    <x v="1617"/>
    <x v="1582"/>
    <x v="1"/>
    <x v="3"/>
  </r>
  <r>
    <s v="ORD01629"/>
    <x v="303"/>
    <x v="0"/>
    <x v="3"/>
    <x v="2"/>
    <x v="1618"/>
    <x v="1583"/>
    <x v="0"/>
    <x v="0"/>
  </r>
  <r>
    <s v="ORD01630"/>
    <x v="421"/>
    <x v="0"/>
    <x v="9"/>
    <x v="0"/>
    <x v="1619"/>
    <x v="1584"/>
    <x v="0"/>
    <x v="2"/>
  </r>
  <r>
    <s v="ORD01631"/>
    <x v="768"/>
    <x v="2"/>
    <x v="7"/>
    <x v="0"/>
    <x v="1620"/>
    <x v="1585"/>
    <x v="2"/>
    <x v="0"/>
  </r>
  <r>
    <s v="ORD01632"/>
    <x v="851"/>
    <x v="2"/>
    <x v="13"/>
    <x v="1"/>
    <x v="1621"/>
    <x v="1586"/>
    <x v="2"/>
    <x v="2"/>
  </r>
  <r>
    <s v="ORD01633"/>
    <x v="369"/>
    <x v="2"/>
    <x v="0"/>
    <x v="0"/>
    <x v="1622"/>
    <x v="1587"/>
    <x v="2"/>
    <x v="3"/>
  </r>
  <r>
    <s v="ORD01634"/>
    <x v="278"/>
    <x v="0"/>
    <x v="4"/>
    <x v="0"/>
    <x v="1623"/>
    <x v="1588"/>
    <x v="1"/>
    <x v="3"/>
  </r>
  <r>
    <s v="ORD01635"/>
    <x v="531"/>
    <x v="3"/>
    <x v="7"/>
    <x v="0"/>
    <x v="1624"/>
    <x v="1589"/>
    <x v="0"/>
    <x v="1"/>
  </r>
  <r>
    <s v="ORD01636"/>
    <x v="392"/>
    <x v="2"/>
    <x v="5"/>
    <x v="1"/>
    <x v="1625"/>
    <x v="1590"/>
    <x v="0"/>
    <x v="0"/>
  </r>
  <r>
    <s v="ORD01637"/>
    <x v="807"/>
    <x v="2"/>
    <x v="8"/>
    <x v="1"/>
    <x v="1626"/>
    <x v="1591"/>
    <x v="1"/>
    <x v="3"/>
  </r>
  <r>
    <s v="ORD01638"/>
    <x v="717"/>
    <x v="2"/>
    <x v="8"/>
    <x v="1"/>
    <x v="1627"/>
    <x v="1592"/>
    <x v="1"/>
    <x v="3"/>
  </r>
  <r>
    <s v="ORD01639"/>
    <x v="852"/>
    <x v="2"/>
    <x v="10"/>
    <x v="2"/>
    <x v="1628"/>
    <x v="1593"/>
    <x v="1"/>
    <x v="2"/>
  </r>
  <r>
    <s v="ORD01640"/>
    <x v="795"/>
    <x v="2"/>
    <x v="10"/>
    <x v="2"/>
    <x v="1629"/>
    <x v="1594"/>
    <x v="1"/>
    <x v="0"/>
  </r>
  <r>
    <s v="ORD01641"/>
    <x v="853"/>
    <x v="1"/>
    <x v="1"/>
    <x v="1"/>
    <x v="1630"/>
    <x v="1595"/>
    <x v="1"/>
    <x v="1"/>
  </r>
  <r>
    <s v="ORD01642"/>
    <x v="754"/>
    <x v="2"/>
    <x v="13"/>
    <x v="1"/>
    <x v="1631"/>
    <x v="1596"/>
    <x v="0"/>
    <x v="2"/>
  </r>
  <r>
    <s v="ORD01643"/>
    <x v="127"/>
    <x v="3"/>
    <x v="4"/>
    <x v="0"/>
    <x v="1632"/>
    <x v="1597"/>
    <x v="1"/>
    <x v="3"/>
  </r>
  <r>
    <s v="ORD01644"/>
    <x v="854"/>
    <x v="2"/>
    <x v="13"/>
    <x v="1"/>
    <x v="1633"/>
    <x v="1598"/>
    <x v="1"/>
    <x v="3"/>
  </r>
  <r>
    <s v="ORD01645"/>
    <x v="617"/>
    <x v="2"/>
    <x v="8"/>
    <x v="1"/>
    <x v="1634"/>
    <x v="1599"/>
    <x v="2"/>
    <x v="0"/>
  </r>
  <r>
    <s v="ORD01646"/>
    <x v="486"/>
    <x v="0"/>
    <x v="3"/>
    <x v="2"/>
    <x v="1404"/>
    <x v="1600"/>
    <x v="0"/>
    <x v="3"/>
  </r>
  <r>
    <s v="ORD01647"/>
    <x v="855"/>
    <x v="1"/>
    <x v="4"/>
    <x v="0"/>
    <x v="1635"/>
    <x v="1601"/>
    <x v="2"/>
    <x v="0"/>
  </r>
  <r>
    <s v="ORD01648"/>
    <x v="856"/>
    <x v="0"/>
    <x v="12"/>
    <x v="2"/>
    <x v="1636"/>
    <x v="1602"/>
    <x v="1"/>
    <x v="3"/>
  </r>
  <r>
    <s v="ORD01649"/>
    <x v="681"/>
    <x v="2"/>
    <x v="14"/>
    <x v="2"/>
    <x v="1637"/>
    <x v="1603"/>
    <x v="0"/>
    <x v="1"/>
  </r>
  <r>
    <s v="ORD01650"/>
    <x v="249"/>
    <x v="3"/>
    <x v="0"/>
    <x v="0"/>
    <x v="1638"/>
    <x v="1604"/>
    <x v="0"/>
    <x v="0"/>
  </r>
  <r>
    <s v="ORD01651"/>
    <x v="776"/>
    <x v="0"/>
    <x v="8"/>
    <x v="1"/>
    <x v="1639"/>
    <x v="1605"/>
    <x v="0"/>
    <x v="1"/>
  </r>
  <r>
    <s v="ORD01652"/>
    <x v="596"/>
    <x v="1"/>
    <x v="9"/>
    <x v="0"/>
    <x v="1640"/>
    <x v="1606"/>
    <x v="1"/>
    <x v="1"/>
  </r>
  <r>
    <s v="ORD01653"/>
    <x v="651"/>
    <x v="2"/>
    <x v="9"/>
    <x v="0"/>
    <x v="1641"/>
    <x v="1607"/>
    <x v="1"/>
    <x v="0"/>
  </r>
  <r>
    <s v="ORD01654"/>
    <x v="402"/>
    <x v="0"/>
    <x v="12"/>
    <x v="2"/>
    <x v="1642"/>
    <x v="1608"/>
    <x v="1"/>
    <x v="0"/>
  </r>
  <r>
    <s v="ORD01655"/>
    <x v="857"/>
    <x v="2"/>
    <x v="14"/>
    <x v="2"/>
    <x v="1643"/>
    <x v="1609"/>
    <x v="2"/>
    <x v="0"/>
  </r>
  <r>
    <s v="ORD01656"/>
    <x v="553"/>
    <x v="0"/>
    <x v="8"/>
    <x v="1"/>
    <x v="1644"/>
    <x v="1610"/>
    <x v="2"/>
    <x v="2"/>
  </r>
  <r>
    <s v="ORD01657"/>
    <x v="207"/>
    <x v="2"/>
    <x v="4"/>
    <x v="0"/>
    <x v="1645"/>
    <x v="1611"/>
    <x v="2"/>
    <x v="2"/>
  </r>
  <r>
    <s v="ORD01658"/>
    <x v="858"/>
    <x v="2"/>
    <x v="11"/>
    <x v="2"/>
    <x v="1646"/>
    <x v="1612"/>
    <x v="0"/>
    <x v="3"/>
  </r>
  <r>
    <s v="ORD01659"/>
    <x v="810"/>
    <x v="1"/>
    <x v="14"/>
    <x v="2"/>
    <x v="1647"/>
    <x v="1613"/>
    <x v="2"/>
    <x v="3"/>
  </r>
  <r>
    <s v="ORD01660"/>
    <x v="181"/>
    <x v="2"/>
    <x v="12"/>
    <x v="2"/>
    <x v="1648"/>
    <x v="1614"/>
    <x v="2"/>
    <x v="1"/>
  </r>
  <r>
    <s v="ORD01661"/>
    <x v="683"/>
    <x v="3"/>
    <x v="6"/>
    <x v="0"/>
    <x v="1649"/>
    <x v="1615"/>
    <x v="0"/>
    <x v="3"/>
  </r>
  <r>
    <s v="ORD01662"/>
    <x v="467"/>
    <x v="3"/>
    <x v="13"/>
    <x v="1"/>
    <x v="1650"/>
    <x v="1616"/>
    <x v="0"/>
    <x v="2"/>
  </r>
  <r>
    <s v="ORD01663"/>
    <x v="9"/>
    <x v="2"/>
    <x v="10"/>
    <x v="2"/>
    <x v="1651"/>
    <x v="1617"/>
    <x v="1"/>
    <x v="1"/>
  </r>
  <r>
    <s v="ORD01664"/>
    <x v="859"/>
    <x v="3"/>
    <x v="6"/>
    <x v="0"/>
    <x v="1652"/>
    <x v="1618"/>
    <x v="1"/>
    <x v="0"/>
  </r>
  <r>
    <s v="ORD01665"/>
    <x v="629"/>
    <x v="1"/>
    <x v="10"/>
    <x v="2"/>
    <x v="1653"/>
    <x v="1619"/>
    <x v="0"/>
    <x v="3"/>
  </r>
  <r>
    <s v="ORD01666"/>
    <x v="103"/>
    <x v="1"/>
    <x v="10"/>
    <x v="2"/>
    <x v="1654"/>
    <x v="1620"/>
    <x v="0"/>
    <x v="1"/>
  </r>
  <r>
    <s v="ORD01667"/>
    <x v="221"/>
    <x v="2"/>
    <x v="10"/>
    <x v="2"/>
    <x v="1655"/>
    <x v="1621"/>
    <x v="2"/>
    <x v="2"/>
  </r>
  <r>
    <s v="ORD01668"/>
    <x v="757"/>
    <x v="0"/>
    <x v="2"/>
    <x v="1"/>
    <x v="1656"/>
    <x v="1622"/>
    <x v="2"/>
    <x v="1"/>
  </r>
  <r>
    <s v="ORD01669"/>
    <x v="737"/>
    <x v="2"/>
    <x v="7"/>
    <x v="0"/>
    <x v="1657"/>
    <x v="1623"/>
    <x v="2"/>
    <x v="1"/>
  </r>
  <r>
    <s v="ORD01670"/>
    <x v="545"/>
    <x v="1"/>
    <x v="5"/>
    <x v="1"/>
    <x v="1658"/>
    <x v="1624"/>
    <x v="1"/>
    <x v="3"/>
  </r>
  <r>
    <s v="ORD01671"/>
    <x v="606"/>
    <x v="0"/>
    <x v="2"/>
    <x v="1"/>
    <x v="1659"/>
    <x v="1625"/>
    <x v="2"/>
    <x v="2"/>
  </r>
  <r>
    <s v="ORD01672"/>
    <x v="860"/>
    <x v="3"/>
    <x v="13"/>
    <x v="1"/>
    <x v="1660"/>
    <x v="1626"/>
    <x v="1"/>
    <x v="2"/>
  </r>
  <r>
    <s v="ORD01673"/>
    <x v="323"/>
    <x v="1"/>
    <x v="10"/>
    <x v="2"/>
    <x v="1661"/>
    <x v="1627"/>
    <x v="2"/>
    <x v="2"/>
  </r>
  <r>
    <s v="ORD01674"/>
    <x v="680"/>
    <x v="2"/>
    <x v="6"/>
    <x v="0"/>
    <x v="1662"/>
    <x v="1628"/>
    <x v="1"/>
    <x v="0"/>
  </r>
  <r>
    <s v="ORD01675"/>
    <x v="682"/>
    <x v="1"/>
    <x v="0"/>
    <x v="0"/>
    <x v="1663"/>
    <x v="1629"/>
    <x v="2"/>
    <x v="0"/>
  </r>
  <r>
    <s v="ORD01676"/>
    <x v="533"/>
    <x v="2"/>
    <x v="2"/>
    <x v="1"/>
    <x v="1664"/>
    <x v="1630"/>
    <x v="0"/>
    <x v="2"/>
  </r>
  <r>
    <s v="ORD01677"/>
    <x v="320"/>
    <x v="0"/>
    <x v="7"/>
    <x v="0"/>
    <x v="1665"/>
    <x v="1631"/>
    <x v="1"/>
    <x v="0"/>
  </r>
  <r>
    <s v="ORD01678"/>
    <x v="683"/>
    <x v="3"/>
    <x v="4"/>
    <x v="0"/>
    <x v="1666"/>
    <x v="1632"/>
    <x v="2"/>
    <x v="0"/>
  </r>
  <r>
    <s v="ORD01679"/>
    <x v="861"/>
    <x v="1"/>
    <x v="2"/>
    <x v="1"/>
    <x v="1667"/>
    <x v="1633"/>
    <x v="1"/>
    <x v="0"/>
  </r>
  <r>
    <s v="ORD01680"/>
    <x v="862"/>
    <x v="2"/>
    <x v="5"/>
    <x v="1"/>
    <x v="1668"/>
    <x v="1634"/>
    <x v="2"/>
    <x v="1"/>
  </r>
  <r>
    <s v="ORD01681"/>
    <x v="163"/>
    <x v="3"/>
    <x v="13"/>
    <x v="1"/>
    <x v="1669"/>
    <x v="1635"/>
    <x v="2"/>
    <x v="0"/>
  </r>
  <r>
    <s v="ORD01682"/>
    <x v="777"/>
    <x v="2"/>
    <x v="0"/>
    <x v="0"/>
    <x v="1670"/>
    <x v="1636"/>
    <x v="1"/>
    <x v="3"/>
  </r>
  <r>
    <s v="ORD01683"/>
    <x v="436"/>
    <x v="0"/>
    <x v="0"/>
    <x v="0"/>
    <x v="1671"/>
    <x v="1637"/>
    <x v="2"/>
    <x v="2"/>
  </r>
  <r>
    <s v="ORD01684"/>
    <x v="725"/>
    <x v="0"/>
    <x v="10"/>
    <x v="2"/>
    <x v="1672"/>
    <x v="1638"/>
    <x v="2"/>
    <x v="1"/>
  </r>
  <r>
    <s v="ORD01685"/>
    <x v="688"/>
    <x v="1"/>
    <x v="14"/>
    <x v="2"/>
    <x v="1673"/>
    <x v="1639"/>
    <x v="0"/>
    <x v="0"/>
  </r>
  <r>
    <s v="ORD01686"/>
    <x v="698"/>
    <x v="1"/>
    <x v="4"/>
    <x v="0"/>
    <x v="1674"/>
    <x v="1640"/>
    <x v="1"/>
    <x v="0"/>
  </r>
  <r>
    <s v="ORD01687"/>
    <x v="863"/>
    <x v="0"/>
    <x v="7"/>
    <x v="0"/>
    <x v="1675"/>
    <x v="1641"/>
    <x v="1"/>
    <x v="0"/>
  </r>
  <r>
    <s v="ORD01688"/>
    <x v="864"/>
    <x v="1"/>
    <x v="10"/>
    <x v="2"/>
    <x v="1676"/>
    <x v="1642"/>
    <x v="1"/>
    <x v="3"/>
  </r>
  <r>
    <s v="ORD01689"/>
    <x v="865"/>
    <x v="0"/>
    <x v="13"/>
    <x v="1"/>
    <x v="1677"/>
    <x v="1643"/>
    <x v="0"/>
    <x v="0"/>
  </r>
  <r>
    <s v="ORD01690"/>
    <x v="42"/>
    <x v="3"/>
    <x v="3"/>
    <x v="2"/>
    <x v="1678"/>
    <x v="1644"/>
    <x v="0"/>
    <x v="2"/>
  </r>
  <r>
    <s v="ORD01691"/>
    <x v="257"/>
    <x v="0"/>
    <x v="5"/>
    <x v="1"/>
    <x v="1679"/>
    <x v="1645"/>
    <x v="0"/>
    <x v="2"/>
  </r>
  <r>
    <s v="ORD01692"/>
    <x v="471"/>
    <x v="0"/>
    <x v="6"/>
    <x v="0"/>
    <x v="1680"/>
    <x v="1646"/>
    <x v="0"/>
    <x v="3"/>
  </r>
  <r>
    <s v="ORD01693"/>
    <x v="682"/>
    <x v="0"/>
    <x v="13"/>
    <x v="1"/>
    <x v="1681"/>
    <x v="1647"/>
    <x v="0"/>
    <x v="3"/>
  </r>
  <r>
    <s v="ORD01694"/>
    <x v="223"/>
    <x v="0"/>
    <x v="8"/>
    <x v="1"/>
    <x v="1682"/>
    <x v="1648"/>
    <x v="0"/>
    <x v="1"/>
  </r>
  <r>
    <s v="ORD01695"/>
    <x v="30"/>
    <x v="0"/>
    <x v="9"/>
    <x v="0"/>
    <x v="1683"/>
    <x v="1649"/>
    <x v="0"/>
    <x v="1"/>
  </r>
  <r>
    <s v="ORD01696"/>
    <x v="194"/>
    <x v="2"/>
    <x v="4"/>
    <x v="0"/>
    <x v="1684"/>
    <x v="1650"/>
    <x v="0"/>
    <x v="0"/>
  </r>
  <r>
    <s v="ORD01697"/>
    <x v="747"/>
    <x v="2"/>
    <x v="11"/>
    <x v="2"/>
    <x v="1685"/>
    <x v="1651"/>
    <x v="0"/>
    <x v="2"/>
  </r>
  <r>
    <s v="ORD01698"/>
    <x v="854"/>
    <x v="2"/>
    <x v="13"/>
    <x v="1"/>
    <x v="1686"/>
    <x v="1652"/>
    <x v="2"/>
    <x v="2"/>
  </r>
  <r>
    <s v="ORD01699"/>
    <x v="572"/>
    <x v="0"/>
    <x v="2"/>
    <x v="1"/>
    <x v="1687"/>
    <x v="1653"/>
    <x v="0"/>
    <x v="3"/>
  </r>
  <r>
    <s v="ORD01700"/>
    <x v="788"/>
    <x v="0"/>
    <x v="3"/>
    <x v="2"/>
    <x v="1688"/>
    <x v="1654"/>
    <x v="0"/>
    <x v="0"/>
  </r>
  <r>
    <s v="ORD01701"/>
    <x v="537"/>
    <x v="2"/>
    <x v="1"/>
    <x v="1"/>
    <x v="1689"/>
    <x v="1655"/>
    <x v="0"/>
    <x v="1"/>
  </r>
  <r>
    <s v="ORD01702"/>
    <x v="617"/>
    <x v="0"/>
    <x v="3"/>
    <x v="2"/>
    <x v="1690"/>
    <x v="1656"/>
    <x v="0"/>
    <x v="3"/>
  </r>
  <r>
    <s v="ORD01703"/>
    <x v="188"/>
    <x v="1"/>
    <x v="11"/>
    <x v="2"/>
    <x v="1691"/>
    <x v="1657"/>
    <x v="0"/>
    <x v="2"/>
  </r>
  <r>
    <s v="ORD01704"/>
    <x v="856"/>
    <x v="3"/>
    <x v="3"/>
    <x v="2"/>
    <x v="1692"/>
    <x v="1658"/>
    <x v="2"/>
    <x v="0"/>
  </r>
  <r>
    <s v="ORD01705"/>
    <x v="866"/>
    <x v="3"/>
    <x v="12"/>
    <x v="2"/>
    <x v="1693"/>
    <x v="881"/>
    <x v="0"/>
    <x v="1"/>
  </r>
  <r>
    <s v="ORD01706"/>
    <x v="533"/>
    <x v="2"/>
    <x v="13"/>
    <x v="1"/>
    <x v="1694"/>
    <x v="1659"/>
    <x v="2"/>
    <x v="1"/>
  </r>
  <r>
    <s v="ORD01707"/>
    <x v="710"/>
    <x v="0"/>
    <x v="12"/>
    <x v="2"/>
    <x v="1695"/>
    <x v="1660"/>
    <x v="0"/>
    <x v="2"/>
  </r>
  <r>
    <s v="ORD01708"/>
    <x v="843"/>
    <x v="3"/>
    <x v="1"/>
    <x v="1"/>
    <x v="1696"/>
    <x v="1661"/>
    <x v="0"/>
    <x v="0"/>
  </r>
  <r>
    <s v="ORD01709"/>
    <x v="833"/>
    <x v="2"/>
    <x v="11"/>
    <x v="2"/>
    <x v="1697"/>
    <x v="1662"/>
    <x v="0"/>
    <x v="1"/>
  </r>
  <r>
    <s v="ORD01710"/>
    <x v="269"/>
    <x v="1"/>
    <x v="3"/>
    <x v="2"/>
    <x v="1698"/>
    <x v="1663"/>
    <x v="1"/>
    <x v="2"/>
  </r>
  <r>
    <s v="ORD01711"/>
    <x v="867"/>
    <x v="3"/>
    <x v="12"/>
    <x v="2"/>
    <x v="1699"/>
    <x v="1664"/>
    <x v="2"/>
    <x v="3"/>
  </r>
  <r>
    <s v="ORD01712"/>
    <x v="510"/>
    <x v="3"/>
    <x v="2"/>
    <x v="1"/>
    <x v="1700"/>
    <x v="1665"/>
    <x v="2"/>
    <x v="0"/>
  </r>
  <r>
    <s v="ORD01713"/>
    <x v="868"/>
    <x v="0"/>
    <x v="7"/>
    <x v="0"/>
    <x v="1701"/>
    <x v="1666"/>
    <x v="0"/>
    <x v="0"/>
  </r>
  <r>
    <s v="ORD01714"/>
    <x v="232"/>
    <x v="3"/>
    <x v="2"/>
    <x v="1"/>
    <x v="1702"/>
    <x v="1015"/>
    <x v="0"/>
    <x v="0"/>
  </r>
  <r>
    <s v="ORD01715"/>
    <x v="737"/>
    <x v="0"/>
    <x v="14"/>
    <x v="2"/>
    <x v="1703"/>
    <x v="1667"/>
    <x v="0"/>
    <x v="3"/>
  </r>
  <r>
    <s v="ORD01716"/>
    <x v="789"/>
    <x v="1"/>
    <x v="0"/>
    <x v="0"/>
    <x v="1704"/>
    <x v="1668"/>
    <x v="1"/>
    <x v="3"/>
  </r>
  <r>
    <s v="ORD01717"/>
    <x v="668"/>
    <x v="2"/>
    <x v="14"/>
    <x v="2"/>
    <x v="1705"/>
    <x v="1669"/>
    <x v="0"/>
    <x v="1"/>
  </r>
  <r>
    <s v="ORD01718"/>
    <x v="455"/>
    <x v="3"/>
    <x v="12"/>
    <x v="2"/>
    <x v="1706"/>
    <x v="1670"/>
    <x v="1"/>
    <x v="1"/>
  </r>
  <r>
    <s v="ORD01719"/>
    <x v="258"/>
    <x v="0"/>
    <x v="1"/>
    <x v="1"/>
    <x v="1707"/>
    <x v="1671"/>
    <x v="0"/>
    <x v="1"/>
  </r>
  <r>
    <s v="ORD01720"/>
    <x v="318"/>
    <x v="3"/>
    <x v="5"/>
    <x v="1"/>
    <x v="1708"/>
    <x v="1672"/>
    <x v="0"/>
    <x v="3"/>
  </r>
  <r>
    <s v="ORD01721"/>
    <x v="341"/>
    <x v="3"/>
    <x v="14"/>
    <x v="2"/>
    <x v="1709"/>
    <x v="1673"/>
    <x v="2"/>
    <x v="1"/>
  </r>
  <r>
    <s v="ORD01722"/>
    <x v="259"/>
    <x v="1"/>
    <x v="3"/>
    <x v="2"/>
    <x v="1710"/>
    <x v="1674"/>
    <x v="1"/>
    <x v="1"/>
  </r>
  <r>
    <s v="ORD01723"/>
    <x v="280"/>
    <x v="1"/>
    <x v="6"/>
    <x v="0"/>
    <x v="1711"/>
    <x v="1675"/>
    <x v="1"/>
    <x v="1"/>
  </r>
  <r>
    <s v="ORD01724"/>
    <x v="288"/>
    <x v="3"/>
    <x v="10"/>
    <x v="2"/>
    <x v="1712"/>
    <x v="1676"/>
    <x v="2"/>
    <x v="0"/>
  </r>
  <r>
    <s v="ORD01725"/>
    <x v="376"/>
    <x v="0"/>
    <x v="12"/>
    <x v="2"/>
    <x v="1713"/>
    <x v="1677"/>
    <x v="1"/>
    <x v="2"/>
  </r>
  <r>
    <s v="ORD01726"/>
    <x v="710"/>
    <x v="3"/>
    <x v="8"/>
    <x v="1"/>
    <x v="1714"/>
    <x v="1678"/>
    <x v="2"/>
    <x v="1"/>
  </r>
  <r>
    <s v="ORD01727"/>
    <x v="173"/>
    <x v="2"/>
    <x v="0"/>
    <x v="0"/>
    <x v="1715"/>
    <x v="1679"/>
    <x v="1"/>
    <x v="2"/>
  </r>
  <r>
    <s v="ORD01728"/>
    <x v="214"/>
    <x v="2"/>
    <x v="1"/>
    <x v="1"/>
    <x v="1716"/>
    <x v="1442"/>
    <x v="2"/>
    <x v="0"/>
  </r>
  <r>
    <s v="ORD01729"/>
    <x v="234"/>
    <x v="2"/>
    <x v="6"/>
    <x v="0"/>
    <x v="1717"/>
    <x v="430"/>
    <x v="2"/>
    <x v="2"/>
  </r>
  <r>
    <s v="ORD01730"/>
    <x v="459"/>
    <x v="2"/>
    <x v="6"/>
    <x v="0"/>
    <x v="1718"/>
    <x v="1680"/>
    <x v="0"/>
    <x v="0"/>
  </r>
  <r>
    <s v="ORD01731"/>
    <x v="2"/>
    <x v="2"/>
    <x v="3"/>
    <x v="2"/>
    <x v="1719"/>
    <x v="1681"/>
    <x v="2"/>
    <x v="0"/>
  </r>
  <r>
    <s v="ORD01732"/>
    <x v="675"/>
    <x v="2"/>
    <x v="7"/>
    <x v="0"/>
    <x v="1720"/>
    <x v="1682"/>
    <x v="2"/>
    <x v="0"/>
  </r>
  <r>
    <s v="ORD01733"/>
    <x v="832"/>
    <x v="1"/>
    <x v="13"/>
    <x v="1"/>
    <x v="1721"/>
    <x v="1683"/>
    <x v="0"/>
    <x v="2"/>
  </r>
  <r>
    <s v="ORD01734"/>
    <x v="869"/>
    <x v="1"/>
    <x v="2"/>
    <x v="1"/>
    <x v="1722"/>
    <x v="1684"/>
    <x v="0"/>
    <x v="1"/>
  </r>
  <r>
    <s v="ORD01735"/>
    <x v="870"/>
    <x v="1"/>
    <x v="2"/>
    <x v="1"/>
    <x v="1723"/>
    <x v="1685"/>
    <x v="2"/>
    <x v="3"/>
  </r>
  <r>
    <s v="ORD01736"/>
    <x v="317"/>
    <x v="2"/>
    <x v="14"/>
    <x v="2"/>
    <x v="1724"/>
    <x v="1686"/>
    <x v="1"/>
    <x v="2"/>
  </r>
  <r>
    <s v="ORD01737"/>
    <x v="319"/>
    <x v="2"/>
    <x v="4"/>
    <x v="0"/>
    <x v="1725"/>
    <x v="1687"/>
    <x v="1"/>
    <x v="3"/>
  </r>
  <r>
    <s v="ORD01738"/>
    <x v="871"/>
    <x v="2"/>
    <x v="2"/>
    <x v="1"/>
    <x v="1726"/>
    <x v="1688"/>
    <x v="0"/>
    <x v="0"/>
  </r>
  <r>
    <s v="ORD01739"/>
    <x v="872"/>
    <x v="0"/>
    <x v="13"/>
    <x v="1"/>
    <x v="1727"/>
    <x v="1689"/>
    <x v="1"/>
    <x v="3"/>
  </r>
  <r>
    <s v="ORD01740"/>
    <x v="565"/>
    <x v="0"/>
    <x v="13"/>
    <x v="1"/>
    <x v="1728"/>
    <x v="1690"/>
    <x v="2"/>
    <x v="1"/>
  </r>
  <r>
    <s v="ORD01741"/>
    <x v="227"/>
    <x v="3"/>
    <x v="6"/>
    <x v="0"/>
    <x v="1729"/>
    <x v="1691"/>
    <x v="1"/>
    <x v="3"/>
  </r>
  <r>
    <s v="ORD01742"/>
    <x v="729"/>
    <x v="0"/>
    <x v="13"/>
    <x v="1"/>
    <x v="1730"/>
    <x v="1692"/>
    <x v="0"/>
    <x v="0"/>
  </r>
  <r>
    <s v="ORD01743"/>
    <x v="158"/>
    <x v="3"/>
    <x v="3"/>
    <x v="2"/>
    <x v="1731"/>
    <x v="1693"/>
    <x v="2"/>
    <x v="3"/>
  </r>
  <r>
    <s v="ORD01744"/>
    <x v="873"/>
    <x v="1"/>
    <x v="0"/>
    <x v="0"/>
    <x v="1732"/>
    <x v="1694"/>
    <x v="2"/>
    <x v="1"/>
  </r>
  <r>
    <s v="ORD01745"/>
    <x v="94"/>
    <x v="1"/>
    <x v="1"/>
    <x v="1"/>
    <x v="1733"/>
    <x v="1695"/>
    <x v="0"/>
    <x v="3"/>
  </r>
  <r>
    <s v="ORD01746"/>
    <x v="639"/>
    <x v="1"/>
    <x v="1"/>
    <x v="1"/>
    <x v="1734"/>
    <x v="1696"/>
    <x v="2"/>
    <x v="0"/>
  </r>
  <r>
    <s v="ORD01747"/>
    <x v="207"/>
    <x v="2"/>
    <x v="2"/>
    <x v="1"/>
    <x v="1735"/>
    <x v="1697"/>
    <x v="0"/>
    <x v="3"/>
  </r>
  <r>
    <s v="ORD01748"/>
    <x v="805"/>
    <x v="0"/>
    <x v="14"/>
    <x v="2"/>
    <x v="1736"/>
    <x v="1698"/>
    <x v="2"/>
    <x v="1"/>
  </r>
  <r>
    <s v="ORD01749"/>
    <x v="120"/>
    <x v="1"/>
    <x v="14"/>
    <x v="2"/>
    <x v="1737"/>
    <x v="1699"/>
    <x v="1"/>
    <x v="0"/>
  </r>
  <r>
    <s v="ORD01750"/>
    <x v="392"/>
    <x v="3"/>
    <x v="14"/>
    <x v="2"/>
    <x v="1738"/>
    <x v="1700"/>
    <x v="1"/>
    <x v="3"/>
  </r>
  <r>
    <s v="ORD01751"/>
    <x v="822"/>
    <x v="0"/>
    <x v="6"/>
    <x v="0"/>
    <x v="1739"/>
    <x v="1701"/>
    <x v="1"/>
    <x v="2"/>
  </r>
  <r>
    <s v="ORD01752"/>
    <x v="786"/>
    <x v="1"/>
    <x v="0"/>
    <x v="0"/>
    <x v="1740"/>
    <x v="1702"/>
    <x v="0"/>
    <x v="0"/>
  </r>
  <r>
    <s v="ORD01753"/>
    <x v="506"/>
    <x v="1"/>
    <x v="14"/>
    <x v="2"/>
    <x v="1741"/>
    <x v="1703"/>
    <x v="0"/>
    <x v="0"/>
  </r>
  <r>
    <s v="ORD01754"/>
    <x v="278"/>
    <x v="3"/>
    <x v="13"/>
    <x v="1"/>
    <x v="1742"/>
    <x v="1704"/>
    <x v="1"/>
    <x v="0"/>
  </r>
  <r>
    <s v="ORD01755"/>
    <x v="596"/>
    <x v="0"/>
    <x v="10"/>
    <x v="2"/>
    <x v="1743"/>
    <x v="1705"/>
    <x v="0"/>
    <x v="2"/>
  </r>
  <r>
    <s v="ORD01756"/>
    <x v="674"/>
    <x v="0"/>
    <x v="12"/>
    <x v="2"/>
    <x v="1744"/>
    <x v="1706"/>
    <x v="1"/>
    <x v="0"/>
  </r>
  <r>
    <s v="ORD01757"/>
    <x v="208"/>
    <x v="0"/>
    <x v="9"/>
    <x v="0"/>
    <x v="1745"/>
    <x v="1707"/>
    <x v="0"/>
    <x v="0"/>
  </r>
  <r>
    <s v="ORD01758"/>
    <x v="609"/>
    <x v="1"/>
    <x v="2"/>
    <x v="1"/>
    <x v="1746"/>
    <x v="1708"/>
    <x v="0"/>
    <x v="1"/>
  </r>
  <r>
    <s v="ORD01759"/>
    <x v="68"/>
    <x v="2"/>
    <x v="11"/>
    <x v="2"/>
    <x v="1747"/>
    <x v="1709"/>
    <x v="0"/>
    <x v="3"/>
  </r>
  <r>
    <s v="ORD01760"/>
    <x v="874"/>
    <x v="2"/>
    <x v="6"/>
    <x v="0"/>
    <x v="1748"/>
    <x v="1710"/>
    <x v="1"/>
    <x v="1"/>
  </r>
  <r>
    <s v="ORD01761"/>
    <x v="630"/>
    <x v="0"/>
    <x v="5"/>
    <x v="1"/>
    <x v="1749"/>
    <x v="1711"/>
    <x v="2"/>
    <x v="2"/>
  </r>
  <r>
    <s v="ORD01762"/>
    <x v="689"/>
    <x v="2"/>
    <x v="9"/>
    <x v="0"/>
    <x v="1750"/>
    <x v="1712"/>
    <x v="0"/>
    <x v="2"/>
  </r>
  <r>
    <s v="ORD01763"/>
    <x v="227"/>
    <x v="2"/>
    <x v="7"/>
    <x v="0"/>
    <x v="1751"/>
    <x v="1713"/>
    <x v="0"/>
    <x v="1"/>
  </r>
  <r>
    <s v="ORD01764"/>
    <x v="179"/>
    <x v="2"/>
    <x v="0"/>
    <x v="0"/>
    <x v="1752"/>
    <x v="1714"/>
    <x v="1"/>
    <x v="0"/>
  </r>
  <r>
    <s v="ORD01765"/>
    <x v="276"/>
    <x v="2"/>
    <x v="12"/>
    <x v="2"/>
    <x v="1753"/>
    <x v="1715"/>
    <x v="1"/>
    <x v="2"/>
  </r>
  <r>
    <s v="ORD01766"/>
    <x v="650"/>
    <x v="3"/>
    <x v="1"/>
    <x v="1"/>
    <x v="1754"/>
    <x v="1716"/>
    <x v="0"/>
    <x v="1"/>
  </r>
  <r>
    <s v="ORD01767"/>
    <x v="773"/>
    <x v="0"/>
    <x v="9"/>
    <x v="0"/>
    <x v="1755"/>
    <x v="1717"/>
    <x v="1"/>
    <x v="3"/>
  </r>
  <r>
    <s v="ORD01768"/>
    <x v="260"/>
    <x v="1"/>
    <x v="10"/>
    <x v="2"/>
    <x v="1756"/>
    <x v="1718"/>
    <x v="1"/>
    <x v="0"/>
  </r>
  <r>
    <s v="ORD01769"/>
    <x v="837"/>
    <x v="0"/>
    <x v="3"/>
    <x v="2"/>
    <x v="1757"/>
    <x v="1719"/>
    <x v="2"/>
    <x v="1"/>
  </r>
  <r>
    <s v="ORD01770"/>
    <x v="430"/>
    <x v="3"/>
    <x v="3"/>
    <x v="2"/>
    <x v="1758"/>
    <x v="1720"/>
    <x v="2"/>
    <x v="3"/>
  </r>
  <r>
    <s v="ORD01771"/>
    <x v="760"/>
    <x v="3"/>
    <x v="13"/>
    <x v="1"/>
    <x v="1759"/>
    <x v="1721"/>
    <x v="2"/>
    <x v="1"/>
  </r>
  <r>
    <s v="ORD01772"/>
    <x v="375"/>
    <x v="0"/>
    <x v="7"/>
    <x v="0"/>
    <x v="1760"/>
    <x v="1722"/>
    <x v="1"/>
    <x v="3"/>
  </r>
  <r>
    <s v="ORD01773"/>
    <x v="49"/>
    <x v="3"/>
    <x v="0"/>
    <x v="0"/>
    <x v="1761"/>
    <x v="1723"/>
    <x v="0"/>
    <x v="3"/>
  </r>
  <r>
    <s v="ORD01774"/>
    <x v="875"/>
    <x v="1"/>
    <x v="11"/>
    <x v="2"/>
    <x v="1762"/>
    <x v="1724"/>
    <x v="0"/>
    <x v="3"/>
  </r>
  <r>
    <s v="ORD01775"/>
    <x v="46"/>
    <x v="1"/>
    <x v="13"/>
    <x v="1"/>
    <x v="1763"/>
    <x v="1725"/>
    <x v="0"/>
    <x v="1"/>
  </r>
  <r>
    <s v="ORD01776"/>
    <x v="876"/>
    <x v="1"/>
    <x v="1"/>
    <x v="1"/>
    <x v="1764"/>
    <x v="1726"/>
    <x v="2"/>
    <x v="0"/>
  </r>
  <r>
    <s v="ORD01777"/>
    <x v="141"/>
    <x v="2"/>
    <x v="1"/>
    <x v="1"/>
    <x v="1765"/>
    <x v="1727"/>
    <x v="1"/>
    <x v="3"/>
  </r>
  <r>
    <s v="ORD01778"/>
    <x v="334"/>
    <x v="0"/>
    <x v="8"/>
    <x v="1"/>
    <x v="1766"/>
    <x v="1728"/>
    <x v="0"/>
    <x v="2"/>
  </r>
  <r>
    <s v="ORD01779"/>
    <x v="484"/>
    <x v="2"/>
    <x v="14"/>
    <x v="2"/>
    <x v="1767"/>
    <x v="1729"/>
    <x v="2"/>
    <x v="2"/>
  </r>
  <r>
    <s v="ORD01780"/>
    <x v="670"/>
    <x v="3"/>
    <x v="12"/>
    <x v="2"/>
    <x v="1768"/>
    <x v="1730"/>
    <x v="2"/>
    <x v="3"/>
  </r>
  <r>
    <s v="ORD01781"/>
    <x v="577"/>
    <x v="0"/>
    <x v="6"/>
    <x v="0"/>
    <x v="1769"/>
    <x v="1731"/>
    <x v="2"/>
    <x v="3"/>
  </r>
  <r>
    <s v="ORD01782"/>
    <x v="555"/>
    <x v="3"/>
    <x v="6"/>
    <x v="0"/>
    <x v="1770"/>
    <x v="1732"/>
    <x v="1"/>
    <x v="1"/>
  </r>
  <r>
    <s v="ORD01783"/>
    <x v="387"/>
    <x v="0"/>
    <x v="10"/>
    <x v="2"/>
    <x v="1771"/>
    <x v="1733"/>
    <x v="2"/>
    <x v="0"/>
  </r>
  <r>
    <s v="ORD01784"/>
    <x v="359"/>
    <x v="0"/>
    <x v="3"/>
    <x v="2"/>
    <x v="1772"/>
    <x v="1734"/>
    <x v="2"/>
    <x v="0"/>
  </r>
  <r>
    <s v="ORD01785"/>
    <x v="677"/>
    <x v="2"/>
    <x v="4"/>
    <x v="0"/>
    <x v="1773"/>
    <x v="1735"/>
    <x v="1"/>
    <x v="1"/>
  </r>
  <r>
    <s v="ORD01786"/>
    <x v="215"/>
    <x v="2"/>
    <x v="5"/>
    <x v="1"/>
    <x v="1774"/>
    <x v="1736"/>
    <x v="2"/>
    <x v="0"/>
  </r>
  <r>
    <s v="ORD01787"/>
    <x v="683"/>
    <x v="3"/>
    <x v="7"/>
    <x v="0"/>
    <x v="1775"/>
    <x v="1737"/>
    <x v="0"/>
    <x v="3"/>
  </r>
  <r>
    <s v="ORD01788"/>
    <x v="877"/>
    <x v="2"/>
    <x v="14"/>
    <x v="2"/>
    <x v="1776"/>
    <x v="1738"/>
    <x v="0"/>
    <x v="3"/>
  </r>
  <r>
    <s v="ORD01789"/>
    <x v="656"/>
    <x v="3"/>
    <x v="3"/>
    <x v="2"/>
    <x v="1777"/>
    <x v="1739"/>
    <x v="0"/>
    <x v="0"/>
  </r>
  <r>
    <s v="ORD01790"/>
    <x v="335"/>
    <x v="0"/>
    <x v="4"/>
    <x v="0"/>
    <x v="1778"/>
    <x v="1740"/>
    <x v="2"/>
    <x v="1"/>
  </r>
  <r>
    <s v="ORD01791"/>
    <x v="3"/>
    <x v="0"/>
    <x v="2"/>
    <x v="1"/>
    <x v="1779"/>
    <x v="1741"/>
    <x v="2"/>
    <x v="3"/>
  </r>
  <r>
    <s v="ORD01792"/>
    <x v="532"/>
    <x v="0"/>
    <x v="11"/>
    <x v="2"/>
    <x v="1780"/>
    <x v="1742"/>
    <x v="1"/>
    <x v="2"/>
  </r>
  <r>
    <s v="ORD01793"/>
    <x v="603"/>
    <x v="1"/>
    <x v="2"/>
    <x v="1"/>
    <x v="1781"/>
    <x v="1743"/>
    <x v="0"/>
    <x v="0"/>
  </r>
  <r>
    <s v="ORD01794"/>
    <x v="75"/>
    <x v="0"/>
    <x v="7"/>
    <x v="0"/>
    <x v="1782"/>
    <x v="1744"/>
    <x v="2"/>
    <x v="2"/>
  </r>
  <r>
    <s v="ORD01795"/>
    <x v="878"/>
    <x v="2"/>
    <x v="13"/>
    <x v="1"/>
    <x v="1783"/>
    <x v="1745"/>
    <x v="1"/>
    <x v="1"/>
  </r>
  <r>
    <s v="ORD01796"/>
    <x v="207"/>
    <x v="3"/>
    <x v="4"/>
    <x v="0"/>
    <x v="1784"/>
    <x v="1746"/>
    <x v="2"/>
    <x v="2"/>
  </r>
  <r>
    <s v="ORD01797"/>
    <x v="763"/>
    <x v="0"/>
    <x v="4"/>
    <x v="0"/>
    <x v="1785"/>
    <x v="1747"/>
    <x v="0"/>
    <x v="1"/>
  </r>
  <r>
    <s v="ORD01798"/>
    <x v="879"/>
    <x v="3"/>
    <x v="9"/>
    <x v="0"/>
    <x v="1786"/>
    <x v="1748"/>
    <x v="0"/>
    <x v="3"/>
  </r>
  <r>
    <s v="ORD01799"/>
    <x v="590"/>
    <x v="0"/>
    <x v="2"/>
    <x v="1"/>
    <x v="1787"/>
    <x v="1749"/>
    <x v="0"/>
    <x v="3"/>
  </r>
  <r>
    <s v="ORD01800"/>
    <x v="880"/>
    <x v="0"/>
    <x v="12"/>
    <x v="2"/>
    <x v="1788"/>
    <x v="1750"/>
    <x v="0"/>
    <x v="2"/>
  </r>
  <r>
    <s v="ORD01801"/>
    <x v="673"/>
    <x v="3"/>
    <x v="11"/>
    <x v="2"/>
    <x v="1789"/>
    <x v="1751"/>
    <x v="2"/>
    <x v="3"/>
  </r>
  <r>
    <s v="ORD01802"/>
    <x v="92"/>
    <x v="2"/>
    <x v="9"/>
    <x v="0"/>
    <x v="1790"/>
    <x v="1752"/>
    <x v="1"/>
    <x v="1"/>
  </r>
  <r>
    <s v="ORD01803"/>
    <x v="533"/>
    <x v="2"/>
    <x v="0"/>
    <x v="0"/>
    <x v="1791"/>
    <x v="1753"/>
    <x v="0"/>
    <x v="0"/>
  </r>
  <r>
    <s v="ORD01804"/>
    <x v="2"/>
    <x v="3"/>
    <x v="5"/>
    <x v="1"/>
    <x v="1792"/>
    <x v="1754"/>
    <x v="2"/>
    <x v="1"/>
  </r>
  <r>
    <s v="ORD01805"/>
    <x v="27"/>
    <x v="1"/>
    <x v="9"/>
    <x v="0"/>
    <x v="1793"/>
    <x v="1755"/>
    <x v="0"/>
    <x v="1"/>
  </r>
  <r>
    <s v="ORD01806"/>
    <x v="881"/>
    <x v="1"/>
    <x v="11"/>
    <x v="2"/>
    <x v="1794"/>
    <x v="1756"/>
    <x v="0"/>
    <x v="2"/>
  </r>
  <r>
    <s v="ORD01807"/>
    <x v="240"/>
    <x v="3"/>
    <x v="12"/>
    <x v="2"/>
    <x v="1795"/>
    <x v="1757"/>
    <x v="0"/>
    <x v="2"/>
  </r>
  <r>
    <s v="ORD01808"/>
    <x v="171"/>
    <x v="0"/>
    <x v="14"/>
    <x v="2"/>
    <x v="1796"/>
    <x v="1758"/>
    <x v="0"/>
    <x v="3"/>
  </r>
  <r>
    <s v="ORD01809"/>
    <x v="367"/>
    <x v="0"/>
    <x v="14"/>
    <x v="2"/>
    <x v="1797"/>
    <x v="1759"/>
    <x v="1"/>
    <x v="2"/>
  </r>
  <r>
    <s v="ORD01810"/>
    <x v="32"/>
    <x v="2"/>
    <x v="9"/>
    <x v="0"/>
    <x v="1798"/>
    <x v="1760"/>
    <x v="2"/>
    <x v="1"/>
  </r>
  <r>
    <s v="ORD01811"/>
    <x v="798"/>
    <x v="1"/>
    <x v="3"/>
    <x v="2"/>
    <x v="1799"/>
    <x v="1761"/>
    <x v="2"/>
    <x v="1"/>
  </r>
  <r>
    <s v="ORD01812"/>
    <x v="269"/>
    <x v="1"/>
    <x v="12"/>
    <x v="2"/>
    <x v="1800"/>
    <x v="1316"/>
    <x v="2"/>
    <x v="1"/>
  </r>
  <r>
    <s v="ORD01813"/>
    <x v="267"/>
    <x v="3"/>
    <x v="6"/>
    <x v="0"/>
    <x v="1801"/>
    <x v="1762"/>
    <x v="2"/>
    <x v="2"/>
  </r>
  <r>
    <s v="ORD01814"/>
    <x v="882"/>
    <x v="2"/>
    <x v="6"/>
    <x v="0"/>
    <x v="1802"/>
    <x v="1763"/>
    <x v="0"/>
    <x v="0"/>
  </r>
  <r>
    <s v="ORD01815"/>
    <x v="416"/>
    <x v="1"/>
    <x v="12"/>
    <x v="2"/>
    <x v="1803"/>
    <x v="1764"/>
    <x v="0"/>
    <x v="1"/>
  </r>
  <r>
    <s v="ORD01816"/>
    <x v="883"/>
    <x v="1"/>
    <x v="3"/>
    <x v="2"/>
    <x v="1804"/>
    <x v="1765"/>
    <x v="1"/>
    <x v="0"/>
  </r>
  <r>
    <s v="ORD01817"/>
    <x v="884"/>
    <x v="3"/>
    <x v="6"/>
    <x v="0"/>
    <x v="1805"/>
    <x v="1766"/>
    <x v="1"/>
    <x v="0"/>
  </r>
  <r>
    <s v="ORD01818"/>
    <x v="265"/>
    <x v="3"/>
    <x v="10"/>
    <x v="2"/>
    <x v="1806"/>
    <x v="1767"/>
    <x v="1"/>
    <x v="3"/>
  </r>
  <r>
    <s v="ORD01819"/>
    <x v="320"/>
    <x v="1"/>
    <x v="11"/>
    <x v="2"/>
    <x v="1807"/>
    <x v="1366"/>
    <x v="2"/>
    <x v="2"/>
  </r>
  <r>
    <s v="ORD01820"/>
    <x v="525"/>
    <x v="3"/>
    <x v="6"/>
    <x v="0"/>
    <x v="1808"/>
    <x v="1768"/>
    <x v="2"/>
    <x v="2"/>
  </r>
  <r>
    <s v="ORD01821"/>
    <x v="241"/>
    <x v="3"/>
    <x v="13"/>
    <x v="1"/>
    <x v="1809"/>
    <x v="1769"/>
    <x v="1"/>
    <x v="1"/>
  </r>
  <r>
    <s v="ORD01822"/>
    <x v="379"/>
    <x v="2"/>
    <x v="0"/>
    <x v="0"/>
    <x v="1810"/>
    <x v="1770"/>
    <x v="1"/>
    <x v="0"/>
  </r>
  <r>
    <s v="ORD01823"/>
    <x v="802"/>
    <x v="1"/>
    <x v="11"/>
    <x v="2"/>
    <x v="1811"/>
    <x v="1771"/>
    <x v="2"/>
    <x v="1"/>
  </r>
  <r>
    <s v="ORD01824"/>
    <x v="885"/>
    <x v="2"/>
    <x v="3"/>
    <x v="2"/>
    <x v="1812"/>
    <x v="1772"/>
    <x v="2"/>
    <x v="3"/>
  </r>
  <r>
    <s v="ORD01825"/>
    <x v="578"/>
    <x v="1"/>
    <x v="9"/>
    <x v="0"/>
    <x v="1813"/>
    <x v="1208"/>
    <x v="2"/>
    <x v="0"/>
  </r>
  <r>
    <s v="ORD01826"/>
    <x v="886"/>
    <x v="0"/>
    <x v="12"/>
    <x v="2"/>
    <x v="1814"/>
    <x v="1773"/>
    <x v="0"/>
    <x v="0"/>
  </r>
  <r>
    <s v="ORD01827"/>
    <x v="182"/>
    <x v="1"/>
    <x v="13"/>
    <x v="1"/>
    <x v="1815"/>
    <x v="1774"/>
    <x v="1"/>
    <x v="0"/>
  </r>
  <r>
    <s v="ORD01828"/>
    <x v="95"/>
    <x v="1"/>
    <x v="14"/>
    <x v="2"/>
    <x v="1816"/>
    <x v="1775"/>
    <x v="2"/>
    <x v="2"/>
  </r>
  <r>
    <s v="ORD01829"/>
    <x v="94"/>
    <x v="3"/>
    <x v="6"/>
    <x v="0"/>
    <x v="1817"/>
    <x v="1776"/>
    <x v="2"/>
    <x v="0"/>
  </r>
  <r>
    <s v="ORD01830"/>
    <x v="459"/>
    <x v="1"/>
    <x v="11"/>
    <x v="2"/>
    <x v="1818"/>
    <x v="1777"/>
    <x v="2"/>
    <x v="0"/>
  </r>
  <r>
    <s v="ORD01831"/>
    <x v="667"/>
    <x v="0"/>
    <x v="14"/>
    <x v="2"/>
    <x v="1819"/>
    <x v="1778"/>
    <x v="0"/>
    <x v="2"/>
  </r>
  <r>
    <s v="ORD01832"/>
    <x v="887"/>
    <x v="2"/>
    <x v="5"/>
    <x v="1"/>
    <x v="1820"/>
    <x v="1779"/>
    <x v="2"/>
    <x v="1"/>
  </r>
  <r>
    <s v="ORD01833"/>
    <x v="295"/>
    <x v="3"/>
    <x v="14"/>
    <x v="2"/>
    <x v="1821"/>
    <x v="1780"/>
    <x v="2"/>
    <x v="3"/>
  </r>
  <r>
    <s v="ORD01834"/>
    <x v="518"/>
    <x v="3"/>
    <x v="11"/>
    <x v="2"/>
    <x v="1822"/>
    <x v="1781"/>
    <x v="2"/>
    <x v="2"/>
  </r>
  <r>
    <s v="ORD01835"/>
    <x v="840"/>
    <x v="3"/>
    <x v="14"/>
    <x v="2"/>
    <x v="1823"/>
    <x v="1782"/>
    <x v="1"/>
    <x v="0"/>
  </r>
  <r>
    <s v="ORD01836"/>
    <x v="111"/>
    <x v="2"/>
    <x v="8"/>
    <x v="1"/>
    <x v="1824"/>
    <x v="1783"/>
    <x v="0"/>
    <x v="0"/>
  </r>
  <r>
    <s v="ORD01837"/>
    <x v="224"/>
    <x v="1"/>
    <x v="1"/>
    <x v="1"/>
    <x v="1825"/>
    <x v="1784"/>
    <x v="1"/>
    <x v="0"/>
  </r>
  <r>
    <s v="ORD01838"/>
    <x v="888"/>
    <x v="1"/>
    <x v="6"/>
    <x v="0"/>
    <x v="1826"/>
    <x v="1785"/>
    <x v="2"/>
    <x v="2"/>
  </r>
  <r>
    <s v="ORD01839"/>
    <x v="416"/>
    <x v="2"/>
    <x v="13"/>
    <x v="1"/>
    <x v="1827"/>
    <x v="1786"/>
    <x v="0"/>
    <x v="0"/>
  </r>
  <r>
    <s v="ORD01840"/>
    <x v="34"/>
    <x v="0"/>
    <x v="8"/>
    <x v="1"/>
    <x v="1828"/>
    <x v="1787"/>
    <x v="0"/>
    <x v="1"/>
  </r>
  <r>
    <s v="ORD01841"/>
    <x v="889"/>
    <x v="1"/>
    <x v="0"/>
    <x v="0"/>
    <x v="1829"/>
    <x v="1788"/>
    <x v="1"/>
    <x v="3"/>
  </r>
  <r>
    <s v="ORD01842"/>
    <x v="890"/>
    <x v="0"/>
    <x v="13"/>
    <x v="1"/>
    <x v="1830"/>
    <x v="1789"/>
    <x v="2"/>
    <x v="0"/>
  </r>
  <r>
    <s v="ORD01843"/>
    <x v="774"/>
    <x v="2"/>
    <x v="11"/>
    <x v="2"/>
    <x v="1831"/>
    <x v="1790"/>
    <x v="1"/>
    <x v="3"/>
  </r>
  <r>
    <s v="ORD01844"/>
    <x v="46"/>
    <x v="3"/>
    <x v="9"/>
    <x v="0"/>
    <x v="1832"/>
    <x v="1791"/>
    <x v="0"/>
    <x v="0"/>
  </r>
  <r>
    <s v="ORD01845"/>
    <x v="752"/>
    <x v="0"/>
    <x v="11"/>
    <x v="2"/>
    <x v="1833"/>
    <x v="1792"/>
    <x v="0"/>
    <x v="1"/>
  </r>
  <r>
    <s v="ORD01846"/>
    <x v="880"/>
    <x v="3"/>
    <x v="4"/>
    <x v="0"/>
    <x v="1834"/>
    <x v="1793"/>
    <x v="1"/>
    <x v="0"/>
  </r>
  <r>
    <s v="ORD01847"/>
    <x v="621"/>
    <x v="2"/>
    <x v="0"/>
    <x v="0"/>
    <x v="1835"/>
    <x v="1794"/>
    <x v="1"/>
    <x v="0"/>
  </r>
  <r>
    <s v="ORD01848"/>
    <x v="827"/>
    <x v="3"/>
    <x v="0"/>
    <x v="0"/>
    <x v="1836"/>
    <x v="1795"/>
    <x v="0"/>
    <x v="3"/>
  </r>
  <r>
    <s v="ORD01849"/>
    <x v="246"/>
    <x v="1"/>
    <x v="5"/>
    <x v="1"/>
    <x v="1837"/>
    <x v="1796"/>
    <x v="1"/>
    <x v="2"/>
  </r>
  <r>
    <s v="ORD01850"/>
    <x v="569"/>
    <x v="3"/>
    <x v="12"/>
    <x v="2"/>
    <x v="1838"/>
    <x v="1797"/>
    <x v="2"/>
    <x v="0"/>
  </r>
  <r>
    <s v="ORD01851"/>
    <x v="684"/>
    <x v="1"/>
    <x v="4"/>
    <x v="0"/>
    <x v="1839"/>
    <x v="1798"/>
    <x v="0"/>
    <x v="3"/>
  </r>
  <r>
    <s v="ORD01852"/>
    <x v="311"/>
    <x v="0"/>
    <x v="4"/>
    <x v="0"/>
    <x v="1840"/>
    <x v="1799"/>
    <x v="2"/>
    <x v="2"/>
  </r>
  <r>
    <s v="ORD01853"/>
    <x v="85"/>
    <x v="1"/>
    <x v="4"/>
    <x v="0"/>
    <x v="1841"/>
    <x v="1800"/>
    <x v="0"/>
    <x v="1"/>
  </r>
  <r>
    <s v="ORD01854"/>
    <x v="426"/>
    <x v="1"/>
    <x v="7"/>
    <x v="0"/>
    <x v="1842"/>
    <x v="1801"/>
    <x v="2"/>
    <x v="1"/>
  </r>
  <r>
    <s v="ORD01855"/>
    <x v="264"/>
    <x v="0"/>
    <x v="14"/>
    <x v="2"/>
    <x v="1843"/>
    <x v="1802"/>
    <x v="2"/>
    <x v="1"/>
  </r>
  <r>
    <s v="ORD01856"/>
    <x v="247"/>
    <x v="1"/>
    <x v="7"/>
    <x v="0"/>
    <x v="1844"/>
    <x v="1803"/>
    <x v="0"/>
    <x v="2"/>
  </r>
  <r>
    <s v="ORD01857"/>
    <x v="621"/>
    <x v="3"/>
    <x v="3"/>
    <x v="2"/>
    <x v="1694"/>
    <x v="1804"/>
    <x v="1"/>
    <x v="2"/>
  </r>
  <r>
    <s v="ORD01858"/>
    <x v="851"/>
    <x v="1"/>
    <x v="9"/>
    <x v="0"/>
    <x v="1845"/>
    <x v="1805"/>
    <x v="1"/>
    <x v="3"/>
  </r>
  <r>
    <s v="ORD01859"/>
    <x v="542"/>
    <x v="2"/>
    <x v="10"/>
    <x v="2"/>
    <x v="1846"/>
    <x v="1806"/>
    <x v="1"/>
    <x v="1"/>
  </r>
  <r>
    <s v="ORD01860"/>
    <x v="601"/>
    <x v="0"/>
    <x v="0"/>
    <x v="0"/>
    <x v="1847"/>
    <x v="1807"/>
    <x v="1"/>
    <x v="3"/>
  </r>
  <r>
    <s v="ORD01861"/>
    <x v="452"/>
    <x v="0"/>
    <x v="4"/>
    <x v="0"/>
    <x v="1848"/>
    <x v="1808"/>
    <x v="2"/>
    <x v="1"/>
  </r>
  <r>
    <s v="ORD01862"/>
    <x v="456"/>
    <x v="0"/>
    <x v="11"/>
    <x v="2"/>
    <x v="1849"/>
    <x v="916"/>
    <x v="1"/>
    <x v="3"/>
  </r>
  <r>
    <s v="ORD01863"/>
    <x v="211"/>
    <x v="1"/>
    <x v="13"/>
    <x v="1"/>
    <x v="1850"/>
    <x v="1809"/>
    <x v="1"/>
    <x v="0"/>
  </r>
  <r>
    <s v="ORD01864"/>
    <x v="206"/>
    <x v="0"/>
    <x v="11"/>
    <x v="2"/>
    <x v="1851"/>
    <x v="1810"/>
    <x v="0"/>
    <x v="0"/>
  </r>
  <r>
    <s v="ORD01865"/>
    <x v="307"/>
    <x v="1"/>
    <x v="8"/>
    <x v="1"/>
    <x v="1852"/>
    <x v="1811"/>
    <x v="0"/>
    <x v="1"/>
  </r>
  <r>
    <s v="ORD01866"/>
    <x v="527"/>
    <x v="0"/>
    <x v="1"/>
    <x v="1"/>
    <x v="1853"/>
    <x v="1812"/>
    <x v="0"/>
    <x v="3"/>
  </r>
  <r>
    <s v="ORD01867"/>
    <x v="891"/>
    <x v="3"/>
    <x v="1"/>
    <x v="1"/>
    <x v="1854"/>
    <x v="1813"/>
    <x v="2"/>
    <x v="1"/>
  </r>
  <r>
    <s v="ORD01868"/>
    <x v="787"/>
    <x v="2"/>
    <x v="14"/>
    <x v="2"/>
    <x v="1855"/>
    <x v="1814"/>
    <x v="2"/>
    <x v="1"/>
  </r>
  <r>
    <s v="ORD01869"/>
    <x v="475"/>
    <x v="1"/>
    <x v="3"/>
    <x v="2"/>
    <x v="1856"/>
    <x v="1815"/>
    <x v="1"/>
    <x v="3"/>
  </r>
  <r>
    <s v="ORD01870"/>
    <x v="768"/>
    <x v="0"/>
    <x v="4"/>
    <x v="0"/>
    <x v="1857"/>
    <x v="1816"/>
    <x v="2"/>
    <x v="0"/>
  </r>
  <r>
    <s v="ORD01871"/>
    <x v="17"/>
    <x v="1"/>
    <x v="13"/>
    <x v="1"/>
    <x v="1858"/>
    <x v="1817"/>
    <x v="1"/>
    <x v="0"/>
  </r>
  <r>
    <s v="ORD01872"/>
    <x v="67"/>
    <x v="2"/>
    <x v="3"/>
    <x v="2"/>
    <x v="1859"/>
    <x v="1818"/>
    <x v="0"/>
    <x v="0"/>
  </r>
  <r>
    <s v="ORD01873"/>
    <x v="892"/>
    <x v="3"/>
    <x v="0"/>
    <x v="0"/>
    <x v="1860"/>
    <x v="1819"/>
    <x v="2"/>
    <x v="3"/>
  </r>
  <r>
    <s v="ORD01874"/>
    <x v="456"/>
    <x v="1"/>
    <x v="4"/>
    <x v="0"/>
    <x v="1861"/>
    <x v="1820"/>
    <x v="1"/>
    <x v="3"/>
  </r>
  <r>
    <s v="ORD01875"/>
    <x v="848"/>
    <x v="3"/>
    <x v="5"/>
    <x v="1"/>
    <x v="1862"/>
    <x v="1821"/>
    <x v="2"/>
    <x v="2"/>
  </r>
  <r>
    <s v="ORD01876"/>
    <x v="710"/>
    <x v="1"/>
    <x v="3"/>
    <x v="2"/>
    <x v="1863"/>
    <x v="1822"/>
    <x v="0"/>
    <x v="3"/>
  </r>
  <r>
    <s v="ORD01877"/>
    <x v="722"/>
    <x v="0"/>
    <x v="3"/>
    <x v="2"/>
    <x v="1864"/>
    <x v="1823"/>
    <x v="0"/>
    <x v="0"/>
  </r>
  <r>
    <s v="ORD01878"/>
    <x v="708"/>
    <x v="1"/>
    <x v="7"/>
    <x v="0"/>
    <x v="1865"/>
    <x v="1824"/>
    <x v="2"/>
    <x v="3"/>
  </r>
  <r>
    <s v="ORD01879"/>
    <x v="404"/>
    <x v="0"/>
    <x v="4"/>
    <x v="0"/>
    <x v="1866"/>
    <x v="1825"/>
    <x v="1"/>
    <x v="3"/>
  </r>
  <r>
    <s v="ORD01880"/>
    <x v="668"/>
    <x v="2"/>
    <x v="1"/>
    <x v="1"/>
    <x v="1867"/>
    <x v="1826"/>
    <x v="1"/>
    <x v="2"/>
  </r>
  <r>
    <s v="ORD01881"/>
    <x v="756"/>
    <x v="0"/>
    <x v="7"/>
    <x v="0"/>
    <x v="1868"/>
    <x v="1827"/>
    <x v="0"/>
    <x v="0"/>
  </r>
  <r>
    <s v="ORD01882"/>
    <x v="470"/>
    <x v="0"/>
    <x v="13"/>
    <x v="1"/>
    <x v="1869"/>
    <x v="1828"/>
    <x v="1"/>
    <x v="1"/>
  </r>
  <r>
    <s v="ORD01883"/>
    <x v="893"/>
    <x v="1"/>
    <x v="12"/>
    <x v="2"/>
    <x v="1870"/>
    <x v="789"/>
    <x v="1"/>
    <x v="3"/>
  </r>
  <r>
    <s v="ORD01884"/>
    <x v="732"/>
    <x v="2"/>
    <x v="9"/>
    <x v="0"/>
    <x v="1871"/>
    <x v="1829"/>
    <x v="1"/>
    <x v="3"/>
  </r>
  <r>
    <s v="ORD01885"/>
    <x v="480"/>
    <x v="2"/>
    <x v="8"/>
    <x v="1"/>
    <x v="1872"/>
    <x v="1830"/>
    <x v="2"/>
    <x v="3"/>
  </r>
  <r>
    <s v="ORD01886"/>
    <x v="610"/>
    <x v="1"/>
    <x v="10"/>
    <x v="2"/>
    <x v="1873"/>
    <x v="1831"/>
    <x v="1"/>
    <x v="0"/>
  </r>
  <r>
    <s v="ORD01887"/>
    <x v="186"/>
    <x v="2"/>
    <x v="6"/>
    <x v="0"/>
    <x v="1874"/>
    <x v="853"/>
    <x v="1"/>
    <x v="1"/>
  </r>
  <r>
    <s v="ORD01888"/>
    <x v="612"/>
    <x v="2"/>
    <x v="10"/>
    <x v="2"/>
    <x v="1875"/>
    <x v="1832"/>
    <x v="0"/>
    <x v="0"/>
  </r>
  <r>
    <s v="ORD01889"/>
    <x v="848"/>
    <x v="2"/>
    <x v="1"/>
    <x v="1"/>
    <x v="1876"/>
    <x v="1833"/>
    <x v="2"/>
    <x v="2"/>
  </r>
  <r>
    <s v="ORD01890"/>
    <x v="894"/>
    <x v="2"/>
    <x v="12"/>
    <x v="2"/>
    <x v="1877"/>
    <x v="1834"/>
    <x v="2"/>
    <x v="3"/>
  </r>
  <r>
    <s v="ORD01891"/>
    <x v="251"/>
    <x v="3"/>
    <x v="6"/>
    <x v="0"/>
    <x v="1878"/>
    <x v="718"/>
    <x v="2"/>
    <x v="2"/>
  </r>
  <r>
    <s v="ORD01892"/>
    <x v="895"/>
    <x v="2"/>
    <x v="14"/>
    <x v="2"/>
    <x v="1879"/>
    <x v="1835"/>
    <x v="0"/>
    <x v="3"/>
  </r>
  <r>
    <s v="ORD01893"/>
    <x v="455"/>
    <x v="1"/>
    <x v="12"/>
    <x v="2"/>
    <x v="1880"/>
    <x v="1836"/>
    <x v="2"/>
    <x v="2"/>
  </r>
  <r>
    <s v="ORD01894"/>
    <x v="300"/>
    <x v="3"/>
    <x v="2"/>
    <x v="1"/>
    <x v="1881"/>
    <x v="1098"/>
    <x v="0"/>
    <x v="1"/>
  </r>
  <r>
    <s v="ORD01895"/>
    <x v="26"/>
    <x v="1"/>
    <x v="9"/>
    <x v="0"/>
    <x v="1882"/>
    <x v="1837"/>
    <x v="1"/>
    <x v="0"/>
  </r>
  <r>
    <s v="ORD01896"/>
    <x v="488"/>
    <x v="1"/>
    <x v="9"/>
    <x v="0"/>
    <x v="1883"/>
    <x v="1838"/>
    <x v="1"/>
    <x v="0"/>
  </r>
  <r>
    <s v="ORD01897"/>
    <x v="201"/>
    <x v="0"/>
    <x v="1"/>
    <x v="1"/>
    <x v="1884"/>
    <x v="1839"/>
    <x v="1"/>
    <x v="0"/>
  </r>
  <r>
    <s v="ORD01898"/>
    <x v="589"/>
    <x v="3"/>
    <x v="13"/>
    <x v="1"/>
    <x v="1885"/>
    <x v="1840"/>
    <x v="0"/>
    <x v="3"/>
  </r>
  <r>
    <s v="ORD01899"/>
    <x v="272"/>
    <x v="1"/>
    <x v="13"/>
    <x v="1"/>
    <x v="1886"/>
    <x v="1841"/>
    <x v="2"/>
    <x v="0"/>
  </r>
  <r>
    <s v="ORD01900"/>
    <x v="695"/>
    <x v="1"/>
    <x v="8"/>
    <x v="1"/>
    <x v="1887"/>
    <x v="1488"/>
    <x v="2"/>
    <x v="1"/>
  </r>
  <r>
    <s v="ORD01901"/>
    <x v="563"/>
    <x v="2"/>
    <x v="1"/>
    <x v="1"/>
    <x v="1888"/>
    <x v="1842"/>
    <x v="2"/>
    <x v="1"/>
  </r>
  <r>
    <s v="ORD01902"/>
    <x v="537"/>
    <x v="0"/>
    <x v="12"/>
    <x v="2"/>
    <x v="1889"/>
    <x v="1843"/>
    <x v="2"/>
    <x v="3"/>
  </r>
  <r>
    <s v="ORD01903"/>
    <x v="762"/>
    <x v="2"/>
    <x v="5"/>
    <x v="1"/>
    <x v="1890"/>
    <x v="1844"/>
    <x v="2"/>
    <x v="3"/>
  </r>
  <r>
    <s v="ORD01904"/>
    <x v="547"/>
    <x v="1"/>
    <x v="11"/>
    <x v="2"/>
    <x v="1891"/>
    <x v="1845"/>
    <x v="1"/>
    <x v="0"/>
  </r>
  <r>
    <s v="ORD01905"/>
    <x v="192"/>
    <x v="0"/>
    <x v="1"/>
    <x v="1"/>
    <x v="1892"/>
    <x v="1846"/>
    <x v="1"/>
    <x v="2"/>
  </r>
  <r>
    <s v="ORD01906"/>
    <x v="490"/>
    <x v="3"/>
    <x v="8"/>
    <x v="1"/>
    <x v="1893"/>
    <x v="1847"/>
    <x v="2"/>
    <x v="2"/>
  </r>
  <r>
    <s v="ORD01907"/>
    <x v="882"/>
    <x v="0"/>
    <x v="7"/>
    <x v="0"/>
    <x v="1894"/>
    <x v="1848"/>
    <x v="0"/>
    <x v="1"/>
  </r>
  <r>
    <s v="ORD01908"/>
    <x v="492"/>
    <x v="3"/>
    <x v="1"/>
    <x v="1"/>
    <x v="1895"/>
    <x v="1849"/>
    <x v="0"/>
    <x v="0"/>
  </r>
  <r>
    <s v="ORD01909"/>
    <x v="443"/>
    <x v="1"/>
    <x v="1"/>
    <x v="1"/>
    <x v="1896"/>
    <x v="1850"/>
    <x v="1"/>
    <x v="1"/>
  </r>
  <r>
    <s v="ORD01910"/>
    <x v="201"/>
    <x v="3"/>
    <x v="4"/>
    <x v="0"/>
    <x v="1897"/>
    <x v="1851"/>
    <x v="0"/>
    <x v="2"/>
  </r>
  <r>
    <s v="ORD01911"/>
    <x v="555"/>
    <x v="2"/>
    <x v="5"/>
    <x v="1"/>
    <x v="1898"/>
    <x v="1852"/>
    <x v="2"/>
    <x v="0"/>
  </r>
  <r>
    <s v="ORD01912"/>
    <x v="428"/>
    <x v="3"/>
    <x v="2"/>
    <x v="1"/>
    <x v="1899"/>
    <x v="1853"/>
    <x v="2"/>
    <x v="0"/>
  </r>
  <r>
    <s v="ORD01913"/>
    <x v="896"/>
    <x v="3"/>
    <x v="11"/>
    <x v="2"/>
    <x v="1900"/>
    <x v="1854"/>
    <x v="1"/>
    <x v="0"/>
  </r>
  <r>
    <s v="ORD01914"/>
    <x v="332"/>
    <x v="0"/>
    <x v="8"/>
    <x v="1"/>
    <x v="1901"/>
    <x v="1855"/>
    <x v="1"/>
    <x v="2"/>
  </r>
  <r>
    <s v="ORD01915"/>
    <x v="494"/>
    <x v="2"/>
    <x v="6"/>
    <x v="0"/>
    <x v="1902"/>
    <x v="1854"/>
    <x v="1"/>
    <x v="2"/>
  </r>
  <r>
    <s v="ORD01916"/>
    <x v="660"/>
    <x v="1"/>
    <x v="3"/>
    <x v="2"/>
    <x v="1903"/>
    <x v="1856"/>
    <x v="2"/>
    <x v="0"/>
  </r>
  <r>
    <s v="ORD01917"/>
    <x v="651"/>
    <x v="1"/>
    <x v="6"/>
    <x v="0"/>
    <x v="1904"/>
    <x v="1857"/>
    <x v="2"/>
    <x v="0"/>
  </r>
  <r>
    <s v="ORD01918"/>
    <x v="465"/>
    <x v="1"/>
    <x v="4"/>
    <x v="0"/>
    <x v="1905"/>
    <x v="1858"/>
    <x v="2"/>
    <x v="0"/>
  </r>
  <r>
    <s v="ORD01919"/>
    <x v="897"/>
    <x v="3"/>
    <x v="0"/>
    <x v="0"/>
    <x v="1906"/>
    <x v="1859"/>
    <x v="1"/>
    <x v="3"/>
  </r>
  <r>
    <s v="ORD01920"/>
    <x v="671"/>
    <x v="2"/>
    <x v="6"/>
    <x v="0"/>
    <x v="1907"/>
    <x v="1860"/>
    <x v="2"/>
    <x v="1"/>
  </r>
  <r>
    <s v="ORD01921"/>
    <x v="898"/>
    <x v="1"/>
    <x v="9"/>
    <x v="0"/>
    <x v="1908"/>
    <x v="1861"/>
    <x v="0"/>
    <x v="0"/>
  </r>
  <r>
    <s v="ORD01922"/>
    <x v="899"/>
    <x v="3"/>
    <x v="6"/>
    <x v="0"/>
    <x v="1909"/>
    <x v="1862"/>
    <x v="2"/>
    <x v="1"/>
  </r>
  <r>
    <s v="ORD01923"/>
    <x v="310"/>
    <x v="2"/>
    <x v="6"/>
    <x v="0"/>
    <x v="1910"/>
    <x v="1863"/>
    <x v="1"/>
    <x v="1"/>
  </r>
  <r>
    <s v="ORD01924"/>
    <x v="900"/>
    <x v="3"/>
    <x v="14"/>
    <x v="2"/>
    <x v="1911"/>
    <x v="1864"/>
    <x v="0"/>
    <x v="2"/>
  </r>
  <r>
    <s v="ORD01925"/>
    <x v="901"/>
    <x v="0"/>
    <x v="10"/>
    <x v="2"/>
    <x v="1912"/>
    <x v="1865"/>
    <x v="0"/>
    <x v="2"/>
  </r>
  <r>
    <s v="ORD01926"/>
    <x v="827"/>
    <x v="0"/>
    <x v="9"/>
    <x v="0"/>
    <x v="1913"/>
    <x v="1866"/>
    <x v="2"/>
    <x v="3"/>
  </r>
  <r>
    <s v="ORD01927"/>
    <x v="710"/>
    <x v="3"/>
    <x v="3"/>
    <x v="2"/>
    <x v="1914"/>
    <x v="1867"/>
    <x v="2"/>
    <x v="2"/>
  </r>
  <r>
    <s v="ORD01928"/>
    <x v="553"/>
    <x v="2"/>
    <x v="11"/>
    <x v="2"/>
    <x v="1915"/>
    <x v="1868"/>
    <x v="0"/>
    <x v="2"/>
  </r>
  <r>
    <s v="ORD01929"/>
    <x v="701"/>
    <x v="0"/>
    <x v="4"/>
    <x v="0"/>
    <x v="1916"/>
    <x v="1869"/>
    <x v="2"/>
    <x v="1"/>
  </r>
  <r>
    <s v="ORD01930"/>
    <x v="194"/>
    <x v="2"/>
    <x v="0"/>
    <x v="0"/>
    <x v="1917"/>
    <x v="1870"/>
    <x v="0"/>
    <x v="2"/>
  </r>
  <r>
    <s v="ORD01931"/>
    <x v="902"/>
    <x v="3"/>
    <x v="8"/>
    <x v="1"/>
    <x v="1918"/>
    <x v="1871"/>
    <x v="0"/>
    <x v="0"/>
  </r>
  <r>
    <s v="ORD01932"/>
    <x v="903"/>
    <x v="3"/>
    <x v="10"/>
    <x v="2"/>
    <x v="1919"/>
    <x v="1872"/>
    <x v="2"/>
    <x v="3"/>
  </r>
  <r>
    <s v="ORD01933"/>
    <x v="187"/>
    <x v="1"/>
    <x v="6"/>
    <x v="0"/>
    <x v="1920"/>
    <x v="1873"/>
    <x v="2"/>
    <x v="0"/>
  </r>
  <r>
    <s v="ORD01934"/>
    <x v="153"/>
    <x v="0"/>
    <x v="5"/>
    <x v="1"/>
    <x v="1921"/>
    <x v="1874"/>
    <x v="2"/>
    <x v="2"/>
  </r>
  <r>
    <s v="ORD01935"/>
    <x v="602"/>
    <x v="2"/>
    <x v="10"/>
    <x v="2"/>
    <x v="1922"/>
    <x v="1875"/>
    <x v="1"/>
    <x v="3"/>
  </r>
  <r>
    <s v="ORD01936"/>
    <x v="893"/>
    <x v="2"/>
    <x v="5"/>
    <x v="1"/>
    <x v="1923"/>
    <x v="1876"/>
    <x v="0"/>
    <x v="0"/>
  </r>
  <r>
    <s v="ORD01937"/>
    <x v="451"/>
    <x v="0"/>
    <x v="13"/>
    <x v="1"/>
    <x v="1924"/>
    <x v="1607"/>
    <x v="1"/>
    <x v="2"/>
  </r>
  <r>
    <s v="ORD01938"/>
    <x v="176"/>
    <x v="0"/>
    <x v="10"/>
    <x v="2"/>
    <x v="1925"/>
    <x v="1877"/>
    <x v="0"/>
    <x v="3"/>
  </r>
  <r>
    <s v="ORD01939"/>
    <x v="248"/>
    <x v="0"/>
    <x v="12"/>
    <x v="2"/>
    <x v="1926"/>
    <x v="1878"/>
    <x v="2"/>
    <x v="3"/>
  </r>
  <r>
    <s v="ORD01940"/>
    <x v="818"/>
    <x v="0"/>
    <x v="2"/>
    <x v="1"/>
    <x v="1927"/>
    <x v="1879"/>
    <x v="1"/>
    <x v="0"/>
  </r>
  <r>
    <s v="ORD01941"/>
    <x v="904"/>
    <x v="0"/>
    <x v="2"/>
    <x v="1"/>
    <x v="1928"/>
    <x v="1880"/>
    <x v="1"/>
    <x v="1"/>
  </r>
  <r>
    <s v="ORD01942"/>
    <x v="551"/>
    <x v="0"/>
    <x v="5"/>
    <x v="1"/>
    <x v="1929"/>
    <x v="1881"/>
    <x v="1"/>
    <x v="0"/>
  </r>
  <r>
    <s v="ORD01943"/>
    <x v="484"/>
    <x v="2"/>
    <x v="2"/>
    <x v="1"/>
    <x v="1930"/>
    <x v="1882"/>
    <x v="1"/>
    <x v="1"/>
  </r>
  <r>
    <s v="ORD01944"/>
    <x v="298"/>
    <x v="0"/>
    <x v="8"/>
    <x v="1"/>
    <x v="1931"/>
    <x v="1883"/>
    <x v="1"/>
    <x v="1"/>
  </r>
  <r>
    <s v="ORD01945"/>
    <x v="723"/>
    <x v="2"/>
    <x v="9"/>
    <x v="0"/>
    <x v="1932"/>
    <x v="1884"/>
    <x v="1"/>
    <x v="1"/>
  </r>
  <r>
    <s v="ORD01946"/>
    <x v="663"/>
    <x v="0"/>
    <x v="9"/>
    <x v="0"/>
    <x v="1933"/>
    <x v="1885"/>
    <x v="2"/>
    <x v="3"/>
  </r>
  <r>
    <s v="ORD01947"/>
    <x v="674"/>
    <x v="2"/>
    <x v="3"/>
    <x v="2"/>
    <x v="1934"/>
    <x v="1886"/>
    <x v="0"/>
    <x v="1"/>
  </r>
  <r>
    <s v="ORD01948"/>
    <x v="905"/>
    <x v="2"/>
    <x v="6"/>
    <x v="0"/>
    <x v="1935"/>
    <x v="1887"/>
    <x v="2"/>
    <x v="1"/>
  </r>
  <r>
    <s v="ORD01949"/>
    <x v="304"/>
    <x v="0"/>
    <x v="13"/>
    <x v="1"/>
    <x v="1936"/>
    <x v="1888"/>
    <x v="2"/>
    <x v="0"/>
  </r>
  <r>
    <s v="ORD01950"/>
    <x v="117"/>
    <x v="2"/>
    <x v="4"/>
    <x v="0"/>
    <x v="1937"/>
    <x v="1889"/>
    <x v="1"/>
    <x v="3"/>
  </r>
  <r>
    <s v="ORD01951"/>
    <x v="321"/>
    <x v="1"/>
    <x v="10"/>
    <x v="2"/>
    <x v="1938"/>
    <x v="1890"/>
    <x v="0"/>
    <x v="0"/>
  </r>
  <r>
    <s v="ORD01952"/>
    <x v="592"/>
    <x v="0"/>
    <x v="14"/>
    <x v="2"/>
    <x v="1939"/>
    <x v="1891"/>
    <x v="1"/>
    <x v="1"/>
  </r>
  <r>
    <s v="ORD01953"/>
    <x v="616"/>
    <x v="1"/>
    <x v="7"/>
    <x v="0"/>
    <x v="1940"/>
    <x v="1892"/>
    <x v="0"/>
    <x v="1"/>
  </r>
  <r>
    <s v="ORD01954"/>
    <x v="309"/>
    <x v="3"/>
    <x v="9"/>
    <x v="0"/>
    <x v="1941"/>
    <x v="1893"/>
    <x v="2"/>
    <x v="2"/>
  </r>
  <r>
    <s v="ORD01955"/>
    <x v="727"/>
    <x v="1"/>
    <x v="2"/>
    <x v="1"/>
    <x v="1942"/>
    <x v="1894"/>
    <x v="1"/>
    <x v="3"/>
  </r>
  <r>
    <s v="ORD01956"/>
    <x v="652"/>
    <x v="3"/>
    <x v="4"/>
    <x v="0"/>
    <x v="1943"/>
    <x v="1895"/>
    <x v="2"/>
    <x v="0"/>
  </r>
  <r>
    <s v="ORD01957"/>
    <x v="187"/>
    <x v="3"/>
    <x v="11"/>
    <x v="2"/>
    <x v="1944"/>
    <x v="1896"/>
    <x v="2"/>
    <x v="3"/>
  </r>
  <r>
    <s v="ORD01958"/>
    <x v="177"/>
    <x v="0"/>
    <x v="12"/>
    <x v="2"/>
    <x v="1945"/>
    <x v="1897"/>
    <x v="2"/>
    <x v="1"/>
  </r>
  <r>
    <s v="ORD01959"/>
    <x v="264"/>
    <x v="0"/>
    <x v="4"/>
    <x v="0"/>
    <x v="1946"/>
    <x v="1898"/>
    <x v="1"/>
    <x v="2"/>
  </r>
  <r>
    <s v="ORD01960"/>
    <x v="397"/>
    <x v="1"/>
    <x v="8"/>
    <x v="1"/>
    <x v="1947"/>
    <x v="1899"/>
    <x v="0"/>
    <x v="2"/>
  </r>
  <r>
    <s v="ORD01961"/>
    <x v="369"/>
    <x v="0"/>
    <x v="1"/>
    <x v="1"/>
    <x v="1948"/>
    <x v="1900"/>
    <x v="2"/>
    <x v="0"/>
  </r>
  <r>
    <s v="ORD01962"/>
    <x v="868"/>
    <x v="0"/>
    <x v="3"/>
    <x v="2"/>
    <x v="1949"/>
    <x v="1901"/>
    <x v="2"/>
    <x v="0"/>
  </r>
  <r>
    <s v="ORD01963"/>
    <x v="503"/>
    <x v="3"/>
    <x v="12"/>
    <x v="2"/>
    <x v="1950"/>
    <x v="1902"/>
    <x v="1"/>
    <x v="3"/>
  </r>
  <r>
    <s v="ORD01964"/>
    <x v="188"/>
    <x v="2"/>
    <x v="14"/>
    <x v="2"/>
    <x v="1951"/>
    <x v="1903"/>
    <x v="0"/>
    <x v="3"/>
  </r>
  <r>
    <s v="ORD01965"/>
    <x v="906"/>
    <x v="1"/>
    <x v="14"/>
    <x v="2"/>
    <x v="1952"/>
    <x v="1904"/>
    <x v="0"/>
    <x v="2"/>
  </r>
  <r>
    <s v="ORD01966"/>
    <x v="343"/>
    <x v="2"/>
    <x v="12"/>
    <x v="2"/>
    <x v="1953"/>
    <x v="1905"/>
    <x v="2"/>
    <x v="0"/>
  </r>
  <r>
    <s v="ORD01967"/>
    <x v="753"/>
    <x v="2"/>
    <x v="14"/>
    <x v="2"/>
    <x v="1954"/>
    <x v="1906"/>
    <x v="0"/>
    <x v="2"/>
  </r>
  <r>
    <s v="ORD01968"/>
    <x v="907"/>
    <x v="3"/>
    <x v="11"/>
    <x v="2"/>
    <x v="1955"/>
    <x v="1907"/>
    <x v="1"/>
    <x v="2"/>
  </r>
  <r>
    <s v="ORD01969"/>
    <x v="866"/>
    <x v="1"/>
    <x v="2"/>
    <x v="1"/>
    <x v="1956"/>
    <x v="1908"/>
    <x v="1"/>
    <x v="1"/>
  </r>
  <r>
    <s v="ORD01970"/>
    <x v="908"/>
    <x v="0"/>
    <x v="14"/>
    <x v="2"/>
    <x v="1957"/>
    <x v="1909"/>
    <x v="1"/>
    <x v="3"/>
  </r>
  <r>
    <s v="ORD01971"/>
    <x v="26"/>
    <x v="1"/>
    <x v="10"/>
    <x v="2"/>
    <x v="1958"/>
    <x v="1910"/>
    <x v="0"/>
    <x v="0"/>
  </r>
  <r>
    <s v="ORD01972"/>
    <x v="529"/>
    <x v="2"/>
    <x v="8"/>
    <x v="1"/>
    <x v="1959"/>
    <x v="1911"/>
    <x v="0"/>
    <x v="2"/>
  </r>
  <r>
    <s v="ORD01973"/>
    <x v="488"/>
    <x v="2"/>
    <x v="8"/>
    <x v="1"/>
    <x v="1960"/>
    <x v="1912"/>
    <x v="2"/>
    <x v="3"/>
  </r>
  <r>
    <s v="ORD01974"/>
    <x v="909"/>
    <x v="1"/>
    <x v="3"/>
    <x v="2"/>
    <x v="1961"/>
    <x v="1913"/>
    <x v="1"/>
    <x v="2"/>
  </r>
  <r>
    <s v="ORD01975"/>
    <x v="473"/>
    <x v="2"/>
    <x v="0"/>
    <x v="0"/>
    <x v="1962"/>
    <x v="1914"/>
    <x v="2"/>
    <x v="0"/>
  </r>
  <r>
    <s v="ORD01976"/>
    <x v="904"/>
    <x v="1"/>
    <x v="12"/>
    <x v="2"/>
    <x v="1963"/>
    <x v="656"/>
    <x v="2"/>
    <x v="1"/>
  </r>
  <r>
    <s v="ORD01977"/>
    <x v="58"/>
    <x v="3"/>
    <x v="0"/>
    <x v="0"/>
    <x v="1964"/>
    <x v="1915"/>
    <x v="0"/>
    <x v="2"/>
  </r>
  <r>
    <s v="ORD01978"/>
    <x v="910"/>
    <x v="1"/>
    <x v="5"/>
    <x v="1"/>
    <x v="1965"/>
    <x v="1916"/>
    <x v="1"/>
    <x v="2"/>
  </r>
  <r>
    <s v="ORD01979"/>
    <x v="583"/>
    <x v="1"/>
    <x v="2"/>
    <x v="1"/>
    <x v="1966"/>
    <x v="1917"/>
    <x v="2"/>
    <x v="1"/>
  </r>
  <r>
    <s v="ORD01980"/>
    <x v="784"/>
    <x v="2"/>
    <x v="13"/>
    <x v="1"/>
    <x v="1967"/>
    <x v="1918"/>
    <x v="1"/>
    <x v="1"/>
  </r>
  <r>
    <s v="ORD01981"/>
    <x v="744"/>
    <x v="3"/>
    <x v="10"/>
    <x v="2"/>
    <x v="1968"/>
    <x v="1919"/>
    <x v="2"/>
    <x v="1"/>
  </r>
  <r>
    <s v="ORD01982"/>
    <x v="487"/>
    <x v="3"/>
    <x v="11"/>
    <x v="2"/>
    <x v="1969"/>
    <x v="1920"/>
    <x v="1"/>
    <x v="1"/>
  </r>
  <r>
    <s v="ORD01983"/>
    <x v="607"/>
    <x v="2"/>
    <x v="14"/>
    <x v="2"/>
    <x v="1970"/>
    <x v="1921"/>
    <x v="1"/>
    <x v="3"/>
  </r>
  <r>
    <s v="ORD01984"/>
    <x v="673"/>
    <x v="0"/>
    <x v="0"/>
    <x v="0"/>
    <x v="1971"/>
    <x v="1922"/>
    <x v="0"/>
    <x v="1"/>
  </r>
  <r>
    <s v="ORD01985"/>
    <x v="382"/>
    <x v="1"/>
    <x v="9"/>
    <x v="0"/>
    <x v="1972"/>
    <x v="14"/>
    <x v="2"/>
    <x v="0"/>
  </r>
  <r>
    <s v="ORD01986"/>
    <x v="911"/>
    <x v="1"/>
    <x v="2"/>
    <x v="1"/>
    <x v="1973"/>
    <x v="1923"/>
    <x v="1"/>
    <x v="0"/>
  </r>
  <r>
    <s v="ORD01987"/>
    <x v="818"/>
    <x v="3"/>
    <x v="13"/>
    <x v="1"/>
    <x v="1974"/>
    <x v="1924"/>
    <x v="2"/>
    <x v="3"/>
  </r>
  <r>
    <s v="ORD01988"/>
    <x v="560"/>
    <x v="2"/>
    <x v="12"/>
    <x v="2"/>
    <x v="1975"/>
    <x v="1925"/>
    <x v="0"/>
    <x v="2"/>
  </r>
  <r>
    <s v="ORD01989"/>
    <x v="602"/>
    <x v="2"/>
    <x v="3"/>
    <x v="2"/>
    <x v="1976"/>
    <x v="1926"/>
    <x v="1"/>
    <x v="3"/>
  </r>
  <r>
    <s v="ORD01990"/>
    <x v="210"/>
    <x v="3"/>
    <x v="0"/>
    <x v="0"/>
    <x v="1977"/>
    <x v="1927"/>
    <x v="2"/>
    <x v="2"/>
  </r>
  <r>
    <s v="ORD01991"/>
    <x v="793"/>
    <x v="3"/>
    <x v="8"/>
    <x v="1"/>
    <x v="1978"/>
    <x v="1928"/>
    <x v="0"/>
    <x v="1"/>
  </r>
  <r>
    <s v="ORD01992"/>
    <x v="683"/>
    <x v="2"/>
    <x v="8"/>
    <x v="1"/>
    <x v="1979"/>
    <x v="1929"/>
    <x v="0"/>
    <x v="0"/>
  </r>
  <r>
    <s v="ORD01993"/>
    <x v="62"/>
    <x v="2"/>
    <x v="0"/>
    <x v="0"/>
    <x v="1980"/>
    <x v="1930"/>
    <x v="0"/>
    <x v="0"/>
  </r>
  <r>
    <s v="ORD01994"/>
    <x v="711"/>
    <x v="1"/>
    <x v="11"/>
    <x v="2"/>
    <x v="1981"/>
    <x v="1931"/>
    <x v="1"/>
    <x v="2"/>
  </r>
  <r>
    <s v="ORD01995"/>
    <x v="573"/>
    <x v="3"/>
    <x v="8"/>
    <x v="1"/>
    <x v="1982"/>
    <x v="1932"/>
    <x v="2"/>
    <x v="2"/>
  </r>
  <r>
    <s v="ORD01996"/>
    <x v="213"/>
    <x v="0"/>
    <x v="11"/>
    <x v="2"/>
    <x v="1983"/>
    <x v="1933"/>
    <x v="1"/>
    <x v="2"/>
  </r>
  <r>
    <s v="ORD01997"/>
    <x v="310"/>
    <x v="1"/>
    <x v="13"/>
    <x v="1"/>
    <x v="1984"/>
    <x v="1934"/>
    <x v="0"/>
    <x v="0"/>
  </r>
  <r>
    <s v="ORD01998"/>
    <x v="901"/>
    <x v="0"/>
    <x v="5"/>
    <x v="1"/>
    <x v="1985"/>
    <x v="1935"/>
    <x v="0"/>
    <x v="1"/>
  </r>
  <r>
    <s v="ORD01999"/>
    <x v="623"/>
    <x v="3"/>
    <x v="11"/>
    <x v="2"/>
    <x v="1986"/>
    <x v="1936"/>
    <x v="0"/>
    <x v="0"/>
  </r>
  <r>
    <s v="ORD02000"/>
    <x v="215"/>
    <x v="1"/>
    <x v="7"/>
    <x v="0"/>
    <x v="445"/>
    <x v="826"/>
    <x v="2"/>
    <x v="2"/>
  </r>
  <r>
    <s v="ORD02001"/>
    <x v="305"/>
    <x v="2"/>
    <x v="13"/>
    <x v="1"/>
    <x v="1987"/>
    <x v="1937"/>
    <x v="1"/>
    <x v="0"/>
  </r>
  <r>
    <s v="ORD02002"/>
    <x v="270"/>
    <x v="2"/>
    <x v="4"/>
    <x v="0"/>
    <x v="1988"/>
    <x v="1938"/>
    <x v="0"/>
    <x v="0"/>
  </r>
  <r>
    <s v="ORD02003"/>
    <x v="827"/>
    <x v="3"/>
    <x v="1"/>
    <x v="1"/>
    <x v="1989"/>
    <x v="1939"/>
    <x v="1"/>
    <x v="3"/>
  </r>
  <r>
    <s v="ORD02004"/>
    <x v="734"/>
    <x v="3"/>
    <x v="2"/>
    <x v="1"/>
    <x v="1990"/>
    <x v="1940"/>
    <x v="1"/>
    <x v="2"/>
  </r>
  <r>
    <s v="ORD02005"/>
    <x v="912"/>
    <x v="1"/>
    <x v="0"/>
    <x v="0"/>
    <x v="1991"/>
    <x v="1941"/>
    <x v="1"/>
    <x v="1"/>
  </r>
  <r>
    <s v="ORD02006"/>
    <x v="403"/>
    <x v="3"/>
    <x v="0"/>
    <x v="0"/>
    <x v="1992"/>
    <x v="1942"/>
    <x v="2"/>
    <x v="1"/>
  </r>
  <r>
    <s v="ORD02007"/>
    <x v="112"/>
    <x v="2"/>
    <x v="14"/>
    <x v="2"/>
    <x v="1993"/>
    <x v="1943"/>
    <x v="0"/>
    <x v="1"/>
  </r>
  <r>
    <s v="ORD02008"/>
    <x v="246"/>
    <x v="1"/>
    <x v="9"/>
    <x v="0"/>
    <x v="1994"/>
    <x v="1944"/>
    <x v="2"/>
    <x v="2"/>
  </r>
  <r>
    <s v="ORD02009"/>
    <x v="451"/>
    <x v="1"/>
    <x v="7"/>
    <x v="0"/>
    <x v="1995"/>
    <x v="1945"/>
    <x v="1"/>
    <x v="3"/>
  </r>
  <r>
    <s v="ORD02010"/>
    <x v="741"/>
    <x v="0"/>
    <x v="3"/>
    <x v="2"/>
    <x v="1996"/>
    <x v="1946"/>
    <x v="2"/>
    <x v="0"/>
  </r>
  <r>
    <s v="ORD02011"/>
    <x v="913"/>
    <x v="1"/>
    <x v="5"/>
    <x v="1"/>
    <x v="1997"/>
    <x v="1947"/>
    <x v="1"/>
    <x v="3"/>
  </r>
  <r>
    <s v="ORD02012"/>
    <x v="914"/>
    <x v="1"/>
    <x v="6"/>
    <x v="0"/>
    <x v="1998"/>
    <x v="1948"/>
    <x v="1"/>
    <x v="2"/>
  </r>
  <r>
    <s v="ORD02013"/>
    <x v="95"/>
    <x v="2"/>
    <x v="7"/>
    <x v="0"/>
    <x v="1999"/>
    <x v="1949"/>
    <x v="0"/>
    <x v="0"/>
  </r>
  <r>
    <s v="ORD02014"/>
    <x v="845"/>
    <x v="1"/>
    <x v="2"/>
    <x v="1"/>
    <x v="2000"/>
    <x v="1950"/>
    <x v="1"/>
    <x v="2"/>
  </r>
  <r>
    <s v="ORD02015"/>
    <x v="60"/>
    <x v="1"/>
    <x v="1"/>
    <x v="1"/>
    <x v="2001"/>
    <x v="1951"/>
    <x v="1"/>
    <x v="3"/>
  </r>
  <r>
    <s v="ORD02016"/>
    <x v="460"/>
    <x v="3"/>
    <x v="13"/>
    <x v="1"/>
    <x v="2002"/>
    <x v="1952"/>
    <x v="0"/>
    <x v="0"/>
  </r>
  <r>
    <s v="ORD02017"/>
    <x v="423"/>
    <x v="0"/>
    <x v="13"/>
    <x v="1"/>
    <x v="2003"/>
    <x v="245"/>
    <x v="1"/>
    <x v="3"/>
  </r>
  <r>
    <s v="ORD02018"/>
    <x v="723"/>
    <x v="3"/>
    <x v="12"/>
    <x v="2"/>
    <x v="2004"/>
    <x v="1953"/>
    <x v="0"/>
    <x v="0"/>
  </r>
  <r>
    <s v="ORD02019"/>
    <x v="294"/>
    <x v="3"/>
    <x v="13"/>
    <x v="1"/>
    <x v="2005"/>
    <x v="1954"/>
    <x v="0"/>
    <x v="1"/>
  </r>
  <r>
    <s v="ORD02020"/>
    <x v="915"/>
    <x v="0"/>
    <x v="0"/>
    <x v="0"/>
    <x v="2006"/>
    <x v="1955"/>
    <x v="2"/>
    <x v="1"/>
  </r>
  <r>
    <s v="ORD02021"/>
    <x v="515"/>
    <x v="1"/>
    <x v="8"/>
    <x v="1"/>
    <x v="2007"/>
    <x v="1956"/>
    <x v="0"/>
    <x v="0"/>
  </r>
  <r>
    <s v="ORD02022"/>
    <x v="916"/>
    <x v="3"/>
    <x v="12"/>
    <x v="2"/>
    <x v="2008"/>
    <x v="1957"/>
    <x v="2"/>
    <x v="1"/>
  </r>
  <r>
    <s v="ORD02023"/>
    <x v="851"/>
    <x v="1"/>
    <x v="11"/>
    <x v="2"/>
    <x v="2009"/>
    <x v="1958"/>
    <x v="0"/>
    <x v="1"/>
  </r>
  <r>
    <s v="ORD02024"/>
    <x v="167"/>
    <x v="2"/>
    <x v="8"/>
    <x v="1"/>
    <x v="2010"/>
    <x v="1959"/>
    <x v="1"/>
    <x v="1"/>
  </r>
  <r>
    <s v="ORD02025"/>
    <x v="161"/>
    <x v="2"/>
    <x v="7"/>
    <x v="0"/>
    <x v="2011"/>
    <x v="1960"/>
    <x v="0"/>
    <x v="0"/>
  </r>
  <r>
    <s v="ORD02026"/>
    <x v="435"/>
    <x v="3"/>
    <x v="11"/>
    <x v="2"/>
    <x v="2012"/>
    <x v="1961"/>
    <x v="0"/>
    <x v="0"/>
  </r>
  <r>
    <s v="ORD02027"/>
    <x v="692"/>
    <x v="1"/>
    <x v="11"/>
    <x v="2"/>
    <x v="2013"/>
    <x v="1962"/>
    <x v="1"/>
    <x v="1"/>
  </r>
  <r>
    <s v="ORD02028"/>
    <x v="917"/>
    <x v="3"/>
    <x v="6"/>
    <x v="0"/>
    <x v="2014"/>
    <x v="1963"/>
    <x v="0"/>
    <x v="2"/>
  </r>
  <r>
    <s v="ORD02029"/>
    <x v="918"/>
    <x v="1"/>
    <x v="13"/>
    <x v="1"/>
    <x v="2015"/>
    <x v="1964"/>
    <x v="2"/>
    <x v="0"/>
  </r>
  <r>
    <s v="ORD02030"/>
    <x v="393"/>
    <x v="2"/>
    <x v="1"/>
    <x v="1"/>
    <x v="2016"/>
    <x v="1965"/>
    <x v="2"/>
    <x v="2"/>
  </r>
  <r>
    <s v="ORD02031"/>
    <x v="750"/>
    <x v="0"/>
    <x v="4"/>
    <x v="0"/>
    <x v="2017"/>
    <x v="1966"/>
    <x v="2"/>
    <x v="2"/>
  </r>
  <r>
    <s v="ORD02032"/>
    <x v="48"/>
    <x v="2"/>
    <x v="13"/>
    <x v="1"/>
    <x v="2018"/>
    <x v="1967"/>
    <x v="1"/>
    <x v="3"/>
  </r>
  <r>
    <s v="ORD02033"/>
    <x v="896"/>
    <x v="3"/>
    <x v="12"/>
    <x v="2"/>
    <x v="2019"/>
    <x v="1968"/>
    <x v="2"/>
    <x v="3"/>
  </r>
  <r>
    <s v="ORD02034"/>
    <x v="745"/>
    <x v="1"/>
    <x v="4"/>
    <x v="0"/>
    <x v="2020"/>
    <x v="1969"/>
    <x v="0"/>
    <x v="0"/>
  </r>
  <r>
    <s v="ORD02035"/>
    <x v="880"/>
    <x v="1"/>
    <x v="14"/>
    <x v="2"/>
    <x v="2021"/>
    <x v="1970"/>
    <x v="2"/>
    <x v="2"/>
  </r>
  <r>
    <s v="ORD02036"/>
    <x v="919"/>
    <x v="1"/>
    <x v="3"/>
    <x v="2"/>
    <x v="2022"/>
    <x v="1971"/>
    <x v="2"/>
    <x v="1"/>
  </r>
  <r>
    <s v="ORD02037"/>
    <x v="684"/>
    <x v="3"/>
    <x v="7"/>
    <x v="0"/>
    <x v="2023"/>
    <x v="1972"/>
    <x v="2"/>
    <x v="0"/>
  </r>
  <r>
    <s v="ORD02038"/>
    <x v="655"/>
    <x v="3"/>
    <x v="9"/>
    <x v="0"/>
    <x v="2024"/>
    <x v="1973"/>
    <x v="0"/>
    <x v="0"/>
  </r>
  <r>
    <s v="ORD02039"/>
    <x v="449"/>
    <x v="1"/>
    <x v="13"/>
    <x v="1"/>
    <x v="2025"/>
    <x v="1974"/>
    <x v="0"/>
    <x v="0"/>
  </r>
  <r>
    <s v="ORD02040"/>
    <x v="920"/>
    <x v="2"/>
    <x v="0"/>
    <x v="0"/>
    <x v="2026"/>
    <x v="1975"/>
    <x v="0"/>
    <x v="0"/>
  </r>
  <r>
    <s v="ORD02041"/>
    <x v="889"/>
    <x v="3"/>
    <x v="5"/>
    <x v="1"/>
    <x v="2027"/>
    <x v="1976"/>
    <x v="2"/>
    <x v="0"/>
  </r>
  <r>
    <s v="ORD02042"/>
    <x v="138"/>
    <x v="3"/>
    <x v="12"/>
    <x v="2"/>
    <x v="2028"/>
    <x v="1977"/>
    <x v="2"/>
    <x v="2"/>
  </r>
  <r>
    <s v="ORD02043"/>
    <x v="694"/>
    <x v="2"/>
    <x v="12"/>
    <x v="2"/>
    <x v="2029"/>
    <x v="1978"/>
    <x v="1"/>
    <x v="1"/>
  </r>
  <r>
    <s v="ORD02044"/>
    <x v="884"/>
    <x v="3"/>
    <x v="4"/>
    <x v="0"/>
    <x v="2030"/>
    <x v="1979"/>
    <x v="1"/>
    <x v="0"/>
  </r>
  <r>
    <s v="ORD02045"/>
    <x v="921"/>
    <x v="2"/>
    <x v="10"/>
    <x v="2"/>
    <x v="2031"/>
    <x v="1980"/>
    <x v="2"/>
    <x v="1"/>
  </r>
  <r>
    <s v="ORD02046"/>
    <x v="214"/>
    <x v="2"/>
    <x v="12"/>
    <x v="2"/>
    <x v="2032"/>
    <x v="1981"/>
    <x v="1"/>
    <x v="0"/>
  </r>
  <r>
    <s v="ORD02047"/>
    <x v="9"/>
    <x v="0"/>
    <x v="9"/>
    <x v="0"/>
    <x v="2033"/>
    <x v="1982"/>
    <x v="1"/>
    <x v="0"/>
  </r>
  <r>
    <s v="ORD02048"/>
    <x v="624"/>
    <x v="3"/>
    <x v="2"/>
    <x v="1"/>
    <x v="2034"/>
    <x v="1983"/>
    <x v="1"/>
    <x v="0"/>
  </r>
  <r>
    <s v="ORD02049"/>
    <x v="328"/>
    <x v="0"/>
    <x v="8"/>
    <x v="1"/>
    <x v="2035"/>
    <x v="1984"/>
    <x v="0"/>
    <x v="0"/>
  </r>
  <r>
    <s v="ORD02050"/>
    <x v="266"/>
    <x v="1"/>
    <x v="0"/>
    <x v="0"/>
    <x v="2036"/>
    <x v="1985"/>
    <x v="2"/>
    <x v="2"/>
  </r>
  <r>
    <s v="ORD02051"/>
    <x v="768"/>
    <x v="1"/>
    <x v="7"/>
    <x v="0"/>
    <x v="2037"/>
    <x v="1986"/>
    <x v="2"/>
    <x v="3"/>
  </r>
  <r>
    <s v="ORD02052"/>
    <x v="319"/>
    <x v="1"/>
    <x v="7"/>
    <x v="0"/>
    <x v="2038"/>
    <x v="1987"/>
    <x v="1"/>
    <x v="1"/>
  </r>
  <r>
    <s v="ORD02053"/>
    <x v="818"/>
    <x v="2"/>
    <x v="12"/>
    <x v="2"/>
    <x v="2039"/>
    <x v="1988"/>
    <x v="1"/>
    <x v="3"/>
  </r>
  <r>
    <s v="ORD02054"/>
    <x v="382"/>
    <x v="1"/>
    <x v="7"/>
    <x v="0"/>
    <x v="2040"/>
    <x v="1989"/>
    <x v="2"/>
    <x v="0"/>
  </r>
  <r>
    <s v="ORD02055"/>
    <x v="261"/>
    <x v="0"/>
    <x v="2"/>
    <x v="1"/>
    <x v="2041"/>
    <x v="1990"/>
    <x v="1"/>
    <x v="1"/>
  </r>
  <r>
    <s v="ORD02056"/>
    <x v="922"/>
    <x v="1"/>
    <x v="4"/>
    <x v="0"/>
    <x v="2042"/>
    <x v="1991"/>
    <x v="1"/>
    <x v="1"/>
  </r>
  <r>
    <s v="ORD02057"/>
    <x v="451"/>
    <x v="2"/>
    <x v="14"/>
    <x v="2"/>
    <x v="2043"/>
    <x v="1992"/>
    <x v="0"/>
    <x v="2"/>
  </r>
  <r>
    <s v="ORD02058"/>
    <x v="923"/>
    <x v="0"/>
    <x v="3"/>
    <x v="2"/>
    <x v="2044"/>
    <x v="1993"/>
    <x v="1"/>
    <x v="0"/>
  </r>
  <r>
    <s v="ORD02059"/>
    <x v="924"/>
    <x v="2"/>
    <x v="3"/>
    <x v="2"/>
    <x v="2045"/>
    <x v="1332"/>
    <x v="1"/>
    <x v="3"/>
  </r>
  <r>
    <s v="ORD02060"/>
    <x v="765"/>
    <x v="3"/>
    <x v="14"/>
    <x v="2"/>
    <x v="2046"/>
    <x v="1994"/>
    <x v="0"/>
    <x v="0"/>
  </r>
  <r>
    <s v="ORD02061"/>
    <x v="925"/>
    <x v="3"/>
    <x v="10"/>
    <x v="2"/>
    <x v="2047"/>
    <x v="1995"/>
    <x v="1"/>
    <x v="0"/>
  </r>
  <r>
    <s v="ORD02062"/>
    <x v="233"/>
    <x v="1"/>
    <x v="10"/>
    <x v="2"/>
    <x v="2048"/>
    <x v="1996"/>
    <x v="1"/>
    <x v="1"/>
  </r>
  <r>
    <s v="ORD02063"/>
    <x v="142"/>
    <x v="2"/>
    <x v="2"/>
    <x v="1"/>
    <x v="2049"/>
    <x v="780"/>
    <x v="1"/>
    <x v="1"/>
  </r>
  <r>
    <s v="ORD02064"/>
    <x v="41"/>
    <x v="3"/>
    <x v="9"/>
    <x v="0"/>
    <x v="2050"/>
    <x v="1997"/>
    <x v="1"/>
    <x v="0"/>
  </r>
  <r>
    <s v="ORD02065"/>
    <x v="926"/>
    <x v="1"/>
    <x v="0"/>
    <x v="0"/>
    <x v="2051"/>
    <x v="1998"/>
    <x v="1"/>
    <x v="1"/>
  </r>
  <r>
    <s v="ORD02066"/>
    <x v="900"/>
    <x v="3"/>
    <x v="12"/>
    <x v="2"/>
    <x v="2052"/>
    <x v="1999"/>
    <x v="2"/>
    <x v="1"/>
  </r>
  <r>
    <s v="ORD02067"/>
    <x v="69"/>
    <x v="2"/>
    <x v="0"/>
    <x v="0"/>
    <x v="2053"/>
    <x v="2000"/>
    <x v="0"/>
    <x v="3"/>
  </r>
  <r>
    <s v="ORD02068"/>
    <x v="813"/>
    <x v="1"/>
    <x v="13"/>
    <x v="1"/>
    <x v="2054"/>
    <x v="2001"/>
    <x v="2"/>
    <x v="0"/>
  </r>
  <r>
    <s v="ORD02069"/>
    <x v="62"/>
    <x v="1"/>
    <x v="12"/>
    <x v="2"/>
    <x v="2055"/>
    <x v="2002"/>
    <x v="1"/>
    <x v="0"/>
  </r>
  <r>
    <s v="ORD02070"/>
    <x v="208"/>
    <x v="0"/>
    <x v="9"/>
    <x v="0"/>
    <x v="2056"/>
    <x v="2003"/>
    <x v="0"/>
    <x v="1"/>
  </r>
  <r>
    <s v="ORD02071"/>
    <x v="927"/>
    <x v="0"/>
    <x v="9"/>
    <x v="0"/>
    <x v="2057"/>
    <x v="2004"/>
    <x v="0"/>
    <x v="3"/>
  </r>
  <r>
    <s v="ORD02072"/>
    <x v="928"/>
    <x v="0"/>
    <x v="6"/>
    <x v="0"/>
    <x v="2058"/>
    <x v="2005"/>
    <x v="1"/>
    <x v="2"/>
  </r>
  <r>
    <s v="ORD02073"/>
    <x v="436"/>
    <x v="2"/>
    <x v="3"/>
    <x v="2"/>
    <x v="2059"/>
    <x v="1655"/>
    <x v="0"/>
    <x v="0"/>
  </r>
  <r>
    <s v="ORD02074"/>
    <x v="806"/>
    <x v="0"/>
    <x v="3"/>
    <x v="2"/>
    <x v="2060"/>
    <x v="2006"/>
    <x v="1"/>
    <x v="2"/>
  </r>
  <r>
    <s v="ORD02075"/>
    <x v="632"/>
    <x v="3"/>
    <x v="0"/>
    <x v="0"/>
    <x v="2061"/>
    <x v="2007"/>
    <x v="0"/>
    <x v="1"/>
  </r>
  <r>
    <s v="ORD02076"/>
    <x v="185"/>
    <x v="0"/>
    <x v="6"/>
    <x v="0"/>
    <x v="2062"/>
    <x v="2008"/>
    <x v="0"/>
    <x v="1"/>
  </r>
  <r>
    <s v="ORD02077"/>
    <x v="929"/>
    <x v="0"/>
    <x v="10"/>
    <x v="2"/>
    <x v="2063"/>
    <x v="2009"/>
    <x v="1"/>
    <x v="0"/>
  </r>
  <r>
    <s v="ORD02078"/>
    <x v="493"/>
    <x v="2"/>
    <x v="13"/>
    <x v="1"/>
    <x v="2064"/>
    <x v="2010"/>
    <x v="0"/>
    <x v="2"/>
  </r>
  <r>
    <s v="ORD02079"/>
    <x v="341"/>
    <x v="3"/>
    <x v="2"/>
    <x v="1"/>
    <x v="2065"/>
    <x v="2011"/>
    <x v="2"/>
    <x v="3"/>
  </r>
  <r>
    <s v="ORD02080"/>
    <x v="859"/>
    <x v="1"/>
    <x v="14"/>
    <x v="2"/>
    <x v="2066"/>
    <x v="2012"/>
    <x v="2"/>
    <x v="1"/>
  </r>
  <r>
    <s v="ORD02081"/>
    <x v="139"/>
    <x v="3"/>
    <x v="9"/>
    <x v="0"/>
    <x v="2067"/>
    <x v="2013"/>
    <x v="1"/>
    <x v="0"/>
  </r>
  <r>
    <s v="ORD02082"/>
    <x v="568"/>
    <x v="3"/>
    <x v="9"/>
    <x v="0"/>
    <x v="2068"/>
    <x v="2014"/>
    <x v="2"/>
    <x v="2"/>
  </r>
  <r>
    <s v="ORD02083"/>
    <x v="316"/>
    <x v="1"/>
    <x v="9"/>
    <x v="0"/>
    <x v="2069"/>
    <x v="2015"/>
    <x v="1"/>
    <x v="0"/>
  </r>
  <r>
    <s v="ORD02084"/>
    <x v="328"/>
    <x v="1"/>
    <x v="4"/>
    <x v="0"/>
    <x v="2070"/>
    <x v="2016"/>
    <x v="2"/>
    <x v="1"/>
  </r>
  <r>
    <s v="ORD02085"/>
    <x v="892"/>
    <x v="2"/>
    <x v="9"/>
    <x v="0"/>
    <x v="2071"/>
    <x v="2017"/>
    <x v="2"/>
    <x v="2"/>
  </r>
  <r>
    <s v="ORD02086"/>
    <x v="823"/>
    <x v="3"/>
    <x v="12"/>
    <x v="2"/>
    <x v="2072"/>
    <x v="2018"/>
    <x v="0"/>
    <x v="1"/>
  </r>
  <r>
    <s v="ORD02087"/>
    <x v="815"/>
    <x v="3"/>
    <x v="5"/>
    <x v="1"/>
    <x v="2073"/>
    <x v="2019"/>
    <x v="2"/>
    <x v="3"/>
  </r>
  <r>
    <s v="ORD02088"/>
    <x v="543"/>
    <x v="2"/>
    <x v="13"/>
    <x v="1"/>
    <x v="2074"/>
    <x v="2020"/>
    <x v="2"/>
    <x v="0"/>
  </r>
  <r>
    <s v="ORD02089"/>
    <x v="200"/>
    <x v="2"/>
    <x v="5"/>
    <x v="1"/>
    <x v="2075"/>
    <x v="2021"/>
    <x v="1"/>
    <x v="2"/>
  </r>
  <r>
    <s v="ORD02090"/>
    <x v="677"/>
    <x v="2"/>
    <x v="8"/>
    <x v="1"/>
    <x v="2076"/>
    <x v="2022"/>
    <x v="0"/>
    <x v="0"/>
  </r>
  <r>
    <s v="ORD02091"/>
    <x v="227"/>
    <x v="1"/>
    <x v="7"/>
    <x v="0"/>
    <x v="2077"/>
    <x v="2023"/>
    <x v="2"/>
    <x v="3"/>
  </r>
  <r>
    <s v="ORD02092"/>
    <x v="600"/>
    <x v="3"/>
    <x v="3"/>
    <x v="2"/>
    <x v="2078"/>
    <x v="2024"/>
    <x v="1"/>
    <x v="3"/>
  </r>
  <r>
    <s v="ORD02093"/>
    <x v="160"/>
    <x v="3"/>
    <x v="4"/>
    <x v="0"/>
    <x v="2079"/>
    <x v="2025"/>
    <x v="2"/>
    <x v="3"/>
  </r>
  <r>
    <s v="ORD02094"/>
    <x v="861"/>
    <x v="2"/>
    <x v="7"/>
    <x v="0"/>
    <x v="2080"/>
    <x v="2026"/>
    <x v="1"/>
    <x v="0"/>
  </r>
  <r>
    <s v="ORD02095"/>
    <x v="585"/>
    <x v="2"/>
    <x v="11"/>
    <x v="2"/>
    <x v="2081"/>
    <x v="2027"/>
    <x v="0"/>
    <x v="3"/>
  </r>
  <r>
    <s v="ORD02096"/>
    <x v="868"/>
    <x v="1"/>
    <x v="2"/>
    <x v="1"/>
    <x v="2082"/>
    <x v="2028"/>
    <x v="0"/>
    <x v="2"/>
  </r>
  <r>
    <s v="ORD02097"/>
    <x v="46"/>
    <x v="3"/>
    <x v="6"/>
    <x v="0"/>
    <x v="2083"/>
    <x v="2029"/>
    <x v="1"/>
    <x v="1"/>
  </r>
  <r>
    <s v="ORD02098"/>
    <x v="736"/>
    <x v="1"/>
    <x v="14"/>
    <x v="2"/>
    <x v="2084"/>
    <x v="2030"/>
    <x v="2"/>
    <x v="0"/>
  </r>
  <r>
    <s v="ORD02099"/>
    <x v="930"/>
    <x v="1"/>
    <x v="10"/>
    <x v="2"/>
    <x v="2085"/>
    <x v="2031"/>
    <x v="1"/>
    <x v="3"/>
  </r>
  <r>
    <s v="ORD02100"/>
    <x v="751"/>
    <x v="0"/>
    <x v="5"/>
    <x v="1"/>
    <x v="2086"/>
    <x v="2032"/>
    <x v="0"/>
    <x v="1"/>
  </r>
  <r>
    <s v="ORD02101"/>
    <x v="931"/>
    <x v="0"/>
    <x v="1"/>
    <x v="1"/>
    <x v="2087"/>
    <x v="1405"/>
    <x v="0"/>
    <x v="3"/>
  </r>
  <r>
    <s v="ORD02102"/>
    <x v="780"/>
    <x v="3"/>
    <x v="9"/>
    <x v="0"/>
    <x v="2088"/>
    <x v="2033"/>
    <x v="1"/>
    <x v="0"/>
  </r>
  <r>
    <s v="ORD02103"/>
    <x v="252"/>
    <x v="0"/>
    <x v="10"/>
    <x v="2"/>
    <x v="2089"/>
    <x v="2034"/>
    <x v="0"/>
    <x v="3"/>
  </r>
  <r>
    <s v="ORD02104"/>
    <x v="649"/>
    <x v="0"/>
    <x v="2"/>
    <x v="1"/>
    <x v="2090"/>
    <x v="1520"/>
    <x v="0"/>
    <x v="2"/>
  </r>
  <r>
    <s v="ORD02105"/>
    <x v="93"/>
    <x v="1"/>
    <x v="10"/>
    <x v="2"/>
    <x v="2091"/>
    <x v="2035"/>
    <x v="0"/>
    <x v="0"/>
  </r>
  <r>
    <s v="ORD02106"/>
    <x v="413"/>
    <x v="1"/>
    <x v="11"/>
    <x v="2"/>
    <x v="2092"/>
    <x v="2036"/>
    <x v="2"/>
    <x v="2"/>
  </r>
  <r>
    <s v="ORD02107"/>
    <x v="805"/>
    <x v="0"/>
    <x v="7"/>
    <x v="0"/>
    <x v="2093"/>
    <x v="2037"/>
    <x v="0"/>
    <x v="1"/>
  </r>
  <r>
    <s v="ORD02108"/>
    <x v="35"/>
    <x v="0"/>
    <x v="14"/>
    <x v="2"/>
    <x v="2094"/>
    <x v="2038"/>
    <x v="2"/>
    <x v="0"/>
  </r>
  <r>
    <s v="ORD02109"/>
    <x v="589"/>
    <x v="3"/>
    <x v="5"/>
    <x v="1"/>
    <x v="2095"/>
    <x v="2039"/>
    <x v="2"/>
    <x v="3"/>
  </r>
  <r>
    <s v="ORD02110"/>
    <x v="196"/>
    <x v="2"/>
    <x v="8"/>
    <x v="1"/>
    <x v="2096"/>
    <x v="2040"/>
    <x v="1"/>
    <x v="1"/>
  </r>
  <r>
    <s v="ORD02111"/>
    <x v="569"/>
    <x v="2"/>
    <x v="11"/>
    <x v="2"/>
    <x v="2097"/>
    <x v="2041"/>
    <x v="0"/>
    <x v="1"/>
  </r>
  <r>
    <s v="ORD02112"/>
    <x v="932"/>
    <x v="0"/>
    <x v="5"/>
    <x v="1"/>
    <x v="2098"/>
    <x v="2042"/>
    <x v="2"/>
    <x v="0"/>
  </r>
  <r>
    <s v="ORD02113"/>
    <x v="18"/>
    <x v="2"/>
    <x v="11"/>
    <x v="2"/>
    <x v="2099"/>
    <x v="2043"/>
    <x v="0"/>
    <x v="1"/>
  </r>
  <r>
    <s v="ORD02114"/>
    <x v="662"/>
    <x v="3"/>
    <x v="5"/>
    <x v="1"/>
    <x v="2100"/>
    <x v="2044"/>
    <x v="0"/>
    <x v="1"/>
  </r>
  <r>
    <s v="ORD02115"/>
    <x v="933"/>
    <x v="1"/>
    <x v="3"/>
    <x v="2"/>
    <x v="2101"/>
    <x v="2045"/>
    <x v="2"/>
    <x v="0"/>
  </r>
  <r>
    <s v="ORD02116"/>
    <x v="208"/>
    <x v="3"/>
    <x v="1"/>
    <x v="1"/>
    <x v="2102"/>
    <x v="2046"/>
    <x v="0"/>
    <x v="0"/>
  </r>
  <r>
    <s v="ORD02117"/>
    <x v="179"/>
    <x v="3"/>
    <x v="0"/>
    <x v="0"/>
    <x v="2103"/>
    <x v="2047"/>
    <x v="0"/>
    <x v="2"/>
  </r>
  <r>
    <s v="ORD02118"/>
    <x v="934"/>
    <x v="2"/>
    <x v="13"/>
    <x v="1"/>
    <x v="2104"/>
    <x v="2048"/>
    <x v="1"/>
    <x v="2"/>
  </r>
  <r>
    <s v="ORD02119"/>
    <x v="369"/>
    <x v="3"/>
    <x v="5"/>
    <x v="1"/>
    <x v="2105"/>
    <x v="2049"/>
    <x v="0"/>
    <x v="1"/>
  </r>
  <r>
    <s v="ORD02120"/>
    <x v="407"/>
    <x v="0"/>
    <x v="5"/>
    <x v="1"/>
    <x v="2106"/>
    <x v="2050"/>
    <x v="0"/>
    <x v="1"/>
  </r>
  <r>
    <s v="ORD02121"/>
    <x v="445"/>
    <x v="2"/>
    <x v="13"/>
    <x v="1"/>
    <x v="2107"/>
    <x v="2051"/>
    <x v="0"/>
    <x v="3"/>
  </r>
  <r>
    <s v="ORD02122"/>
    <x v="738"/>
    <x v="3"/>
    <x v="13"/>
    <x v="1"/>
    <x v="2108"/>
    <x v="2052"/>
    <x v="0"/>
    <x v="3"/>
  </r>
  <r>
    <s v="ORD02123"/>
    <x v="628"/>
    <x v="0"/>
    <x v="11"/>
    <x v="2"/>
    <x v="2109"/>
    <x v="2053"/>
    <x v="2"/>
    <x v="0"/>
  </r>
  <r>
    <s v="ORD02124"/>
    <x v="488"/>
    <x v="1"/>
    <x v="5"/>
    <x v="1"/>
    <x v="2110"/>
    <x v="2054"/>
    <x v="1"/>
    <x v="1"/>
  </r>
  <r>
    <s v="ORD02125"/>
    <x v="935"/>
    <x v="1"/>
    <x v="11"/>
    <x v="2"/>
    <x v="2111"/>
    <x v="2055"/>
    <x v="2"/>
    <x v="3"/>
  </r>
  <r>
    <s v="ORD02126"/>
    <x v="718"/>
    <x v="2"/>
    <x v="1"/>
    <x v="1"/>
    <x v="2112"/>
    <x v="2056"/>
    <x v="0"/>
    <x v="0"/>
  </r>
  <r>
    <s v="ORD02127"/>
    <x v="229"/>
    <x v="1"/>
    <x v="8"/>
    <x v="1"/>
    <x v="2113"/>
    <x v="2057"/>
    <x v="1"/>
    <x v="1"/>
  </r>
  <r>
    <s v="ORD02128"/>
    <x v="563"/>
    <x v="3"/>
    <x v="3"/>
    <x v="2"/>
    <x v="2114"/>
    <x v="2058"/>
    <x v="1"/>
    <x v="3"/>
  </r>
  <r>
    <s v="ORD02129"/>
    <x v="792"/>
    <x v="1"/>
    <x v="4"/>
    <x v="0"/>
    <x v="2115"/>
    <x v="2059"/>
    <x v="1"/>
    <x v="2"/>
  </r>
  <r>
    <s v="ORD02130"/>
    <x v="103"/>
    <x v="0"/>
    <x v="9"/>
    <x v="0"/>
    <x v="2116"/>
    <x v="1659"/>
    <x v="2"/>
    <x v="3"/>
  </r>
  <r>
    <s v="ORD02131"/>
    <x v="404"/>
    <x v="0"/>
    <x v="2"/>
    <x v="1"/>
    <x v="2117"/>
    <x v="2060"/>
    <x v="1"/>
    <x v="3"/>
  </r>
  <r>
    <s v="ORD02132"/>
    <x v="666"/>
    <x v="2"/>
    <x v="0"/>
    <x v="0"/>
    <x v="2118"/>
    <x v="2061"/>
    <x v="2"/>
    <x v="2"/>
  </r>
  <r>
    <s v="ORD02133"/>
    <x v="737"/>
    <x v="0"/>
    <x v="3"/>
    <x v="2"/>
    <x v="2119"/>
    <x v="2062"/>
    <x v="0"/>
    <x v="1"/>
  </r>
  <r>
    <s v="ORD02134"/>
    <x v="177"/>
    <x v="3"/>
    <x v="6"/>
    <x v="0"/>
    <x v="2120"/>
    <x v="2063"/>
    <x v="2"/>
    <x v="0"/>
  </r>
  <r>
    <s v="ORD02135"/>
    <x v="936"/>
    <x v="3"/>
    <x v="11"/>
    <x v="2"/>
    <x v="2121"/>
    <x v="2064"/>
    <x v="0"/>
    <x v="1"/>
  </r>
  <r>
    <s v="ORD02136"/>
    <x v="773"/>
    <x v="1"/>
    <x v="9"/>
    <x v="0"/>
    <x v="2122"/>
    <x v="2065"/>
    <x v="2"/>
    <x v="1"/>
  </r>
  <r>
    <s v="ORD02137"/>
    <x v="937"/>
    <x v="3"/>
    <x v="8"/>
    <x v="1"/>
    <x v="2123"/>
    <x v="2066"/>
    <x v="1"/>
    <x v="3"/>
  </r>
  <r>
    <s v="ORD02138"/>
    <x v="56"/>
    <x v="3"/>
    <x v="5"/>
    <x v="1"/>
    <x v="2124"/>
    <x v="2067"/>
    <x v="2"/>
    <x v="0"/>
  </r>
  <r>
    <s v="ORD02139"/>
    <x v="381"/>
    <x v="1"/>
    <x v="11"/>
    <x v="2"/>
    <x v="1959"/>
    <x v="2068"/>
    <x v="1"/>
    <x v="0"/>
  </r>
  <r>
    <s v="ORD02140"/>
    <x v="264"/>
    <x v="1"/>
    <x v="8"/>
    <x v="1"/>
    <x v="2125"/>
    <x v="2069"/>
    <x v="2"/>
    <x v="0"/>
  </r>
  <r>
    <s v="ORD02141"/>
    <x v="161"/>
    <x v="3"/>
    <x v="3"/>
    <x v="2"/>
    <x v="2126"/>
    <x v="2070"/>
    <x v="0"/>
    <x v="3"/>
  </r>
  <r>
    <s v="ORD02142"/>
    <x v="850"/>
    <x v="0"/>
    <x v="5"/>
    <x v="1"/>
    <x v="2127"/>
    <x v="2071"/>
    <x v="2"/>
    <x v="2"/>
  </r>
  <r>
    <s v="ORD02143"/>
    <x v="181"/>
    <x v="1"/>
    <x v="2"/>
    <x v="1"/>
    <x v="2128"/>
    <x v="2072"/>
    <x v="1"/>
    <x v="0"/>
  </r>
  <r>
    <s v="ORD02144"/>
    <x v="473"/>
    <x v="0"/>
    <x v="13"/>
    <x v="1"/>
    <x v="2129"/>
    <x v="1404"/>
    <x v="2"/>
    <x v="1"/>
  </r>
  <r>
    <s v="ORD02145"/>
    <x v="32"/>
    <x v="3"/>
    <x v="2"/>
    <x v="1"/>
    <x v="2130"/>
    <x v="2073"/>
    <x v="0"/>
    <x v="1"/>
  </r>
  <r>
    <s v="ORD02146"/>
    <x v="113"/>
    <x v="2"/>
    <x v="9"/>
    <x v="0"/>
    <x v="2131"/>
    <x v="2074"/>
    <x v="1"/>
    <x v="2"/>
  </r>
  <r>
    <s v="ORD02147"/>
    <x v="938"/>
    <x v="3"/>
    <x v="5"/>
    <x v="1"/>
    <x v="2132"/>
    <x v="2075"/>
    <x v="2"/>
    <x v="0"/>
  </r>
  <r>
    <s v="ORD02148"/>
    <x v="763"/>
    <x v="0"/>
    <x v="11"/>
    <x v="2"/>
    <x v="2133"/>
    <x v="2076"/>
    <x v="0"/>
    <x v="0"/>
  </r>
  <r>
    <s v="ORD02149"/>
    <x v="835"/>
    <x v="1"/>
    <x v="3"/>
    <x v="2"/>
    <x v="2134"/>
    <x v="2077"/>
    <x v="0"/>
    <x v="3"/>
  </r>
  <r>
    <s v="ORD02150"/>
    <x v="939"/>
    <x v="2"/>
    <x v="11"/>
    <x v="2"/>
    <x v="2135"/>
    <x v="2059"/>
    <x v="1"/>
    <x v="2"/>
  </r>
  <r>
    <s v="ORD02151"/>
    <x v="574"/>
    <x v="1"/>
    <x v="8"/>
    <x v="1"/>
    <x v="2136"/>
    <x v="2078"/>
    <x v="2"/>
    <x v="1"/>
  </r>
  <r>
    <s v="ORD02152"/>
    <x v="871"/>
    <x v="0"/>
    <x v="7"/>
    <x v="0"/>
    <x v="2137"/>
    <x v="2079"/>
    <x v="0"/>
    <x v="2"/>
  </r>
  <r>
    <s v="ORD02153"/>
    <x v="940"/>
    <x v="0"/>
    <x v="12"/>
    <x v="2"/>
    <x v="2138"/>
    <x v="2080"/>
    <x v="0"/>
    <x v="2"/>
  </r>
  <r>
    <s v="ORD02154"/>
    <x v="864"/>
    <x v="2"/>
    <x v="11"/>
    <x v="2"/>
    <x v="2139"/>
    <x v="2081"/>
    <x v="0"/>
    <x v="3"/>
  </r>
  <r>
    <s v="ORD02155"/>
    <x v="779"/>
    <x v="0"/>
    <x v="4"/>
    <x v="0"/>
    <x v="2140"/>
    <x v="2082"/>
    <x v="0"/>
    <x v="1"/>
  </r>
  <r>
    <s v="ORD02156"/>
    <x v="0"/>
    <x v="2"/>
    <x v="0"/>
    <x v="0"/>
    <x v="2141"/>
    <x v="2083"/>
    <x v="1"/>
    <x v="0"/>
  </r>
  <r>
    <s v="ORD02157"/>
    <x v="842"/>
    <x v="1"/>
    <x v="6"/>
    <x v="0"/>
    <x v="2142"/>
    <x v="2084"/>
    <x v="2"/>
    <x v="0"/>
  </r>
  <r>
    <s v="ORD02158"/>
    <x v="676"/>
    <x v="3"/>
    <x v="8"/>
    <x v="1"/>
    <x v="2143"/>
    <x v="2085"/>
    <x v="0"/>
    <x v="3"/>
  </r>
  <r>
    <s v="ORD02159"/>
    <x v="436"/>
    <x v="1"/>
    <x v="13"/>
    <x v="1"/>
    <x v="2144"/>
    <x v="2086"/>
    <x v="2"/>
    <x v="2"/>
  </r>
  <r>
    <s v="ORD02160"/>
    <x v="570"/>
    <x v="1"/>
    <x v="9"/>
    <x v="0"/>
    <x v="2145"/>
    <x v="2087"/>
    <x v="0"/>
    <x v="0"/>
  </r>
  <r>
    <s v="ORD02161"/>
    <x v="143"/>
    <x v="0"/>
    <x v="5"/>
    <x v="1"/>
    <x v="2146"/>
    <x v="2088"/>
    <x v="0"/>
    <x v="3"/>
  </r>
  <r>
    <s v="ORD02162"/>
    <x v="535"/>
    <x v="2"/>
    <x v="9"/>
    <x v="0"/>
    <x v="2147"/>
    <x v="2089"/>
    <x v="1"/>
    <x v="0"/>
  </r>
  <r>
    <s v="ORD02163"/>
    <x v="79"/>
    <x v="2"/>
    <x v="2"/>
    <x v="1"/>
    <x v="2148"/>
    <x v="2090"/>
    <x v="1"/>
    <x v="2"/>
  </r>
  <r>
    <s v="ORD02164"/>
    <x v="270"/>
    <x v="2"/>
    <x v="11"/>
    <x v="2"/>
    <x v="2149"/>
    <x v="2091"/>
    <x v="0"/>
    <x v="0"/>
  </r>
  <r>
    <s v="ORD02165"/>
    <x v="203"/>
    <x v="3"/>
    <x v="7"/>
    <x v="0"/>
    <x v="2150"/>
    <x v="2092"/>
    <x v="1"/>
    <x v="1"/>
  </r>
  <r>
    <s v="ORD02166"/>
    <x v="517"/>
    <x v="3"/>
    <x v="13"/>
    <x v="1"/>
    <x v="2151"/>
    <x v="2093"/>
    <x v="0"/>
    <x v="1"/>
  </r>
  <r>
    <s v="ORD02167"/>
    <x v="891"/>
    <x v="0"/>
    <x v="5"/>
    <x v="1"/>
    <x v="2152"/>
    <x v="2094"/>
    <x v="2"/>
    <x v="2"/>
  </r>
  <r>
    <s v="ORD02168"/>
    <x v="297"/>
    <x v="1"/>
    <x v="14"/>
    <x v="2"/>
    <x v="2153"/>
    <x v="2095"/>
    <x v="0"/>
    <x v="3"/>
  </r>
  <r>
    <s v="ORD02169"/>
    <x v="622"/>
    <x v="3"/>
    <x v="0"/>
    <x v="0"/>
    <x v="2154"/>
    <x v="2096"/>
    <x v="1"/>
    <x v="2"/>
  </r>
  <r>
    <s v="ORD02170"/>
    <x v="941"/>
    <x v="1"/>
    <x v="14"/>
    <x v="2"/>
    <x v="2155"/>
    <x v="2097"/>
    <x v="1"/>
    <x v="2"/>
  </r>
  <r>
    <s v="ORD02171"/>
    <x v="787"/>
    <x v="3"/>
    <x v="4"/>
    <x v="0"/>
    <x v="2156"/>
    <x v="2098"/>
    <x v="2"/>
    <x v="1"/>
  </r>
  <r>
    <s v="ORD02172"/>
    <x v="581"/>
    <x v="1"/>
    <x v="13"/>
    <x v="1"/>
    <x v="2157"/>
    <x v="2099"/>
    <x v="2"/>
    <x v="2"/>
  </r>
  <r>
    <s v="ORD02173"/>
    <x v="395"/>
    <x v="1"/>
    <x v="7"/>
    <x v="0"/>
    <x v="2158"/>
    <x v="2100"/>
    <x v="0"/>
    <x v="1"/>
  </r>
  <r>
    <s v="ORD02174"/>
    <x v="868"/>
    <x v="1"/>
    <x v="11"/>
    <x v="2"/>
    <x v="2159"/>
    <x v="2101"/>
    <x v="0"/>
    <x v="0"/>
  </r>
  <r>
    <s v="ORD02175"/>
    <x v="2"/>
    <x v="0"/>
    <x v="13"/>
    <x v="1"/>
    <x v="2160"/>
    <x v="149"/>
    <x v="0"/>
    <x v="0"/>
  </r>
  <r>
    <s v="ORD02176"/>
    <x v="76"/>
    <x v="1"/>
    <x v="13"/>
    <x v="1"/>
    <x v="2161"/>
    <x v="2102"/>
    <x v="2"/>
    <x v="1"/>
  </r>
  <r>
    <s v="ORD02177"/>
    <x v="653"/>
    <x v="1"/>
    <x v="11"/>
    <x v="2"/>
    <x v="2162"/>
    <x v="2103"/>
    <x v="1"/>
    <x v="2"/>
  </r>
  <r>
    <s v="ORD02178"/>
    <x v="937"/>
    <x v="2"/>
    <x v="11"/>
    <x v="2"/>
    <x v="2163"/>
    <x v="2104"/>
    <x v="1"/>
    <x v="3"/>
  </r>
  <r>
    <s v="ORD02179"/>
    <x v="925"/>
    <x v="0"/>
    <x v="12"/>
    <x v="2"/>
    <x v="2164"/>
    <x v="2105"/>
    <x v="0"/>
    <x v="2"/>
  </r>
  <r>
    <s v="ORD02180"/>
    <x v="811"/>
    <x v="0"/>
    <x v="8"/>
    <x v="1"/>
    <x v="2165"/>
    <x v="2106"/>
    <x v="0"/>
    <x v="0"/>
  </r>
  <r>
    <s v="ORD02181"/>
    <x v="179"/>
    <x v="3"/>
    <x v="10"/>
    <x v="2"/>
    <x v="2166"/>
    <x v="2107"/>
    <x v="2"/>
    <x v="2"/>
  </r>
  <r>
    <s v="ORD02182"/>
    <x v="43"/>
    <x v="3"/>
    <x v="1"/>
    <x v="1"/>
    <x v="2167"/>
    <x v="2108"/>
    <x v="1"/>
    <x v="2"/>
  </r>
  <r>
    <s v="ORD02183"/>
    <x v="903"/>
    <x v="0"/>
    <x v="9"/>
    <x v="0"/>
    <x v="2168"/>
    <x v="2109"/>
    <x v="2"/>
    <x v="1"/>
  </r>
  <r>
    <s v="ORD02184"/>
    <x v="33"/>
    <x v="1"/>
    <x v="10"/>
    <x v="2"/>
    <x v="2169"/>
    <x v="2110"/>
    <x v="0"/>
    <x v="1"/>
  </r>
  <r>
    <s v="ORD02185"/>
    <x v="43"/>
    <x v="0"/>
    <x v="0"/>
    <x v="0"/>
    <x v="2170"/>
    <x v="2111"/>
    <x v="2"/>
    <x v="0"/>
  </r>
  <r>
    <s v="ORD02186"/>
    <x v="517"/>
    <x v="1"/>
    <x v="8"/>
    <x v="1"/>
    <x v="2171"/>
    <x v="2112"/>
    <x v="1"/>
    <x v="0"/>
  </r>
  <r>
    <s v="ORD02187"/>
    <x v="765"/>
    <x v="2"/>
    <x v="13"/>
    <x v="1"/>
    <x v="2172"/>
    <x v="2113"/>
    <x v="1"/>
    <x v="3"/>
  </r>
  <r>
    <s v="ORD02188"/>
    <x v="942"/>
    <x v="3"/>
    <x v="6"/>
    <x v="0"/>
    <x v="2173"/>
    <x v="109"/>
    <x v="2"/>
    <x v="3"/>
  </r>
  <r>
    <s v="ORD02189"/>
    <x v="31"/>
    <x v="1"/>
    <x v="13"/>
    <x v="1"/>
    <x v="1481"/>
    <x v="2114"/>
    <x v="0"/>
    <x v="0"/>
  </r>
  <r>
    <s v="ORD02190"/>
    <x v="6"/>
    <x v="2"/>
    <x v="13"/>
    <x v="1"/>
    <x v="2174"/>
    <x v="2115"/>
    <x v="0"/>
    <x v="2"/>
  </r>
  <r>
    <s v="ORD02191"/>
    <x v="612"/>
    <x v="3"/>
    <x v="12"/>
    <x v="2"/>
    <x v="2175"/>
    <x v="2116"/>
    <x v="2"/>
    <x v="2"/>
  </r>
  <r>
    <s v="ORD02192"/>
    <x v="885"/>
    <x v="1"/>
    <x v="4"/>
    <x v="0"/>
    <x v="2176"/>
    <x v="2117"/>
    <x v="2"/>
    <x v="2"/>
  </r>
  <r>
    <s v="ORD02193"/>
    <x v="418"/>
    <x v="1"/>
    <x v="12"/>
    <x v="2"/>
    <x v="2177"/>
    <x v="2118"/>
    <x v="1"/>
    <x v="2"/>
  </r>
  <r>
    <s v="ORD02194"/>
    <x v="112"/>
    <x v="3"/>
    <x v="11"/>
    <x v="2"/>
    <x v="2178"/>
    <x v="2119"/>
    <x v="2"/>
    <x v="1"/>
  </r>
  <r>
    <s v="ORD02195"/>
    <x v="346"/>
    <x v="0"/>
    <x v="2"/>
    <x v="1"/>
    <x v="2179"/>
    <x v="1296"/>
    <x v="0"/>
    <x v="3"/>
  </r>
  <r>
    <s v="ORD02196"/>
    <x v="109"/>
    <x v="0"/>
    <x v="0"/>
    <x v="0"/>
    <x v="2180"/>
    <x v="2120"/>
    <x v="2"/>
    <x v="2"/>
  </r>
  <r>
    <s v="ORD02197"/>
    <x v="943"/>
    <x v="2"/>
    <x v="4"/>
    <x v="0"/>
    <x v="2181"/>
    <x v="2121"/>
    <x v="2"/>
    <x v="3"/>
  </r>
  <r>
    <s v="ORD02198"/>
    <x v="647"/>
    <x v="1"/>
    <x v="7"/>
    <x v="0"/>
    <x v="2182"/>
    <x v="2122"/>
    <x v="1"/>
    <x v="3"/>
  </r>
  <r>
    <s v="ORD02199"/>
    <x v="684"/>
    <x v="3"/>
    <x v="10"/>
    <x v="2"/>
    <x v="2183"/>
    <x v="2123"/>
    <x v="1"/>
    <x v="1"/>
  </r>
  <r>
    <s v="ORD02200"/>
    <x v="127"/>
    <x v="0"/>
    <x v="9"/>
    <x v="0"/>
    <x v="2184"/>
    <x v="2124"/>
    <x v="1"/>
    <x v="2"/>
  </r>
  <r>
    <s v="ORD02201"/>
    <x v="444"/>
    <x v="0"/>
    <x v="0"/>
    <x v="0"/>
    <x v="2185"/>
    <x v="2125"/>
    <x v="2"/>
    <x v="2"/>
  </r>
  <r>
    <s v="ORD02202"/>
    <x v="944"/>
    <x v="0"/>
    <x v="4"/>
    <x v="0"/>
    <x v="2186"/>
    <x v="2126"/>
    <x v="0"/>
    <x v="1"/>
  </r>
  <r>
    <s v="ORD02203"/>
    <x v="647"/>
    <x v="3"/>
    <x v="1"/>
    <x v="1"/>
    <x v="2187"/>
    <x v="2127"/>
    <x v="1"/>
    <x v="0"/>
  </r>
  <r>
    <s v="ORD02204"/>
    <x v="708"/>
    <x v="3"/>
    <x v="4"/>
    <x v="0"/>
    <x v="2188"/>
    <x v="2128"/>
    <x v="1"/>
    <x v="1"/>
  </r>
  <r>
    <s v="ORD02205"/>
    <x v="63"/>
    <x v="1"/>
    <x v="3"/>
    <x v="2"/>
    <x v="2189"/>
    <x v="2129"/>
    <x v="2"/>
    <x v="2"/>
  </r>
  <r>
    <s v="ORD02206"/>
    <x v="751"/>
    <x v="0"/>
    <x v="8"/>
    <x v="1"/>
    <x v="2190"/>
    <x v="2130"/>
    <x v="1"/>
    <x v="2"/>
  </r>
  <r>
    <s v="ORD02207"/>
    <x v="945"/>
    <x v="0"/>
    <x v="14"/>
    <x v="2"/>
    <x v="2191"/>
    <x v="2131"/>
    <x v="2"/>
    <x v="1"/>
  </r>
  <r>
    <s v="ORD02208"/>
    <x v="60"/>
    <x v="3"/>
    <x v="5"/>
    <x v="1"/>
    <x v="2192"/>
    <x v="2132"/>
    <x v="0"/>
    <x v="0"/>
  </r>
  <r>
    <s v="ORD02209"/>
    <x v="312"/>
    <x v="1"/>
    <x v="4"/>
    <x v="0"/>
    <x v="2193"/>
    <x v="2133"/>
    <x v="2"/>
    <x v="1"/>
  </r>
  <r>
    <s v="ORD02210"/>
    <x v="183"/>
    <x v="0"/>
    <x v="0"/>
    <x v="0"/>
    <x v="2194"/>
    <x v="2134"/>
    <x v="0"/>
    <x v="3"/>
  </r>
  <r>
    <s v="ORD02211"/>
    <x v="946"/>
    <x v="2"/>
    <x v="14"/>
    <x v="2"/>
    <x v="2195"/>
    <x v="2135"/>
    <x v="1"/>
    <x v="3"/>
  </r>
  <r>
    <s v="ORD02212"/>
    <x v="460"/>
    <x v="1"/>
    <x v="4"/>
    <x v="0"/>
    <x v="2196"/>
    <x v="2136"/>
    <x v="1"/>
    <x v="2"/>
  </r>
  <r>
    <s v="ORD02213"/>
    <x v="743"/>
    <x v="0"/>
    <x v="11"/>
    <x v="2"/>
    <x v="2197"/>
    <x v="2137"/>
    <x v="0"/>
    <x v="1"/>
  </r>
  <r>
    <s v="ORD02214"/>
    <x v="46"/>
    <x v="2"/>
    <x v="0"/>
    <x v="0"/>
    <x v="2198"/>
    <x v="2138"/>
    <x v="2"/>
    <x v="1"/>
  </r>
  <r>
    <s v="ORD02215"/>
    <x v="398"/>
    <x v="1"/>
    <x v="12"/>
    <x v="2"/>
    <x v="2199"/>
    <x v="2139"/>
    <x v="0"/>
    <x v="3"/>
  </r>
  <r>
    <s v="ORD02216"/>
    <x v="298"/>
    <x v="2"/>
    <x v="3"/>
    <x v="2"/>
    <x v="2200"/>
    <x v="2140"/>
    <x v="2"/>
    <x v="0"/>
  </r>
  <r>
    <s v="ORD02217"/>
    <x v="528"/>
    <x v="1"/>
    <x v="4"/>
    <x v="0"/>
    <x v="2201"/>
    <x v="2141"/>
    <x v="2"/>
    <x v="0"/>
  </r>
  <r>
    <s v="ORD02218"/>
    <x v="101"/>
    <x v="1"/>
    <x v="6"/>
    <x v="0"/>
    <x v="2202"/>
    <x v="2142"/>
    <x v="2"/>
    <x v="0"/>
  </r>
  <r>
    <s v="ORD02219"/>
    <x v="348"/>
    <x v="3"/>
    <x v="14"/>
    <x v="2"/>
    <x v="2203"/>
    <x v="2143"/>
    <x v="1"/>
    <x v="1"/>
  </r>
  <r>
    <s v="ORD02220"/>
    <x v="688"/>
    <x v="3"/>
    <x v="7"/>
    <x v="0"/>
    <x v="2204"/>
    <x v="2144"/>
    <x v="1"/>
    <x v="2"/>
  </r>
  <r>
    <s v="ORD02221"/>
    <x v="460"/>
    <x v="1"/>
    <x v="9"/>
    <x v="0"/>
    <x v="2205"/>
    <x v="2145"/>
    <x v="1"/>
    <x v="2"/>
  </r>
  <r>
    <s v="ORD02222"/>
    <x v="247"/>
    <x v="2"/>
    <x v="1"/>
    <x v="1"/>
    <x v="2206"/>
    <x v="2146"/>
    <x v="0"/>
    <x v="1"/>
  </r>
  <r>
    <s v="ORD02223"/>
    <x v="947"/>
    <x v="2"/>
    <x v="14"/>
    <x v="2"/>
    <x v="2207"/>
    <x v="2147"/>
    <x v="2"/>
    <x v="3"/>
  </r>
  <r>
    <s v="ORD02224"/>
    <x v="171"/>
    <x v="0"/>
    <x v="5"/>
    <x v="1"/>
    <x v="2208"/>
    <x v="2148"/>
    <x v="1"/>
    <x v="3"/>
  </r>
  <r>
    <s v="ORD02225"/>
    <x v="823"/>
    <x v="0"/>
    <x v="10"/>
    <x v="2"/>
    <x v="2209"/>
    <x v="2149"/>
    <x v="2"/>
    <x v="3"/>
  </r>
  <r>
    <s v="ORD02226"/>
    <x v="857"/>
    <x v="0"/>
    <x v="4"/>
    <x v="0"/>
    <x v="2210"/>
    <x v="2150"/>
    <x v="1"/>
    <x v="1"/>
  </r>
  <r>
    <s v="ORD02227"/>
    <x v="698"/>
    <x v="2"/>
    <x v="11"/>
    <x v="2"/>
    <x v="2211"/>
    <x v="2151"/>
    <x v="0"/>
    <x v="2"/>
  </r>
  <r>
    <s v="ORD02228"/>
    <x v="54"/>
    <x v="3"/>
    <x v="12"/>
    <x v="2"/>
    <x v="2212"/>
    <x v="2152"/>
    <x v="0"/>
    <x v="0"/>
  </r>
  <r>
    <s v="ORD02229"/>
    <x v="69"/>
    <x v="3"/>
    <x v="3"/>
    <x v="2"/>
    <x v="2213"/>
    <x v="2153"/>
    <x v="2"/>
    <x v="2"/>
  </r>
  <r>
    <s v="ORD02230"/>
    <x v="468"/>
    <x v="1"/>
    <x v="8"/>
    <x v="1"/>
    <x v="2214"/>
    <x v="2154"/>
    <x v="1"/>
    <x v="0"/>
  </r>
  <r>
    <s v="ORD02231"/>
    <x v="948"/>
    <x v="3"/>
    <x v="10"/>
    <x v="2"/>
    <x v="2215"/>
    <x v="2155"/>
    <x v="0"/>
    <x v="2"/>
  </r>
  <r>
    <s v="ORD02232"/>
    <x v="158"/>
    <x v="1"/>
    <x v="6"/>
    <x v="0"/>
    <x v="2216"/>
    <x v="2156"/>
    <x v="0"/>
    <x v="0"/>
  </r>
  <r>
    <s v="ORD02233"/>
    <x v="949"/>
    <x v="2"/>
    <x v="12"/>
    <x v="2"/>
    <x v="2217"/>
    <x v="2157"/>
    <x v="1"/>
    <x v="1"/>
  </r>
  <r>
    <s v="ORD02234"/>
    <x v="538"/>
    <x v="3"/>
    <x v="7"/>
    <x v="0"/>
    <x v="2218"/>
    <x v="2158"/>
    <x v="0"/>
    <x v="2"/>
  </r>
  <r>
    <s v="ORD02235"/>
    <x v="448"/>
    <x v="2"/>
    <x v="9"/>
    <x v="0"/>
    <x v="2219"/>
    <x v="2159"/>
    <x v="2"/>
    <x v="2"/>
  </r>
  <r>
    <s v="ORD02236"/>
    <x v="429"/>
    <x v="2"/>
    <x v="6"/>
    <x v="0"/>
    <x v="2220"/>
    <x v="2160"/>
    <x v="1"/>
    <x v="1"/>
  </r>
  <r>
    <s v="ORD02237"/>
    <x v="950"/>
    <x v="3"/>
    <x v="10"/>
    <x v="2"/>
    <x v="2221"/>
    <x v="2161"/>
    <x v="1"/>
    <x v="0"/>
  </r>
  <r>
    <s v="ORD02238"/>
    <x v="162"/>
    <x v="1"/>
    <x v="10"/>
    <x v="2"/>
    <x v="2222"/>
    <x v="2162"/>
    <x v="2"/>
    <x v="0"/>
  </r>
  <r>
    <s v="ORD02239"/>
    <x v="951"/>
    <x v="1"/>
    <x v="9"/>
    <x v="0"/>
    <x v="2223"/>
    <x v="2163"/>
    <x v="2"/>
    <x v="1"/>
  </r>
  <r>
    <s v="ORD02240"/>
    <x v="364"/>
    <x v="2"/>
    <x v="6"/>
    <x v="0"/>
    <x v="2224"/>
    <x v="2164"/>
    <x v="1"/>
    <x v="2"/>
  </r>
  <r>
    <s v="ORD02241"/>
    <x v="372"/>
    <x v="0"/>
    <x v="1"/>
    <x v="1"/>
    <x v="2225"/>
    <x v="2165"/>
    <x v="1"/>
    <x v="3"/>
  </r>
  <r>
    <s v="ORD02242"/>
    <x v="339"/>
    <x v="1"/>
    <x v="8"/>
    <x v="1"/>
    <x v="2226"/>
    <x v="2166"/>
    <x v="0"/>
    <x v="0"/>
  </r>
  <r>
    <s v="ORD02243"/>
    <x v="952"/>
    <x v="1"/>
    <x v="7"/>
    <x v="0"/>
    <x v="2227"/>
    <x v="2167"/>
    <x v="2"/>
    <x v="3"/>
  </r>
  <r>
    <s v="ORD02244"/>
    <x v="274"/>
    <x v="1"/>
    <x v="13"/>
    <x v="1"/>
    <x v="2228"/>
    <x v="2168"/>
    <x v="2"/>
    <x v="3"/>
  </r>
  <r>
    <s v="ORD02245"/>
    <x v="662"/>
    <x v="1"/>
    <x v="6"/>
    <x v="0"/>
    <x v="2229"/>
    <x v="2138"/>
    <x v="1"/>
    <x v="2"/>
  </r>
  <r>
    <s v="ORD02246"/>
    <x v="468"/>
    <x v="2"/>
    <x v="6"/>
    <x v="0"/>
    <x v="2230"/>
    <x v="2169"/>
    <x v="1"/>
    <x v="3"/>
  </r>
  <r>
    <s v="ORD02247"/>
    <x v="932"/>
    <x v="1"/>
    <x v="0"/>
    <x v="0"/>
    <x v="2231"/>
    <x v="2170"/>
    <x v="2"/>
    <x v="0"/>
  </r>
  <r>
    <s v="ORD02248"/>
    <x v="919"/>
    <x v="0"/>
    <x v="12"/>
    <x v="2"/>
    <x v="2232"/>
    <x v="2171"/>
    <x v="2"/>
    <x v="1"/>
  </r>
  <r>
    <s v="ORD02249"/>
    <x v="655"/>
    <x v="0"/>
    <x v="8"/>
    <x v="1"/>
    <x v="2233"/>
    <x v="2172"/>
    <x v="0"/>
    <x v="1"/>
  </r>
  <r>
    <s v="ORD02250"/>
    <x v="52"/>
    <x v="1"/>
    <x v="2"/>
    <x v="1"/>
    <x v="2234"/>
    <x v="2173"/>
    <x v="2"/>
    <x v="1"/>
  </r>
  <r>
    <s v="ORD02251"/>
    <x v="942"/>
    <x v="1"/>
    <x v="9"/>
    <x v="0"/>
    <x v="2235"/>
    <x v="2174"/>
    <x v="1"/>
    <x v="3"/>
  </r>
  <r>
    <s v="ORD02252"/>
    <x v="184"/>
    <x v="0"/>
    <x v="0"/>
    <x v="0"/>
    <x v="2236"/>
    <x v="2175"/>
    <x v="0"/>
    <x v="2"/>
  </r>
  <r>
    <s v="ORD02253"/>
    <x v="206"/>
    <x v="3"/>
    <x v="13"/>
    <x v="1"/>
    <x v="2237"/>
    <x v="2176"/>
    <x v="0"/>
    <x v="3"/>
  </r>
  <r>
    <s v="ORD02254"/>
    <x v="309"/>
    <x v="0"/>
    <x v="13"/>
    <x v="1"/>
    <x v="2238"/>
    <x v="2177"/>
    <x v="0"/>
    <x v="2"/>
  </r>
  <r>
    <s v="ORD02255"/>
    <x v="30"/>
    <x v="0"/>
    <x v="4"/>
    <x v="0"/>
    <x v="2239"/>
    <x v="2178"/>
    <x v="0"/>
    <x v="3"/>
  </r>
  <r>
    <s v="ORD02256"/>
    <x v="456"/>
    <x v="1"/>
    <x v="12"/>
    <x v="2"/>
    <x v="2240"/>
    <x v="2179"/>
    <x v="1"/>
    <x v="2"/>
  </r>
  <r>
    <s v="ORD02257"/>
    <x v="953"/>
    <x v="2"/>
    <x v="14"/>
    <x v="2"/>
    <x v="2241"/>
    <x v="2180"/>
    <x v="2"/>
    <x v="3"/>
  </r>
  <r>
    <s v="ORD02258"/>
    <x v="468"/>
    <x v="2"/>
    <x v="2"/>
    <x v="1"/>
    <x v="2242"/>
    <x v="626"/>
    <x v="0"/>
    <x v="0"/>
  </r>
  <r>
    <s v="ORD02259"/>
    <x v="62"/>
    <x v="1"/>
    <x v="12"/>
    <x v="2"/>
    <x v="2243"/>
    <x v="2181"/>
    <x v="2"/>
    <x v="1"/>
  </r>
  <r>
    <s v="ORD02260"/>
    <x v="671"/>
    <x v="3"/>
    <x v="5"/>
    <x v="1"/>
    <x v="2244"/>
    <x v="2182"/>
    <x v="2"/>
    <x v="1"/>
  </r>
  <r>
    <s v="ORD02261"/>
    <x v="291"/>
    <x v="1"/>
    <x v="6"/>
    <x v="0"/>
    <x v="2245"/>
    <x v="2183"/>
    <x v="0"/>
    <x v="1"/>
  </r>
  <r>
    <s v="ORD02262"/>
    <x v="954"/>
    <x v="3"/>
    <x v="8"/>
    <x v="1"/>
    <x v="2246"/>
    <x v="2184"/>
    <x v="2"/>
    <x v="2"/>
  </r>
  <r>
    <s v="ORD02263"/>
    <x v="157"/>
    <x v="0"/>
    <x v="2"/>
    <x v="1"/>
    <x v="2247"/>
    <x v="2185"/>
    <x v="0"/>
    <x v="2"/>
  </r>
  <r>
    <s v="ORD02264"/>
    <x v="348"/>
    <x v="0"/>
    <x v="10"/>
    <x v="2"/>
    <x v="2248"/>
    <x v="2186"/>
    <x v="0"/>
    <x v="2"/>
  </r>
  <r>
    <s v="ORD02265"/>
    <x v="885"/>
    <x v="3"/>
    <x v="5"/>
    <x v="1"/>
    <x v="2249"/>
    <x v="2187"/>
    <x v="1"/>
    <x v="3"/>
  </r>
  <r>
    <s v="ORD02266"/>
    <x v="873"/>
    <x v="0"/>
    <x v="7"/>
    <x v="0"/>
    <x v="2250"/>
    <x v="2188"/>
    <x v="1"/>
    <x v="2"/>
  </r>
  <r>
    <s v="ORD02267"/>
    <x v="930"/>
    <x v="1"/>
    <x v="12"/>
    <x v="2"/>
    <x v="2251"/>
    <x v="2189"/>
    <x v="2"/>
    <x v="0"/>
  </r>
  <r>
    <s v="ORD02268"/>
    <x v="223"/>
    <x v="0"/>
    <x v="12"/>
    <x v="2"/>
    <x v="2252"/>
    <x v="2190"/>
    <x v="0"/>
    <x v="3"/>
  </r>
  <r>
    <s v="ORD02269"/>
    <x v="763"/>
    <x v="1"/>
    <x v="11"/>
    <x v="2"/>
    <x v="2253"/>
    <x v="2191"/>
    <x v="2"/>
    <x v="0"/>
  </r>
  <r>
    <s v="ORD02270"/>
    <x v="555"/>
    <x v="1"/>
    <x v="10"/>
    <x v="2"/>
    <x v="2254"/>
    <x v="2192"/>
    <x v="1"/>
    <x v="1"/>
  </r>
  <r>
    <s v="ORD02271"/>
    <x v="228"/>
    <x v="3"/>
    <x v="9"/>
    <x v="0"/>
    <x v="2255"/>
    <x v="2193"/>
    <x v="1"/>
    <x v="3"/>
  </r>
  <r>
    <s v="ORD02272"/>
    <x v="159"/>
    <x v="0"/>
    <x v="10"/>
    <x v="2"/>
    <x v="2256"/>
    <x v="2194"/>
    <x v="0"/>
    <x v="2"/>
  </r>
  <r>
    <s v="ORD02273"/>
    <x v="955"/>
    <x v="3"/>
    <x v="9"/>
    <x v="0"/>
    <x v="2257"/>
    <x v="2195"/>
    <x v="1"/>
    <x v="2"/>
  </r>
  <r>
    <s v="ORD02274"/>
    <x v="435"/>
    <x v="3"/>
    <x v="14"/>
    <x v="2"/>
    <x v="2258"/>
    <x v="2196"/>
    <x v="2"/>
    <x v="0"/>
  </r>
  <r>
    <s v="ORD02275"/>
    <x v="939"/>
    <x v="2"/>
    <x v="13"/>
    <x v="1"/>
    <x v="2259"/>
    <x v="1984"/>
    <x v="1"/>
    <x v="1"/>
  </r>
  <r>
    <s v="ORD02276"/>
    <x v="956"/>
    <x v="3"/>
    <x v="12"/>
    <x v="2"/>
    <x v="2260"/>
    <x v="2197"/>
    <x v="2"/>
    <x v="3"/>
  </r>
  <r>
    <s v="ORD02277"/>
    <x v="537"/>
    <x v="0"/>
    <x v="14"/>
    <x v="2"/>
    <x v="2261"/>
    <x v="2198"/>
    <x v="0"/>
    <x v="3"/>
  </r>
  <r>
    <s v="ORD02278"/>
    <x v="957"/>
    <x v="2"/>
    <x v="12"/>
    <x v="2"/>
    <x v="2262"/>
    <x v="2199"/>
    <x v="0"/>
    <x v="3"/>
  </r>
  <r>
    <s v="ORD02279"/>
    <x v="391"/>
    <x v="1"/>
    <x v="8"/>
    <x v="1"/>
    <x v="2263"/>
    <x v="2200"/>
    <x v="1"/>
    <x v="1"/>
  </r>
  <r>
    <s v="ORD02280"/>
    <x v="938"/>
    <x v="3"/>
    <x v="5"/>
    <x v="1"/>
    <x v="2264"/>
    <x v="2201"/>
    <x v="0"/>
    <x v="1"/>
  </r>
  <r>
    <s v="ORD02281"/>
    <x v="224"/>
    <x v="3"/>
    <x v="3"/>
    <x v="2"/>
    <x v="2265"/>
    <x v="1690"/>
    <x v="1"/>
    <x v="0"/>
  </r>
  <r>
    <s v="ORD02282"/>
    <x v="629"/>
    <x v="1"/>
    <x v="0"/>
    <x v="0"/>
    <x v="2266"/>
    <x v="2202"/>
    <x v="0"/>
    <x v="2"/>
  </r>
  <r>
    <s v="ORD02283"/>
    <x v="744"/>
    <x v="2"/>
    <x v="10"/>
    <x v="2"/>
    <x v="2267"/>
    <x v="2203"/>
    <x v="2"/>
    <x v="3"/>
  </r>
  <r>
    <s v="ORD02284"/>
    <x v="347"/>
    <x v="3"/>
    <x v="2"/>
    <x v="1"/>
    <x v="2268"/>
    <x v="2204"/>
    <x v="0"/>
    <x v="3"/>
  </r>
  <r>
    <s v="ORD02285"/>
    <x v="222"/>
    <x v="1"/>
    <x v="7"/>
    <x v="0"/>
    <x v="2269"/>
    <x v="2205"/>
    <x v="2"/>
    <x v="0"/>
  </r>
  <r>
    <s v="ORD02286"/>
    <x v="128"/>
    <x v="2"/>
    <x v="10"/>
    <x v="2"/>
    <x v="2270"/>
    <x v="2206"/>
    <x v="1"/>
    <x v="3"/>
  </r>
  <r>
    <s v="ORD02287"/>
    <x v="958"/>
    <x v="1"/>
    <x v="4"/>
    <x v="0"/>
    <x v="2271"/>
    <x v="2207"/>
    <x v="1"/>
    <x v="2"/>
  </r>
  <r>
    <s v="ORD02288"/>
    <x v="246"/>
    <x v="3"/>
    <x v="4"/>
    <x v="0"/>
    <x v="2272"/>
    <x v="2208"/>
    <x v="1"/>
    <x v="0"/>
  </r>
  <r>
    <s v="ORD02289"/>
    <x v="157"/>
    <x v="3"/>
    <x v="10"/>
    <x v="2"/>
    <x v="2273"/>
    <x v="2209"/>
    <x v="1"/>
    <x v="2"/>
  </r>
  <r>
    <s v="ORD02290"/>
    <x v="513"/>
    <x v="2"/>
    <x v="4"/>
    <x v="0"/>
    <x v="2274"/>
    <x v="2210"/>
    <x v="2"/>
    <x v="2"/>
  </r>
  <r>
    <s v="ORD02291"/>
    <x v="959"/>
    <x v="2"/>
    <x v="4"/>
    <x v="0"/>
    <x v="2275"/>
    <x v="2211"/>
    <x v="0"/>
    <x v="2"/>
  </r>
  <r>
    <s v="ORD02292"/>
    <x v="776"/>
    <x v="1"/>
    <x v="4"/>
    <x v="0"/>
    <x v="2276"/>
    <x v="2212"/>
    <x v="0"/>
    <x v="2"/>
  </r>
  <r>
    <s v="ORD02293"/>
    <x v="940"/>
    <x v="1"/>
    <x v="0"/>
    <x v="0"/>
    <x v="2277"/>
    <x v="2213"/>
    <x v="2"/>
    <x v="0"/>
  </r>
  <r>
    <s v="ORD02294"/>
    <x v="765"/>
    <x v="0"/>
    <x v="9"/>
    <x v="0"/>
    <x v="2278"/>
    <x v="2214"/>
    <x v="2"/>
    <x v="0"/>
  </r>
  <r>
    <s v="ORD02295"/>
    <x v="211"/>
    <x v="2"/>
    <x v="11"/>
    <x v="2"/>
    <x v="2279"/>
    <x v="2215"/>
    <x v="1"/>
    <x v="0"/>
  </r>
  <r>
    <s v="ORD02296"/>
    <x v="138"/>
    <x v="2"/>
    <x v="6"/>
    <x v="0"/>
    <x v="2280"/>
    <x v="2216"/>
    <x v="2"/>
    <x v="2"/>
  </r>
  <r>
    <s v="ORD02297"/>
    <x v="664"/>
    <x v="2"/>
    <x v="13"/>
    <x v="1"/>
    <x v="2281"/>
    <x v="2217"/>
    <x v="1"/>
    <x v="3"/>
  </r>
  <r>
    <s v="ORD02298"/>
    <x v="361"/>
    <x v="3"/>
    <x v="9"/>
    <x v="0"/>
    <x v="2282"/>
    <x v="2218"/>
    <x v="1"/>
    <x v="2"/>
  </r>
  <r>
    <s v="ORD02299"/>
    <x v="590"/>
    <x v="1"/>
    <x v="5"/>
    <x v="1"/>
    <x v="2283"/>
    <x v="2219"/>
    <x v="0"/>
    <x v="0"/>
  </r>
  <r>
    <s v="ORD02300"/>
    <x v="205"/>
    <x v="2"/>
    <x v="0"/>
    <x v="0"/>
    <x v="2284"/>
    <x v="2220"/>
    <x v="1"/>
    <x v="1"/>
  </r>
  <r>
    <s v="ORD02301"/>
    <x v="592"/>
    <x v="1"/>
    <x v="1"/>
    <x v="1"/>
    <x v="2285"/>
    <x v="2221"/>
    <x v="2"/>
    <x v="3"/>
  </r>
  <r>
    <s v="ORD02302"/>
    <x v="960"/>
    <x v="1"/>
    <x v="11"/>
    <x v="2"/>
    <x v="30"/>
    <x v="2222"/>
    <x v="2"/>
    <x v="2"/>
  </r>
  <r>
    <s v="ORD02303"/>
    <x v="100"/>
    <x v="3"/>
    <x v="4"/>
    <x v="0"/>
    <x v="2286"/>
    <x v="2223"/>
    <x v="0"/>
    <x v="2"/>
  </r>
  <r>
    <s v="ORD02304"/>
    <x v="835"/>
    <x v="3"/>
    <x v="12"/>
    <x v="2"/>
    <x v="2287"/>
    <x v="2224"/>
    <x v="2"/>
    <x v="0"/>
  </r>
  <r>
    <s v="ORD02305"/>
    <x v="514"/>
    <x v="0"/>
    <x v="12"/>
    <x v="2"/>
    <x v="2288"/>
    <x v="2225"/>
    <x v="0"/>
    <x v="2"/>
  </r>
  <r>
    <s v="ORD02306"/>
    <x v="158"/>
    <x v="2"/>
    <x v="4"/>
    <x v="0"/>
    <x v="2289"/>
    <x v="2226"/>
    <x v="0"/>
    <x v="0"/>
  </r>
  <r>
    <s v="ORD02307"/>
    <x v="221"/>
    <x v="2"/>
    <x v="3"/>
    <x v="2"/>
    <x v="2290"/>
    <x v="2227"/>
    <x v="2"/>
    <x v="0"/>
  </r>
  <r>
    <s v="ORD02308"/>
    <x v="54"/>
    <x v="0"/>
    <x v="8"/>
    <x v="1"/>
    <x v="2291"/>
    <x v="1700"/>
    <x v="2"/>
    <x v="3"/>
  </r>
  <r>
    <s v="ORD02309"/>
    <x v="920"/>
    <x v="2"/>
    <x v="12"/>
    <x v="2"/>
    <x v="2292"/>
    <x v="2228"/>
    <x v="0"/>
    <x v="3"/>
  </r>
  <r>
    <s v="ORD02310"/>
    <x v="847"/>
    <x v="3"/>
    <x v="8"/>
    <x v="1"/>
    <x v="2293"/>
    <x v="2229"/>
    <x v="1"/>
    <x v="0"/>
  </r>
  <r>
    <s v="ORD02311"/>
    <x v="82"/>
    <x v="0"/>
    <x v="6"/>
    <x v="0"/>
    <x v="2294"/>
    <x v="2230"/>
    <x v="1"/>
    <x v="0"/>
  </r>
  <r>
    <s v="ORD02312"/>
    <x v="693"/>
    <x v="2"/>
    <x v="6"/>
    <x v="0"/>
    <x v="2295"/>
    <x v="2231"/>
    <x v="0"/>
    <x v="1"/>
  </r>
  <r>
    <s v="ORD02313"/>
    <x v="961"/>
    <x v="1"/>
    <x v="9"/>
    <x v="0"/>
    <x v="2296"/>
    <x v="2232"/>
    <x v="0"/>
    <x v="0"/>
  </r>
  <r>
    <s v="ORD02314"/>
    <x v="374"/>
    <x v="2"/>
    <x v="3"/>
    <x v="2"/>
    <x v="2297"/>
    <x v="2233"/>
    <x v="0"/>
    <x v="2"/>
  </r>
  <r>
    <s v="ORD02315"/>
    <x v="281"/>
    <x v="0"/>
    <x v="13"/>
    <x v="1"/>
    <x v="2298"/>
    <x v="2234"/>
    <x v="1"/>
    <x v="2"/>
  </r>
  <r>
    <s v="ORD02316"/>
    <x v="50"/>
    <x v="3"/>
    <x v="13"/>
    <x v="1"/>
    <x v="2299"/>
    <x v="2235"/>
    <x v="0"/>
    <x v="0"/>
  </r>
  <r>
    <s v="ORD02317"/>
    <x v="629"/>
    <x v="3"/>
    <x v="7"/>
    <x v="0"/>
    <x v="2300"/>
    <x v="2236"/>
    <x v="2"/>
    <x v="3"/>
  </r>
  <r>
    <s v="ORD02318"/>
    <x v="962"/>
    <x v="1"/>
    <x v="5"/>
    <x v="1"/>
    <x v="2301"/>
    <x v="2237"/>
    <x v="0"/>
    <x v="2"/>
  </r>
  <r>
    <s v="ORD02319"/>
    <x v="963"/>
    <x v="0"/>
    <x v="8"/>
    <x v="1"/>
    <x v="2302"/>
    <x v="2238"/>
    <x v="0"/>
    <x v="3"/>
  </r>
  <r>
    <s v="ORD02320"/>
    <x v="401"/>
    <x v="3"/>
    <x v="8"/>
    <x v="1"/>
    <x v="2303"/>
    <x v="2239"/>
    <x v="0"/>
    <x v="3"/>
  </r>
  <r>
    <s v="ORD02321"/>
    <x v="51"/>
    <x v="0"/>
    <x v="12"/>
    <x v="2"/>
    <x v="2304"/>
    <x v="2240"/>
    <x v="2"/>
    <x v="2"/>
  </r>
  <r>
    <s v="ORD02322"/>
    <x v="903"/>
    <x v="2"/>
    <x v="11"/>
    <x v="2"/>
    <x v="2305"/>
    <x v="2241"/>
    <x v="0"/>
    <x v="1"/>
  </r>
  <r>
    <s v="ORD02323"/>
    <x v="732"/>
    <x v="1"/>
    <x v="11"/>
    <x v="2"/>
    <x v="2306"/>
    <x v="2242"/>
    <x v="0"/>
    <x v="3"/>
  </r>
  <r>
    <s v="ORD02324"/>
    <x v="234"/>
    <x v="1"/>
    <x v="2"/>
    <x v="1"/>
    <x v="2307"/>
    <x v="2243"/>
    <x v="1"/>
    <x v="1"/>
  </r>
  <r>
    <s v="ORD02325"/>
    <x v="304"/>
    <x v="2"/>
    <x v="5"/>
    <x v="1"/>
    <x v="2308"/>
    <x v="2244"/>
    <x v="2"/>
    <x v="3"/>
  </r>
  <r>
    <s v="ORD02326"/>
    <x v="83"/>
    <x v="1"/>
    <x v="10"/>
    <x v="2"/>
    <x v="2309"/>
    <x v="2245"/>
    <x v="1"/>
    <x v="3"/>
  </r>
  <r>
    <s v="ORD02327"/>
    <x v="141"/>
    <x v="1"/>
    <x v="5"/>
    <x v="1"/>
    <x v="2310"/>
    <x v="2246"/>
    <x v="2"/>
    <x v="1"/>
  </r>
  <r>
    <s v="ORD02328"/>
    <x v="362"/>
    <x v="0"/>
    <x v="12"/>
    <x v="2"/>
    <x v="2311"/>
    <x v="2247"/>
    <x v="2"/>
    <x v="0"/>
  </r>
  <r>
    <s v="ORD02329"/>
    <x v="696"/>
    <x v="2"/>
    <x v="6"/>
    <x v="0"/>
    <x v="2312"/>
    <x v="2248"/>
    <x v="1"/>
    <x v="0"/>
  </r>
  <r>
    <s v="ORD02330"/>
    <x v="111"/>
    <x v="2"/>
    <x v="6"/>
    <x v="0"/>
    <x v="2313"/>
    <x v="2249"/>
    <x v="0"/>
    <x v="1"/>
  </r>
  <r>
    <s v="ORD02331"/>
    <x v="964"/>
    <x v="2"/>
    <x v="7"/>
    <x v="0"/>
    <x v="2314"/>
    <x v="2250"/>
    <x v="2"/>
    <x v="0"/>
  </r>
  <r>
    <s v="ORD02332"/>
    <x v="182"/>
    <x v="1"/>
    <x v="10"/>
    <x v="2"/>
    <x v="2315"/>
    <x v="2251"/>
    <x v="1"/>
    <x v="2"/>
  </r>
  <r>
    <s v="ORD02333"/>
    <x v="929"/>
    <x v="1"/>
    <x v="5"/>
    <x v="1"/>
    <x v="2316"/>
    <x v="2252"/>
    <x v="1"/>
    <x v="0"/>
  </r>
  <r>
    <s v="ORD02334"/>
    <x v="965"/>
    <x v="3"/>
    <x v="9"/>
    <x v="0"/>
    <x v="2317"/>
    <x v="2253"/>
    <x v="2"/>
    <x v="0"/>
  </r>
  <r>
    <s v="ORD02335"/>
    <x v="443"/>
    <x v="2"/>
    <x v="13"/>
    <x v="1"/>
    <x v="2318"/>
    <x v="2254"/>
    <x v="0"/>
    <x v="0"/>
  </r>
  <r>
    <s v="ORD02336"/>
    <x v="470"/>
    <x v="2"/>
    <x v="9"/>
    <x v="0"/>
    <x v="2319"/>
    <x v="2255"/>
    <x v="2"/>
    <x v="3"/>
  </r>
  <r>
    <s v="ORD02337"/>
    <x v="698"/>
    <x v="3"/>
    <x v="10"/>
    <x v="2"/>
    <x v="2320"/>
    <x v="2256"/>
    <x v="0"/>
    <x v="0"/>
  </r>
  <r>
    <s v="ORD02338"/>
    <x v="705"/>
    <x v="3"/>
    <x v="1"/>
    <x v="1"/>
    <x v="2321"/>
    <x v="2257"/>
    <x v="2"/>
    <x v="2"/>
  </r>
  <r>
    <s v="ORD02339"/>
    <x v="714"/>
    <x v="2"/>
    <x v="2"/>
    <x v="1"/>
    <x v="2322"/>
    <x v="2258"/>
    <x v="1"/>
    <x v="1"/>
  </r>
  <r>
    <s v="ORD02340"/>
    <x v="169"/>
    <x v="1"/>
    <x v="1"/>
    <x v="1"/>
    <x v="2323"/>
    <x v="2259"/>
    <x v="0"/>
    <x v="3"/>
  </r>
  <r>
    <s v="ORD02341"/>
    <x v="567"/>
    <x v="0"/>
    <x v="2"/>
    <x v="1"/>
    <x v="2324"/>
    <x v="2260"/>
    <x v="0"/>
    <x v="1"/>
  </r>
  <r>
    <s v="ORD02342"/>
    <x v="357"/>
    <x v="1"/>
    <x v="2"/>
    <x v="1"/>
    <x v="2325"/>
    <x v="2261"/>
    <x v="2"/>
    <x v="2"/>
  </r>
  <r>
    <s v="ORD02343"/>
    <x v="917"/>
    <x v="0"/>
    <x v="4"/>
    <x v="0"/>
    <x v="2326"/>
    <x v="2262"/>
    <x v="0"/>
    <x v="0"/>
  </r>
  <r>
    <s v="ORD02344"/>
    <x v="333"/>
    <x v="1"/>
    <x v="3"/>
    <x v="2"/>
    <x v="2327"/>
    <x v="2263"/>
    <x v="1"/>
    <x v="1"/>
  </r>
  <r>
    <s v="ORD02345"/>
    <x v="171"/>
    <x v="2"/>
    <x v="9"/>
    <x v="0"/>
    <x v="2328"/>
    <x v="2264"/>
    <x v="0"/>
    <x v="3"/>
  </r>
  <r>
    <s v="ORD02346"/>
    <x v="55"/>
    <x v="3"/>
    <x v="4"/>
    <x v="0"/>
    <x v="2329"/>
    <x v="2265"/>
    <x v="2"/>
    <x v="1"/>
  </r>
  <r>
    <s v="ORD02347"/>
    <x v="202"/>
    <x v="3"/>
    <x v="9"/>
    <x v="0"/>
    <x v="2330"/>
    <x v="2266"/>
    <x v="1"/>
    <x v="3"/>
  </r>
  <r>
    <s v="ORD02348"/>
    <x v="808"/>
    <x v="1"/>
    <x v="6"/>
    <x v="0"/>
    <x v="2331"/>
    <x v="2267"/>
    <x v="0"/>
    <x v="3"/>
  </r>
  <r>
    <s v="ORD02349"/>
    <x v="205"/>
    <x v="3"/>
    <x v="5"/>
    <x v="1"/>
    <x v="2332"/>
    <x v="2268"/>
    <x v="1"/>
    <x v="1"/>
  </r>
  <r>
    <s v="ORD02350"/>
    <x v="392"/>
    <x v="2"/>
    <x v="2"/>
    <x v="1"/>
    <x v="2333"/>
    <x v="2269"/>
    <x v="1"/>
    <x v="0"/>
  </r>
  <r>
    <s v="ORD02351"/>
    <x v="901"/>
    <x v="1"/>
    <x v="12"/>
    <x v="2"/>
    <x v="2334"/>
    <x v="2270"/>
    <x v="0"/>
    <x v="1"/>
  </r>
  <r>
    <s v="ORD02352"/>
    <x v="705"/>
    <x v="3"/>
    <x v="1"/>
    <x v="1"/>
    <x v="2335"/>
    <x v="2271"/>
    <x v="1"/>
    <x v="3"/>
  </r>
  <r>
    <s v="ORD02353"/>
    <x v="864"/>
    <x v="1"/>
    <x v="4"/>
    <x v="0"/>
    <x v="2336"/>
    <x v="2272"/>
    <x v="0"/>
    <x v="0"/>
  </r>
  <r>
    <s v="ORD02354"/>
    <x v="348"/>
    <x v="2"/>
    <x v="5"/>
    <x v="1"/>
    <x v="2337"/>
    <x v="2273"/>
    <x v="2"/>
    <x v="3"/>
  </r>
  <r>
    <s v="ORD02355"/>
    <x v="545"/>
    <x v="3"/>
    <x v="3"/>
    <x v="2"/>
    <x v="2338"/>
    <x v="2274"/>
    <x v="1"/>
    <x v="0"/>
  </r>
  <r>
    <s v="ORD02356"/>
    <x v="513"/>
    <x v="0"/>
    <x v="12"/>
    <x v="2"/>
    <x v="2339"/>
    <x v="2275"/>
    <x v="0"/>
    <x v="0"/>
  </r>
  <r>
    <s v="ORD02357"/>
    <x v="908"/>
    <x v="2"/>
    <x v="5"/>
    <x v="1"/>
    <x v="2340"/>
    <x v="2276"/>
    <x v="1"/>
    <x v="0"/>
  </r>
  <r>
    <s v="ORD02358"/>
    <x v="410"/>
    <x v="2"/>
    <x v="11"/>
    <x v="2"/>
    <x v="2341"/>
    <x v="2277"/>
    <x v="0"/>
    <x v="1"/>
  </r>
  <r>
    <s v="ORD02359"/>
    <x v="966"/>
    <x v="3"/>
    <x v="10"/>
    <x v="2"/>
    <x v="2342"/>
    <x v="1126"/>
    <x v="2"/>
    <x v="3"/>
  </r>
  <r>
    <s v="ORD02360"/>
    <x v="262"/>
    <x v="0"/>
    <x v="1"/>
    <x v="1"/>
    <x v="2343"/>
    <x v="2278"/>
    <x v="0"/>
    <x v="3"/>
  </r>
  <r>
    <s v="ORD02361"/>
    <x v="792"/>
    <x v="3"/>
    <x v="11"/>
    <x v="2"/>
    <x v="2344"/>
    <x v="2279"/>
    <x v="2"/>
    <x v="0"/>
  </r>
  <r>
    <s v="ORD02362"/>
    <x v="226"/>
    <x v="1"/>
    <x v="3"/>
    <x v="2"/>
    <x v="2345"/>
    <x v="2280"/>
    <x v="1"/>
    <x v="3"/>
  </r>
  <r>
    <s v="ORD02363"/>
    <x v="280"/>
    <x v="2"/>
    <x v="8"/>
    <x v="1"/>
    <x v="2346"/>
    <x v="2281"/>
    <x v="0"/>
    <x v="1"/>
  </r>
  <r>
    <s v="ORD02364"/>
    <x v="348"/>
    <x v="1"/>
    <x v="2"/>
    <x v="1"/>
    <x v="2347"/>
    <x v="2282"/>
    <x v="2"/>
    <x v="0"/>
  </r>
  <r>
    <s v="ORD02365"/>
    <x v="499"/>
    <x v="2"/>
    <x v="1"/>
    <x v="1"/>
    <x v="2348"/>
    <x v="2283"/>
    <x v="1"/>
    <x v="0"/>
  </r>
  <r>
    <s v="ORD02366"/>
    <x v="123"/>
    <x v="3"/>
    <x v="5"/>
    <x v="1"/>
    <x v="2349"/>
    <x v="2284"/>
    <x v="2"/>
    <x v="2"/>
  </r>
  <r>
    <s v="ORD02367"/>
    <x v="967"/>
    <x v="0"/>
    <x v="4"/>
    <x v="0"/>
    <x v="2350"/>
    <x v="2285"/>
    <x v="1"/>
    <x v="2"/>
  </r>
  <r>
    <s v="ORD02368"/>
    <x v="909"/>
    <x v="0"/>
    <x v="12"/>
    <x v="2"/>
    <x v="2351"/>
    <x v="2286"/>
    <x v="2"/>
    <x v="2"/>
  </r>
  <r>
    <s v="ORD02369"/>
    <x v="171"/>
    <x v="1"/>
    <x v="11"/>
    <x v="2"/>
    <x v="2352"/>
    <x v="2287"/>
    <x v="0"/>
    <x v="1"/>
  </r>
  <r>
    <s v="ORD02370"/>
    <x v="636"/>
    <x v="1"/>
    <x v="11"/>
    <x v="2"/>
    <x v="2353"/>
    <x v="2288"/>
    <x v="1"/>
    <x v="3"/>
  </r>
  <r>
    <s v="ORD02371"/>
    <x v="743"/>
    <x v="1"/>
    <x v="0"/>
    <x v="0"/>
    <x v="2354"/>
    <x v="2289"/>
    <x v="0"/>
    <x v="2"/>
  </r>
  <r>
    <s v="ORD02372"/>
    <x v="759"/>
    <x v="3"/>
    <x v="14"/>
    <x v="2"/>
    <x v="2355"/>
    <x v="760"/>
    <x v="0"/>
    <x v="2"/>
  </r>
  <r>
    <s v="ORD02373"/>
    <x v="311"/>
    <x v="1"/>
    <x v="6"/>
    <x v="0"/>
    <x v="2356"/>
    <x v="2290"/>
    <x v="2"/>
    <x v="0"/>
  </r>
  <r>
    <s v="ORD02374"/>
    <x v="968"/>
    <x v="1"/>
    <x v="7"/>
    <x v="0"/>
    <x v="2357"/>
    <x v="2291"/>
    <x v="0"/>
    <x v="3"/>
  </r>
  <r>
    <s v="ORD02375"/>
    <x v="969"/>
    <x v="2"/>
    <x v="11"/>
    <x v="2"/>
    <x v="2358"/>
    <x v="2292"/>
    <x v="2"/>
    <x v="1"/>
  </r>
  <r>
    <s v="ORD02376"/>
    <x v="633"/>
    <x v="2"/>
    <x v="12"/>
    <x v="2"/>
    <x v="2359"/>
    <x v="2293"/>
    <x v="0"/>
    <x v="2"/>
  </r>
  <r>
    <s v="ORD02377"/>
    <x v="180"/>
    <x v="2"/>
    <x v="1"/>
    <x v="1"/>
    <x v="2360"/>
    <x v="2294"/>
    <x v="0"/>
    <x v="3"/>
  </r>
  <r>
    <s v="ORD02378"/>
    <x v="738"/>
    <x v="2"/>
    <x v="7"/>
    <x v="0"/>
    <x v="2361"/>
    <x v="2295"/>
    <x v="2"/>
    <x v="0"/>
  </r>
  <r>
    <s v="ORD02379"/>
    <x v="171"/>
    <x v="3"/>
    <x v="14"/>
    <x v="2"/>
    <x v="2362"/>
    <x v="2296"/>
    <x v="1"/>
    <x v="3"/>
  </r>
  <r>
    <s v="ORD02380"/>
    <x v="794"/>
    <x v="0"/>
    <x v="4"/>
    <x v="0"/>
    <x v="2363"/>
    <x v="2297"/>
    <x v="0"/>
    <x v="3"/>
  </r>
  <r>
    <s v="ORD02381"/>
    <x v="533"/>
    <x v="1"/>
    <x v="13"/>
    <x v="1"/>
    <x v="2364"/>
    <x v="2298"/>
    <x v="0"/>
    <x v="0"/>
  </r>
  <r>
    <s v="ORD02382"/>
    <x v="418"/>
    <x v="3"/>
    <x v="3"/>
    <x v="2"/>
    <x v="2365"/>
    <x v="2299"/>
    <x v="0"/>
    <x v="1"/>
  </r>
  <r>
    <s v="ORD02383"/>
    <x v="177"/>
    <x v="1"/>
    <x v="10"/>
    <x v="2"/>
    <x v="2366"/>
    <x v="2300"/>
    <x v="0"/>
    <x v="2"/>
  </r>
  <r>
    <s v="ORD02384"/>
    <x v="31"/>
    <x v="3"/>
    <x v="4"/>
    <x v="0"/>
    <x v="2367"/>
    <x v="2301"/>
    <x v="2"/>
    <x v="0"/>
  </r>
  <r>
    <s v="ORD02385"/>
    <x v="823"/>
    <x v="0"/>
    <x v="8"/>
    <x v="1"/>
    <x v="2368"/>
    <x v="2302"/>
    <x v="1"/>
    <x v="2"/>
  </r>
  <r>
    <s v="ORD02386"/>
    <x v="610"/>
    <x v="3"/>
    <x v="2"/>
    <x v="1"/>
    <x v="2369"/>
    <x v="2303"/>
    <x v="1"/>
    <x v="1"/>
  </r>
  <r>
    <s v="ORD02387"/>
    <x v="40"/>
    <x v="2"/>
    <x v="5"/>
    <x v="1"/>
    <x v="2370"/>
    <x v="2304"/>
    <x v="2"/>
    <x v="2"/>
  </r>
  <r>
    <s v="ORD02388"/>
    <x v="968"/>
    <x v="0"/>
    <x v="7"/>
    <x v="0"/>
    <x v="2371"/>
    <x v="2305"/>
    <x v="1"/>
    <x v="2"/>
  </r>
  <r>
    <s v="ORD02389"/>
    <x v="262"/>
    <x v="0"/>
    <x v="5"/>
    <x v="1"/>
    <x v="2372"/>
    <x v="2306"/>
    <x v="1"/>
    <x v="0"/>
  </r>
  <r>
    <s v="ORD02390"/>
    <x v="843"/>
    <x v="3"/>
    <x v="6"/>
    <x v="0"/>
    <x v="2373"/>
    <x v="2307"/>
    <x v="2"/>
    <x v="3"/>
  </r>
  <r>
    <s v="ORD02391"/>
    <x v="774"/>
    <x v="2"/>
    <x v="11"/>
    <x v="2"/>
    <x v="2374"/>
    <x v="2308"/>
    <x v="0"/>
    <x v="1"/>
  </r>
  <r>
    <s v="ORD02392"/>
    <x v="346"/>
    <x v="3"/>
    <x v="8"/>
    <x v="1"/>
    <x v="2375"/>
    <x v="2309"/>
    <x v="1"/>
    <x v="3"/>
  </r>
  <r>
    <s v="ORD02393"/>
    <x v="886"/>
    <x v="1"/>
    <x v="12"/>
    <x v="2"/>
    <x v="2376"/>
    <x v="2310"/>
    <x v="1"/>
    <x v="0"/>
  </r>
  <r>
    <s v="ORD02394"/>
    <x v="600"/>
    <x v="1"/>
    <x v="6"/>
    <x v="0"/>
    <x v="2377"/>
    <x v="2311"/>
    <x v="1"/>
    <x v="0"/>
  </r>
  <r>
    <s v="ORD02395"/>
    <x v="970"/>
    <x v="0"/>
    <x v="11"/>
    <x v="2"/>
    <x v="2378"/>
    <x v="2312"/>
    <x v="1"/>
    <x v="3"/>
  </r>
  <r>
    <s v="ORD02396"/>
    <x v="971"/>
    <x v="0"/>
    <x v="10"/>
    <x v="2"/>
    <x v="2379"/>
    <x v="2313"/>
    <x v="2"/>
    <x v="0"/>
  </r>
  <r>
    <s v="ORD02397"/>
    <x v="830"/>
    <x v="2"/>
    <x v="5"/>
    <x v="1"/>
    <x v="2380"/>
    <x v="210"/>
    <x v="0"/>
    <x v="0"/>
  </r>
  <r>
    <s v="ORD02398"/>
    <x v="163"/>
    <x v="3"/>
    <x v="4"/>
    <x v="0"/>
    <x v="2381"/>
    <x v="2314"/>
    <x v="2"/>
    <x v="1"/>
  </r>
  <r>
    <s v="ORD02399"/>
    <x v="935"/>
    <x v="3"/>
    <x v="4"/>
    <x v="0"/>
    <x v="2382"/>
    <x v="2315"/>
    <x v="2"/>
    <x v="1"/>
  </r>
  <r>
    <s v="ORD02400"/>
    <x v="285"/>
    <x v="0"/>
    <x v="0"/>
    <x v="0"/>
    <x v="2383"/>
    <x v="2316"/>
    <x v="2"/>
    <x v="2"/>
  </r>
  <r>
    <s v="ORD02401"/>
    <x v="331"/>
    <x v="0"/>
    <x v="9"/>
    <x v="0"/>
    <x v="2384"/>
    <x v="2317"/>
    <x v="2"/>
    <x v="1"/>
  </r>
  <r>
    <s v="ORD02402"/>
    <x v="220"/>
    <x v="0"/>
    <x v="3"/>
    <x v="2"/>
    <x v="2385"/>
    <x v="2318"/>
    <x v="0"/>
    <x v="0"/>
  </r>
  <r>
    <s v="ORD02403"/>
    <x v="104"/>
    <x v="0"/>
    <x v="1"/>
    <x v="1"/>
    <x v="2386"/>
    <x v="2319"/>
    <x v="0"/>
    <x v="3"/>
  </r>
  <r>
    <s v="ORD02404"/>
    <x v="587"/>
    <x v="1"/>
    <x v="2"/>
    <x v="1"/>
    <x v="2387"/>
    <x v="2320"/>
    <x v="2"/>
    <x v="3"/>
  </r>
  <r>
    <s v="ORD02405"/>
    <x v="118"/>
    <x v="0"/>
    <x v="4"/>
    <x v="0"/>
    <x v="2388"/>
    <x v="2321"/>
    <x v="1"/>
    <x v="3"/>
  </r>
  <r>
    <s v="ORD02406"/>
    <x v="972"/>
    <x v="2"/>
    <x v="6"/>
    <x v="0"/>
    <x v="2389"/>
    <x v="2322"/>
    <x v="0"/>
    <x v="0"/>
  </r>
  <r>
    <s v="ORD02407"/>
    <x v="360"/>
    <x v="2"/>
    <x v="7"/>
    <x v="0"/>
    <x v="2390"/>
    <x v="2323"/>
    <x v="2"/>
    <x v="2"/>
  </r>
  <r>
    <s v="ORD02408"/>
    <x v="269"/>
    <x v="3"/>
    <x v="9"/>
    <x v="0"/>
    <x v="2391"/>
    <x v="2324"/>
    <x v="1"/>
    <x v="3"/>
  </r>
  <r>
    <s v="ORD02409"/>
    <x v="381"/>
    <x v="0"/>
    <x v="3"/>
    <x v="2"/>
    <x v="2392"/>
    <x v="2325"/>
    <x v="1"/>
    <x v="1"/>
  </r>
  <r>
    <s v="ORD02410"/>
    <x v="628"/>
    <x v="2"/>
    <x v="2"/>
    <x v="1"/>
    <x v="2393"/>
    <x v="2326"/>
    <x v="0"/>
    <x v="3"/>
  </r>
  <r>
    <s v="ORD02411"/>
    <x v="782"/>
    <x v="2"/>
    <x v="11"/>
    <x v="2"/>
    <x v="2394"/>
    <x v="1069"/>
    <x v="0"/>
    <x v="0"/>
  </r>
  <r>
    <s v="ORD02412"/>
    <x v="355"/>
    <x v="2"/>
    <x v="3"/>
    <x v="2"/>
    <x v="2395"/>
    <x v="2327"/>
    <x v="2"/>
    <x v="1"/>
  </r>
  <r>
    <s v="ORD02413"/>
    <x v="274"/>
    <x v="3"/>
    <x v="6"/>
    <x v="0"/>
    <x v="2396"/>
    <x v="2328"/>
    <x v="1"/>
    <x v="2"/>
  </r>
  <r>
    <s v="ORD02414"/>
    <x v="711"/>
    <x v="1"/>
    <x v="11"/>
    <x v="2"/>
    <x v="2397"/>
    <x v="1395"/>
    <x v="1"/>
    <x v="1"/>
  </r>
  <r>
    <s v="ORD02415"/>
    <x v="973"/>
    <x v="0"/>
    <x v="1"/>
    <x v="1"/>
    <x v="2398"/>
    <x v="2329"/>
    <x v="1"/>
    <x v="0"/>
  </r>
  <r>
    <s v="ORD02416"/>
    <x v="116"/>
    <x v="2"/>
    <x v="10"/>
    <x v="2"/>
    <x v="2399"/>
    <x v="2330"/>
    <x v="2"/>
    <x v="3"/>
  </r>
  <r>
    <s v="ORD02417"/>
    <x v="691"/>
    <x v="1"/>
    <x v="9"/>
    <x v="0"/>
    <x v="2400"/>
    <x v="2331"/>
    <x v="1"/>
    <x v="1"/>
  </r>
  <r>
    <s v="ORD02418"/>
    <x v="145"/>
    <x v="0"/>
    <x v="10"/>
    <x v="2"/>
    <x v="2401"/>
    <x v="2332"/>
    <x v="2"/>
    <x v="0"/>
  </r>
  <r>
    <s v="ORD02419"/>
    <x v="213"/>
    <x v="2"/>
    <x v="2"/>
    <x v="1"/>
    <x v="2402"/>
    <x v="2333"/>
    <x v="2"/>
    <x v="2"/>
  </r>
  <r>
    <s v="ORD02420"/>
    <x v="865"/>
    <x v="0"/>
    <x v="10"/>
    <x v="2"/>
    <x v="2403"/>
    <x v="2334"/>
    <x v="2"/>
    <x v="3"/>
  </r>
  <r>
    <s v="ORD02421"/>
    <x v="796"/>
    <x v="1"/>
    <x v="3"/>
    <x v="2"/>
    <x v="2404"/>
    <x v="235"/>
    <x v="0"/>
    <x v="1"/>
  </r>
  <r>
    <s v="ORD02422"/>
    <x v="70"/>
    <x v="1"/>
    <x v="5"/>
    <x v="1"/>
    <x v="2405"/>
    <x v="2335"/>
    <x v="1"/>
    <x v="0"/>
  </r>
  <r>
    <s v="ORD02423"/>
    <x v="974"/>
    <x v="3"/>
    <x v="3"/>
    <x v="2"/>
    <x v="2406"/>
    <x v="2336"/>
    <x v="2"/>
    <x v="0"/>
  </r>
  <r>
    <s v="ORD02424"/>
    <x v="975"/>
    <x v="2"/>
    <x v="2"/>
    <x v="1"/>
    <x v="2407"/>
    <x v="2337"/>
    <x v="2"/>
    <x v="0"/>
  </r>
  <r>
    <s v="ORD02425"/>
    <x v="459"/>
    <x v="3"/>
    <x v="2"/>
    <x v="1"/>
    <x v="2408"/>
    <x v="2338"/>
    <x v="1"/>
    <x v="2"/>
  </r>
  <r>
    <s v="ORD02426"/>
    <x v="321"/>
    <x v="2"/>
    <x v="1"/>
    <x v="1"/>
    <x v="2409"/>
    <x v="2339"/>
    <x v="1"/>
    <x v="2"/>
  </r>
  <r>
    <s v="ORD02427"/>
    <x v="939"/>
    <x v="3"/>
    <x v="13"/>
    <x v="1"/>
    <x v="2410"/>
    <x v="2340"/>
    <x v="0"/>
    <x v="3"/>
  </r>
  <r>
    <s v="ORD02428"/>
    <x v="976"/>
    <x v="1"/>
    <x v="2"/>
    <x v="1"/>
    <x v="2411"/>
    <x v="2341"/>
    <x v="2"/>
    <x v="1"/>
  </r>
  <r>
    <s v="ORD02429"/>
    <x v="681"/>
    <x v="2"/>
    <x v="4"/>
    <x v="0"/>
    <x v="2412"/>
    <x v="2342"/>
    <x v="0"/>
    <x v="0"/>
  </r>
  <r>
    <s v="ORD02430"/>
    <x v="628"/>
    <x v="0"/>
    <x v="11"/>
    <x v="2"/>
    <x v="2413"/>
    <x v="2343"/>
    <x v="0"/>
    <x v="3"/>
  </r>
  <r>
    <s v="ORD02431"/>
    <x v="977"/>
    <x v="3"/>
    <x v="14"/>
    <x v="2"/>
    <x v="2414"/>
    <x v="2344"/>
    <x v="0"/>
    <x v="0"/>
  </r>
  <r>
    <s v="ORD02432"/>
    <x v="701"/>
    <x v="2"/>
    <x v="12"/>
    <x v="2"/>
    <x v="2415"/>
    <x v="2345"/>
    <x v="2"/>
    <x v="2"/>
  </r>
  <r>
    <s v="ORD02433"/>
    <x v="294"/>
    <x v="2"/>
    <x v="10"/>
    <x v="2"/>
    <x v="2416"/>
    <x v="2346"/>
    <x v="2"/>
    <x v="1"/>
  </r>
  <r>
    <s v="ORD02434"/>
    <x v="869"/>
    <x v="0"/>
    <x v="12"/>
    <x v="2"/>
    <x v="2417"/>
    <x v="2347"/>
    <x v="0"/>
    <x v="3"/>
  </r>
  <r>
    <s v="ORD02435"/>
    <x v="978"/>
    <x v="2"/>
    <x v="4"/>
    <x v="0"/>
    <x v="2418"/>
    <x v="2348"/>
    <x v="1"/>
    <x v="0"/>
  </r>
  <r>
    <s v="ORD02436"/>
    <x v="91"/>
    <x v="0"/>
    <x v="14"/>
    <x v="2"/>
    <x v="2419"/>
    <x v="2349"/>
    <x v="1"/>
    <x v="1"/>
  </r>
  <r>
    <s v="ORD02437"/>
    <x v="752"/>
    <x v="0"/>
    <x v="1"/>
    <x v="1"/>
    <x v="2420"/>
    <x v="2350"/>
    <x v="0"/>
    <x v="3"/>
  </r>
  <r>
    <s v="ORD02438"/>
    <x v="275"/>
    <x v="0"/>
    <x v="14"/>
    <x v="2"/>
    <x v="2421"/>
    <x v="2351"/>
    <x v="0"/>
    <x v="2"/>
  </r>
  <r>
    <s v="ORD02439"/>
    <x v="327"/>
    <x v="3"/>
    <x v="1"/>
    <x v="1"/>
    <x v="2422"/>
    <x v="477"/>
    <x v="1"/>
    <x v="3"/>
  </r>
  <r>
    <s v="ORD02440"/>
    <x v="979"/>
    <x v="3"/>
    <x v="4"/>
    <x v="0"/>
    <x v="2423"/>
    <x v="2352"/>
    <x v="2"/>
    <x v="3"/>
  </r>
  <r>
    <s v="ORD02441"/>
    <x v="936"/>
    <x v="0"/>
    <x v="3"/>
    <x v="2"/>
    <x v="2424"/>
    <x v="2353"/>
    <x v="1"/>
    <x v="0"/>
  </r>
  <r>
    <s v="ORD02442"/>
    <x v="317"/>
    <x v="2"/>
    <x v="0"/>
    <x v="0"/>
    <x v="2425"/>
    <x v="2354"/>
    <x v="0"/>
    <x v="2"/>
  </r>
  <r>
    <s v="ORD02443"/>
    <x v="980"/>
    <x v="2"/>
    <x v="9"/>
    <x v="0"/>
    <x v="2426"/>
    <x v="2355"/>
    <x v="2"/>
    <x v="1"/>
  </r>
  <r>
    <s v="ORD02444"/>
    <x v="786"/>
    <x v="2"/>
    <x v="1"/>
    <x v="1"/>
    <x v="2427"/>
    <x v="2356"/>
    <x v="2"/>
    <x v="2"/>
  </r>
  <r>
    <s v="ORD02445"/>
    <x v="102"/>
    <x v="0"/>
    <x v="8"/>
    <x v="1"/>
    <x v="2428"/>
    <x v="2357"/>
    <x v="0"/>
    <x v="2"/>
  </r>
  <r>
    <s v="ORD02446"/>
    <x v="255"/>
    <x v="2"/>
    <x v="14"/>
    <x v="2"/>
    <x v="2429"/>
    <x v="2358"/>
    <x v="0"/>
    <x v="1"/>
  </r>
  <r>
    <s v="ORD02447"/>
    <x v="478"/>
    <x v="1"/>
    <x v="10"/>
    <x v="2"/>
    <x v="2430"/>
    <x v="2359"/>
    <x v="2"/>
    <x v="0"/>
  </r>
  <r>
    <s v="ORD02448"/>
    <x v="973"/>
    <x v="0"/>
    <x v="9"/>
    <x v="0"/>
    <x v="2431"/>
    <x v="2360"/>
    <x v="1"/>
    <x v="3"/>
  </r>
  <r>
    <s v="ORD02449"/>
    <x v="75"/>
    <x v="1"/>
    <x v="5"/>
    <x v="1"/>
    <x v="2432"/>
    <x v="2361"/>
    <x v="2"/>
    <x v="0"/>
  </r>
  <r>
    <s v="ORD02450"/>
    <x v="201"/>
    <x v="3"/>
    <x v="10"/>
    <x v="2"/>
    <x v="2433"/>
    <x v="2362"/>
    <x v="2"/>
    <x v="1"/>
  </r>
  <r>
    <s v="ORD02451"/>
    <x v="5"/>
    <x v="0"/>
    <x v="8"/>
    <x v="1"/>
    <x v="2434"/>
    <x v="2363"/>
    <x v="1"/>
    <x v="3"/>
  </r>
  <r>
    <s v="ORD02452"/>
    <x v="47"/>
    <x v="1"/>
    <x v="14"/>
    <x v="2"/>
    <x v="2435"/>
    <x v="2364"/>
    <x v="0"/>
    <x v="2"/>
  </r>
  <r>
    <s v="ORD02453"/>
    <x v="716"/>
    <x v="1"/>
    <x v="2"/>
    <x v="1"/>
    <x v="2436"/>
    <x v="2365"/>
    <x v="1"/>
    <x v="3"/>
  </r>
  <r>
    <s v="ORD02454"/>
    <x v="380"/>
    <x v="2"/>
    <x v="13"/>
    <x v="1"/>
    <x v="2437"/>
    <x v="2366"/>
    <x v="2"/>
    <x v="2"/>
  </r>
  <r>
    <s v="ORD02455"/>
    <x v="850"/>
    <x v="2"/>
    <x v="5"/>
    <x v="1"/>
    <x v="2438"/>
    <x v="2367"/>
    <x v="0"/>
    <x v="0"/>
  </r>
  <r>
    <s v="ORD02456"/>
    <x v="121"/>
    <x v="2"/>
    <x v="6"/>
    <x v="0"/>
    <x v="2439"/>
    <x v="2368"/>
    <x v="2"/>
    <x v="1"/>
  </r>
  <r>
    <s v="ORD02457"/>
    <x v="222"/>
    <x v="3"/>
    <x v="0"/>
    <x v="0"/>
    <x v="2440"/>
    <x v="2369"/>
    <x v="0"/>
    <x v="1"/>
  </r>
  <r>
    <s v="ORD02458"/>
    <x v="64"/>
    <x v="2"/>
    <x v="6"/>
    <x v="0"/>
    <x v="2441"/>
    <x v="2370"/>
    <x v="1"/>
    <x v="0"/>
  </r>
  <r>
    <s v="ORD02459"/>
    <x v="351"/>
    <x v="0"/>
    <x v="13"/>
    <x v="1"/>
    <x v="2442"/>
    <x v="2371"/>
    <x v="1"/>
    <x v="0"/>
  </r>
  <r>
    <s v="ORD02460"/>
    <x v="233"/>
    <x v="3"/>
    <x v="5"/>
    <x v="1"/>
    <x v="2443"/>
    <x v="166"/>
    <x v="0"/>
    <x v="1"/>
  </r>
  <r>
    <s v="ORD02461"/>
    <x v="607"/>
    <x v="3"/>
    <x v="14"/>
    <x v="2"/>
    <x v="2444"/>
    <x v="2372"/>
    <x v="2"/>
    <x v="2"/>
  </r>
  <r>
    <s v="ORD02462"/>
    <x v="535"/>
    <x v="0"/>
    <x v="2"/>
    <x v="1"/>
    <x v="2445"/>
    <x v="2266"/>
    <x v="2"/>
    <x v="1"/>
  </r>
  <r>
    <s v="ORD02463"/>
    <x v="981"/>
    <x v="2"/>
    <x v="10"/>
    <x v="2"/>
    <x v="2446"/>
    <x v="2373"/>
    <x v="1"/>
    <x v="0"/>
  </r>
  <r>
    <s v="ORD02464"/>
    <x v="441"/>
    <x v="3"/>
    <x v="4"/>
    <x v="0"/>
    <x v="2447"/>
    <x v="2374"/>
    <x v="2"/>
    <x v="3"/>
  </r>
  <r>
    <s v="ORD02465"/>
    <x v="41"/>
    <x v="2"/>
    <x v="1"/>
    <x v="1"/>
    <x v="2448"/>
    <x v="2375"/>
    <x v="1"/>
    <x v="1"/>
  </r>
  <r>
    <s v="ORD02466"/>
    <x v="917"/>
    <x v="0"/>
    <x v="11"/>
    <x v="2"/>
    <x v="2449"/>
    <x v="2376"/>
    <x v="0"/>
    <x v="1"/>
  </r>
  <r>
    <s v="ORD02467"/>
    <x v="243"/>
    <x v="0"/>
    <x v="7"/>
    <x v="0"/>
    <x v="2450"/>
    <x v="2377"/>
    <x v="0"/>
    <x v="1"/>
  </r>
  <r>
    <s v="ORD02468"/>
    <x v="163"/>
    <x v="1"/>
    <x v="7"/>
    <x v="0"/>
    <x v="2451"/>
    <x v="535"/>
    <x v="1"/>
    <x v="1"/>
  </r>
  <r>
    <s v="ORD02469"/>
    <x v="569"/>
    <x v="3"/>
    <x v="1"/>
    <x v="1"/>
    <x v="2452"/>
    <x v="2378"/>
    <x v="1"/>
    <x v="0"/>
  </r>
  <r>
    <s v="ORD02470"/>
    <x v="865"/>
    <x v="3"/>
    <x v="10"/>
    <x v="2"/>
    <x v="2453"/>
    <x v="1534"/>
    <x v="0"/>
    <x v="2"/>
  </r>
  <r>
    <s v="ORD02471"/>
    <x v="620"/>
    <x v="3"/>
    <x v="1"/>
    <x v="1"/>
    <x v="2454"/>
    <x v="2379"/>
    <x v="0"/>
    <x v="3"/>
  </r>
  <r>
    <s v="ORD02472"/>
    <x v="497"/>
    <x v="3"/>
    <x v="11"/>
    <x v="2"/>
    <x v="2455"/>
    <x v="2380"/>
    <x v="0"/>
    <x v="2"/>
  </r>
  <r>
    <s v="ORD02473"/>
    <x v="586"/>
    <x v="1"/>
    <x v="2"/>
    <x v="1"/>
    <x v="2456"/>
    <x v="2381"/>
    <x v="0"/>
    <x v="3"/>
  </r>
  <r>
    <s v="ORD02474"/>
    <x v="360"/>
    <x v="1"/>
    <x v="8"/>
    <x v="1"/>
    <x v="2457"/>
    <x v="2382"/>
    <x v="2"/>
    <x v="3"/>
  </r>
  <r>
    <s v="ORD02475"/>
    <x v="415"/>
    <x v="2"/>
    <x v="14"/>
    <x v="2"/>
    <x v="2458"/>
    <x v="2383"/>
    <x v="2"/>
    <x v="0"/>
  </r>
  <r>
    <s v="ORD02476"/>
    <x v="174"/>
    <x v="0"/>
    <x v="13"/>
    <x v="1"/>
    <x v="2459"/>
    <x v="2384"/>
    <x v="2"/>
    <x v="2"/>
  </r>
  <r>
    <s v="ORD02477"/>
    <x v="213"/>
    <x v="0"/>
    <x v="2"/>
    <x v="1"/>
    <x v="2460"/>
    <x v="2385"/>
    <x v="1"/>
    <x v="3"/>
  </r>
  <r>
    <s v="ORD02478"/>
    <x v="29"/>
    <x v="3"/>
    <x v="6"/>
    <x v="0"/>
    <x v="2461"/>
    <x v="2386"/>
    <x v="0"/>
    <x v="3"/>
  </r>
  <r>
    <s v="ORD02479"/>
    <x v="131"/>
    <x v="3"/>
    <x v="4"/>
    <x v="0"/>
    <x v="2462"/>
    <x v="2387"/>
    <x v="0"/>
    <x v="1"/>
  </r>
  <r>
    <s v="ORD02480"/>
    <x v="705"/>
    <x v="2"/>
    <x v="14"/>
    <x v="2"/>
    <x v="2463"/>
    <x v="2388"/>
    <x v="1"/>
    <x v="0"/>
  </r>
  <r>
    <s v="ORD02481"/>
    <x v="982"/>
    <x v="1"/>
    <x v="0"/>
    <x v="0"/>
    <x v="2464"/>
    <x v="2389"/>
    <x v="1"/>
    <x v="1"/>
  </r>
  <r>
    <s v="ORD02482"/>
    <x v="671"/>
    <x v="1"/>
    <x v="9"/>
    <x v="0"/>
    <x v="2465"/>
    <x v="2390"/>
    <x v="2"/>
    <x v="3"/>
  </r>
  <r>
    <s v="ORD02483"/>
    <x v="390"/>
    <x v="2"/>
    <x v="11"/>
    <x v="2"/>
    <x v="2466"/>
    <x v="2391"/>
    <x v="0"/>
    <x v="3"/>
  </r>
  <r>
    <s v="ORD02484"/>
    <x v="393"/>
    <x v="2"/>
    <x v="2"/>
    <x v="1"/>
    <x v="2467"/>
    <x v="2392"/>
    <x v="2"/>
    <x v="3"/>
  </r>
  <r>
    <s v="ORD02485"/>
    <x v="957"/>
    <x v="3"/>
    <x v="11"/>
    <x v="2"/>
    <x v="268"/>
    <x v="2393"/>
    <x v="0"/>
    <x v="0"/>
  </r>
  <r>
    <s v="ORD02486"/>
    <x v="320"/>
    <x v="0"/>
    <x v="3"/>
    <x v="2"/>
    <x v="2468"/>
    <x v="388"/>
    <x v="0"/>
    <x v="3"/>
  </r>
  <r>
    <s v="ORD02487"/>
    <x v="716"/>
    <x v="0"/>
    <x v="2"/>
    <x v="1"/>
    <x v="2469"/>
    <x v="2394"/>
    <x v="0"/>
    <x v="3"/>
  </r>
  <r>
    <s v="ORD02488"/>
    <x v="983"/>
    <x v="1"/>
    <x v="5"/>
    <x v="1"/>
    <x v="2470"/>
    <x v="2395"/>
    <x v="1"/>
    <x v="1"/>
  </r>
  <r>
    <s v="ORD02489"/>
    <x v="165"/>
    <x v="2"/>
    <x v="2"/>
    <x v="1"/>
    <x v="2471"/>
    <x v="2396"/>
    <x v="2"/>
    <x v="0"/>
  </r>
  <r>
    <s v="ORD02490"/>
    <x v="570"/>
    <x v="1"/>
    <x v="6"/>
    <x v="0"/>
    <x v="2472"/>
    <x v="2397"/>
    <x v="2"/>
    <x v="1"/>
  </r>
  <r>
    <s v="ORD02491"/>
    <x v="899"/>
    <x v="1"/>
    <x v="5"/>
    <x v="1"/>
    <x v="2473"/>
    <x v="2398"/>
    <x v="0"/>
    <x v="3"/>
  </r>
  <r>
    <s v="ORD02492"/>
    <x v="944"/>
    <x v="3"/>
    <x v="11"/>
    <x v="2"/>
    <x v="2474"/>
    <x v="2399"/>
    <x v="1"/>
    <x v="2"/>
  </r>
  <r>
    <s v="ORD02493"/>
    <x v="148"/>
    <x v="2"/>
    <x v="11"/>
    <x v="2"/>
    <x v="2475"/>
    <x v="2400"/>
    <x v="2"/>
    <x v="2"/>
  </r>
  <r>
    <s v="ORD02494"/>
    <x v="883"/>
    <x v="3"/>
    <x v="14"/>
    <x v="2"/>
    <x v="2476"/>
    <x v="2401"/>
    <x v="0"/>
    <x v="1"/>
  </r>
  <r>
    <s v="ORD02495"/>
    <x v="334"/>
    <x v="3"/>
    <x v="11"/>
    <x v="2"/>
    <x v="2477"/>
    <x v="1756"/>
    <x v="1"/>
    <x v="3"/>
  </r>
  <r>
    <s v="ORD02496"/>
    <x v="36"/>
    <x v="3"/>
    <x v="6"/>
    <x v="0"/>
    <x v="2478"/>
    <x v="2402"/>
    <x v="2"/>
    <x v="1"/>
  </r>
  <r>
    <s v="ORD02497"/>
    <x v="396"/>
    <x v="2"/>
    <x v="12"/>
    <x v="2"/>
    <x v="2479"/>
    <x v="2403"/>
    <x v="2"/>
    <x v="0"/>
  </r>
  <r>
    <s v="ORD02498"/>
    <x v="233"/>
    <x v="1"/>
    <x v="6"/>
    <x v="0"/>
    <x v="2480"/>
    <x v="2404"/>
    <x v="0"/>
    <x v="3"/>
  </r>
  <r>
    <s v="ORD02499"/>
    <x v="147"/>
    <x v="1"/>
    <x v="7"/>
    <x v="0"/>
    <x v="2481"/>
    <x v="2405"/>
    <x v="1"/>
    <x v="2"/>
  </r>
  <r>
    <s v="ORD02500"/>
    <x v="255"/>
    <x v="1"/>
    <x v="4"/>
    <x v="0"/>
    <x v="2482"/>
    <x v="2406"/>
    <x v="0"/>
    <x v="3"/>
  </r>
  <r>
    <s v="ORD02501"/>
    <x v="66"/>
    <x v="2"/>
    <x v="5"/>
    <x v="1"/>
    <x v="2483"/>
    <x v="2407"/>
    <x v="2"/>
    <x v="0"/>
  </r>
  <r>
    <s v="ORD02502"/>
    <x v="861"/>
    <x v="1"/>
    <x v="3"/>
    <x v="2"/>
    <x v="2484"/>
    <x v="2408"/>
    <x v="0"/>
    <x v="0"/>
  </r>
  <r>
    <s v="ORD02503"/>
    <x v="984"/>
    <x v="2"/>
    <x v="9"/>
    <x v="0"/>
    <x v="2485"/>
    <x v="2409"/>
    <x v="1"/>
    <x v="2"/>
  </r>
  <r>
    <s v="ORD02504"/>
    <x v="985"/>
    <x v="3"/>
    <x v="14"/>
    <x v="2"/>
    <x v="2486"/>
    <x v="2410"/>
    <x v="0"/>
    <x v="1"/>
  </r>
  <r>
    <s v="ORD02505"/>
    <x v="736"/>
    <x v="2"/>
    <x v="14"/>
    <x v="2"/>
    <x v="2487"/>
    <x v="2411"/>
    <x v="1"/>
    <x v="1"/>
  </r>
  <r>
    <s v="ORD02506"/>
    <x v="541"/>
    <x v="3"/>
    <x v="8"/>
    <x v="1"/>
    <x v="2488"/>
    <x v="2412"/>
    <x v="2"/>
    <x v="3"/>
  </r>
  <r>
    <s v="ORD02507"/>
    <x v="986"/>
    <x v="0"/>
    <x v="13"/>
    <x v="1"/>
    <x v="2489"/>
    <x v="2413"/>
    <x v="2"/>
    <x v="1"/>
  </r>
  <r>
    <s v="ORD02508"/>
    <x v="835"/>
    <x v="1"/>
    <x v="7"/>
    <x v="0"/>
    <x v="2490"/>
    <x v="2414"/>
    <x v="0"/>
    <x v="2"/>
  </r>
  <r>
    <s v="ORD02509"/>
    <x v="119"/>
    <x v="0"/>
    <x v="13"/>
    <x v="1"/>
    <x v="2491"/>
    <x v="2415"/>
    <x v="0"/>
    <x v="1"/>
  </r>
  <r>
    <s v="ORD02510"/>
    <x v="984"/>
    <x v="0"/>
    <x v="9"/>
    <x v="0"/>
    <x v="2492"/>
    <x v="2416"/>
    <x v="1"/>
    <x v="2"/>
  </r>
  <r>
    <s v="ORD02511"/>
    <x v="711"/>
    <x v="0"/>
    <x v="4"/>
    <x v="0"/>
    <x v="2493"/>
    <x v="2417"/>
    <x v="2"/>
    <x v="2"/>
  </r>
  <r>
    <s v="ORD02512"/>
    <x v="392"/>
    <x v="2"/>
    <x v="3"/>
    <x v="2"/>
    <x v="2494"/>
    <x v="2418"/>
    <x v="1"/>
    <x v="3"/>
  </r>
  <r>
    <s v="ORD02513"/>
    <x v="270"/>
    <x v="0"/>
    <x v="8"/>
    <x v="1"/>
    <x v="2495"/>
    <x v="2419"/>
    <x v="0"/>
    <x v="3"/>
  </r>
  <r>
    <s v="ORD02514"/>
    <x v="889"/>
    <x v="0"/>
    <x v="9"/>
    <x v="0"/>
    <x v="2496"/>
    <x v="2420"/>
    <x v="2"/>
    <x v="3"/>
  </r>
  <r>
    <s v="ORD02515"/>
    <x v="959"/>
    <x v="2"/>
    <x v="13"/>
    <x v="1"/>
    <x v="2497"/>
    <x v="2421"/>
    <x v="1"/>
    <x v="1"/>
  </r>
  <r>
    <s v="ORD02516"/>
    <x v="613"/>
    <x v="1"/>
    <x v="0"/>
    <x v="0"/>
    <x v="2498"/>
    <x v="2422"/>
    <x v="2"/>
    <x v="2"/>
  </r>
  <r>
    <s v="ORD02517"/>
    <x v="371"/>
    <x v="1"/>
    <x v="2"/>
    <x v="1"/>
    <x v="2499"/>
    <x v="2423"/>
    <x v="0"/>
    <x v="1"/>
  </r>
  <r>
    <s v="ORD02518"/>
    <x v="679"/>
    <x v="3"/>
    <x v="7"/>
    <x v="0"/>
    <x v="2500"/>
    <x v="2424"/>
    <x v="2"/>
    <x v="2"/>
  </r>
  <r>
    <s v="ORD02519"/>
    <x v="332"/>
    <x v="1"/>
    <x v="10"/>
    <x v="2"/>
    <x v="2501"/>
    <x v="2425"/>
    <x v="1"/>
    <x v="1"/>
  </r>
  <r>
    <s v="ORD02520"/>
    <x v="371"/>
    <x v="1"/>
    <x v="0"/>
    <x v="0"/>
    <x v="2502"/>
    <x v="2426"/>
    <x v="1"/>
    <x v="1"/>
  </r>
  <r>
    <s v="ORD02521"/>
    <x v="422"/>
    <x v="3"/>
    <x v="10"/>
    <x v="2"/>
    <x v="2503"/>
    <x v="2427"/>
    <x v="1"/>
    <x v="3"/>
  </r>
  <r>
    <s v="ORD02522"/>
    <x v="987"/>
    <x v="2"/>
    <x v="8"/>
    <x v="1"/>
    <x v="2504"/>
    <x v="2428"/>
    <x v="1"/>
    <x v="0"/>
  </r>
  <r>
    <s v="ORD02523"/>
    <x v="362"/>
    <x v="2"/>
    <x v="10"/>
    <x v="2"/>
    <x v="2505"/>
    <x v="2429"/>
    <x v="1"/>
    <x v="0"/>
  </r>
  <r>
    <s v="ORD02525"/>
    <x v="961"/>
    <x v="1"/>
    <x v="4"/>
    <x v="0"/>
    <x v="2506"/>
    <x v="2430"/>
    <x v="1"/>
    <x v="3"/>
  </r>
  <r>
    <s v="ORD02526"/>
    <x v="666"/>
    <x v="3"/>
    <x v="2"/>
    <x v="1"/>
    <x v="2507"/>
    <x v="2431"/>
    <x v="1"/>
    <x v="1"/>
  </r>
  <r>
    <s v="ORD02527"/>
    <x v="822"/>
    <x v="1"/>
    <x v="4"/>
    <x v="0"/>
    <x v="2508"/>
    <x v="2056"/>
    <x v="0"/>
    <x v="1"/>
  </r>
  <r>
    <s v="ORD02528"/>
    <x v="268"/>
    <x v="1"/>
    <x v="13"/>
    <x v="1"/>
    <x v="2509"/>
    <x v="2432"/>
    <x v="2"/>
    <x v="1"/>
  </r>
  <r>
    <s v="ORD02529"/>
    <x v="708"/>
    <x v="1"/>
    <x v="6"/>
    <x v="0"/>
    <x v="2510"/>
    <x v="2433"/>
    <x v="2"/>
    <x v="1"/>
  </r>
  <r>
    <s v="ORD02530"/>
    <x v="705"/>
    <x v="0"/>
    <x v="9"/>
    <x v="0"/>
    <x v="2511"/>
    <x v="2434"/>
    <x v="2"/>
    <x v="2"/>
  </r>
  <r>
    <s v="ORD02531"/>
    <x v="947"/>
    <x v="1"/>
    <x v="5"/>
    <x v="1"/>
    <x v="2512"/>
    <x v="2435"/>
    <x v="1"/>
    <x v="0"/>
  </r>
  <r>
    <s v="ORD02532"/>
    <x v="946"/>
    <x v="3"/>
    <x v="4"/>
    <x v="0"/>
    <x v="2513"/>
    <x v="2436"/>
    <x v="0"/>
    <x v="1"/>
  </r>
  <r>
    <s v="ORD02533"/>
    <x v="931"/>
    <x v="2"/>
    <x v="6"/>
    <x v="0"/>
    <x v="2514"/>
    <x v="2437"/>
    <x v="0"/>
    <x v="1"/>
  </r>
  <r>
    <s v="ORD02534"/>
    <x v="759"/>
    <x v="0"/>
    <x v="12"/>
    <x v="2"/>
    <x v="2515"/>
    <x v="2438"/>
    <x v="1"/>
    <x v="1"/>
  </r>
  <r>
    <s v="ORD02535"/>
    <x v="918"/>
    <x v="2"/>
    <x v="3"/>
    <x v="2"/>
    <x v="2516"/>
    <x v="2439"/>
    <x v="1"/>
    <x v="2"/>
  </r>
  <r>
    <s v="ORD02536"/>
    <x v="583"/>
    <x v="1"/>
    <x v="10"/>
    <x v="2"/>
    <x v="2517"/>
    <x v="2440"/>
    <x v="0"/>
    <x v="3"/>
  </r>
  <r>
    <s v="ORD02537"/>
    <x v="416"/>
    <x v="0"/>
    <x v="4"/>
    <x v="0"/>
    <x v="2518"/>
    <x v="2441"/>
    <x v="0"/>
    <x v="2"/>
  </r>
  <r>
    <s v="ORD02538"/>
    <x v="870"/>
    <x v="0"/>
    <x v="1"/>
    <x v="1"/>
    <x v="2519"/>
    <x v="2442"/>
    <x v="0"/>
    <x v="1"/>
  </r>
  <r>
    <s v="ORD02539"/>
    <x v="988"/>
    <x v="0"/>
    <x v="10"/>
    <x v="2"/>
    <x v="2520"/>
    <x v="2443"/>
    <x v="0"/>
    <x v="3"/>
  </r>
  <r>
    <s v="ORD02540"/>
    <x v="321"/>
    <x v="2"/>
    <x v="0"/>
    <x v="0"/>
    <x v="2521"/>
    <x v="2444"/>
    <x v="0"/>
    <x v="2"/>
  </r>
  <r>
    <s v="ORD02541"/>
    <x v="144"/>
    <x v="1"/>
    <x v="6"/>
    <x v="0"/>
    <x v="2522"/>
    <x v="1934"/>
    <x v="2"/>
    <x v="1"/>
  </r>
  <r>
    <s v="ORD02542"/>
    <x v="277"/>
    <x v="1"/>
    <x v="1"/>
    <x v="1"/>
    <x v="2523"/>
    <x v="2445"/>
    <x v="0"/>
    <x v="3"/>
  </r>
  <r>
    <s v="ORD02543"/>
    <x v="633"/>
    <x v="3"/>
    <x v="10"/>
    <x v="2"/>
    <x v="2524"/>
    <x v="2446"/>
    <x v="0"/>
    <x v="0"/>
  </r>
  <r>
    <s v="ORD02544"/>
    <x v="594"/>
    <x v="2"/>
    <x v="0"/>
    <x v="0"/>
    <x v="2525"/>
    <x v="2447"/>
    <x v="1"/>
    <x v="1"/>
  </r>
  <r>
    <s v="ORD02545"/>
    <x v="150"/>
    <x v="2"/>
    <x v="1"/>
    <x v="1"/>
    <x v="2526"/>
    <x v="2448"/>
    <x v="0"/>
    <x v="2"/>
  </r>
  <r>
    <s v="ORD02546"/>
    <x v="842"/>
    <x v="3"/>
    <x v="1"/>
    <x v="1"/>
    <x v="2527"/>
    <x v="2449"/>
    <x v="2"/>
    <x v="1"/>
  </r>
  <r>
    <s v="ORD02547"/>
    <x v="989"/>
    <x v="3"/>
    <x v="6"/>
    <x v="0"/>
    <x v="2528"/>
    <x v="2450"/>
    <x v="0"/>
    <x v="1"/>
  </r>
  <r>
    <s v="ORD02548"/>
    <x v="990"/>
    <x v="2"/>
    <x v="5"/>
    <x v="1"/>
    <x v="2529"/>
    <x v="2451"/>
    <x v="1"/>
    <x v="0"/>
  </r>
  <r>
    <s v="ORD02549"/>
    <x v="411"/>
    <x v="0"/>
    <x v="12"/>
    <x v="2"/>
    <x v="2530"/>
    <x v="2452"/>
    <x v="0"/>
    <x v="2"/>
  </r>
  <r>
    <s v="ORD02550"/>
    <x v="346"/>
    <x v="2"/>
    <x v="13"/>
    <x v="1"/>
    <x v="2531"/>
    <x v="2453"/>
    <x v="0"/>
    <x v="0"/>
  </r>
  <r>
    <s v="ORD02551"/>
    <x v="521"/>
    <x v="2"/>
    <x v="11"/>
    <x v="2"/>
    <x v="2532"/>
    <x v="2454"/>
    <x v="1"/>
    <x v="0"/>
  </r>
  <r>
    <s v="ORD02552"/>
    <x v="862"/>
    <x v="0"/>
    <x v="9"/>
    <x v="0"/>
    <x v="2533"/>
    <x v="2455"/>
    <x v="1"/>
    <x v="2"/>
  </r>
  <r>
    <s v="ORD02553"/>
    <x v="715"/>
    <x v="3"/>
    <x v="1"/>
    <x v="1"/>
    <x v="2534"/>
    <x v="2456"/>
    <x v="1"/>
    <x v="1"/>
  </r>
  <r>
    <s v="ORD02554"/>
    <x v="866"/>
    <x v="0"/>
    <x v="3"/>
    <x v="2"/>
    <x v="2535"/>
    <x v="2457"/>
    <x v="0"/>
    <x v="2"/>
  </r>
  <r>
    <s v="ORD02555"/>
    <x v="428"/>
    <x v="0"/>
    <x v="3"/>
    <x v="2"/>
    <x v="2536"/>
    <x v="2458"/>
    <x v="1"/>
    <x v="2"/>
  </r>
  <r>
    <s v="ORD02556"/>
    <x v="103"/>
    <x v="1"/>
    <x v="3"/>
    <x v="2"/>
    <x v="2537"/>
    <x v="2459"/>
    <x v="1"/>
    <x v="3"/>
  </r>
  <r>
    <s v="ORD02557"/>
    <x v="185"/>
    <x v="2"/>
    <x v="1"/>
    <x v="1"/>
    <x v="2538"/>
    <x v="402"/>
    <x v="0"/>
    <x v="0"/>
  </r>
  <r>
    <s v="ORD02558"/>
    <x v="172"/>
    <x v="1"/>
    <x v="11"/>
    <x v="2"/>
    <x v="2539"/>
    <x v="2460"/>
    <x v="2"/>
    <x v="3"/>
  </r>
  <r>
    <s v="ORD02559"/>
    <x v="531"/>
    <x v="3"/>
    <x v="6"/>
    <x v="0"/>
    <x v="2540"/>
    <x v="2461"/>
    <x v="0"/>
    <x v="1"/>
  </r>
  <r>
    <s v="ORD02560"/>
    <x v="87"/>
    <x v="0"/>
    <x v="7"/>
    <x v="0"/>
    <x v="2541"/>
    <x v="2462"/>
    <x v="2"/>
    <x v="3"/>
  </r>
  <r>
    <s v="ORD02561"/>
    <x v="444"/>
    <x v="1"/>
    <x v="12"/>
    <x v="2"/>
    <x v="2542"/>
    <x v="2463"/>
    <x v="1"/>
    <x v="2"/>
  </r>
  <r>
    <s v="ORD02562"/>
    <x v="991"/>
    <x v="3"/>
    <x v="4"/>
    <x v="0"/>
    <x v="2543"/>
    <x v="2464"/>
    <x v="1"/>
    <x v="3"/>
  </r>
  <r>
    <s v="ORD02563"/>
    <x v="341"/>
    <x v="3"/>
    <x v="1"/>
    <x v="1"/>
    <x v="2544"/>
    <x v="631"/>
    <x v="0"/>
    <x v="2"/>
  </r>
  <r>
    <s v="ORD02564"/>
    <x v="118"/>
    <x v="3"/>
    <x v="14"/>
    <x v="2"/>
    <x v="2545"/>
    <x v="2465"/>
    <x v="0"/>
    <x v="3"/>
  </r>
  <r>
    <s v="ORD02565"/>
    <x v="944"/>
    <x v="3"/>
    <x v="12"/>
    <x v="2"/>
    <x v="2546"/>
    <x v="2466"/>
    <x v="1"/>
    <x v="3"/>
  </r>
  <r>
    <s v="ORD02566"/>
    <x v="490"/>
    <x v="0"/>
    <x v="7"/>
    <x v="0"/>
    <x v="2547"/>
    <x v="2467"/>
    <x v="1"/>
    <x v="3"/>
  </r>
  <r>
    <s v="ORD02567"/>
    <x v="786"/>
    <x v="0"/>
    <x v="1"/>
    <x v="1"/>
    <x v="2548"/>
    <x v="2468"/>
    <x v="2"/>
    <x v="1"/>
  </r>
  <r>
    <s v="ORD02568"/>
    <x v="890"/>
    <x v="0"/>
    <x v="2"/>
    <x v="1"/>
    <x v="2549"/>
    <x v="2469"/>
    <x v="0"/>
    <x v="2"/>
  </r>
  <r>
    <s v="ORD02569"/>
    <x v="992"/>
    <x v="0"/>
    <x v="1"/>
    <x v="1"/>
    <x v="2550"/>
    <x v="2470"/>
    <x v="2"/>
    <x v="2"/>
  </r>
  <r>
    <s v="ORD02570"/>
    <x v="780"/>
    <x v="2"/>
    <x v="11"/>
    <x v="2"/>
    <x v="2551"/>
    <x v="2471"/>
    <x v="0"/>
    <x v="3"/>
  </r>
  <r>
    <s v="ORD02571"/>
    <x v="993"/>
    <x v="2"/>
    <x v="0"/>
    <x v="0"/>
    <x v="2552"/>
    <x v="2472"/>
    <x v="2"/>
    <x v="1"/>
  </r>
  <r>
    <s v="ORD02572"/>
    <x v="789"/>
    <x v="1"/>
    <x v="3"/>
    <x v="2"/>
    <x v="2553"/>
    <x v="2473"/>
    <x v="2"/>
    <x v="0"/>
  </r>
  <r>
    <s v="ORD02573"/>
    <x v="30"/>
    <x v="0"/>
    <x v="3"/>
    <x v="2"/>
    <x v="2554"/>
    <x v="2474"/>
    <x v="0"/>
    <x v="0"/>
  </r>
  <r>
    <s v="ORD02574"/>
    <x v="672"/>
    <x v="1"/>
    <x v="9"/>
    <x v="0"/>
    <x v="2555"/>
    <x v="2475"/>
    <x v="1"/>
    <x v="3"/>
  </r>
  <r>
    <s v="ORD02575"/>
    <x v="994"/>
    <x v="3"/>
    <x v="8"/>
    <x v="1"/>
    <x v="2556"/>
    <x v="2183"/>
    <x v="1"/>
    <x v="3"/>
  </r>
  <r>
    <s v="ORD02576"/>
    <x v="501"/>
    <x v="1"/>
    <x v="3"/>
    <x v="2"/>
    <x v="2557"/>
    <x v="2476"/>
    <x v="1"/>
    <x v="3"/>
  </r>
  <r>
    <s v="ORD02577"/>
    <x v="120"/>
    <x v="0"/>
    <x v="4"/>
    <x v="0"/>
    <x v="2558"/>
    <x v="2477"/>
    <x v="1"/>
    <x v="3"/>
  </r>
  <r>
    <s v="ORD02578"/>
    <x v="633"/>
    <x v="0"/>
    <x v="3"/>
    <x v="2"/>
    <x v="2559"/>
    <x v="2478"/>
    <x v="1"/>
    <x v="3"/>
  </r>
  <r>
    <s v="ORD02579"/>
    <x v="919"/>
    <x v="1"/>
    <x v="13"/>
    <x v="1"/>
    <x v="2560"/>
    <x v="2479"/>
    <x v="2"/>
    <x v="0"/>
  </r>
  <r>
    <s v="ORD02580"/>
    <x v="995"/>
    <x v="1"/>
    <x v="4"/>
    <x v="0"/>
    <x v="2561"/>
    <x v="2480"/>
    <x v="2"/>
    <x v="2"/>
  </r>
  <r>
    <s v="ORD02581"/>
    <x v="775"/>
    <x v="3"/>
    <x v="3"/>
    <x v="2"/>
    <x v="2562"/>
    <x v="2481"/>
    <x v="1"/>
    <x v="1"/>
  </r>
  <r>
    <s v="ORD02582"/>
    <x v="466"/>
    <x v="0"/>
    <x v="14"/>
    <x v="2"/>
    <x v="2563"/>
    <x v="2482"/>
    <x v="1"/>
    <x v="0"/>
  </r>
  <r>
    <s v="ORD02583"/>
    <x v="545"/>
    <x v="3"/>
    <x v="3"/>
    <x v="2"/>
    <x v="2564"/>
    <x v="2483"/>
    <x v="2"/>
    <x v="3"/>
  </r>
  <r>
    <s v="ORD02584"/>
    <x v="778"/>
    <x v="1"/>
    <x v="8"/>
    <x v="1"/>
    <x v="2565"/>
    <x v="2484"/>
    <x v="0"/>
    <x v="1"/>
  </r>
  <r>
    <s v="ORD02585"/>
    <x v="762"/>
    <x v="1"/>
    <x v="11"/>
    <x v="2"/>
    <x v="2566"/>
    <x v="2485"/>
    <x v="2"/>
    <x v="0"/>
  </r>
  <r>
    <s v="ORD02586"/>
    <x v="177"/>
    <x v="3"/>
    <x v="2"/>
    <x v="1"/>
    <x v="2567"/>
    <x v="2486"/>
    <x v="1"/>
    <x v="3"/>
  </r>
  <r>
    <s v="ORD02587"/>
    <x v="413"/>
    <x v="3"/>
    <x v="12"/>
    <x v="2"/>
    <x v="2568"/>
    <x v="2487"/>
    <x v="0"/>
    <x v="1"/>
  </r>
  <r>
    <s v="ORD02588"/>
    <x v="681"/>
    <x v="2"/>
    <x v="4"/>
    <x v="0"/>
    <x v="2569"/>
    <x v="2488"/>
    <x v="2"/>
    <x v="1"/>
  </r>
  <r>
    <s v="ORD02589"/>
    <x v="69"/>
    <x v="1"/>
    <x v="10"/>
    <x v="2"/>
    <x v="2570"/>
    <x v="2489"/>
    <x v="2"/>
    <x v="3"/>
  </r>
  <r>
    <s v="ORD02590"/>
    <x v="103"/>
    <x v="3"/>
    <x v="4"/>
    <x v="0"/>
    <x v="2571"/>
    <x v="2490"/>
    <x v="1"/>
    <x v="2"/>
  </r>
  <r>
    <s v="ORD02591"/>
    <x v="576"/>
    <x v="1"/>
    <x v="6"/>
    <x v="0"/>
    <x v="2572"/>
    <x v="2491"/>
    <x v="1"/>
    <x v="0"/>
  </r>
  <r>
    <s v="ORD02592"/>
    <x v="484"/>
    <x v="2"/>
    <x v="6"/>
    <x v="0"/>
    <x v="2573"/>
    <x v="2492"/>
    <x v="1"/>
    <x v="1"/>
  </r>
  <r>
    <s v="ORD02593"/>
    <x v="996"/>
    <x v="3"/>
    <x v="0"/>
    <x v="0"/>
    <x v="1766"/>
    <x v="2493"/>
    <x v="1"/>
    <x v="0"/>
  </r>
  <r>
    <s v="ORD02594"/>
    <x v="411"/>
    <x v="1"/>
    <x v="13"/>
    <x v="1"/>
    <x v="2574"/>
    <x v="2494"/>
    <x v="2"/>
    <x v="0"/>
  </r>
  <r>
    <s v="ORD02595"/>
    <x v="997"/>
    <x v="3"/>
    <x v="4"/>
    <x v="0"/>
    <x v="2575"/>
    <x v="2495"/>
    <x v="1"/>
    <x v="2"/>
  </r>
  <r>
    <s v="ORD02596"/>
    <x v="692"/>
    <x v="1"/>
    <x v="1"/>
    <x v="1"/>
    <x v="2576"/>
    <x v="2496"/>
    <x v="0"/>
    <x v="2"/>
  </r>
  <r>
    <s v="ORD02597"/>
    <x v="868"/>
    <x v="1"/>
    <x v="4"/>
    <x v="0"/>
    <x v="2577"/>
    <x v="2497"/>
    <x v="2"/>
    <x v="2"/>
  </r>
  <r>
    <s v="ORD02598"/>
    <x v="576"/>
    <x v="3"/>
    <x v="6"/>
    <x v="0"/>
    <x v="2578"/>
    <x v="2498"/>
    <x v="0"/>
    <x v="2"/>
  </r>
  <r>
    <s v="ORD02599"/>
    <x v="80"/>
    <x v="1"/>
    <x v="6"/>
    <x v="0"/>
    <x v="2579"/>
    <x v="2499"/>
    <x v="0"/>
    <x v="0"/>
  </r>
  <r>
    <s v="ORD02600"/>
    <x v="65"/>
    <x v="0"/>
    <x v="9"/>
    <x v="0"/>
    <x v="2580"/>
    <x v="2500"/>
    <x v="1"/>
    <x v="2"/>
  </r>
  <r>
    <s v="ORD02601"/>
    <x v="187"/>
    <x v="2"/>
    <x v="8"/>
    <x v="1"/>
    <x v="2581"/>
    <x v="2501"/>
    <x v="1"/>
    <x v="1"/>
  </r>
  <r>
    <s v="ORD02602"/>
    <x v="186"/>
    <x v="0"/>
    <x v="10"/>
    <x v="2"/>
    <x v="2582"/>
    <x v="2502"/>
    <x v="1"/>
    <x v="0"/>
  </r>
  <r>
    <s v="ORD02603"/>
    <x v="353"/>
    <x v="0"/>
    <x v="6"/>
    <x v="0"/>
    <x v="2583"/>
    <x v="2503"/>
    <x v="2"/>
    <x v="2"/>
  </r>
  <r>
    <s v="ORD02604"/>
    <x v="990"/>
    <x v="1"/>
    <x v="7"/>
    <x v="0"/>
    <x v="2584"/>
    <x v="2504"/>
    <x v="1"/>
    <x v="0"/>
  </r>
  <r>
    <s v="ORD02605"/>
    <x v="988"/>
    <x v="0"/>
    <x v="12"/>
    <x v="2"/>
    <x v="2585"/>
    <x v="2505"/>
    <x v="0"/>
    <x v="1"/>
  </r>
  <r>
    <s v="ORD02606"/>
    <x v="587"/>
    <x v="3"/>
    <x v="5"/>
    <x v="1"/>
    <x v="2586"/>
    <x v="2506"/>
    <x v="1"/>
    <x v="2"/>
  </r>
  <r>
    <s v="ORD02607"/>
    <x v="132"/>
    <x v="2"/>
    <x v="9"/>
    <x v="0"/>
    <x v="2587"/>
    <x v="2507"/>
    <x v="0"/>
    <x v="3"/>
  </r>
  <r>
    <s v="ORD02608"/>
    <x v="961"/>
    <x v="1"/>
    <x v="10"/>
    <x v="2"/>
    <x v="2588"/>
    <x v="2508"/>
    <x v="1"/>
    <x v="2"/>
  </r>
  <r>
    <s v="ORD02609"/>
    <x v="27"/>
    <x v="1"/>
    <x v="14"/>
    <x v="2"/>
    <x v="2589"/>
    <x v="2509"/>
    <x v="1"/>
    <x v="2"/>
  </r>
  <r>
    <s v="ORD02610"/>
    <x v="998"/>
    <x v="2"/>
    <x v="12"/>
    <x v="2"/>
    <x v="2590"/>
    <x v="2510"/>
    <x v="2"/>
    <x v="0"/>
  </r>
  <r>
    <s v="ORD02611"/>
    <x v="190"/>
    <x v="1"/>
    <x v="1"/>
    <x v="1"/>
    <x v="2591"/>
    <x v="2511"/>
    <x v="1"/>
    <x v="3"/>
  </r>
  <r>
    <s v="ORD02612"/>
    <x v="926"/>
    <x v="1"/>
    <x v="1"/>
    <x v="1"/>
    <x v="2592"/>
    <x v="2512"/>
    <x v="2"/>
    <x v="2"/>
  </r>
  <r>
    <s v="ORD02613"/>
    <x v="106"/>
    <x v="2"/>
    <x v="14"/>
    <x v="2"/>
    <x v="2593"/>
    <x v="2513"/>
    <x v="2"/>
    <x v="3"/>
  </r>
  <r>
    <s v="ORD02614"/>
    <x v="518"/>
    <x v="1"/>
    <x v="7"/>
    <x v="0"/>
    <x v="2594"/>
    <x v="2514"/>
    <x v="2"/>
    <x v="1"/>
  </r>
  <r>
    <s v="ORD02615"/>
    <x v="931"/>
    <x v="3"/>
    <x v="8"/>
    <x v="1"/>
    <x v="2595"/>
    <x v="2515"/>
    <x v="1"/>
    <x v="2"/>
  </r>
  <r>
    <s v="ORD02616"/>
    <x v="567"/>
    <x v="0"/>
    <x v="6"/>
    <x v="0"/>
    <x v="2596"/>
    <x v="877"/>
    <x v="0"/>
    <x v="3"/>
  </r>
  <r>
    <s v="ORD02617"/>
    <x v="108"/>
    <x v="1"/>
    <x v="11"/>
    <x v="2"/>
    <x v="2597"/>
    <x v="2516"/>
    <x v="2"/>
    <x v="3"/>
  </r>
  <r>
    <s v="ORD02618"/>
    <x v="533"/>
    <x v="3"/>
    <x v="1"/>
    <x v="1"/>
    <x v="2598"/>
    <x v="2517"/>
    <x v="0"/>
    <x v="1"/>
  </r>
  <r>
    <s v="ORD02619"/>
    <x v="999"/>
    <x v="3"/>
    <x v="6"/>
    <x v="0"/>
    <x v="2599"/>
    <x v="2518"/>
    <x v="0"/>
    <x v="3"/>
  </r>
  <r>
    <s v="ORD02620"/>
    <x v="366"/>
    <x v="2"/>
    <x v="3"/>
    <x v="2"/>
    <x v="2600"/>
    <x v="2519"/>
    <x v="1"/>
    <x v="0"/>
  </r>
  <r>
    <s v="ORD02621"/>
    <x v="997"/>
    <x v="2"/>
    <x v="7"/>
    <x v="0"/>
    <x v="2601"/>
    <x v="2520"/>
    <x v="1"/>
    <x v="0"/>
  </r>
  <r>
    <s v="ORD02622"/>
    <x v="941"/>
    <x v="2"/>
    <x v="9"/>
    <x v="0"/>
    <x v="2602"/>
    <x v="2521"/>
    <x v="0"/>
    <x v="1"/>
  </r>
  <r>
    <s v="ORD02623"/>
    <x v="510"/>
    <x v="3"/>
    <x v="13"/>
    <x v="1"/>
    <x v="2603"/>
    <x v="2522"/>
    <x v="1"/>
    <x v="1"/>
  </r>
  <r>
    <s v="ORD02624"/>
    <x v="683"/>
    <x v="3"/>
    <x v="13"/>
    <x v="1"/>
    <x v="2604"/>
    <x v="2523"/>
    <x v="1"/>
    <x v="0"/>
  </r>
  <r>
    <s v="ORD02625"/>
    <x v="724"/>
    <x v="3"/>
    <x v="11"/>
    <x v="2"/>
    <x v="2605"/>
    <x v="2524"/>
    <x v="0"/>
    <x v="2"/>
  </r>
  <r>
    <s v="ORD02626"/>
    <x v="1000"/>
    <x v="1"/>
    <x v="5"/>
    <x v="1"/>
    <x v="2606"/>
    <x v="2525"/>
    <x v="1"/>
    <x v="2"/>
  </r>
  <r>
    <s v="ORD02627"/>
    <x v="29"/>
    <x v="0"/>
    <x v="11"/>
    <x v="2"/>
    <x v="2607"/>
    <x v="2526"/>
    <x v="2"/>
    <x v="2"/>
  </r>
  <r>
    <s v="ORD02628"/>
    <x v="843"/>
    <x v="1"/>
    <x v="13"/>
    <x v="1"/>
    <x v="2608"/>
    <x v="2527"/>
    <x v="1"/>
    <x v="3"/>
  </r>
  <r>
    <s v="ORD02629"/>
    <x v="35"/>
    <x v="1"/>
    <x v="0"/>
    <x v="0"/>
    <x v="2609"/>
    <x v="2528"/>
    <x v="0"/>
    <x v="3"/>
  </r>
  <r>
    <s v="ORD02630"/>
    <x v="103"/>
    <x v="1"/>
    <x v="4"/>
    <x v="0"/>
    <x v="2610"/>
    <x v="2529"/>
    <x v="0"/>
    <x v="0"/>
  </r>
  <r>
    <s v="ORD02631"/>
    <x v="349"/>
    <x v="0"/>
    <x v="14"/>
    <x v="2"/>
    <x v="2611"/>
    <x v="2530"/>
    <x v="0"/>
    <x v="1"/>
  </r>
  <r>
    <s v="ORD02632"/>
    <x v="925"/>
    <x v="0"/>
    <x v="10"/>
    <x v="2"/>
    <x v="2612"/>
    <x v="2531"/>
    <x v="0"/>
    <x v="0"/>
  </r>
  <r>
    <s v="ORD02633"/>
    <x v="874"/>
    <x v="1"/>
    <x v="2"/>
    <x v="1"/>
    <x v="2613"/>
    <x v="2532"/>
    <x v="1"/>
    <x v="3"/>
  </r>
  <r>
    <s v="ORD02634"/>
    <x v="53"/>
    <x v="3"/>
    <x v="6"/>
    <x v="0"/>
    <x v="2614"/>
    <x v="2533"/>
    <x v="1"/>
    <x v="1"/>
  </r>
  <r>
    <s v="ORD02635"/>
    <x v="160"/>
    <x v="0"/>
    <x v="14"/>
    <x v="2"/>
    <x v="2615"/>
    <x v="2534"/>
    <x v="1"/>
    <x v="3"/>
  </r>
  <r>
    <s v="ORD02636"/>
    <x v="414"/>
    <x v="1"/>
    <x v="6"/>
    <x v="0"/>
    <x v="2616"/>
    <x v="896"/>
    <x v="0"/>
    <x v="1"/>
  </r>
  <r>
    <s v="ORD02637"/>
    <x v="88"/>
    <x v="0"/>
    <x v="0"/>
    <x v="0"/>
    <x v="2617"/>
    <x v="422"/>
    <x v="0"/>
    <x v="0"/>
  </r>
  <r>
    <s v="ORD02638"/>
    <x v="389"/>
    <x v="1"/>
    <x v="7"/>
    <x v="0"/>
    <x v="2618"/>
    <x v="2535"/>
    <x v="2"/>
    <x v="3"/>
  </r>
  <r>
    <s v="ORD02639"/>
    <x v="310"/>
    <x v="1"/>
    <x v="2"/>
    <x v="1"/>
    <x v="2619"/>
    <x v="2536"/>
    <x v="0"/>
    <x v="1"/>
  </r>
  <r>
    <s v="ORD02640"/>
    <x v="20"/>
    <x v="3"/>
    <x v="6"/>
    <x v="0"/>
    <x v="2620"/>
    <x v="2537"/>
    <x v="0"/>
    <x v="3"/>
  </r>
  <r>
    <s v="ORD02641"/>
    <x v="374"/>
    <x v="2"/>
    <x v="2"/>
    <x v="1"/>
    <x v="2621"/>
    <x v="1909"/>
    <x v="2"/>
    <x v="2"/>
  </r>
  <r>
    <s v="ORD02642"/>
    <x v="845"/>
    <x v="0"/>
    <x v="4"/>
    <x v="0"/>
    <x v="2622"/>
    <x v="2538"/>
    <x v="0"/>
    <x v="1"/>
  </r>
  <r>
    <s v="ORD02643"/>
    <x v="481"/>
    <x v="1"/>
    <x v="4"/>
    <x v="0"/>
    <x v="2623"/>
    <x v="2539"/>
    <x v="0"/>
    <x v="1"/>
  </r>
  <r>
    <s v="ORD02644"/>
    <x v="477"/>
    <x v="2"/>
    <x v="12"/>
    <x v="2"/>
    <x v="2624"/>
    <x v="1817"/>
    <x v="1"/>
    <x v="0"/>
  </r>
  <r>
    <s v="ORD02645"/>
    <x v="331"/>
    <x v="0"/>
    <x v="6"/>
    <x v="0"/>
    <x v="2625"/>
    <x v="2007"/>
    <x v="1"/>
    <x v="2"/>
  </r>
  <r>
    <s v="ORD02646"/>
    <x v="310"/>
    <x v="0"/>
    <x v="5"/>
    <x v="1"/>
    <x v="2626"/>
    <x v="2540"/>
    <x v="2"/>
    <x v="2"/>
  </r>
  <r>
    <s v="ORD02647"/>
    <x v="31"/>
    <x v="0"/>
    <x v="3"/>
    <x v="2"/>
    <x v="2627"/>
    <x v="2541"/>
    <x v="1"/>
    <x v="3"/>
  </r>
  <r>
    <s v="ORD02648"/>
    <x v="683"/>
    <x v="0"/>
    <x v="6"/>
    <x v="0"/>
    <x v="2628"/>
    <x v="2542"/>
    <x v="0"/>
    <x v="3"/>
  </r>
  <r>
    <s v="ORD02649"/>
    <x v="839"/>
    <x v="1"/>
    <x v="3"/>
    <x v="2"/>
    <x v="2629"/>
    <x v="2543"/>
    <x v="2"/>
    <x v="2"/>
  </r>
  <r>
    <s v="ORD02650"/>
    <x v="606"/>
    <x v="3"/>
    <x v="7"/>
    <x v="0"/>
    <x v="2630"/>
    <x v="2544"/>
    <x v="0"/>
    <x v="1"/>
  </r>
  <r>
    <s v="ORD02651"/>
    <x v="512"/>
    <x v="2"/>
    <x v="2"/>
    <x v="1"/>
    <x v="2631"/>
    <x v="2545"/>
    <x v="0"/>
    <x v="3"/>
  </r>
  <r>
    <s v="ORD02652"/>
    <x v="744"/>
    <x v="1"/>
    <x v="12"/>
    <x v="2"/>
    <x v="2632"/>
    <x v="2546"/>
    <x v="2"/>
    <x v="0"/>
  </r>
  <r>
    <s v="ORD02653"/>
    <x v="431"/>
    <x v="1"/>
    <x v="10"/>
    <x v="2"/>
    <x v="2633"/>
    <x v="2547"/>
    <x v="1"/>
    <x v="3"/>
  </r>
  <r>
    <s v="ORD02654"/>
    <x v="377"/>
    <x v="1"/>
    <x v="10"/>
    <x v="2"/>
    <x v="2634"/>
    <x v="2548"/>
    <x v="2"/>
    <x v="3"/>
  </r>
  <r>
    <s v="ORD02655"/>
    <x v="169"/>
    <x v="1"/>
    <x v="7"/>
    <x v="0"/>
    <x v="2635"/>
    <x v="2549"/>
    <x v="2"/>
    <x v="0"/>
  </r>
  <r>
    <s v="ORD02656"/>
    <x v="1001"/>
    <x v="3"/>
    <x v="7"/>
    <x v="0"/>
    <x v="2636"/>
    <x v="2550"/>
    <x v="2"/>
    <x v="3"/>
  </r>
  <r>
    <s v="ORD02657"/>
    <x v="314"/>
    <x v="0"/>
    <x v="14"/>
    <x v="2"/>
    <x v="2637"/>
    <x v="2551"/>
    <x v="2"/>
    <x v="1"/>
  </r>
  <r>
    <s v="ORD02658"/>
    <x v="1002"/>
    <x v="3"/>
    <x v="8"/>
    <x v="1"/>
    <x v="2638"/>
    <x v="2552"/>
    <x v="0"/>
    <x v="0"/>
  </r>
  <r>
    <s v="ORD02659"/>
    <x v="117"/>
    <x v="3"/>
    <x v="14"/>
    <x v="2"/>
    <x v="2639"/>
    <x v="2553"/>
    <x v="1"/>
    <x v="2"/>
  </r>
  <r>
    <s v="ORD02660"/>
    <x v="983"/>
    <x v="2"/>
    <x v="6"/>
    <x v="0"/>
    <x v="2640"/>
    <x v="2554"/>
    <x v="2"/>
    <x v="3"/>
  </r>
  <r>
    <s v="ORD02661"/>
    <x v="190"/>
    <x v="2"/>
    <x v="0"/>
    <x v="0"/>
    <x v="2641"/>
    <x v="2555"/>
    <x v="0"/>
    <x v="2"/>
  </r>
  <r>
    <s v="ORD02662"/>
    <x v="1003"/>
    <x v="3"/>
    <x v="7"/>
    <x v="0"/>
    <x v="2642"/>
    <x v="2556"/>
    <x v="1"/>
    <x v="0"/>
  </r>
  <r>
    <s v="ORD02663"/>
    <x v="742"/>
    <x v="0"/>
    <x v="12"/>
    <x v="2"/>
    <x v="2643"/>
    <x v="2557"/>
    <x v="2"/>
    <x v="1"/>
  </r>
  <r>
    <s v="ORD02664"/>
    <x v="489"/>
    <x v="1"/>
    <x v="5"/>
    <x v="1"/>
    <x v="2644"/>
    <x v="2558"/>
    <x v="0"/>
    <x v="1"/>
  </r>
  <r>
    <s v="ORD02665"/>
    <x v="384"/>
    <x v="0"/>
    <x v="13"/>
    <x v="1"/>
    <x v="2645"/>
    <x v="2559"/>
    <x v="0"/>
    <x v="2"/>
  </r>
  <r>
    <s v="ORD02666"/>
    <x v="483"/>
    <x v="0"/>
    <x v="12"/>
    <x v="2"/>
    <x v="2646"/>
    <x v="2560"/>
    <x v="0"/>
    <x v="2"/>
  </r>
  <r>
    <s v="ORD02667"/>
    <x v="376"/>
    <x v="2"/>
    <x v="5"/>
    <x v="1"/>
    <x v="2647"/>
    <x v="2561"/>
    <x v="1"/>
    <x v="3"/>
  </r>
  <r>
    <s v="ORD02668"/>
    <x v="761"/>
    <x v="3"/>
    <x v="5"/>
    <x v="1"/>
    <x v="2648"/>
    <x v="2562"/>
    <x v="0"/>
    <x v="2"/>
  </r>
  <r>
    <s v="ORD02669"/>
    <x v="166"/>
    <x v="3"/>
    <x v="7"/>
    <x v="0"/>
    <x v="2649"/>
    <x v="2563"/>
    <x v="2"/>
    <x v="0"/>
  </r>
  <r>
    <s v="ORD02670"/>
    <x v="89"/>
    <x v="1"/>
    <x v="1"/>
    <x v="1"/>
    <x v="2650"/>
    <x v="2564"/>
    <x v="0"/>
    <x v="0"/>
  </r>
  <r>
    <s v="ORD02671"/>
    <x v="755"/>
    <x v="3"/>
    <x v="13"/>
    <x v="1"/>
    <x v="2651"/>
    <x v="2565"/>
    <x v="0"/>
    <x v="0"/>
  </r>
  <r>
    <s v="ORD02672"/>
    <x v="137"/>
    <x v="0"/>
    <x v="11"/>
    <x v="2"/>
    <x v="2652"/>
    <x v="2566"/>
    <x v="1"/>
    <x v="0"/>
  </r>
  <r>
    <s v="ORD02673"/>
    <x v="1004"/>
    <x v="3"/>
    <x v="6"/>
    <x v="0"/>
    <x v="2653"/>
    <x v="2567"/>
    <x v="1"/>
    <x v="0"/>
  </r>
  <r>
    <s v="ORD02674"/>
    <x v="521"/>
    <x v="3"/>
    <x v="7"/>
    <x v="0"/>
    <x v="2654"/>
    <x v="2568"/>
    <x v="2"/>
    <x v="1"/>
  </r>
  <r>
    <s v="ORD02675"/>
    <x v="461"/>
    <x v="1"/>
    <x v="3"/>
    <x v="2"/>
    <x v="2655"/>
    <x v="2569"/>
    <x v="2"/>
    <x v="1"/>
  </r>
  <r>
    <s v="ORD02676"/>
    <x v="751"/>
    <x v="0"/>
    <x v="7"/>
    <x v="0"/>
    <x v="2656"/>
    <x v="2570"/>
    <x v="2"/>
    <x v="2"/>
  </r>
  <r>
    <s v="ORD02677"/>
    <x v="891"/>
    <x v="3"/>
    <x v="1"/>
    <x v="1"/>
    <x v="2657"/>
    <x v="2571"/>
    <x v="0"/>
    <x v="3"/>
  </r>
  <r>
    <s v="ORD02678"/>
    <x v="390"/>
    <x v="2"/>
    <x v="10"/>
    <x v="2"/>
    <x v="2658"/>
    <x v="1680"/>
    <x v="1"/>
    <x v="0"/>
  </r>
  <r>
    <s v="ORD02679"/>
    <x v="316"/>
    <x v="1"/>
    <x v="6"/>
    <x v="0"/>
    <x v="2659"/>
    <x v="2572"/>
    <x v="1"/>
    <x v="2"/>
  </r>
  <r>
    <s v="ORD02680"/>
    <x v="650"/>
    <x v="1"/>
    <x v="13"/>
    <x v="1"/>
    <x v="2660"/>
    <x v="193"/>
    <x v="2"/>
    <x v="3"/>
  </r>
  <r>
    <s v="ORD02681"/>
    <x v="131"/>
    <x v="1"/>
    <x v="1"/>
    <x v="1"/>
    <x v="2661"/>
    <x v="2573"/>
    <x v="2"/>
    <x v="2"/>
  </r>
  <r>
    <s v="ORD02682"/>
    <x v="437"/>
    <x v="0"/>
    <x v="0"/>
    <x v="0"/>
    <x v="2662"/>
    <x v="2574"/>
    <x v="2"/>
    <x v="3"/>
  </r>
  <r>
    <s v="ORD02683"/>
    <x v="1005"/>
    <x v="1"/>
    <x v="0"/>
    <x v="0"/>
    <x v="2663"/>
    <x v="73"/>
    <x v="2"/>
    <x v="1"/>
  </r>
  <r>
    <s v="ORD02684"/>
    <x v="528"/>
    <x v="3"/>
    <x v="0"/>
    <x v="0"/>
    <x v="2664"/>
    <x v="2575"/>
    <x v="0"/>
    <x v="1"/>
  </r>
  <r>
    <s v="ORD02685"/>
    <x v="424"/>
    <x v="0"/>
    <x v="1"/>
    <x v="1"/>
    <x v="2665"/>
    <x v="2576"/>
    <x v="0"/>
    <x v="1"/>
  </r>
  <r>
    <s v="ORD02686"/>
    <x v="418"/>
    <x v="2"/>
    <x v="8"/>
    <x v="1"/>
    <x v="2666"/>
    <x v="681"/>
    <x v="0"/>
    <x v="1"/>
  </r>
  <r>
    <s v="ORD02687"/>
    <x v="292"/>
    <x v="3"/>
    <x v="9"/>
    <x v="0"/>
    <x v="2667"/>
    <x v="2577"/>
    <x v="2"/>
    <x v="1"/>
  </r>
  <r>
    <s v="ORD02688"/>
    <x v="121"/>
    <x v="2"/>
    <x v="6"/>
    <x v="0"/>
    <x v="2668"/>
    <x v="2578"/>
    <x v="1"/>
    <x v="2"/>
  </r>
  <r>
    <s v="ORD02689"/>
    <x v="821"/>
    <x v="2"/>
    <x v="9"/>
    <x v="0"/>
    <x v="2669"/>
    <x v="2579"/>
    <x v="2"/>
    <x v="2"/>
  </r>
  <r>
    <s v="ORD02690"/>
    <x v="4"/>
    <x v="1"/>
    <x v="1"/>
    <x v="1"/>
    <x v="2670"/>
    <x v="1108"/>
    <x v="1"/>
    <x v="3"/>
  </r>
  <r>
    <s v="ORD02691"/>
    <x v="1006"/>
    <x v="3"/>
    <x v="11"/>
    <x v="2"/>
    <x v="2671"/>
    <x v="2580"/>
    <x v="2"/>
    <x v="0"/>
  </r>
  <r>
    <s v="ORD02692"/>
    <x v="155"/>
    <x v="2"/>
    <x v="5"/>
    <x v="1"/>
    <x v="2672"/>
    <x v="2581"/>
    <x v="1"/>
    <x v="1"/>
  </r>
  <r>
    <s v="ORD02693"/>
    <x v="539"/>
    <x v="1"/>
    <x v="4"/>
    <x v="0"/>
    <x v="2673"/>
    <x v="2582"/>
    <x v="0"/>
    <x v="0"/>
  </r>
  <r>
    <s v="ORD02694"/>
    <x v="528"/>
    <x v="3"/>
    <x v="2"/>
    <x v="1"/>
    <x v="2674"/>
    <x v="2583"/>
    <x v="1"/>
    <x v="1"/>
  </r>
  <r>
    <s v="ORD02695"/>
    <x v="691"/>
    <x v="0"/>
    <x v="9"/>
    <x v="0"/>
    <x v="2675"/>
    <x v="2584"/>
    <x v="2"/>
    <x v="2"/>
  </r>
  <r>
    <s v="ORD02696"/>
    <x v="583"/>
    <x v="3"/>
    <x v="0"/>
    <x v="0"/>
    <x v="2676"/>
    <x v="2585"/>
    <x v="2"/>
    <x v="1"/>
  </r>
  <r>
    <s v="ORD02697"/>
    <x v="898"/>
    <x v="1"/>
    <x v="5"/>
    <x v="1"/>
    <x v="2677"/>
    <x v="2586"/>
    <x v="1"/>
    <x v="1"/>
  </r>
  <r>
    <s v="ORD02698"/>
    <x v="59"/>
    <x v="1"/>
    <x v="6"/>
    <x v="0"/>
    <x v="2678"/>
    <x v="2587"/>
    <x v="2"/>
    <x v="1"/>
  </r>
  <r>
    <s v="ORD02699"/>
    <x v="187"/>
    <x v="0"/>
    <x v="10"/>
    <x v="2"/>
    <x v="2679"/>
    <x v="2588"/>
    <x v="1"/>
    <x v="2"/>
  </r>
  <r>
    <s v="ORD02700"/>
    <x v="745"/>
    <x v="0"/>
    <x v="0"/>
    <x v="0"/>
    <x v="2680"/>
    <x v="2589"/>
    <x v="0"/>
    <x v="3"/>
  </r>
  <r>
    <s v="ORD02701"/>
    <x v="299"/>
    <x v="2"/>
    <x v="9"/>
    <x v="0"/>
    <x v="2681"/>
    <x v="2590"/>
    <x v="2"/>
    <x v="2"/>
  </r>
  <r>
    <s v="ORD02702"/>
    <x v="712"/>
    <x v="2"/>
    <x v="12"/>
    <x v="2"/>
    <x v="2682"/>
    <x v="2591"/>
    <x v="0"/>
    <x v="0"/>
  </r>
  <r>
    <s v="ORD02703"/>
    <x v="360"/>
    <x v="3"/>
    <x v="5"/>
    <x v="1"/>
    <x v="2683"/>
    <x v="2592"/>
    <x v="2"/>
    <x v="1"/>
  </r>
  <r>
    <s v="ORD02704"/>
    <x v="29"/>
    <x v="1"/>
    <x v="3"/>
    <x v="2"/>
    <x v="2684"/>
    <x v="2593"/>
    <x v="1"/>
    <x v="1"/>
  </r>
  <r>
    <s v="ORD02705"/>
    <x v="492"/>
    <x v="2"/>
    <x v="1"/>
    <x v="1"/>
    <x v="2685"/>
    <x v="2594"/>
    <x v="0"/>
    <x v="1"/>
  </r>
  <r>
    <s v="ORD02706"/>
    <x v="349"/>
    <x v="2"/>
    <x v="14"/>
    <x v="2"/>
    <x v="2686"/>
    <x v="2595"/>
    <x v="1"/>
    <x v="2"/>
  </r>
  <r>
    <s v="ORD02707"/>
    <x v="1007"/>
    <x v="1"/>
    <x v="8"/>
    <x v="1"/>
    <x v="2687"/>
    <x v="2596"/>
    <x v="2"/>
    <x v="3"/>
  </r>
  <r>
    <s v="ORD02708"/>
    <x v="133"/>
    <x v="2"/>
    <x v="0"/>
    <x v="0"/>
    <x v="2688"/>
    <x v="2597"/>
    <x v="0"/>
    <x v="1"/>
  </r>
  <r>
    <s v="ORD02709"/>
    <x v="577"/>
    <x v="3"/>
    <x v="5"/>
    <x v="1"/>
    <x v="2689"/>
    <x v="2598"/>
    <x v="1"/>
    <x v="1"/>
  </r>
  <r>
    <s v="ORD02710"/>
    <x v="223"/>
    <x v="0"/>
    <x v="0"/>
    <x v="0"/>
    <x v="2690"/>
    <x v="2599"/>
    <x v="1"/>
    <x v="2"/>
  </r>
  <r>
    <s v="ORD02711"/>
    <x v="223"/>
    <x v="1"/>
    <x v="1"/>
    <x v="1"/>
    <x v="1569"/>
    <x v="2600"/>
    <x v="1"/>
    <x v="3"/>
  </r>
  <r>
    <s v="ORD02712"/>
    <x v="908"/>
    <x v="1"/>
    <x v="12"/>
    <x v="2"/>
    <x v="2691"/>
    <x v="2601"/>
    <x v="2"/>
    <x v="1"/>
  </r>
  <r>
    <s v="ORD02713"/>
    <x v="184"/>
    <x v="0"/>
    <x v="7"/>
    <x v="0"/>
    <x v="2692"/>
    <x v="2602"/>
    <x v="2"/>
    <x v="2"/>
  </r>
  <r>
    <s v="ORD02714"/>
    <x v="701"/>
    <x v="1"/>
    <x v="3"/>
    <x v="2"/>
    <x v="2693"/>
    <x v="2603"/>
    <x v="2"/>
    <x v="3"/>
  </r>
  <r>
    <s v="ORD02715"/>
    <x v="560"/>
    <x v="2"/>
    <x v="14"/>
    <x v="2"/>
    <x v="2694"/>
    <x v="2604"/>
    <x v="1"/>
    <x v="1"/>
  </r>
  <r>
    <s v="ORD02716"/>
    <x v="116"/>
    <x v="1"/>
    <x v="4"/>
    <x v="0"/>
    <x v="2695"/>
    <x v="2605"/>
    <x v="0"/>
    <x v="0"/>
  </r>
  <r>
    <s v="ORD02717"/>
    <x v="691"/>
    <x v="0"/>
    <x v="2"/>
    <x v="1"/>
    <x v="2696"/>
    <x v="2606"/>
    <x v="1"/>
    <x v="0"/>
  </r>
  <r>
    <s v="ORD02718"/>
    <x v="515"/>
    <x v="1"/>
    <x v="8"/>
    <x v="1"/>
    <x v="2697"/>
    <x v="2602"/>
    <x v="2"/>
    <x v="1"/>
  </r>
  <r>
    <s v="ORD02719"/>
    <x v="976"/>
    <x v="3"/>
    <x v="0"/>
    <x v="0"/>
    <x v="2698"/>
    <x v="2607"/>
    <x v="0"/>
    <x v="3"/>
  </r>
  <r>
    <s v="ORD02720"/>
    <x v="475"/>
    <x v="2"/>
    <x v="10"/>
    <x v="2"/>
    <x v="2699"/>
    <x v="2608"/>
    <x v="2"/>
    <x v="3"/>
  </r>
  <r>
    <s v="ORD02721"/>
    <x v="100"/>
    <x v="1"/>
    <x v="1"/>
    <x v="1"/>
    <x v="2700"/>
    <x v="2609"/>
    <x v="0"/>
    <x v="0"/>
  </r>
  <r>
    <s v="ORD02722"/>
    <x v="731"/>
    <x v="0"/>
    <x v="6"/>
    <x v="0"/>
    <x v="2701"/>
    <x v="2282"/>
    <x v="1"/>
    <x v="1"/>
  </r>
  <r>
    <s v="ORD02723"/>
    <x v="794"/>
    <x v="0"/>
    <x v="0"/>
    <x v="0"/>
    <x v="2702"/>
    <x v="2610"/>
    <x v="0"/>
    <x v="0"/>
  </r>
  <r>
    <s v="ORD02724"/>
    <x v="65"/>
    <x v="1"/>
    <x v="13"/>
    <x v="1"/>
    <x v="2703"/>
    <x v="2611"/>
    <x v="0"/>
    <x v="3"/>
  </r>
  <r>
    <s v="ORD02725"/>
    <x v="260"/>
    <x v="2"/>
    <x v="10"/>
    <x v="2"/>
    <x v="2704"/>
    <x v="2612"/>
    <x v="0"/>
    <x v="3"/>
  </r>
  <r>
    <s v="ORD02726"/>
    <x v="143"/>
    <x v="0"/>
    <x v="3"/>
    <x v="2"/>
    <x v="2705"/>
    <x v="2613"/>
    <x v="0"/>
    <x v="2"/>
  </r>
  <r>
    <s v="ORD02727"/>
    <x v="364"/>
    <x v="0"/>
    <x v="5"/>
    <x v="1"/>
    <x v="2706"/>
    <x v="2614"/>
    <x v="0"/>
    <x v="2"/>
  </r>
  <r>
    <s v="ORD02728"/>
    <x v="538"/>
    <x v="1"/>
    <x v="10"/>
    <x v="2"/>
    <x v="2707"/>
    <x v="2615"/>
    <x v="0"/>
    <x v="0"/>
  </r>
  <r>
    <s v="ORD02729"/>
    <x v="460"/>
    <x v="1"/>
    <x v="7"/>
    <x v="0"/>
    <x v="2708"/>
    <x v="1436"/>
    <x v="1"/>
    <x v="3"/>
  </r>
  <r>
    <s v="ORD02730"/>
    <x v="339"/>
    <x v="3"/>
    <x v="6"/>
    <x v="0"/>
    <x v="2709"/>
    <x v="2616"/>
    <x v="2"/>
    <x v="3"/>
  </r>
  <r>
    <s v="ORD02731"/>
    <x v="176"/>
    <x v="0"/>
    <x v="8"/>
    <x v="1"/>
    <x v="2710"/>
    <x v="505"/>
    <x v="1"/>
    <x v="0"/>
  </r>
  <r>
    <s v="ORD02732"/>
    <x v="565"/>
    <x v="0"/>
    <x v="12"/>
    <x v="2"/>
    <x v="2711"/>
    <x v="2617"/>
    <x v="0"/>
    <x v="3"/>
  </r>
  <r>
    <s v="ORD02733"/>
    <x v="60"/>
    <x v="0"/>
    <x v="1"/>
    <x v="1"/>
    <x v="2712"/>
    <x v="2618"/>
    <x v="2"/>
    <x v="0"/>
  </r>
  <r>
    <s v="ORD02734"/>
    <x v="1008"/>
    <x v="1"/>
    <x v="6"/>
    <x v="0"/>
    <x v="2713"/>
    <x v="2619"/>
    <x v="1"/>
    <x v="3"/>
  </r>
  <r>
    <s v="ORD02735"/>
    <x v="693"/>
    <x v="2"/>
    <x v="13"/>
    <x v="1"/>
    <x v="2714"/>
    <x v="2620"/>
    <x v="0"/>
    <x v="2"/>
  </r>
  <r>
    <s v="ORD02736"/>
    <x v="331"/>
    <x v="0"/>
    <x v="3"/>
    <x v="2"/>
    <x v="2715"/>
    <x v="2621"/>
    <x v="0"/>
    <x v="2"/>
  </r>
  <r>
    <s v="ORD02737"/>
    <x v="887"/>
    <x v="0"/>
    <x v="11"/>
    <x v="2"/>
    <x v="2716"/>
    <x v="2622"/>
    <x v="0"/>
    <x v="0"/>
  </r>
  <r>
    <s v="ORD02738"/>
    <x v="815"/>
    <x v="2"/>
    <x v="0"/>
    <x v="0"/>
    <x v="2717"/>
    <x v="2623"/>
    <x v="0"/>
    <x v="2"/>
  </r>
  <r>
    <s v="ORD02739"/>
    <x v="114"/>
    <x v="1"/>
    <x v="14"/>
    <x v="2"/>
    <x v="2718"/>
    <x v="2624"/>
    <x v="0"/>
    <x v="3"/>
  </r>
  <r>
    <s v="ORD02740"/>
    <x v="1009"/>
    <x v="1"/>
    <x v="12"/>
    <x v="2"/>
    <x v="2719"/>
    <x v="2625"/>
    <x v="0"/>
    <x v="0"/>
  </r>
  <r>
    <s v="ORD02741"/>
    <x v="1010"/>
    <x v="0"/>
    <x v="3"/>
    <x v="2"/>
    <x v="2720"/>
    <x v="2626"/>
    <x v="1"/>
    <x v="2"/>
  </r>
  <r>
    <s v="ORD02742"/>
    <x v="820"/>
    <x v="0"/>
    <x v="10"/>
    <x v="2"/>
    <x v="2721"/>
    <x v="2627"/>
    <x v="1"/>
    <x v="0"/>
  </r>
  <r>
    <s v="ORD02743"/>
    <x v="814"/>
    <x v="1"/>
    <x v="13"/>
    <x v="1"/>
    <x v="1618"/>
    <x v="2628"/>
    <x v="1"/>
    <x v="0"/>
  </r>
  <r>
    <s v="ORD02744"/>
    <x v="32"/>
    <x v="1"/>
    <x v="6"/>
    <x v="0"/>
    <x v="2722"/>
    <x v="2629"/>
    <x v="0"/>
    <x v="2"/>
  </r>
  <r>
    <s v="ORD02745"/>
    <x v="261"/>
    <x v="1"/>
    <x v="3"/>
    <x v="2"/>
    <x v="2723"/>
    <x v="2630"/>
    <x v="2"/>
    <x v="1"/>
  </r>
  <r>
    <s v="ORD02746"/>
    <x v="909"/>
    <x v="0"/>
    <x v="3"/>
    <x v="2"/>
    <x v="2724"/>
    <x v="2631"/>
    <x v="0"/>
    <x v="2"/>
  </r>
  <r>
    <s v="ORD02747"/>
    <x v="1011"/>
    <x v="0"/>
    <x v="13"/>
    <x v="1"/>
    <x v="2725"/>
    <x v="2632"/>
    <x v="0"/>
    <x v="2"/>
  </r>
  <r>
    <s v="ORD02748"/>
    <x v="1012"/>
    <x v="1"/>
    <x v="8"/>
    <x v="1"/>
    <x v="2726"/>
    <x v="2633"/>
    <x v="2"/>
    <x v="2"/>
  </r>
  <r>
    <s v="ORD02749"/>
    <x v="420"/>
    <x v="0"/>
    <x v="2"/>
    <x v="1"/>
    <x v="2727"/>
    <x v="2634"/>
    <x v="0"/>
    <x v="0"/>
  </r>
  <r>
    <s v="ORD02750"/>
    <x v="84"/>
    <x v="1"/>
    <x v="7"/>
    <x v="0"/>
    <x v="2728"/>
    <x v="2635"/>
    <x v="0"/>
    <x v="1"/>
  </r>
  <r>
    <s v="ORD02751"/>
    <x v="373"/>
    <x v="3"/>
    <x v="0"/>
    <x v="0"/>
    <x v="2729"/>
    <x v="2636"/>
    <x v="1"/>
    <x v="1"/>
  </r>
  <r>
    <s v="ORD02752"/>
    <x v="465"/>
    <x v="3"/>
    <x v="12"/>
    <x v="2"/>
    <x v="2730"/>
    <x v="2637"/>
    <x v="2"/>
    <x v="0"/>
  </r>
  <r>
    <s v="ORD02753"/>
    <x v="472"/>
    <x v="2"/>
    <x v="14"/>
    <x v="2"/>
    <x v="2731"/>
    <x v="2638"/>
    <x v="0"/>
    <x v="2"/>
  </r>
  <r>
    <s v="ORD02754"/>
    <x v="905"/>
    <x v="3"/>
    <x v="6"/>
    <x v="0"/>
    <x v="2732"/>
    <x v="2639"/>
    <x v="2"/>
    <x v="1"/>
  </r>
  <r>
    <s v="ORD02755"/>
    <x v="941"/>
    <x v="0"/>
    <x v="3"/>
    <x v="2"/>
    <x v="2733"/>
    <x v="2640"/>
    <x v="0"/>
    <x v="1"/>
  </r>
  <r>
    <s v="ORD02756"/>
    <x v="836"/>
    <x v="3"/>
    <x v="3"/>
    <x v="2"/>
    <x v="2734"/>
    <x v="2641"/>
    <x v="0"/>
    <x v="2"/>
  </r>
  <r>
    <s v="ORD02757"/>
    <x v="268"/>
    <x v="3"/>
    <x v="12"/>
    <x v="2"/>
    <x v="2735"/>
    <x v="2642"/>
    <x v="0"/>
    <x v="0"/>
  </r>
  <r>
    <s v="ORD02758"/>
    <x v="43"/>
    <x v="3"/>
    <x v="12"/>
    <x v="2"/>
    <x v="2736"/>
    <x v="2643"/>
    <x v="2"/>
    <x v="0"/>
  </r>
  <r>
    <s v="ORD02759"/>
    <x v="1013"/>
    <x v="0"/>
    <x v="4"/>
    <x v="0"/>
    <x v="2737"/>
    <x v="2644"/>
    <x v="2"/>
    <x v="1"/>
  </r>
  <r>
    <s v="ORD02760"/>
    <x v="11"/>
    <x v="3"/>
    <x v="8"/>
    <x v="1"/>
    <x v="2738"/>
    <x v="2524"/>
    <x v="0"/>
    <x v="0"/>
  </r>
  <r>
    <s v="ORD02761"/>
    <x v="355"/>
    <x v="0"/>
    <x v="6"/>
    <x v="0"/>
    <x v="2739"/>
    <x v="2645"/>
    <x v="0"/>
    <x v="0"/>
  </r>
  <r>
    <s v="ORD02762"/>
    <x v="85"/>
    <x v="3"/>
    <x v="1"/>
    <x v="1"/>
    <x v="2740"/>
    <x v="2646"/>
    <x v="0"/>
    <x v="3"/>
  </r>
  <r>
    <s v="ORD02764"/>
    <x v="231"/>
    <x v="2"/>
    <x v="9"/>
    <x v="0"/>
    <x v="2741"/>
    <x v="2647"/>
    <x v="2"/>
    <x v="2"/>
  </r>
  <r>
    <s v="ORD02765"/>
    <x v="789"/>
    <x v="3"/>
    <x v="7"/>
    <x v="0"/>
    <x v="2742"/>
    <x v="2648"/>
    <x v="1"/>
    <x v="3"/>
  </r>
  <r>
    <s v="ORD02766"/>
    <x v="19"/>
    <x v="3"/>
    <x v="13"/>
    <x v="1"/>
    <x v="2743"/>
    <x v="2649"/>
    <x v="1"/>
    <x v="2"/>
  </r>
  <r>
    <s v="ORD02767"/>
    <x v="958"/>
    <x v="1"/>
    <x v="14"/>
    <x v="2"/>
    <x v="2744"/>
    <x v="2587"/>
    <x v="0"/>
    <x v="1"/>
  </r>
  <r>
    <s v="ORD02768"/>
    <x v="542"/>
    <x v="1"/>
    <x v="12"/>
    <x v="2"/>
    <x v="2745"/>
    <x v="2650"/>
    <x v="2"/>
    <x v="0"/>
  </r>
  <r>
    <s v="ORD02769"/>
    <x v="578"/>
    <x v="3"/>
    <x v="8"/>
    <x v="1"/>
    <x v="2746"/>
    <x v="2651"/>
    <x v="2"/>
    <x v="0"/>
  </r>
  <r>
    <s v="ORD02770"/>
    <x v="117"/>
    <x v="3"/>
    <x v="4"/>
    <x v="0"/>
    <x v="2747"/>
    <x v="2652"/>
    <x v="1"/>
    <x v="3"/>
  </r>
  <r>
    <s v="ORD02771"/>
    <x v="902"/>
    <x v="0"/>
    <x v="4"/>
    <x v="0"/>
    <x v="2748"/>
    <x v="2653"/>
    <x v="1"/>
    <x v="3"/>
  </r>
  <r>
    <s v="ORD02772"/>
    <x v="452"/>
    <x v="3"/>
    <x v="5"/>
    <x v="1"/>
    <x v="2749"/>
    <x v="1113"/>
    <x v="2"/>
    <x v="0"/>
  </r>
  <r>
    <s v="ORD02773"/>
    <x v="84"/>
    <x v="1"/>
    <x v="7"/>
    <x v="0"/>
    <x v="2750"/>
    <x v="2654"/>
    <x v="0"/>
    <x v="2"/>
  </r>
  <r>
    <s v="ORD02774"/>
    <x v="248"/>
    <x v="1"/>
    <x v="10"/>
    <x v="2"/>
    <x v="2751"/>
    <x v="2655"/>
    <x v="1"/>
    <x v="3"/>
  </r>
  <r>
    <s v="ORD02775"/>
    <x v="969"/>
    <x v="3"/>
    <x v="8"/>
    <x v="1"/>
    <x v="2752"/>
    <x v="2656"/>
    <x v="0"/>
    <x v="1"/>
  </r>
  <r>
    <s v="ORD02776"/>
    <x v="636"/>
    <x v="1"/>
    <x v="6"/>
    <x v="0"/>
    <x v="2753"/>
    <x v="2657"/>
    <x v="2"/>
    <x v="3"/>
  </r>
  <r>
    <s v="ORD02777"/>
    <x v="256"/>
    <x v="2"/>
    <x v="3"/>
    <x v="2"/>
    <x v="2754"/>
    <x v="2658"/>
    <x v="1"/>
    <x v="3"/>
  </r>
  <r>
    <s v="ORD02778"/>
    <x v="98"/>
    <x v="2"/>
    <x v="2"/>
    <x v="1"/>
    <x v="2755"/>
    <x v="2659"/>
    <x v="0"/>
    <x v="2"/>
  </r>
  <r>
    <s v="ORD02779"/>
    <x v="255"/>
    <x v="3"/>
    <x v="14"/>
    <x v="2"/>
    <x v="2756"/>
    <x v="2660"/>
    <x v="2"/>
    <x v="0"/>
  </r>
  <r>
    <s v="ORD02780"/>
    <x v="732"/>
    <x v="0"/>
    <x v="14"/>
    <x v="2"/>
    <x v="2757"/>
    <x v="2661"/>
    <x v="2"/>
    <x v="2"/>
  </r>
  <r>
    <s v="ORD02781"/>
    <x v="48"/>
    <x v="3"/>
    <x v="2"/>
    <x v="1"/>
    <x v="2758"/>
    <x v="2662"/>
    <x v="2"/>
    <x v="2"/>
  </r>
  <r>
    <s v="ORD02782"/>
    <x v="65"/>
    <x v="1"/>
    <x v="5"/>
    <x v="1"/>
    <x v="2759"/>
    <x v="2663"/>
    <x v="2"/>
    <x v="0"/>
  </r>
  <r>
    <s v="ORD02783"/>
    <x v="288"/>
    <x v="2"/>
    <x v="14"/>
    <x v="2"/>
    <x v="2760"/>
    <x v="2664"/>
    <x v="1"/>
    <x v="0"/>
  </r>
  <r>
    <s v="ORD02784"/>
    <x v="612"/>
    <x v="1"/>
    <x v="5"/>
    <x v="1"/>
    <x v="2761"/>
    <x v="2665"/>
    <x v="2"/>
    <x v="2"/>
  </r>
  <r>
    <s v="ORD02785"/>
    <x v="12"/>
    <x v="0"/>
    <x v="13"/>
    <x v="1"/>
    <x v="2762"/>
    <x v="2666"/>
    <x v="0"/>
    <x v="2"/>
  </r>
  <r>
    <s v="ORD02786"/>
    <x v="172"/>
    <x v="3"/>
    <x v="12"/>
    <x v="2"/>
    <x v="2763"/>
    <x v="2667"/>
    <x v="2"/>
    <x v="1"/>
  </r>
  <r>
    <s v="ORD02787"/>
    <x v="498"/>
    <x v="3"/>
    <x v="5"/>
    <x v="1"/>
    <x v="2764"/>
    <x v="2668"/>
    <x v="1"/>
    <x v="1"/>
  </r>
  <r>
    <s v="ORD02788"/>
    <x v="381"/>
    <x v="0"/>
    <x v="10"/>
    <x v="2"/>
    <x v="2765"/>
    <x v="2669"/>
    <x v="2"/>
    <x v="2"/>
  </r>
  <r>
    <s v="ORD02789"/>
    <x v="417"/>
    <x v="1"/>
    <x v="3"/>
    <x v="2"/>
    <x v="2766"/>
    <x v="2670"/>
    <x v="0"/>
    <x v="1"/>
  </r>
  <r>
    <s v="ORD02790"/>
    <x v="492"/>
    <x v="2"/>
    <x v="9"/>
    <x v="0"/>
    <x v="2767"/>
    <x v="2671"/>
    <x v="2"/>
    <x v="0"/>
  </r>
  <r>
    <s v="ORD02791"/>
    <x v="810"/>
    <x v="3"/>
    <x v="6"/>
    <x v="0"/>
    <x v="2768"/>
    <x v="2672"/>
    <x v="1"/>
    <x v="0"/>
  </r>
  <r>
    <s v="ORD02792"/>
    <x v="654"/>
    <x v="3"/>
    <x v="9"/>
    <x v="0"/>
    <x v="2769"/>
    <x v="2673"/>
    <x v="2"/>
    <x v="0"/>
  </r>
  <r>
    <s v="ORD02793"/>
    <x v="442"/>
    <x v="2"/>
    <x v="7"/>
    <x v="0"/>
    <x v="2770"/>
    <x v="2674"/>
    <x v="2"/>
    <x v="0"/>
  </r>
  <r>
    <s v="ORD02794"/>
    <x v="941"/>
    <x v="3"/>
    <x v="14"/>
    <x v="2"/>
    <x v="2771"/>
    <x v="2675"/>
    <x v="0"/>
    <x v="0"/>
  </r>
  <r>
    <s v="ORD02795"/>
    <x v="281"/>
    <x v="3"/>
    <x v="11"/>
    <x v="2"/>
    <x v="2772"/>
    <x v="2676"/>
    <x v="0"/>
    <x v="1"/>
  </r>
  <r>
    <s v="ORD02796"/>
    <x v="892"/>
    <x v="0"/>
    <x v="4"/>
    <x v="0"/>
    <x v="2773"/>
    <x v="2677"/>
    <x v="0"/>
    <x v="3"/>
  </r>
  <r>
    <s v="ORD02797"/>
    <x v="395"/>
    <x v="2"/>
    <x v="1"/>
    <x v="1"/>
    <x v="2774"/>
    <x v="2678"/>
    <x v="2"/>
    <x v="1"/>
  </r>
  <r>
    <s v="ORD02798"/>
    <x v="700"/>
    <x v="2"/>
    <x v="10"/>
    <x v="2"/>
    <x v="2775"/>
    <x v="2679"/>
    <x v="2"/>
    <x v="0"/>
  </r>
  <r>
    <s v="ORD02799"/>
    <x v="270"/>
    <x v="2"/>
    <x v="5"/>
    <x v="1"/>
    <x v="2776"/>
    <x v="2680"/>
    <x v="2"/>
    <x v="0"/>
  </r>
  <r>
    <s v="ORD02800"/>
    <x v="54"/>
    <x v="0"/>
    <x v="13"/>
    <x v="1"/>
    <x v="2777"/>
    <x v="2681"/>
    <x v="2"/>
    <x v="1"/>
  </r>
  <r>
    <s v="ORD02801"/>
    <x v="250"/>
    <x v="0"/>
    <x v="0"/>
    <x v="0"/>
    <x v="2778"/>
    <x v="2682"/>
    <x v="2"/>
    <x v="0"/>
  </r>
  <r>
    <s v="ORD02802"/>
    <x v="643"/>
    <x v="0"/>
    <x v="3"/>
    <x v="2"/>
    <x v="2779"/>
    <x v="2683"/>
    <x v="0"/>
    <x v="3"/>
  </r>
  <r>
    <s v="ORD02803"/>
    <x v="32"/>
    <x v="2"/>
    <x v="5"/>
    <x v="1"/>
    <x v="2780"/>
    <x v="2684"/>
    <x v="2"/>
    <x v="3"/>
  </r>
  <r>
    <s v="ORD02804"/>
    <x v="454"/>
    <x v="1"/>
    <x v="11"/>
    <x v="2"/>
    <x v="2781"/>
    <x v="2685"/>
    <x v="1"/>
    <x v="3"/>
  </r>
  <r>
    <s v="ORD02805"/>
    <x v="218"/>
    <x v="3"/>
    <x v="12"/>
    <x v="2"/>
    <x v="2782"/>
    <x v="2686"/>
    <x v="0"/>
    <x v="0"/>
  </r>
  <r>
    <s v="ORD02806"/>
    <x v="815"/>
    <x v="2"/>
    <x v="14"/>
    <x v="2"/>
    <x v="2783"/>
    <x v="2687"/>
    <x v="2"/>
    <x v="2"/>
  </r>
  <r>
    <s v="ORD02807"/>
    <x v="1004"/>
    <x v="1"/>
    <x v="14"/>
    <x v="2"/>
    <x v="2784"/>
    <x v="2688"/>
    <x v="0"/>
    <x v="1"/>
  </r>
  <r>
    <s v="ORD02808"/>
    <x v="65"/>
    <x v="0"/>
    <x v="11"/>
    <x v="2"/>
    <x v="2785"/>
    <x v="2689"/>
    <x v="1"/>
    <x v="1"/>
  </r>
  <r>
    <s v="ORD02809"/>
    <x v="394"/>
    <x v="2"/>
    <x v="13"/>
    <x v="1"/>
    <x v="2786"/>
    <x v="2690"/>
    <x v="1"/>
    <x v="1"/>
  </r>
  <r>
    <s v="ORD02810"/>
    <x v="704"/>
    <x v="2"/>
    <x v="9"/>
    <x v="0"/>
    <x v="2787"/>
    <x v="2691"/>
    <x v="2"/>
    <x v="2"/>
  </r>
  <r>
    <s v="ORD02811"/>
    <x v="16"/>
    <x v="1"/>
    <x v="4"/>
    <x v="0"/>
    <x v="2788"/>
    <x v="2692"/>
    <x v="0"/>
    <x v="0"/>
  </r>
  <r>
    <s v="ORD02812"/>
    <x v="281"/>
    <x v="3"/>
    <x v="4"/>
    <x v="0"/>
    <x v="2789"/>
    <x v="2693"/>
    <x v="1"/>
    <x v="3"/>
  </r>
  <r>
    <s v="ORD02813"/>
    <x v="667"/>
    <x v="2"/>
    <x v="4"/>
    <x v="0"/>
    <x v="2790"/>
    <x v="2694"/>
    <x v="0"/>
    <x v="2"/>
  </r>
  <r>
    <s v="ORD02814"/>
    <x v="109"/>
    <x v="2"/>
    <x v="1"/>
    <x v="1"/>
    <x v="2791"/>
    <x v="2695"/>
    <x v="1"/>
    <x v="3"/>
  </r>
  <r>
    <s v="ORD02815"/>
    <x v="906"/>
    <x v="2"/>
    <x v="4"/>
    <x v="0"/>
    <x v="2792"/>
    <x v="2696"/>
    <x v="0"/>
    <x v="0"/>
  </r>
  <r>
    <s v="ORD02816"/>
    <x v="177"/>
    <x v="3"/>
    <x v="14"/>
    <x v="2"/>
    <x v="2793"/>
    <x v="2697"/>
    <x v="1"/>
    <x v="2"/>
  </r>
  <r>
    <s v="ORD02817"/>
    <x v="414"/>
    <x v="2"/>
    <x v="4"/>
    <x v="0"/>
    <x v="2794"/>
    <x v="382"/>
    <x v="1"/>
    <x v="2"/>
  </r>
  <r>
    <s v="ORD02818"/>
    <x v="332"/>
    <x v="2"/>
    <x v="13"/>
    <x v="1"/>
    <x v="2795"/>
    <x v="2698"/>
    <x v="2"/>
    <x v="1"/>
  </r>
  <r>
    <s v="ORD02819"/>
    <x v="800"/>
    <x v="3"/>
    <x v="10"/>
    <x v="2"/>
    <x v="2796"/>
    <x v="2699"/>
    <x v="2"/>
    <x v="0"/>
  </r>
  <r>
    <s v="ORD02820"/>
    <x v="496"/>
    <x v="1"/>
    <x v="5"/>
    <x v="1"/>
    <x v="2797"/>
    <x v="2700"/>
    <x v="1"/>
    <x v="1"/>
  </r>
  <r>
    <s v="ORD02821"/>
    <x v="609"/>
    <x v="3"/>
    <x v="3"/>
    <x v="2"/>
    <x v="2798"/>
    <x v="2701"/>
    <x v="0"/>
    <x v="0"/>
  </r>
  <r>
    <s v="ORD02822"/>
    <x v="684"/>
    <x v="2"/>
    <x v="2"/>
    <x v="1"/>
    <x v="2799"/>
    <x v="2702"/>
    <x v="1"/>
    <x v="3"/>
  </r>
  <r>
    <s v="ORD02823"/>
    <x v="418"/>
    <x v="0"/>
    <x v="13"/>
    <x v="1"/>
    <x v="2800"/>
    <x v="2703"/>
    <x v="0"/>
    <x v="0"/>
  </r>
  <r>
    <s v="ORD02824"/>
    <x v="735"/>
    <x v="3"/>
    <x v="1"/>
    <x v="1"/>
    <x v="2801"/>
    <x v="2704"/>
    <x v="0"/>
    <x v="3"/>
  </r>
  <r>
    <s v="ORD02825"/>
    <x v="652"/>
    <x v="1"/>
    <x v="11"/>
    <x v="2"/>
    <x v="2802"/>
    <x v="2705"/>
    <x v="1"/>
    <x v="0"/>
  </r>
  <r>
    <s v="ORD02826"/>
    <x v="387"/>
    <x v="0"/>
    <x v="9"/>
    <x v="0"/>
    <x v="2803"/>
    <x v="2706"/>
    <x v="0"/>
    <x v="1"/>
  </r>
  <r>
    <s v="ORD02827"/>
    <x v="1014"/>
    <x v="3"/>
    <x v="0"/>
    <x v="0"/>
    <x v="1784"/>
    <x v="2707"/>
    <x v="0"/>
    <x v="2"/>
  </r>
  <r>
    <s v="ORD02828"/>
    <x v="163"/>
    <x v="0"/>
    <x v="0"/>
    <x v="0"/>
    <x v="2804"/>
    <x v="2708"/>
    <x v="2"/>
    <x v="2"/>
  </r>
  <r>
    <s v="ORD02829"/>
    <x v="1015"/>
    <x v="2"/>
    <x v="6"/>
    <x v="0"/>
    <x v="2805"/>
    <x v="2709"/>
    <x v="0"/>
    <x v="3"/>
  </r>
  <r>
    <s v="ORD02830"/>
    <x v="892"/>
    <x v="0"/>
    <x v="8"/>
    <x v="1"/>
    <x v="2806"/>
    <x v="2710"/>
    <x v="1"/>
    <x v="1"/>
  </r>
  <r>
    <s v="ORD02831"/>
    <x v="519"/>
    <x v="2"/>
    <x v="14"/>
    <x v="2"/>
    <x v="2807"/>
    <x v="2711"/>
    <x v="2"/>
    <x v="1"/>
  </r>
  <r>
    <s v="ORD02832"/>
    <x v="441"/>
    <x v="3"/>
    <x v="13"/>
    <x v="1"/>
    <x v="2808"/>
    <x v="2712"/>
    <x v="1"/>
    <x v="1"/>
  </r>
  <r>
    <s v="ORD02833"/>
    <x v="701"/>
    <x v="1"/>
    <x v="5"/>
    <x v="1"/>
    <x v="2809"/>
    <x v="2713"/>
    <x v="2"/>
    <x v="2"/>
  </r>
  <r>
    <s v="ORD02834"/>
    <x v="197"/>
    <x v="2"/>
    <x v="6"/>
    <x v="0"/>
    <x v="2810"/>
    <x v="2714"/>
    <x v="0"/>
    <x v="3"/>
  </r>
  <r>
    <s v="ORD02835"/>
    <x v="449"/>
    <x v="2"/>
    <x v="5"/>
    <x v="1"/>
    <x v="2811"/>
    <x v="2715"/>
    <x v="1"/>
    <x v="2"/>
  </r>
  <r>
    <s v="ORD02836"/>
    <x v="507"/>
    <x v="3"/>
    <x v="1"/>
    <x v="1"/>
    <x v="2812"/>
    <x v="2716"/>
    <x v="0"/>
    <x v="1"/>
  </r>
  <r>
    <s v="ORD02837"/>
    <x v="732"/>
    <x v="1"/>
    <x v="7"/>
    <x v="0"/>
    <x v="2813"/>
    <x v="2717"/>
    <x v="2"/>
    <x v="2"/>
  </r>
  <r>
    <s v="ORD02838"/>
    <x v="373"/>
    <x v="2"/>
    <x v="3"/>
    <x v="2"/>
    <x v="2814"/>
    <x v="2718"/>
    <x v="1"/>
    <x v="3"/>
  </r>
  <r>
    <s v="ORD02839"/>
    <x v="415"/>
    <x v="0"/>
    <x v="13"/>
    <x v="1"/>
    <x v="2815"/>
    <x v="2719"/>
    <x v="2"/>
    <x v="1"/>
  </r>
  <r>
    <s v="ORD02840"/>
    <x v="731"/>
    <x v="2"/>
    <x v="14"/>
    <x v="2"/>
    <x v="2816"/>
    <x v="2720"/>
    <x v="0"/>
    <x v="0"/>
  </r>
  <r>
    <s v="ORD02841"/>
    <x v="766"/>
    <x v="0"/>
    <x v="0"/>
    <x v="0"/>
    <x v="2817"/>
    <x v="2721"/>
    <x v="1"/>
    <x v="0"/>
  </r>
  <r>
    <s v="ORD02842"/>
    <x v="498"/>
    <x v="1"/>
    <x v="14"/>
    <x v="2"/>
    <x v="2818"/>
    <x v="2722"/>
    <x v="1"/>
    <x v="3"/>
  </r>
  <r>
    <s v="ORD02843"/>
    <x v="371"/>
    <x v="0"/>
    <x v="9"/>
    <x v="0"/>
    <x v="2819"/>
    <x v="2723"/>
    <x v="0"/>
    <x v="2"/>
  </r>
  <r>
    <s v="ORD02844"/>
    <x v="729"/>
    <x v="3"/>
    <x v="11"/>
    <x v="2"/>
    <x v="2820"/>
    <x v="2724"/>
    <x v="1"/>
    <x v="2"/>
  </r>
  <r>
    <s v="ORD02845"/>
    <x v="973"/>
    <x v="2"/>
    <x v="0"/>
    <x v="0"/>
    <x v="2821"/>
    <x v="2725"/>
    <x v="1"/>
    <x v="1"/>
  </r>
  <r>
    <s v="ORD02846"/>
    <x v="172"/>
    <x v="1"/>
    <x v="14"/>
    <x v="2"/>
    <x v="2822"/>
    <x v="2726"/>
    <x v="2"/>
    <x v="2"/>
  </r>
  <r>
    <s v="ORD02847"/>
    <x v="375"/>
    <x v="3"/>
    <x v="10"/>
    <x v="2"/>
    <x v="2823"/>
    <x v="2727"/>
    <x v="1"/>
    <x v="1"/>
  </r>
  <r>
    <s v="ORD02848"/>
    <x v="774"/>
    <x v="1"/>
    <x v="5"/>
    <x v="1"/>
    <x v="2824"/>
    <x v="2728"/>
    <x v="2"/>
    <x v="0"/>
  </r>
  <r>
    <s v="ORD02849"/>
    <x v="1016"/>
    <x v="1"/>
    <x v="6"/>
    <x v="0"/>
    <x v="2825"/>
    <x v="2729"/>
    <x v="0"/>
    <x v="2"/>
  </r>
  <r>
    <s v="ORD02850"/>
    <x v="618"/>
    <x v="2"/>
    <x v="4"/>
    <x v="0"/>
    <x v="2826"/>
    <x v="2730"/>
    <x v="2"/>
    <x v="1"/>
  </r>
  <r>
    <s v="ORD02851"/>
    <x v="559"/>
    <x v="3"/>
    <x v="4"/>
    <x v="0"/>
    <x v="2827"/>
    <x v="2731"/>
    <x v="2"/>
    <x v="1"/>
  </r>
  <r>
    <s v="ORD02852"/>
    <x v="222"/>
    <x v="0"/>
    <x v="13"/>
    <x v="1"/>
    <x v="2828"/>
    <x v="2732"/>
    <x v="2"/>
    <x v="1"/>
  </r>
  <r>
    <s v="ORD02853"/>
    <x v="375"/>
    <x v="3"/>
    <x v="7"/>
    <x v="0"/>
    <x v="2829"/>
    <x v="2733"/>
    <x v="1"/>
    <x v="1"/>
  </r>
  <r>
    <s v="ORD02854"/>
    <x v="1017"/>
    <x v="2"/>
    <x v="5"/>
    <x v="1"/>
    <x v="2830"/>
    <x v="2734"/>
    <x v="0"/>
    <x v="0"/>
  </r>
  <r>
    <s v="ORD02855"/>
    <x v="970"/>
    <x v="3"/>
    <x v="0"/>
    <x v="0"/>
    <x v="2831"/>
    <x v="2735"/>
    <x v="1"/>
    <x v="1"/>
  </r>
  <r>
    <s v="ORD02856"/>
    <x v="672"/>
    <x v="1"/>
    <x v="4"/>
    <x v="0"/>
    <x v="2832"/>
    <x v="2736"/>
    <x v="1"/>
    <x v="3"/>
  </r>
  <r>
    <s v="ORD02857"/>
    <x v="1018"/>
    <x v="3"/>
    <x v="13"/>
    <x v="1"/>
    <x v="2833"/>
    <x v="2737"/>
    <x v="2"/>
    <x v="1"/>
  </r>
  <r>
    <s v="ORD02858"/>
    <x v="947"/>
    <x v="3"/>
    <x v="14"/>
    <x v="2"/>
    <x v="2834"/>
    <x v="2347"/>
    <x v="1"/>
    <x v="1"/>
  </r>
  <r>
    <s v="ORD02859"/>
    <x v="837"/>
    <x v="1"/>
    <x v="3"/>
    <x v="2"/>
    <x v="2835"/>
    <x v="2738"/>
    <x v="1"/>
    <x v="2"/>
  </r>
  <r>
    <s v="ORD02860"/>
    <x v="187"/>
    <x v="0"/>
    <x v="1"/>
    <x v="1"/>
    <x v="2836"/>
    <x v="2739"/>
    <x v="0"/>
    <x v="0"/>
  </r>
  <r>
    <s v="ORD02861"/>
    <x v="46"/>
    <x v="1"/>
    <x v="8"/>
    <x v="1"/>
    <x v="2837"/>
    <x v="2740"/>
    <x v="2"/>
    <x v="0"/>
  </r>
  <r>
    <s v="ORD02862"/>
    <x v="44"/>
    <x v="2"/>
    <x v="7"/>
    <x v="0"/>
    <x v="2838"/>
    <x v="2741"/>
    <x v="2"/>
    <x v="2"/>
  </r>
  <r>
    <s v="ORD02863"/>
    <x v="160"/>
    <x v="1"/>
    <x v="11"/>
    <x v="2"/>
    <x v="2839"/>
    <x v="2742"/>
    <x v="1"/>
    <x v="2"/>
  </r>
  <r>
    <s v="ORD02864"/>
    <x v="363"/>
    <x v="2"/>
    <x v="13"/>
    <x v="1"/>
    <x v="2840"/>
    <x v="2743"/>
    <x v="1"/>
    <x v="1"/>
  </r>
  <r>
    <s v="ORD02865"/>
    <x v="590"/>
    <x v="3"/>
    <x v="0"/>
    <x v="0"/>
    <x v="2841"/>
    <x v="2744"/>
    <x v="2"/>
    <x v="2"/>
  </r>
  <r>
    <s v="ORD02866"/>
    <x v="619"/>
    <x v="0"/>
    <x v="7"/>
    <x v="0"/>
    <x v="2842"/>
    <x v="2745"/>
    <x v="1"/>
    <x v="3"/>
  </r>
  <r>
    <s v="ORD02867"/>
    <x v="801"/>
    <x v="2"/>
    <x v="13"/>
    <x v="1"/>
    <x v="2843"/>
    <x v="2746"/>
    <x v="2"/>
    <x v="0"/>
  </r>
  <r>
    <s v="ORD02868"/>
    <x v="688"/>
    <x v="2"/>
    <x v="14"/>
    <x v="2"/>
    <x v="2844"/>
    <x v="2747"/>
    <x v="2"/>
    <x v="3"/>
  </r>
  <r>
    <s v="ORD02869"/>
    <x v="522"/>
    <x v="2"/>
    <x v="7"/>
    <x v="0"/>
    <x v="2845"/>
    <x v="2748"/>
    <x v="1"/>
    <x v="0"/>
  </r>
  <r>
    <s v="ORD02870"/>
    <x v="93"/>
    <x v="3"/>
    <x v="1"/>
    <x v="1"/>
    <x v="2846"/>
    <x v="2749"/>
    <x v="1"/>
    <x v="0"/>
  </r>
  <r>
    <s v="ORD02871"/>
    <x v="601"/>
    <x v="3"/>
    <x v="3"/>
    <x v="2"/>
    <x v="2847"/>
    <x v="2750"/>
    <x v="0"/>
    <x v="1"/>
  </r>
  <r>
    <s v="ORD02872"/>
    <x v="1019"/>
    <x v="2"/>
    <x v="9"/>
    <x v="0"/>
    <x v="2848"/>
    <x v="2751"/>
    <x v="0"/>
    <x v="2"/>
  </r>
  <r>
    <s v="ORD02873"/>
    <x v="990"/>
    <x v="2"/>
    <x v="7"/>
    <x v="0"/>
    <x v="2849"/>
    <x v="2752"/>
    <x v="1"/>
    <x v="1"/>
  </r>
  <r>
    <s v="ORD02874"/>
    <x v="855"/>
    <x v="1"/>
    <x v="3"/>
    <x v="2"/>
    <x v="2850"/>
    <x v="1142"/>
    <x v="2"/>
    <x v="3"/>
  </r>
  <r>
    <s v="ORD02875"/>
    <x v="672"/>
    <x v="3"/>
    <x v="6"/>
    <x v="0"/>
    <x v="2851"/>
    <x v="2753"/>
    <x v="2"/>
    <x v="1"/>
  </r>
  <r>
    <s v="ORD02876"/>
    <x v="556"/>
    <x v="3"/>
    <x v="3"/>
    <x v="2"/>
    <x v="2852"/>
    <x v="2754"/>
    <x v="2"/>
    <x v="3"/>
  </r>
  <r>
    <s v="ORD02877"/>
    <x v="324"/>
    <x v="3"/>
    <x v="3"/>
    <x v="2"/>
    <x v="2853"/>
    <x v="2755"/>
    <x v="1"/>
    <x v="1"/>
  </r>
  <r>
    <s v="ORD02878"/>
    <x v="780"/>
    <x v="1"/>
    <x v="12"/>
    <x v="2"/>
    <x v="2854"/>
    <x v="2756"/>
    <x v="1"/>
    <x v="1"/>
  </r>
  <r>
    <s v="ORD02879"/>
    <x v="650"/>
    <x v="1"/>
    <x v="1"/>
    <x v="1"/>
    <x v="2855"/>
    <x v="2757"/>
    <x v="0"/>
    <x v="0"/>
  </r>
  <r>
    <s v="ORD02880"/>
    <x v="387"/>
    <x v="2"/>
    <x v="3"/>
    <x v="2"/>
    <x v="2856"/>
    <x v="2758"/>
    <x v="0"/>
    <x v="3"/>
  </r>
  <r>
    <s v="ORD02881"/>
    <x v="121"/>
    <x v="3"/>
    <x v="5"/>
    <x v="1"/>
    <x v="2857"/>
    <x v="609"/>
    <x v="0"/>
    <x v="0"/>
  </r>
  <r>
    <s v="ORD02882"/>
    <x v="338"/>
    <x v="2"/>
    <x v="0"/>
    <x v="0"/>
    <x v="2858"/>
    <x v="2759"/>
    <x v="0"/>
    <x v="3"/>
  </r>
  <r>
    <s v="ORD02883"/>
    <x v="444"/>
    <x v="3"/>
    <x v="12"/>
    <x v="2"/>
    <x v="2859"/>
    <x v="2760"/>
    <x v="1"/>
    <x v="1"/>
  </r>
  <r>
    <s v="ORD02884"/>
    <x v="223"/>
    <x v="3"/>
    <x v="14"/>
    <x v="2"/>
    <x v="2860"/>
    <x v="2761"/>
    <x v="1"/>
    <x v="2"/>
  </r>
  <r>
    <s v="ORD02885"/>
    <x v="466"/>
    <x v="2"/>
    <x v="6"/>
    <x v="0"/>
    <x v="2861"/>
    <x v="2762"/>
    <x v="2"/>
    <x v="3"/>
  </r>
  <r>
    <s v="ORD02886"/>
    <x v="152"/>
    <x v="2"/>
    <x v="3"/>
    <x v="2"/>
    <x v="2862"/>
    <x v="2763"/>
    <x v="2"/>
    <x v="0"/>
  </r>
  <r>
    <s v="ORD02887"/>
    <x v="132"/>
    <x v="3"/>
    <x v="5"/>
    <x v="1"/>
    <x v="2863"/>
    <x v="2764"/>
    <x v="2"/>
    <x v="0"/>
  </r>
  <r>
    <s v="ORD02888"/>
    <x v="733"/>
    <x v="3"/>
    <x v="5"/>
    <x v="1"/>
    <x v="2864"/>
    <x v="1379"/>
    <x v="2"/>
    <x v="2"/>
  </r>
  <r>
    <s v="ORD02889"/>
    <x v="1020"/>
    <x v="3"/>
    <x v="11"/>
    <x v="2"/>
    <x v="2865"/>
    <x v="2765"/>
    <x v="0"/>
    <x v="2"/>
  </r>
  <r>
    <s v="ORD02890"/>
    <x v="241"/>
    <x v="0"/>
    <x v="5"/>
    <x v="1"/>
    <x v="2866"/>
    <x v="932"/>
    <x v="0"/>
    <x v="0"/>
  </r>
  <r>
    <s v="ORD02891"/>
    <x v="425"/>
    <x v="1"/>
    <x v="13"/>
    <x v="1"/>
    <x v="2867"/>
    <x v="2766"/>
    <x v="2"/>
    <x v="2"/>
  </r>
  <r>
    <s v="ORD02892"/>
    <x v="573"/>
    <x v="2"/>
    <x v="14"/>
    <x v="2"/>
    <x v="2868"/>
    <x v="2767"/>
    <x v="1"/>
    <x v="3"/>
  </r>
  <r>
    <s v="ORD02893"/>
    <x v="771"/>
    <x v="0"/>
    <x v="8"/>
    <x v="1"/>
    <x v="2869"/>
    <x v="2307"/>
    <x v="1"/>
    <x v="3"/>
  </r>
  <r>
    <s v="ORD02894"/>
    <x v="624"/>
    <x v="3"/>
    <x v="1"/>
    <x v="1"/>
    <x v="2870"/>
    <x v="2768"/>
    <x v="0"/>
    <x v="1"/>
  </r>
  <r>
    <s v="ORD02895"/>
    <x v="932"/>
    <x v="2"/>
    <x v="10"/>
    <x v="2"/>
    <x v="2871"/>
    <x v="2769"/>
    <x v="1"/>
    <x v="3"/>
  </r>
  <r>
    <s v="ORD02896"/>
    <x v="414"/>
    <x v="2"/>
    <x v="0"/>
    <x v="0"/>
    <x v="2872"/>
    <x v="2770"/>
    <x v="1"/>
    <x v="3"/>
  </r>
  <r>
    <s v="ORD02897"/>
    <x v="487"/>
    <x v="3"/>
    <x v="10"/>
    <x v="2"/>
    <x v="2873"/>
    <x v="2771"/>
    <x v="2"/>
    <x v="3"/>
  </r>
  <r>
    <s v="ORD02898"/>
    <x v="494"/>
    <x v="2"/>
    <x v="8"/>
    <x v="1"/>
    <x v="2874"/>
    <x v="2772"/>
    <x v="1"/>
    <x v="2"/>
  </r>
  <r>
    <s v="ORD02899"/>
    <x v="950"/>
    <x v="2"/>
    <x v="11"/>
    <x v="2"/>
    <x v="2875"/>
    <x v="2773"/>
    <x v="2"/>
    <x v="2"/>
  </r>
  <r>
    <s v="ORD02900"/>
    <x v="151"/>
    <x v="0"/>
    <x v="13"/>
    <x v="1"/>
    <x v="2876"/>
    <x v="2774"/>
    <x v="1"/>
    <x v="0"/>
  </r>
  <r>
    <s v="ORD02901"/>
    <x v="964"/>
    <x v="3"/>
    <x v="13"/>
    <x v="1"/>
    <x v="2877"/>
    <x v="2775"/>
    <x v="2"/>
    <x v="3"/>
  </r>
  <r>
    <s v="ORD02902"/>
    <x v="545"/>
    <x v="3"/>
    <x v="1"/>
    <x v="1"/>
    <x v="2878"/>
    <x v="2776"/>
    <x v="0"/>
    <x v="1"/>
  </r>
  <r>
    <s v="ORD02903"/>
    <x v="574"/>
    <x v="0"/>
    <x v="12"/>
    <x v="2"/>
    <x v="2879"/>
    <x v="2777"/>
    <x v="1"/>
    <x v="0"/>
  </r>
  <r>
    <s v="ORD02904"/>
    <x v="99"/>
    <x v="3"/>
    <x v="6"/>
    <x v="0"/>
    <x v="2880"/>
    <x v="110"/>
    <x v="2"/>
    <x v="0"/>
  </r>
  <r>
    <s v="ORD02905"/>
    <x v="880"/>
    <x v="1"/>
    <x v="0"/>
    <x v="0"/>
    <x v="2881"/>
    <x v="2778"/>
    <x v="2"/>
    <x v="1"/>
  </r>
  <r>
    <s v="ORD02906"/>
    <x v="603"/>
    <x v="3"/>
    <x v="12"/>
    <x v="2"/>
    <x v="2882"/>
    <x v="2779"/>
    <x v="1"/>
    <x v="0"/>
  </r>
  <r>
    <s v="ORD02907"/>
    <x v="323"/>
    <x v="0"/>
    <x v="3"/>
    <x v="2"/>
    <x v="2883"/>
    <x v="2780"/>
    <x v="0"/>
    <x v="3"/>
  </r>
  <r>
    <s v="ORD02908"/>
    <x v="543"/>
    <x v="3"/>
    <x v="2"/>
    <x v="1"/>
    <x v="2884"/>
    <x v="2781"/>
    <x v="0"/>
    <x v="0"/>
  </r>
  <r>
    <s v="ORD02909"/>
    <x v="49"/>
    <x v="1"/>
    <x v="10"/>
    <x v="2"/>
    <x v="2885"/>
    <x v="2782"/>
    <x v="2"/>
    <x v="2"/>
  </r>
  <r>
    <s v="ORD02910"/>
    <x v="545"/>
    <x v="2"/>
    <x v="3"/>
    <x v="2"/>
    <x v="2886"/>
    <x v="2783"/>
    <x v="1"/>
    <x v="1"/>
  </r>
  <r>
    <s v="ORD02911"/>
    <x v="15"/>
    <x v="2"/>
    <x v="11"/>
    <x v="2"/>
    <x v="2887"/>
    <x v="2784"/>
    <x v="2"/>
    <x v="0"/>
  </r>
  <r>
    <s v="ORD02912"/>
    <x v="678"/>
    <x v="0"/>
    <x v="11"/>
    <x v="2"/>
    <x v="524"/>
    <x v="2785"/>
    <x v="2"/>
    <x v="3"/>
  </r>
  <r>
    <s v="ORD02913"/>
    <x v="677"/>
    <x v="1"/>
    <x v="6"/>
    <x v="0"/>
    <x v="2888"/>
    <x v="2786"/>
    <x v="1"/>
    <x v="0"/>
  </r>
  <r>
    <s v="ORD02914"/>
    <x v="237"/>
    <x v="1"/>
    <x v="14"/>
    <x v="2"/>
    <x v="2889"/>
    <x v="2787"/>
    <x v="1"/>
    <x v="1"/>
  </r>
  <r>
    <s v="ORD02915"/>
    <x v="949"/>
    <x v="1"/>
    <x v="7"/>
    <x v="0"/>
    <x v="2890"/>
    <x v="2788"/>
    <x v="1"/>
    <x v="0"/>
  </r>
  <r>
    <s v="ORD02916"/>
    <x v="950"/>
    <x v="3"/>
    <x v="1"/>
    <x v="1"/>
    <x v="2891"/>
    <x v="2789"/>
    <x v="1"/>
    <x v="0"/>
  </r>
  <r>
    <s v="ORD02917"/>
    <x v="713"/>
    <x v="2"/>
    <x v="10"/>
    <x v="2"/>
    <x v="2892"/>
    <x v="2790"/>
    <x v="0"/>
    <x v="3"/>
  </r>
  <r>
    <s v="ORD02918"/>
    <x v="370"/>
    <x v="0"/>
    <x v="3"/>
    <x v="2"/>
    <x v="2893"/>
    <x v="2791"/>
    <x v="1"/>
    <x v="2"/>
  </r>
  <r>
    <s v="ORD02919"/>
    <x v="948"/>
    <x v="2"/>
    <x v="3"/>
    <x v="2"/>
    <x v="2894"/>
    <x v="2792"/>
    <x v="2"/>
    <x v="3"/>
  </r>
  <r>
    <s v="ORD02920"/>
    <x v="371"/>
    <x v="2"/>
    <x v="6"/>
    <x v="0"/>
    <x v="2895"/>
    <x v="2793"/>
    <x v="0"/>
    <x v="3"/>
  </r>
  <r>
    <s v="ORD02921"/>
    <x v="748"/>
    <x v="0"/>
    <x v="7"/>
    <x v="0"/>
    <x v="2896"/>
    <x v="2794"/>
    <x v="0"/>
    <x v="2"/>
  </r>
  <r>
    <s v="ORD02922"/>
    <x v="868"/>
    <x v="2"/>
    <x v="12"/>
    <x v="2"/>
    <x v="2897"/>
    <x v="2795"/>
    <x v="0"/>
    <x v="3"/>
  </r>
  <r>
    <s v="ORD02923"/>
    <x v="190"/>
    <x v="1"/>
    <x v="8"/>
    <x v="1"/>
    <x v="2898"/>
    <x v="2796"/>
    <x v="1"/>
    <x v="2"/>
  </r>
  <r>
    <s v="ORD02924"/>
    <x v="948"/>
    <x v="0"/>
    <x v="12"/>
    <x v="2"/>
    <x v="2899"/>
    <x v="2797"/>
    <x v="2"/>
    <x v="2"/>
  </r>
  <r>
    <s v="ORD02925"/>
    <x v="815"/>
    <x v="1"/>
    <x v="10"/>
    <x v="2"/>
    <x v="2900"/>
    <x v="2798"/>
    <x v="2"/>
    <x v="0"/>
  </r>
  <r>
    <s v="ORD02926"/>
    <x v="570"/>
    <x v="3"/>
    <x v="0"/>
    <x v="0"/>
    <x v="2901"/>
    <x v="2799"/>
    <x v="1"/>
    <x v="2"/>
  </r>
  <r>
    <s v="ORD02927"/>
    <x v="445"/>
    <x v="0"/>
    <x v="0"/>
    <x v="0"/>
    <x v="2902"/>
    <x v="2800"/>
    <x v="2"/>
    <x v="0"/>
  </r>
  <r>
    <s v="ORD02928"/>
    <x v="753"/>
    <x v="1"/>
    <x v="14"/>
    <x v="2"/>
    <x v="2903"/>
    <x v="2801"/>
    <x v="1"/>
    <x v="2"/>
  </r>
  <r>
    <s v="ORD02929"/>
    <x v="154"/>
    <x v="0"/>
    <x v="8"/>
    <x v="1"/>
    <x v="2904"/>
    <x v="1586"/>
    <x v="0"/>
    <x v="1"/>
  </r>
  <r>
    <s v="ORD02930"/>
    <x v="302"/>
    <x v="3"/>
    <x v="12"/>
    <x v="2"/>
    <x v="2905"/>
    <x v="2802"/>
    <x v="0"/>
    <x v="3"/>
  </r>
  <r>
    <s v="ORD02931"/>
    <x v="843"/>
    <x v="1"/>
    <x v="12"/>
    <x v="2"/>
    <x v="2906"/>
    <x v="2803"/>
    <x v="0"/>
    <x v="0"/>
  </r>
  <r>
    <s v="ORD02932"/>
    <x v="335"/>
    <x v="3"/>
    <x v="8"/>
    <x v="1"/>
    <x v="2907"/>
    <x v="2804"/>
    <x v="0"/>
    <x v="0"/>
  </r>
  <r>
    <s v="ORD02933"/>
    <x v="855"/>
    <x v="1"/>
    <x v="9"/>
    <x v="0"/>
    <x v="2908"/>
    <x v="2805"/>
    <x v="2"/>
    <x v="3"/>
  </r>
  <r>
    <s v="ORD02934"/>
    <x v="383"/>
    <x v="1"/>
    <x v="7"/>
    <x v="0"/>
    <x v="2909"/>
    <x v="2806"/>
    <x v="2"/>
    <x v="0"/>
  </r>
  <r>
    <s v="ORD02935"/>
    <x v="489"/>
    <x v="1"/>
    <x v="5"/>
    <x v="1"/>
    <x v="2910"/>
    <x v="2807"/>
    <x v="0"/>
    <x v="0"/>
  </r>
  <r>
    <s v="ORD02936"/>
    <x v="735"/>
    <x v="3"/>
    <x v="2"/>
    <x v="1"/>
    <x v="2911"/>
    <x v="2808"/>
    <x v="0"/>
    <x v="1"/>
  </r>
  <r>
    <s v="ORD02937"/>
    <x v="138"/>
    <x v="0"/>
    <x v="5"/>
    <x v="1"/>
    <x v="2912"/>
    <x v="2809"/>
    <x v="1"/>
    <x v="1"/>
  </r>
  <r>
    <s v="ORD02938"/>
    <x v="803"/>
    <x v="2"/>
    <x v="1"/>
    <x v="1"/>
    <x v="2913"/>
    <x v="2810"/>
    <x v="2"/>
    <x v="2"/>
  </r>
  <r>
    <s v="ORD02939"/>
    <x v="238"/>
    <x v="1"/>
    <x v="14"/>
    <x v="2"/>
    <x v="2914"/>
    <x v="2811"/>
    <x v="1"/>
    <x v="1"/>
  </r>
  <r>
    <s v="ORD02940"/>
    <x v="120"/>
    <x v="2"/>
    <x v="12"/>
    <x v="2"/>
    <x v="1951"/>
    <x v="2812"/>
    <x v="0"/>
    <x v="0"/>
  </r>
  <r>
    <s v="ORD02941"/>
    <x v="350"/>
    <x v="1"/>
    <x v="4"/>
    <x v="0"/>
    <x v="2915"/>
    <x v="2813"/>
    <x v="0"/>
    <x v="1"/>
  </r>
  <r>
    <s v="ORD02942"/>
    <x v="40"/>
    <x v="1"/>
    <x v="10"/>
    <x v="2"/>
    <x v="2916"/>
    <x v="2814"/>
    <x v="1"/>
    <x v="1"/>
  </r>
  <r>
    <s v="ORD02943"/>
    <x v="693"/>
    <x v="0"/>
    <x v="6"/>
    <x v="0"/>
    <x v="2917"/>
    <x v="2815"/>
    <x v="0"/>
    <x v="1"/>
  </r>
  <r>
    <s v="ORD02944"/>
    <x v="337"/>
    <x v="2"/>
    <x v="9"/>
    <x v="0"/>
    <x v="2918"/>
    <x v="2816"/>
    <x v="1"/>
    <x v="1"/>
  </r>
  <r>
    <s v="ORD02945"/>
    <x v="558"/>
    <x v="2"/>
    <x v="11"/>
    <x v="2"/>
    <x v="2919"/>
    <x v="2817"/>
    <x v="2"/>
    <x v="2"/>
  </r>
  <r>
    <s v="ORD02946"/>
    <x v="540"/>
    <x v="2"/>
    <x v="7"/>
    <x v="0"/>
    <x v="2578"/>
    <x v="2818"/>
    <x v="2"/>
    <x v="2"/>
  </r>
  <r>
    <s v="ORD02947"/>
    <x v="734"/>
    <x v="3"/>
    <x v="2"/>
    <x v="1"/>
    <x v="2920"/>
    <x v="2819"/>
    <x v="1"/>
    <x v="3"/>
  </r>
  <r>
    <s v="ORD02948"/>
    <x v="722"/>
    <x v="3"/>
    <x v="6"/>
    <x v="0"/>
    <x v="2921"/>
    <x v="2820"/>
    <x v="1"/>
    <x v="1"/>
  </r>
  <r>
    <s v="ORD02949"/>
    <x v="540"/>
    <x v="2"/>
    <x v="8"/>
    <x v="1"/>
    <x v="2922"/>
    <x v="2821"/>
    <x v="0"/>
    <x v="0"/>
  </r>
  <r>
    <s v="ORD02950"/>
    <x v="424"/>
    <x v="1"/>
    <x v="11"/>
    <x v="2"/>
    <x v="2923"/>
    <x v="2822"/>
    <x v="1"/>
    <x v="0"/>
  </r>
  <r>
    <s v="ORD02951"/>
    <x v="1021"/>
    <x v="3"/>
    <x v="11"/>
    <x v="2"/>
    <x v="2924"/>
    <x v="2823"/>
    <x v="1"/>
    <x v="2"/>
  </r>
  <r>
    <s v="ORD02952"/>
    <x v="480"/>
    <x v="3"/>
    <x v="11"/>
    <x v="2"/>
    <x v="2925"/>
    <x v="469"/>
    <x v="0"/>
    <x v="1"/>
  </r>
  <r>
    <s v="ORD02953"/>
    <x v="1022"/>
    <x v="0"/>
    <x v="13"/>
    <x v="1"/>
    <x v="2926"/>
    <x v="2824"/>
    <x v="1"/>
    <x v="1"/>
  </r>
  <r>
    <s v="ORD02954"/>
    <x v="420"/>
    <x v="3"/>
    <x v="6"/>
    <x v="0"/>
    <x v="2927"/>
    <x v="2825"/>
    <x v="0"/>
    <x v="2"/>
  </r>
  <r>
    <s v="ORD02955"/>
    <x v="565"/>
    <x v="0"/>
    <x v="10"/>
    <x v="2"/>
    <x v="2928"/>
    <x v="2826"/>
    <x v="1"/>
    <x v="2"/>
  </r>
  <r>
    <s v="ORD02956"/>
    <x v="691"/>
    <x v="1"/>
    <x v="11"/>
    <x v="2"/>
    <x v="2929"/>
    <x v="2827"/>
    <x v="0"/>
    <x v="2"/>
  </r>
  <r>
    <s v="ORD02957"/>
    <x v="1005"/>
    <x v="0"/>
    <x v="8"/>
    <x v="1"/>
    <x v="2930"/>
    <x v="2828"/>
    <x v="2"/>
    <x v="3"/>
  </r>
  <r>
    <s v="ORD02958"/>
    <x v="504"/>
    <x v="2"/>
    <x v="13"/>
    <x v="1"/>
    <x v="2931"/>
    <x v="2829"/>
    <x v="0"/>
    <x v="0"/>
  </r>
  <r>
    <s v="ORD02959"/>
    <x v="566"/>
    <x v="2"/>
    <x v="2"/>
    <x v="1"/>
    <x v="2932"/>
    <x v="2830"/>
    <x v="0"/>
    <x v="2"/>
  </r>
  <r>
    <s v="ORD02960"/>
    <x v="351"/>
    <x v="0"/>
    <x v="9"/>
    <x v="0"/>
    <x v="2933"/>
    <x v="2831"/>
    <x v="2"/>
    <x v="2"/>
  </r>
  <r>
    <s v="ORD02961"/>
    <x v="388"/>
    <x v="1"/>
    <x v="6"/>
    <x v="0"/>
    <x v="2934"/>
    <x v="2832"/>
    <x v="2"/>
    <x v="2"/>
  </r>
  <r>
    <s v="ORD02962"/>
    <x v="544"/>
    <x v="0"/>
    <x v="5"/>
    <x v="1"/>
    <x v="2935"/>
    <x v="2833"/>
    <x v="2"/>
    <x v="1"/>
  </r>
  <r>
    <s v="ORD02963"/>
    <x v="104"/>
    <x v="2"/>
    <x v="7"/>
    <x v="0"/>
    <x v="2936"/>
    <x v="2834"/>
    <x v="2"/>
    <x v="1"/>
  </r>
  <r>
    <s v="ORD02964"/>
    <x v="40"/>
    <x v="2"/>
    <x v="3"/>
    <x v="2"/>
    <x v="2937"/>
    <x v="2835"/>
    <x v="0"/>
    <x v="2"/>
  </r>
  <r>
    <s v="ORD02965"/>
    <x v="353"/>
    <x v="0"/>
    <x v="1"/>
    <x v="1"/>
    <x v="2938"/>
    <x v="2836"/>
    <x v="0"/>
    <x v="1"/>
  </r>
  <r>
    <s v="ORD02966"/>
    <x v="918"/>
    <x v="3"/>
    <x v="1"/>
    <x v="1"/>
    <x v="2939"/>
    <x v="2837"/>
    <x v="0"/>
    <x v="1"/>
  </r>
  <r>
    <s v="ORD02967"/>
    <x v="406"/>
    <x v="3"/>
    <x v="7"/>
    <x v="0"/>
    <x v="2940"/>
    <x v="2838"/>
    <x v="2"/>
    <x v="0"/>
  </r>
  <r>
    <s v="ORD02968"/>
    <x v="929"/>
    <x v="2"/>
    <x v="8"/>
    <x v="1"/>
    <x v="2941"/>
    <x v="2839"/>
    <x v="2"/>
    <x v="1"/>
  </r>
  <r>
    <s v="ORD02969"/>
    <x v="21"/>
    <x v="3"/>
    <x v="11"/>
    <x v="2"/>
    <x v="2942"/>
    <x v="2840"/>
    <x v="2"/>
    <x v="1"/>
  </r>
  <r>
    <s v="ORD02970"/>
    <x v="716"/>
    <x v="1"/>
    <x v="0"/>
    <x v="0"/>
    <x v="2943"/>
    <x v="2841"/>
    <x v="2"/>
    <x v="2"/>
  </r>
  <r>
    <s v="ORD02971"/>
    <x v="630"/>
    <x v="1"/>
    <x v="2"/>
    <x v="1"/>
    <x v="2944"/>
    <x v="2842"/>
    <x v="0"/>
    <x v="3"/>
  </r>
  <r>
    <s v="ORD02972"/>
    <x v="947"/>
    <x v="3"/>
    <x v="13"/>
    <x v="1"/>
    <x v="2945"/>
    <x v="2843"/>
    <x v="0"/>
    <x v="0"/>
  </r>
  <r>
    <s v="ORD02973"/>
    <x v="775"/>
    <x v="3"/>
    <x v="1"/>
    <x v="1"/>
    <x v="2946"/>
    <x v="2844"/>
    <x v="0"/>
    <x v="3"/>
  </r>
  <r>
    <s v="ORD02974"/>
    <x v="440"/>
    <x v="2"/>
    <x v="4"/>
    <x v="0"/>
    <x v="2947"/>
    <x v="2845"/>
    <x v="2"/>
    <x v="2"/>
  </r>
  <r>
    <s v="ORD02975"/>
    <x v="486"/>
    <x v="0"/>
    <x v="10"/>
    <x v="2"/>
    <x v="2948"/>
    <x v="2846"/>
    <x v="2"/>
    <x v="2"/>
  </r>
  <r>
    <s v="ORD02976"/>
    <x v="316"/>
    <x v="3"/>
    <x v="4"/>
    <x v="0"/>
    <x v="2949"/>
    <x v="2847"/>
    <x v="2"/>
    <x v="3"/>
  </r>
  <r>
    <s v="ORD02977"/>
    <x v="380"/>
    <x v="0"/>
    <x v="8"/>
    <x v="1"/>
    <x v="2950"/>
    <x v="2848"/>
    <x v="2"/>
    <x v="2"/>
  </r>
  <r>
    <s v="ORD02978"/>
    <x v="625"/>
    <x v="0"/>
    <x v="8"/>
    <x v="1"/>
    <x v="2951"/>
    <x v="2849"/>
    <x v="1"/>
    <x v="2"/>
  </r>
  <r>
    <s v="ORD02979"/>
    <x v="343"/>
    <x v="2"/>
    <x v="10"/>
    <x v="2"/>
    <x v="2952"/>
    <x v="635"/>
    <x v="0"/>
    <x v="0"/>
  </r>
  <r>
    <s v="ORD02980"/>
    <x v="188"/>
    <x v="2"/>
    <x v="14"/>
    <x v="2"/>
    <x v="2953"/>
    <x v="2850"/>
    <x v="2"/>
    <x v="3"/>
  </r>
  <r>
    <s v="ORD02981"/>
    <x v="325"/>
    <x v="3"/>
    <x v="9"/>
    <x v="0"/>
    <x v="2954"/>
    <x v="2851"/>
    <x v="2"/>
    <x v="2"/>
  </r>
  <r>
    <s v="ORD02982"/>
    <x v="814"/>
    <x v="3"/>
    <x v="14"/>
    <x v="2"/>
    <x v="2955"/>
    <x v="2852"/>
    <x v="2"/>
    <x v="2"/>
  </r>
  <r>
    <s v="ORD02983"/>
    <x v="25"/>
    <x v="1"/>
    <x v="9"/>
    <x v="0"/>
    <x v="2956"/>
    <x v="2853"/>
    <x v="0"/>
    <x v="1"/>
  </r>
  <r>
    <s v="ORD02984"/>
    <x v="320"/>
    <x v="1"/>
    <x v="6"/>
    <x v="0"/>
    <x v="2957"/>
    <x v="2854"/>
    <x v="1"/>
    <x v="0"/>
  </r>
  <r>
    <s v="ORD02985"/>
    <x v="858"/>
    <x v="1"/>
    <x v="14"/>
    <x v="2"/>
    <x v="2958"/>
    <x v="2855"/>
    <x v="0"/>
    <x v="3"/>
  </r>
  <r>
    <s v="ORD02986"/>
    <x v="512"/>
    <x v="0"/>
    <x v="0"/>
    <x v="0"/>
    <x v="2959"/>
    <x v="1710"/>
    <x v="2"/>
    <x v="0"/>
  </r>
  <r>
    <s v="ORD02987"/>
    <x v="601"/>
    <x v="3"/>
    <x v="8"/>
    <x v="1"/>
    <x v="2960"/>
    <x v="2856"/>
    <x v="1"/>
    <x v="2"/>
  </r>
  <r>
    <s v="ORD02988"/>
    <x v="1023"/>
    <x v="0"/>
    <x v="7"/>
    <x v="0"/>
    <x v="2961"/>
    <x v="2857"/>
    <x v="0"/>
    <x v="1"/>
  </r>
  <r>
    <s v="ORD02989"/>
    <x v="902"/>
    <x v="0"/>
    <x v="11"/>
    <x v="2"/>
    <x v="2962"/>
    <x v="2858"/>
    <x v="0"/>
    <x v="3"/>
  </r>
  <r>
    <s v="ORD02990"/>
    <x v="975"/>
    <x v="1"/>
    <x v="0"/>
    <x v="0"/>
    <x v="2963"/>
    <x v="2859"/>
    <x v="1"/>
    <x v="2"/>
  </r>
  <r>
    <s v="ORD02991"/>
    <x v="672"/>
    <x v="0"/>
    <x v="1"/>
    <x v="1"/>
    <x v="2964"/>
    <x v="2860"/>
    <x v="0"/>
    <x v="3"/>
  </r>
  <r>
    <s v="ORD02992"/>
    <x v="1024"/>
    <x v="3"/>
    <x v="9"/>
    <x v="0"/>
    <x v="2965"/>
    <x v="2861"/>
    <x v="1"/>
    <x v="0"/>
  </r>
  <r>
    <s v="ORD02993"/>
    <x v="119"/>
    <x v="3"/>
    <x v="11"/>
    <x v="2"/>
    <x v="2966"/>
    <x v="2862"/>
    <x v="2"/>
    <x v="0"/>
  </r>
  <r>
    <s v="ORD02994"/>
    <x v="287"/>
    <x v="1"/>
    <x v="9"/>
    <x v="0"/>
    <x v="2967"/>
    <x v="2863"/>
    <x v="1"/>
    <x v="3"/>
  </r>
  <r>
    <s v="ORD02995"/>
    <x v="1025"/>
    <x v="2"/>
    <x v="9"/>
    <x v="0"/>
    <x v="2968"/>
    <x v="2864"/>
    <x v="1"/>
    <x v="0"/>
  </r>
  <r>
    <s v="ORD02996"/>
    <x v="973"/>
    <x v="0"/>
    <x v="14"/>
    <x v="2"/>
    <x v="2969"/>
    <x v="2865"/>
    <x v="2"/>
    <x v="0"/>
  </r>
  <r>
    <s v="ORD02997"/>
    <x v="319"/>
    <x v="0"/>
    <x v="13"/>
    <x v="1"/>
    <x v="2970"/>
    <x v="2866"/>
    <x v="2"/>
    <x v="3"/>
  </r>
  <r>
    <s v="ORD02998"/>
    <x v="970"/>
    <x v="1"/>
    <x v="7"/>
    <x v="0"/>
    <x v="2971"/>
    <x v="2867"/>
    <x v="0"/>
    <x v="2"/>
  </r>
  <r>
    <s v="ORD02999"/>
    <x v="311"/>
    <x v="2"/>
    <x v="4"/>
    <x v="0"/>
    <x v="2972"/>
    <x v="2868"/>
    <x v="1"/>
    <x v="0"/>
  </r>
  <r>
    <s v="ORD03000"/>
    <x v="272"/>
    <x v="2"/>
    <x v="2"/>
    <x v="1"/>
    <x v="2973"/>
    <x v="2869"/>
    <x v="0"/>
    <x v="0"/>
  </r>
  <r>
    <s v="ORD03001"/>
    <x v="451"/>
    <x v="0"/>
    <x v="7"/>
    <x v="0"/>
    <x v="2974"/>
    <x v="2870"/>
    <x v="2"/>
    <x v="0"/>
  </r>
  <r>
    <s v="ORD03002"/>
    <x v="28"/>
    <x v="3"/>
    <x v="2"/>
    <x v="1"/>
    <x v="2975"/>
    <x v="2871"/>
    <x v="1"/>
    <x v="0"/>
  </r>
  <r>
    <s v="ORD03003"/>
    <x v="755"/>
    <x v="1"/>
    <x v="2"/>
    <x v="1"/>
    <x v="2976"/>
    <x v="2872"/>
    <x v="1"/>
    <x v="3"/>
  </r>
  <r>
    <s v="ORD03004"/>
    <x v="600"/>
    <x v="2"/>
    <x v="12"/>
    <x v="2"/>
    <x v="2977"/>
    <x v="2873"/>
    <x v="0"/>
    <x v="1"/>
  </r>
  <r>
    <s v="ORD03005"/>
    <x v="46"/>
    <x v="2"/>
    <x v="3"/>
    <x v="2"/>
    <x v="2978"/>
    <x v="2874"/>
    <x v="2"/>
    <x v="0"/>
  </r>
  <r>
    <s v="ORD03006"/>
    <x v="139"/>
    <x v="0"/>
    <x v="12"/>
    <x v="2"/>
    <x v="2979"/>
    <x v="2875"/>
    <x v="0"/>
    <x v="3"/>
  </r>
  <r>
    <s v="ORD03007"/>
    <x v="787"/>
    <x v="0"/>
    <x v="9"/>
    <x v="0"/>
    <x v="2980"/>
    <x v="2876"/>
    <x v="1"/>
    <x v="0"/>
  </r>
  <r>
    <s v="ORD03008"/>
    <x v="38"/>
    <x v="1"/>
    <x v="0"/>
    <x v="0"/>
    <x v="2981"/>
    <x v="2877"/>
    <x v="1"/>
    <x v="3"/>
  </r>
  <r>
    <s v="ORD03009"/>
    <x v="855"/>
    <x v="3"/>
    <x v="10"/>
    <x v="2"/>
    <x v="2982"/>
    <x v="2878"/>
    <x v="1"/>
    <x v="1"/>
  </r>
  <r>
    <s v="ORD03010"/>
    <x v="66"/>
    <x v="1"/>
    <x v="5"/>
    <x v="1"/>
    <x v="2983"/>
    <x v="1842"/>
    <x v="0"/>
    <x v="0"/>
  </r>
  <r>
    <s v="ORD03011"/>
    <x v="309"/>
    <x v="0"/>
    <x v="10"/>
    <x v="2"/>
    <x v="2984"/>
    <x v="2879"/>
    <x v="1"/>
    <x v="3"/>
  </r>
  <r>
    <s v="ORD03012"/>
    <x v="457"/>
    <x v="0"/>
    <x v="0"/>
    <x v="0"/>
    <x v="2985"/>
    <x v="2880"/>
    <x v="0"/>
    <x v="2"/>
  </r>
  <r>
    <s v="ORD03013"/>
    <x v="676"/>
    <x v="3"/>
    <x v="12"/>
    <x v="2"/>
    <x v="2986"/>
    <x v="2881"/>
    <x v="1"/>
    <x v="3"/>
  </r>
  <r>
    <s v="ORD03014"/>
    <x v="752"/>
    <x v="2"/>
    <x v="7"/>
    <x v="0"/>
    <x v="2987"/>
    <x v="2882"/>
    <x v="1"/>
    <x v="3"/>
  </r>
  <r>
    <s v="ORD03015"/>
    <x v="275"/>
    <x v="1"/>
    <x v="8"/>
    <x v="1"/>
    <x v="2988"/>
    <x v="2883"/>
    <x v="0"/>
    <x v="1"/>
  </r>
  <r>
    <s v="ORD03016"/>
    <x v="400"/>
    <x v="1"/>
    <x v="8"/>
    <x v="1"/>
    <x v="2989"/>
    <x v="2884"/>
    <x v="2"/>
    <x v="2"/>
  </r>
  <r>
    <s v="ORD03017"/>
    <x v="1026"/>
    <x v="2"/>
    <x v="1"/>
    <x v="1"/>
    <x v="2990"/>
    <x v="2885"/>
    <x v="1"/>
    <x v="2"/>
  </r>
  <r>
    <s v="ORD03018"/>
    <x v="554"/>
    <x v="1"/>
    <x v="7"/>
    <x v="0"/>
    <x v="2991"/>
    <x v="2886"/>
    <x v="1"/>
    <x v="0"/>
  </r>
  <r>
    <s v="ORD03019"/>
    <x v="24"/>
    <x v="1"/>
    <x v="5"/>
    <x v="1"/>
    <x v="2992"/>
    <x v="2887"/>
    <x v="0"/>
    <x v="0"/>
  </r>
  <r>
    <s v="ORD03020"/>
    <x v="18"/>
    <x v="1"/>
    <x v="13"/>
    <x v="1"/>
    <x v="2993"/>
    <x v="1749"/>
    <x v="2"/>
    <x v="3"/>
  </r>
  <r>
    <s v="ORD03021"/>
    <x v="380"/>
    <x v="2"/>
    <x v="13"/>
    <x v="1"/>
    <x v="2994"/>
    <x v="2888"/>
    <x v="2"/>
    <x v="3"/>
  </r>
  <r>
    <s v="ORD03022"/>
    <x v="548"/>
    <x v="2"/>
    <x v="3"/>
    <x v="2"/>
    <x v="2995"/>
    <x v="2889"/>
    <x v="0"/>
    <x v="1"/>
  </r>
  <r>
    <s v="ORD03023"/>
    <x v="822"/>
    <x v="3"/>
    <x v="4"/>
    <x v="0"/>
    <x v="2996"/>
    <x v="2890"/>
    <x v="2"/>
    <x v="2"/>
  </r>
  <r>
    <s v="ORD03024"/>
    <x v="79"/>
    <x v="2"/>
    <x v="4"/>
    <x v="0"/>
    <x v="2997"/>
    <x v="2891"/>
    <x v="1"/>
    <x v="2"/>
  </r>
  <r>
    <s v="ORD03025"/>
    <x v="875"/>
    <x v="3"/>
    <x v="0"/>
    <x v="0"/>
    <x v="2998"/>
    <x v="2892"/>
    <x v="2"/>
    <x v="0"/>
  </r>
  <r>
    <s v="ORD03026"/>
    <x v="399"/>
    <x v="2"/>
    <x v="8"/>
    <x v="1"/>
    <x v="2999"/>
    <x v="2893"/>
    <x v="1"/>
    <x v="1"/>
  </r>
  <r>
    <s v="ORD03027"/>
    <x v="578"/>
    <x v="1"/>
    <x v="5"/>
    <x v="1"/>
    <x v="3000"/>
    <x v="2894"/>
    <x v="1"/>
    <x v="3"/>
  </r>
  <r>
    <s v="ORD03028"/>
    <x v="1005"/>
    <x v="1"/>
    <x v="7"/>
    <x v="0"/>
    <x v="3001"/>
    <x v="2895"/>
    <x v="2"/>
    <x v="3"/>
  </r>
  <r>
    <s v="ORD03029"/>
    <x v="775"/>
    <x v="1"/>
    <x v="14"/>
    <x v="2"/>
    <x v="3002"/>
    <x v="2896"/>
    <x v="2"/>
    <x v="2"/>
  </r>
  <r>
    <s v="ORD03030"/>
    <x v="336"/>
    <x v="0"/>
    <x v="12"/>
    <x v="2"/>
    <x v="3003"/>
    <x v="2897"/>
    <x v="0"/>
    <x v="0"/>
  </r>
  <r>
    <s v="ORD03031"/>
    <x v="907"/>
    <x v="3"/>
    <x v="4"/>
    <x v="0"/>
    <x v="3004"/>
    <x v="2898"/>
    <x v="1"/>
    <x v="3"/>
  </r>
  <r>
    <s v="ORD03032"/>
    <x v="148"/>
    <x v="0"/>
    <x v="5"/>
    <x v="1"/>
    <x v="3005"/>
    <x v="2899"/>
    <x v="2"/>
    <x v="1"/>
  </r>
  <r>
    <s v="ORD03033"/>
    <x v="101"/>
    <x v="0"/>
    <x v="14"/>
    <x v="2"/>
    <x v="3006"/>
    <x v="2900"/>
    <x v="2"/>
    <x v="3"/>
  </r>
  <r>
    <s v="ORD03034"/>
    <x v="650"/>
    <x v="3"/>
    <x v="3"/>
    <x v="2"/>
    <x v="3007"/>
    <x v="2901"/>
    <x v="0"/>
    <x v="1"/>
  </r>
  <r>
    <s v="ORD03035"/>
    <x v="649"/>
    <x v="3"/>
    <x v="2"/>
    <x v="1"/>
    <x v="3008"/>
    <x v="2902"/>
    <x v="2"/>
    <x v="3"/>
  </r>
  <r>
    <s v="ORD03036"/>
    <x v="619"/>
    <x v="1"/>
    <x v="14"/>
    <x v="2"/>
    <x v="3009"/>
    <x v="2903"/>
    <x v="2"/>
    <x v="1"/>
  </r>
  <r>
    <s v="ORD03037"/>
    <x v="902"/>
    <x v="3"/>
    <x v="4"/>
    <x v="0"/>
    <x v="3010"/>
    <x v="2904"/>
    <x v="2"/>
    <x v="3"/>
  </r>
  <r>
    <s v="ORD03038"/>
    <x v="30"/>
    <x v="3"/>
    <x v="13"/>
    <x v="1"/>
    <x v="3011"/>
    <x v="2905"/>
    <x v="0"/>
    <x v="1"/>
  </r>
  <r>
    <s v="ORD03039"/>
    <x v="511"/>
    <x v="3"/>
    <x v="12"/>
    <x v="2"/>
    <x v="3012"/>
    <x v="2906"/>
    <x v="1"/>
    <x v="2"/>
  </r>
  <r>
    <s v="ORD03040"/>
    <x v="657"/>
    <x v="1"/>
    <x v="5"/>
    <x v="1"/>
    <x v="3013"/>
    <x v="2907"/>
    <x v="2"/>
    <x v="3"/>
  </r>
  <r>
    <s v="ORD03041"/>
    <x v="756"/>
    <x v="0"/>
    <x v="13"/>
    <x v="1"/>
    <x v="3014"/>
    <x v="2908"/>
    <x v="1"/>
    <x v="1"/>
  </r>
  <r>
    <s v="ORD03042"/>
    <x v="772"/>
    <x v="0"/>
    <x v="0"/>
    <x v="0"/>
    <x v="3015"/>
    <x v="2909"/>
    <x v="0"/>
    <x v="0"/>
  </r>
  <r>
    <s v="ORD03043"/>
    <x v="426"/>
    <x v="1"/>
    <x v="4"/>
    <x v="0"/>
    <x v="3016"/>
    <x v="2910"/>
    <x v="0"/>
    <x v="2"/>
  </r>
  <r>
    <s v="ORD03044"/>
    <x v="73"/>
    <x v="3"/>
    <x v="8"/>
    <x v="1"/>
    <x v="3017"/>
    <x v="2911"/>
    <x v="0"/>
    <x v="1"/>
  </r>
  <r>
    <s v="ORD03045"/>
    <x v="891"/>
    <x v="3"/>
    <x v="11"/>
    <x v="2"/>
    <x v="3018"/>
    <x v="2912"/>
    <x v="1"/>
    <x v="2"/>
  </r>
  <r>
    <s v="ORD03046"/>
    <x v="540"/>
    <x v="2"/>
    <x v="9"/>
    <x v="0"/>
    <x v="3019"/>
    <x v="2913"/>
    <x v="0"/>
    <x v="2"/>
  </r>
  <r>
    <s v="ORD03047"/>
    <x v="902"/>
    <x v="0"/>
    <x v="2"/>
    <x v="1"/>
    <x v="3020"/>
    <x v="2914"/>
    <x v="2"/>
    <x v="0"/>
  </r>
  <r>
    <s v="ORD03048"/>
    <x v="178"/>
    <x v="2"/>
    <x v="2"/>
    <x v="1"/>
    <x v="3021"/>
    <x v="2915"/>
    <x v="1"/>
    <x v="3"/>
  </r>
  <r>
    <s v="ORD03049"/>
    <x v="161"/>
    <x v="2"/>
    <x v="13"/>
    <x v="1"/>
    <x v="3022"/>
    <x v="2916"/>
    <x v="1"/>
    <x v="3"/>
  </r>
  <r>
    <s v="ORD03050"/>
    <x v="139"/>
    <x v="0"/>
    <x v="12"/>
    <x v="2"/>
    <x v="3023"/>
    <x v="2917"/>
    <x v="2"/>
    <x v="1"/>
  </r>
  <r>
    <s v="ORD03051"/>
    <x v="36"/>
    <x v="0"/>
    <x v="3"/>
    <x v="2"/>
    <x v="3024"/>
    <x v="2918"/>
    <x v="2"/>
    <x v="1"/>
  </r>
  <r>
    <s v="ORD03052"/>
    <x v="290"/>
    <x v="2"/>
    <x v="13"/>
    <x v="1"/>
    <x v="3025"/>
    <x v="2919"/>
    <x v="1"/>
    <x v="1"/>
  </r>
  <r>
    <s v="ORD03053"/>
    <x v="612"/>
    <x v="1"/>
    <x v="6"/>
    <x v="0"/>
    <x v="3026"/>
    <x v="2920"/>
    <x v="2"/>
    <x v="0"/>
  </r>
  <r>
    <s v="ORD03054"/>
    <x v="789"/>
    <x v="0"/>
    <x v="6"/>
    <x v="0"/>
    <x v="3027"/>
    <x v="2921"/>
    <x v="0"/>
    <x v="0"/>
  </r>
  <r>
    <s v="ORD03056"/>
    <x v="345"/>
    <x v="1"/>
    <x v="8"/>
    <x v="1"/>
    <x v="3028"/>
    <x v="2922"/>
    <x v="2"/>
    <x v="1"/>
  </r>
  <r>
    <s v="ORD03057"/>
    <x v="549"/>
    <x v="2"/>
    <x v="10"/>
    <x v="2"/>
    <x v="3029"/>
    <x v="2923"/>
    <x v="1"/>
    <x v="0"/>
  </r>
  <r>
    <s v="ORD03058"/>
    <x v="907"/>
    <x v="3"/>
    <x v="0"/>
    <x v="0"/>
    <x v="3030"/>
    <x v="559"/>
    <x v="1"/>
    <x v="0"/>
  </r>
  <r>
    <s v="ORD03059"/>
    <x v="1027"/>
    <x v="0"/>
    <x v="7"/>
    <x v="0"/>
    <x v="3031"/>
    <x v="2924"/>
    <x v="2"/>
    <x v="2"/>
  </r>
  <r>
    <s v="ORD03060"/>
    <x v="1028"/>
    <x v="0"/>
    <x v="8"/>
    <x v="1"/>
    <x v="3032"/>
    <x v="2925"/>
    <x v="1"/>
    <x v="2"/>
  </r>
  <r>
    <s v="ORD03061"/>
    <x v="448"/>
    <x v="1"/>
    <x v="5"/>
    <x v="1"/>
    <x v="3033"/>
    <x v="2926"/>
    <x v="2"/>
    <x v="0"/>
  </r>
  <r>
    <s v="ORD03062"/>
    <x v="546"/>
    <x v="3"/>
    <x v="0"/>
    <x v="0"/>
    <x v="3034"/>
    <x v="2927"/>
    <x v="1"/>
    <x v="0"/>
  </r>
  <r>
    <s v="ORD03063"/>
    <x v="515"/>
    <x v="2"/>
    <x v="8"/>
    <x v="1"/>
    <x v="3035"/>
    <x v="2928"/>
    <x v="0"/>
    <x v="1"/>
  </r>
  <r>
    <s v="ORD03064"/>
    <x v="604"/>
    <x v="2"/>
    <x v="9"/>
    <x v="0"/>
    <x v="3036"/>
    <x v="2929"/>
    <x v="1"/>
    <x v="1"/>
  </r>
  <r>
    <s v="ORD03065"/>
    <x v="246"/>
    <x v="0"/>
    <x v="7"/>
    <x v="0"/>
    <x v="3037"/>
    <x v="2930"/>
    <x v="1"/>
    <x v="3"/>
  </r>
  <r>
    <s v="ORD03066"/>
    <x v="2"/>
    <x v="2"/>
    <x v="7"/>
    <x v="0"/>
    <x v="3038"/>
    <x v="2931"/>
    <x v="2"/>
    <x v="0"/>
  </r>
  <r>
    <s v="ORD03067"/>
    <x v="1029"/>
    <x v="0"/>
    <x v="0"/>
    <x v="0"/>
    <x v="3039"/>
    <x v="2932"/>
    <x v="1"/>
    <x v="0"/>
  </r>
  <r>
    <s v="ORD03068"/>
    <x v="1007"/>
    <x v="2"/>
    <x v="3"/>
    <x v="2"/>
    <x v="3040"/>
    <x v="2933"/>
    <x v="1"/>
    <x v="3"/>
  </r>
  <r>
    <s v="ORD03069"/>
    <x v="362"/>
    <x v="3"/>
    <x v="7"/>
    <x v="0"/>
    <x v="3041"/>
    <x v="2934"/>
    <x v="0"/>
    <x v="3"/>
  </r>
  <r>
    <s v="ORD03070"/>
    <x v="59"/>
    <x v="1"/>
    <x v="6"/>
    <x v="0"/>
    <x v="3042"/>
    <x v="2935"/>
    <x v="1"/>
    <x v="2"/>
  </r>
  <r>
    <s v="ORD03071"/>
    <x v="658"/>
    <x v="3"/>
    <x v="4"/>
    <x v="0"/>
    <x v="3043"/>
    <x v="2254"/>
    <x v="1"/>
    <x v="1"/>
  </r>
  <r>
    <s v="ORD03072"/>
    <x v="753"/>
    <x v="3"/>
    <x v="5"/>
    <x v="1"/>
    <x v="3044"/>
    <x v="2936"/>
    <x v="1"/>
    <x v="0"/>
  </r>
  <r>
    <s v="ORD03073"/>
    <x v="557"/>
    <x v="3"/>
    <x v="9"/>
    <x v="0"/>
    <x v="3045"/>
    <x v="2937"/>
    <x v="1"/>
    <x v="2"/>
  </r>
  <r>
    <s v="ORD03074"/>
    <x v="392"/>
    <x v="2"/>
    <x v="5"/>
    <x v="1"/>
    <x v="3046"/>
    <x v="2938"/>
    <x v="2"/>
    <x v="1"/>
  </r>
  <r>
    <s v="ORD03075"/>
    <x v="561"/>
    <x v="3"/>
    <x v="11"/>
    <x v="2"/>
    <x v="3047"/>
    <x v="2939"/>
    <x v="1"/>
    <x v="2"/>
  </r>
  <r>
    <s v="ORD03076"/>
    <x v="1029"/>
    <x v="3"/>
    <x v="4"/>
    <x v="0"/>
    <x v="3048"/>
    <x v="2940"/>
    <x v="1"/>
    <x v="1"/>
  </r>
  <r>
    <s v="ORD03077"/>
    <x v="588"/>
    <x v="1"/>
    <x v="4"/>
    <x v="0"/>
    <x v="3049"/>
    <x v="2941"/>
    <x v="0"/>
    <x v="2"/>
  </r>
  <r>
    <s v="ORD03078"/>
    <x v="83"/>
    <x v="1"/>
    <x v="2"/>
    <x v="1"/>
    <x v="3050"/>
    <x v="2942"/>
    <x v="1"/>
    <x v="0"/>
  </r>
  <r>
    <s v="ORD03079"/>
    <x v="483"/>
    <x v="0"/>
    <x v="0"/>
    <x v="0"/>
    <x v="3051"/>
    <x v="2780"/>
    <x v="0"/>
    <x v="2"/>
  </r>
  <r>
    <s v="ORD03080"/>
    <x v="592"/>
    <x v="3"/>
    <x v="4"/>
    <x v="0"/>
    <x v="3052"/>
    <x v="2943"/>
    <x v="2"/>
    <x v="0"/>
  </r>
  <r>
    <s v="ORD03081"/>
    <x v="922"/>
    <x v="3"/>
    <x v="14"/>
    <x v="2"/>
    <x v="3053"/>
    <x v="2944"/>
    <x v="0"/>
    <x v="3"/>
  </r>
  <r>
    <s v="ORD03082"/>
    <x v="979"/>
    <x v="1"/>
    <x v="0"/>
    <x v="0"/>
    <x v="3054"/>
    <x v="2945"/>
    <x v="2"/>
    <x v="1"/>
  </r>
  <r>
    <s v="ORD03083"/>
    <x v="1030"/>
    <x v="2"/>
    <x v="1"/>
    <x v="1"/>
    <x v="3055"/>
    <x v="2946"/>
    <x v="2"/>
    <x v="1"/>
  </r>
  <r>
    <s v="ORD03084"/>
    <x v="902"/>
    <x v="3"/>
    <x v="10"/>
    <x v="2"/>
    <x v="3056"/>
    <x v="2947"/>
    <x v="2"/>
    <x v="1"/>
  </r>
  <r>
    <s v="ORD03085"/>
    <x v="162"/>
    <x v="0"/>
    <x v="5"/>
    <x v="1"/>
    <x v="3057"/>
    <x v="2948"/>
    <x v="0"/>
    <x v="0"/>
  </r>
  <r>
    <s v="ORD03086"/>
    <x v="432"/>
    <x v="1"/>
    <x v="14"/>
    <x v="2"/>
    <x v="3058"/>
    <x v="2949"/>
    <x v="2"/>
    <x v="1"/>
  </r>
  <r>
    <s v="ORD03087"/>
    <x v="82"/>
    <x v="3"/>
    <x v="3"/>
    <x v="2"/>
    <x v="3059"/>
    <x v="2950"/>
    <x v="2"/>
    <x v="1"/>
  </r>
  <r>
    <s v="ORD03088"/>
    <x v="321"/>
    <x v="2"/>
    <x v="6"/>
    <x v="0"/>
    <x v="3060"/>
    <x v="957"/>
    <x v="0"/>
    <x v="2"/>
  </r>
  <r>
    <s v="ORD03089"/>
    <x v="604"/>
    <x v="3"/>
    <x v="2"/>
    <x v="1"/>
    <x v="3061"/>
    <x v="2951"/>
    <x v="0"/>
    <x v="3"/>
  </r>
  <r>
    <s v="ORD03090"/>
    <x v="865"/>
    <x v="1"/>
    <x v="7"/>
    <x v="0"/>
    <x v="3062"/>
    <x v="2952"/>
    <x v="1"/>
    <x v="2"/>
  </r>
  <r>
    <s v="ORD03091"/>
    <x v="874"/>
    <x v="3"/>
    <x v="7"/>
    <x v="0"/>
    <x v="3063"/>
    <x v="1347"/>
    <x v="1"/>
    <x v="2"/>
  </r>
  <r>
    <s v="ORD03092"/>
    <x v="816"/>
    <x v="3"/>
    <x v="9"/>
    <x v="0"/>
    <x v="3064"/>
    <x v="2953"/>
    <x v="2"/>
    <x v="1"/>
  </r>
  <r>
    <s v="ORD03093"/>
    <x v="503"/>
    <x v="2"/>
    <x v="12"/>
    <x v="2"/>
    <x v="3065"/>
    <x v="2954"/>
    <x v="1"/>
    <x v="0"/>
  </r>
  <r>
    <s v="ORD03094"/>
    <x v="408"/>
    <x v="1"/>
    <x v="13"/>
    <x v="1"/>
    <x v="3066"/>
    <x v="2955"/>
    <x v="1"/>
    <x v="0"/>
  </r>
  <r>
    <s v="ORD03095"/>
    <x v="886"/>
    <x v="1"/>
    <x v="10"/>
    <x v="2"/>
    <x v="3067"/>
    <x v="2956"/>
    <x v="1"/>
    <x v="1"/>
  </r>
  <r>
    <s v="ORD03096"/>
    <x v="270"/>
    <x v="1"/>
    <x v="14"/>
    <x v="2"/>
    <x v="3068"/>
    <x v="2957"/>
    <x v="0"/>
    <x v="2"/>
  </r>
  <r>
    <s v="ORD03097"/>
    <x v="532"/>
    <x v="3"/>
    <x v="2"/>
    <x v="1"/>
    <x v="3069"/>
    <x v="2958"/>
    <x v="2"/>
    <x v="0"/>
  </r>
  <r>
    <s v="ORD03098"/>
    <x v="477"/>
    <x v="2"/>
    <x v="7"/>
    <x v="0"/>
    <x v="3070"/>
    <x v="2959"/>
    <x v="2"/>
    <x v="2"/>
  </r>
  <r>
    <s v="ORD03099"/>
    <x v="623"/>
    <x v="1"/>
    <x v="10"/>
    <x v="2"/>
    <x v="3071"/>
    <x v="2960"/>
    <x v="1"/>
    <x v="3"/>
  </r>
  <r>
    <s v="ORD03100"/>
    <x v="195"/>
    <x v="0"/>
    <x v="8"/>
    <x v="1"/>
    <x v="3072"/>
    <x v="2961"/>
    <x v="1"/>
    <x v="0"/>
  </r>
  <r>
    <s v="ORD03101"/>
    <x v="804"/>
    <x v="2"/>
    <x v="8"/>
    <x v="1"/>
    <x v="3073"/>
    <x v="2962"/>
    <x v="2"/>
    <x v="3"/>
  </r>
  <r>
    <s v="ORD03102"/>
    <x v="57"/>
    <x v="1"/>
    <x v="0"/>
    <x v="0"/>
    <x v="3074"/>
    <x v="2963"/>
    <x v="1"/>
    <x v="0"/>
  </r>
  <r>
    <s v="ORD03103"/>
    <x v="156"/>
    <x v="3"/>
    <x v="9"/>
    <x v="0"/>
    <x v="3075"/>
    <x v="2964"/>
    <x v="1"/>
    <x v="1"/>
  </r>
  <r>
    <s v="ORD03104"/>
    <x v="637"/>
    <x v="0"/>
    <x v="9"/>
    <x v="0"/>
    <x v="3076"/>
    <x v="2965"/>
    <x v="0"/>
    <x v="3"/>
  </r>
  <r>
    <s v="ORD03105"/>
    <x v="178"/>
    <x v="3"/>
    <x v="4"/>
    <x v="0"/>
    <x v="3077"/>
    <x v="2966"/>
    <x v="0"/>
    <x v="3"/>
  </r>
  <r>
    <s v="ORD03106"/>
    <x v="25"/>
    <x v="2"/>
    <x v="9"/>
    <x v="0"/>
    <x v="3078"/>
    <x v="2967"/>
    <x v="0"/>
    <x v="3"/>
  </r>
  <r>
    <s v="ORD03107"/>
    <x v="131"/>
    <x v="2"/>
    <x v="5"/>
    <x v="1"/>
    <x v="3079"/>
    <x v="1544"/>
    <x v="0"/>
    <x v="2"/>
  </r>
  <r>
    <s v="ORD03108"/>
    <x v="878"/>
    <x v="3"/>
    <x v="11"/>
    <x v="2"/>
    <x v="3080"/>
    <x v="2968"/>
    <x v="0"/>
    <x v="1"/>
  </r>
  <r>
    <s v="ORD03109"/>
    <x v="989"/>
    <x v="0"/>
    <x v="0"/>
    <x v="0"/>
    <x v="3081"/>
    <x v="2969"/>
    <x v="0"/>
    <x v="0"/>
  </r>
  <r>
    <s v="ORD03110"/>
    <x v="221"/>
    <x v="1"/>
    <x v="6"/>
    <x v="0"/>
    <x v="3082"/>
    <x v="2970"/>
    <x v="1"/>
    <x v="1"/>
  </r>
  <r>
    <s v="ORD03111"/>
    <x v="682"/>
    <x v="2"/>
    <x v="3"/>
    <x v="2"/>
    <x v="3083"/>
    <x v="2971"/>
    <x v="2"/>
    <x v="0"/>
  </r>
  <r>
    <s v="ORD03112"/>
    <x v="859"/>
    <x v="2"/>
    <x v="13"/>
    <x v="1"/>
    <x v="3084"/>
    <x v="2972"/>
    <x v="0"/>
    <x v="2"/>
  </r>
  <r>
    <s v="ORD03113"/>
    <x v="309"/>
    <x v="1"/>
    <x v="6"/>
    <x v="0"/>
    <x v="3085"/>
    <x v="2973"/>
    <x v="0"/>
    <x v="2"/>
  </r>
  <r>
    <s v="ORD03114"/>
    <x v="260"/>
    <x v="0"/>
    <x v="1"/>
    <x v="1"/>
    <x v="3086"/>
    <x v="2974"/>
    <x v="1"/>
    <x v="2"/>
  </r>
  <r>
    <s v="ORD03115"/>
    <x v="748"/>
    <x v="0"/>
    <x v="13"/>
    <x v="1"/>
    <x v="3087"/>
    <x v="2975"/>
    <x v="2"/>
    <x v="3"/>
  </r>
  <r>
    <s v="ORD03116"/>
    <x v="759"/>
    <x v="3"/>
    <x v="11"/>
    <x v="2"/>
    <x v="3088"/>
    <x v="2976"/>
    <x v="1"/>
    <x v="0"/>
  </r>
  <r>
    <s v="ORD03117"/>
    <x v="29"/>
    <x v="1"/>
    <x v="2"/>
    <x v="1"/>
    <x v="3089"/>
    <x v="2977"/>
    <x v="0"/>
    <x v="3"/>
  </r>
  <r>
    <s v="ORD03118"/>
    <x v="158"/>
    <x v="2"/>
    <x v="8"/>
    <x v="1"/>
    <x v="3090"/>
    <x v="2978"/>
    <x v="0"/>
    <x v="2"/>
  </r>
  <r>
    <s v="ORD03119"/>
    <x v="284"/>
    <x v="2"/>
    <x v="4"/>
    <x v="0"/>
    <x v="3091"/>
    <x v="2979"/>
    <x v="2"/>
    <x v="0"/>
  </r>
  <r>
    <s v="ORD03120"/>
    <x v="280"/>
    <x v="1"/>
    <x v="7"/>
    <x v="0"/>
    <x v="3092"/>
    <x v="2980"/>
    <x v="0"/>
    <x v="2"/>
  </r>
  <r>
    <s v="ORD03121"/>
    <x v="96"/>
    <x v="3"/>
    <x v="2"/>
    <x v="1"/>
    <x v="3093"/>
    <x v="2981"/>
    <x v="1"/>
    <x v="3"/>
  </r>
  <r>
    <s v="ORD03122"/>
    <x v="43"/>
    <x v="3"/>
    <x v="11"/>
    <x v="2"/>
    <x v="3094"/>
    <x v="2982"/>
    <x v="2"/>
    <x v="0"/>
  </r>
  <r>
    <s v="ORD03123"/>
    <x v="368"/>
    <x v="3"/>
    <x v="4"/>
    <x v="0"/>
    <x v="3095"/>
    <x v="2983"/>
    <x v="0"/>
    <x v="3"/>
  </r>
  <r>
    <s v="ORD03124"/>
    <x v="543"/>
    <x v="3"/>
    <x v="6"/>
    <x v="0"/>
    <x v="3096"/>
    <x v="2984"/>
    <x v="2"/>
    <x v="3"/>
  </r>
  <r>
    <s v="ORD03125"/>
    <x v="219"/>
    <x v="1"/>
    <x v="3"/>
    <x v="2"/>
    <x v="3097"/>
    <x v="2985"/>
    <x v="0"/>
    <x v="0"/>
  </r>
  <r>
    <s v="ORD03126"/>
    <x v="993"/>
    <x v="1"/>
    <x v="0"/>
    <x v="0"/>
    <x v="3098"/>
    <x v="2986"/>
    <x v="0"/>
    <x v="3"/>
  </r>
  <r>
    <s v="ORD03127"/>
    <x v="1002"/>
    <x v="0"/>
    <x v="10"/>
    <x v="2"/>
    <x v="3099"/>
    <x v="2987"/>
    <x v="1"/>
    <x v="0"/>
  </r>
  <r>
    <s v="ORD03128"/>
    <x v="21"/>
    <x v="1"/>
    <x v="13"/>
    <x v="1"/>
    <x v="3100"/>
    <x v="2135"/>
    <x v="2"/>
    <x v="3"/>
  </r>
  <r>
    <s v="ORD03129"/>
    <x v="928"/>
    <x v="2"/>
    <x v="12"/>
    <x v="2"/>
    <x v="3101"/>
    <x v="2988"/>
    <x v="2"/>
    <x v="0"/>
  </r>
  <r>
    <s v="ORD03130"/>
    <x v="825"/>
    <x v="0"/>
    <x v="3"/>
    <x v="2"/>
    <x v="3102"/>
    <x v="2989"/>
    <x v="0"/>
    <x v="0"/>
  </r>
  <r>
    <s v="ORD03131"/>
    <x v="240"/>
    <x v="2"/>
    <x v="13"/>
    <x v="1"/>
    <x v="3103"/>
    <x v="2990"/>
    <x v="1"/>
    <x v="0"/>
  </r>
  <r>
    <s v="ORD03132"/>
    <x v="368"/>
    <x v="1"/>
    <x v="6"/>
    <x v="0"/>
    <x v="3104"/>
    <x v="2991"/>
    <x v="0"/>
    <x v="1"/>
  </r>
  <r>
    <s v="ORD03133"/>
    <x v="1016"/>
    <x v="1"/>
    <x v="7"/>
    <x v="0"/>
    <x v="3105"/>
    <x v="2992"/>
    <x v="1"/>
    <x v="3"/>
  </r>
  <r>
    <s v="ORD03134"/>
    <x v="779"/>
    <x v="2"/>
    <x v="9"/>
    <x v="0"/>
    <x v="3106"/>
    <x v="2993"/>
    <x v="1"/>
    <x v="1"/>
  </r>
  <r>
    <s v="ORD03135"/>
    <x v="98"/>
    <x v="0"/>
    <x v="1"/>
    <x v="1"/>
    <x v="3107"/>
    <x v="2994"/>
    <x v="2"/>
    <x v="0"/>
  </r>
  <r>
    <s v="ORD03136"/>
    <x v="385"/>
    <x v="0"/>
    <x v="11"/>
    <x v="2"/>
    <x v="3108"/>
    <x v="2995"/>
    <x v="2"/>
    <x v="2"/>
  </r>
  <r>
    <s v="ORD03137"/>
    <x v="192"/>
    <x v="2"/>
    <x v="0"/>
    <x v="0"/>
    <x v="3109"/>
    <x v="2996"/>
    <x v="2"/>
    <x v="0"/>
  </r>
  <r>
    <s v="ORD03138"/>
    <x v="290"/>
    <x v="0"/>
    <x v="9"/>
    <x v="0"/>
    <x v="3110"/>
    <x v="2997"/>
    <x v="1"/>
    <x v="1"/>
  </r>
  <r>
    <s v="ORD03139"/>
    <x v="1031"/>
    <x v="2"/>
    <x v="13"/>
    <x v="1"/>
    <x v="3111"/>
    <x v="2998"/>
    <x v="1"/>
    <x v="2"/>
  </r>
  <r>
    <s v="ORD03140"/>
    <x v="245"/>
    <x v="3"/>
    <x v="0"/>
    <x v="0"/>
    <x v="3112"/>
    <x v="2999"/>
    <x v="1"/>
    <x v="0"/>
  </r>
  <r>
    <s v="ORD03141"/>
    <x v="107"/>
    <x v="0"/>
    <x v="10"/>
    <x v="2"/>
    <x v="3113"/>
    <x v="3000"/>
    <x v="0"/>
    <x v="0"/>
  </r>
  <r>
    <s v="ORD03142"/>
    <x v="632"/>
    <x v="3"/>
    <x v="3"/>
    <x v="2"/>
    <x v="3114"/>
    <x v="3001"/>
    <x v="2"/>
    <x v="1"/>
  </r>
  <r>
    <s v="ORD03143"/>
    <x v="182"/>
    <x v="2"/>
    <x v="8"/>
    <x v="1"/>
    <x v="3115"/>
    <x v="3002"/>
    <x v="0"/>
    <x v="2"/>
  </r>
  <r>
    <s v="ORD03144"/>
    <x v="746"/>
    <x v="1"/>
    <x v="6"/>
    <x v="0"/>
    <x v="3116"/>
    <x v="3003"/>
    <x v="1"/>
    <x v="3"/>
  </r>
  <r>
    <s v="ORD03145"/>
    <x v="88"/>
    <x v="2"/>
    <x v="2"/>
    <x v="1"/>
    <x v="3117"/>
    <x v="3004"/>
    <x v="2"/>
    <x v="3"/>
  </r>
  <r>
    <s v="ORD03146"/>
    <x v="207"/>
    <x v="0"/>
    <x v="3"/>
    <x v="2"/>
    <x v="3118"/>
    <x v="3005"/>
    <x v="2"/>
    <x v="3"/>
  </r>
  <r>
    <s v="ORD03147"/>
    <x v="664"/>
    <x v="3"/>
    <x v="9"/>
    <x v="0"/>
    <x v="3119"/>
    <x v="3006"/>
    <x v="2"/>
    <x v="3"/>
  </r>
  <r>
    <s v="ORD03148"/>
    <x v="184"/>
    <x v="1"/>
    <x v="5"/>
    <x v="1"/>
    <x v="3120"/>
    <x v="3007"/>
    <x v="1"/>
    <x v="2"/>
  </r>
  <r>
    <s v="ORD03149"/>
    <x v="938"/>
    <x v="1"/>
    <x v="0"/>
    <x v="0"/>
    <x v="3121"/>
    <x v="3008"/>
    <x v="0"/>
    <x v="3"/>
  </r>
  <r>
    <s v="ORD03150"/>
    <x v="1032"/>
    <x v="2"/>
    <x v="14"/>
    <x v="2"/>
    <x v="3122"/>
    <x v="3009"/>
    <x v="2"/>
    <x v="3"/>
  </r>
  <r>
    <s v="ORD03151"/>
    <x v="541"/>
    <x v="1"/>
    <x v="11"/>
    <x v="2"/>
    <x v="3123"/>
    <x v="3010"/>
    <x v="1"/>
    <x v="2"/>
  </r>
  <r>
    <s v="ORD03152"/>
    <x v="605"/>
    <x v="1"/>
    <x v="1"/>
    <x v="1"/>
    <x v="3124"/>
    <x v="3011"/>
    <x v="2"/>
    <x v="2"/>
  </r>
  <r>
    <s v="ORD03153"/>
    <x v="445"/>
    <x v="2"/>
    <x v="3"/>
    <x v="2"/>
    <x v="3125"/>
    <x v="3012"/>
    <x v="1"/>
    <x v="1"/>
  </r>
  <r>
    <s v="ORD03155"/>
    <x v="626"/>
    <x v="2"/>
    <x v="4"/>
    <x v="0"/>
    <x v="3126"/>
    <x v="3013"/>
    <x v="2"/>
    <x v="2"/>
  </r>
  <r>
    <s v="ORD03156"/>
    <x v="24"/>
    <x v="1"/>
    <x v="3"/>
    <x v="2"/>
    <x v="3127"/>
    <x v="3014"/>
    <x v="0"/>
    <x v="0"/>
  </r>
  <r>
    <s v="ORD03157"/>
    <x v="844"/>
    <x v="2"/>
    <x v="4"/>
    <x v="0"/>
    <x v="3128"/>
    <x v="1422"/>
    <x v="0"/>
    <x v="3"/>
  </r>
  <r>
    <s v="ORD03158"/>
    <x v="33"/>
    <x v="0"/>
    <x v="4"/>
    <x v="0"/>
    <x v="3129"/>
    <x v="3015"/>
    <x v="2"/>
    <x v="1"/>
  </r>
  <r>
    <s v="ORD03159"/>
    <x v="467"/>
    <x v="2"/>
    <x v="8"/>
    <x v="1"/>
    <x v="3130"/>
    <x v="3016"/>
    <x v="0"/>
    <x v="1"/>
  </r>
  <r>
    <s v="ORD03160"/>
    <x v="233"/>
    <x v="1"/>
    <x v="6"/>
    <x v="0"/>
    <x v="3131"/>
    <x v="3017"/>
    <x v="1"/>
    <x v="1"/>
  </r>
  <r>
    <s v="ORD03161"/>
    <x v="993"/>
    <x v="0"/>
    <x v="0"/>
    <x v="0"/>
    <x v="3132"/>
    <x v="3018"/>
    <x v="2"/>
    <x v="2"/>
  </r>
  <r>
    <s v="ORD03162"/>
    <x v="575"/>
    <x v="3"/>
    <x v="2"/>
    <x v="1"/>
    <x v="3133"/>
    <x v="3019"/>
    <x v="2"/>
    <x v="2"/>
  </r>
  <r>
    <s v="ORD03163"/>
    <x v="264"/>
    <x v="3"/>
    <x v="10"/>
    <x v="2"/>
    <x v="3134"/>
    <x v="3020"/>
    <x v="0"/>
    <x v="1"/>
  </r>
  <r>
    <s v="ORD03164"/>
    <x v="649"/>
    <x v="1"/>
    <x v="3"/>
    <x v="2"/>
    <x v="3135"/>
    <x v="3021"/>
    <x v="2"/>
    <x v="2"/>
  </r>
  <r>
    <s v="ORD03165"/>
    <x v="546"/>
    <x v="2"/>
    <x v="2"/>
    <x v="1"/>
    <x v="3136"/>
    <x v="3022"/>
    <x v="1"/>
    <x v="1"/>
  </r>
  <r>
    <s v="ORD03166"/>
    <x v="742"/>
    <x v="0"/>
    <x v="10"/>
    <x v="2"/>
    <x v="3137"/>
    <x v="3023"/>
    <x v="2"/>
    <x v="3"/>
  </r>
  <r>
    <s v="ORD03167"/>
    <x v="354"/>
    <x v="1"/>
    <x v="3"/>
    <x v="2"/>
    <x v="3138"/>
    <x v="3024"/>
    <x v="0"/>
    <x v="1"/>
  </r>
  <r>
    <s v="ORD03168"/>
    <x v="670"/>
    <x v="2"/>
    <x v="3"/>
    <x v="2"/>
    <x v="3139"/>
    <x v="3025"/>
    <x v="0"/>
    <x v="1"/>
  </r>
  <r>
    <s v="ORD03169"/>
    <x v="148"/>
    <x v="0"/>
    <x v="8"/>
    <x v="1"/>
    <x v="3140"/>
    <x v="3026"/>
    <x v="2"/>
    <x v="2"/>
  </r>
  <r>
    <s v="ORD03170"/>
    <x v="606"/>
    <x v="1"/>
    <x v="6"/>
    <x v="0"/>
    <x v="3141"/>
    <x v="3027"/>
    <x v="1"/>
    <x v="3"/>
  </r>
  <r>
    <s v="ORD03171"/>
    <x v="1029"/>
    <x v="3"/>
    <x v="1"/>
    <x v="1"/>
    <x v="3142"/>
    <x v="3028"/>
    <x v="0"/>
    <x v="0"/>
  </r>
  <r>
    <s v="ORD03172"/>
    <x v="686"/>
    <x v="1"/>
    <x v="12"/>
    <x v="2"/>
    <x v="3143"/>
    <x v="3029"/>
    <x v="1"/>
    <x v="1"/>
  </r>
  <r>
    <s v="ORD03173"/>
    <x v="362"/>
    <x v="0"/>
    <x v="8"/>
    <x v="1"/>
    <x v="3144"/>
    <x v="3030"/>
    <x v="0"/>
    <x v="2"/>
  </r>
  <r>
    <s v="ORD03174"/>
    <x v="1002"/>
    <x v="1"/>
    <x v="11"/>
    <x v="2"/>
    <x v="3145"/>
    <x v="3031"/>
    <x v="0"/>
    <x v="1"/>
  </r>
  <r>
    <s v="ORD03175"/>
    <x v="895"/>
    <x v="0"/>
    <x v="9"/>
    <x v="0"/>
    <x v="3146"/>
    <x v="3032"/>
    <x v="0"/>
    <x v="0"/>
  </r>
  <r>
    <s v="ORD03176"/>
    <x v="148"/>
    <x v="2"/>
    <x v="4"/>
    <x v="0"/>
    <x v="3147"/>
    <x v="3033"/>
    <x v="2"/>
    <x v="3"/>
  </r>
  <r>
    <s v="ORD03177"/>
    <x v="386"/>
    <x v="3"/>
    <x v="9"/>
    <x v="0"/>
    <x v="3148"/>
    <x v="3034"/>
    <x v="2"/>
    <x v="1"/>
  </r>
  <r>
    <s v="ORD03178"/>
    <x v="357"/>
    <x v="3"/>
    <x v="4"/>
    <x v="0"/>
    <x v="3149"/>
    <x v="2976"/>
    <x v="0"/>
    <x v="3"/>
  </r>
  <r>
    <s v="ORD03179"/>
    <x v="1023"/>
    <x v="3"/>
    <x v="6"/>
    <x v="0"/>
    <x v="3150"/>
    <x v="3035"/>
    <x v="1"/>
    <x v="0"/>
  </r>
  <r>
    <s v="ORD03180"/>
    <x v="904"/>
    <x v="3"/>
    <x v="4"/>
    <x v="0"/>
    <x v="3151"/>
    <x v="3036"/>
    <x v="0"/>
    <x v="2"/>
  </r>
  <r>
    <s v="ORD03181"/>
    <x v="423"/>
    <x v="3"/>
    <x v="8"/>
    <x v="1"/>
    <x v="3152"/>
    <x v="3037"/>
    <x v="0"/>
    <x v="0"/>
  </r>
  <r>
    <s v="ORD03182"/>
    <x v="598"/>
    <x v="3"/>
    <x v="8"/>
    <x v="1"/>
    <x v="3153"/>
    <x v="3038"/>
    <x v="1"/>
    <x v="2"/>
  </r>
  <r>
    <s v="ORD03183"/>
    <x v="45"/>
    <x v="0"/>
    <x v="5"/>
    <x v="1"/>
    <x v="3154"/>
    <x v="1883"/>
    <x v="0"/>
    <x v="2"/>
  </r>
  <r>
    <s v="ORD03184"/>
    <x v="503"/>
    <x v="0"/>
    <x v="12"/>
    <x v="2"/>
    <x v="3155"/>
    <x v="3039"/>
    <x v="0"/>
    <x v="2"/>
  </r>
  <r>
    <s v="ORD03185"/>
    <x v="959"/>
    <x v="3"/>
    <x v="11"/>
    <x v="2"/>
    <x v="3156"/>
    <x v="3040"/>
    <x v="0"/>
    <x v="3"/>
  </r>
  <r>
    <s v="ORD03186"/>
    <x v="180"/>
    <x v="3"/>
    <x v="12"/>
    <x v="2"/>
    <x v="3157"/>
    <x v="3041"/>
    <x v="2"/>
    <x v="1"/>
  </r>
  <r>
    <s v="ORD03188"/>
    <x v="804"/>
    <x v="1"/>
    <x v="9"/>
    <x v="0"/>
    <x v="3158"/>
    <x v="3042"/>
    <x v="0"/>
    <x v="3"/>
  </r>
  <r>
    <s v="ORD03189"/>
    <x v="996"/>
    <x v="0"/>
    <x v="5"/>
    <x v="1"/>
    <x v="3159"/>
    <x v="3043"/>
    <x v="0"/>
    <x v="1"/>
  </r>
  <r>
    <s v="ORD03190"/>
    <x v="58"/>
    <x v="1"/>
    <x v="8"/>
    <x v="1"/>
    <x v="3160"/>
    <x v="2703"/>
    <x v="0"/>
    <x v="2"/>
  </r>
  <r>
    <s v="ORD03191"/>
    <x v="6"/>
    <x v="2"/>
    <x v="6"/>
    <x v="0"/>
    <x v="3161"/>
    <x v="3044"/>
    <x v="1"/>
    <x v="1"/>
  </r>
  <r>
    <s v="ORD03192"/>
    <x v="239"/>
    <x v="1"/>
    <x v="9"/>
    <x v="0"/>
    <x v="3162"/>
    <x v="3045"/>
    <x v="1"/>
    <x v="0"/>
  </r>
  <r>
    <s v="ORD03194"/>
    <x v="695"/>
    <x v="1"/>
    <x v="14"/>
    <x v="2"/>
    <x v="3163"/>
    <x v="3046"/>
    <x v="2"/>
    <x v="0"/>
  </r>
  <r>
    <s v="ORD03195"/>
    <x v="901"/>
    <x v="3"/>
    <x v="8"/>
    <x v="1"/>
    <x v="3164"/>
    <x v="3047"/>
    <x v="1"/>
    <x v="2"/>
  </r>
  <r>
    <s v="ORD03196"/>
    <x v="859"/>
    <x v="2"/>
    <x v="10"/>
    <x v="2"/>
    <x v="3165"/>
    <x v="3048"/>
    <x v="2"/>
    <x v="2"/>
  </r>
  <r>
    <s v="ORD03197"/>
    <x v="859"/>
    <x v="0"/>
    <x v="13"/>
    <x v="1"/>
    <x v="3166"/>
    <x v="3049"/>
    <x v="1"/>
    <x v="3"/>
  </r>
  <r>
    <s v="ORD03198"/>
    <x v="817"/>
    <x v="1"/>
    <x v="7"/>
    <x v="0"/>
    <x v="3167"/>
    <x v="3050"/>
    <x v="0"/>
    <x v="3"/>
  </r>
  <r>
    <s v="ORD03199"/>
    <x v="982"/>
    <x v="3"/>
    <x v="12"/>
    <x v="2"/>
    <x v="3168"/>
    <x v="3051"/>
    <x v="1"/>
    <x v="3"/>
  </r>
  <r>
    <s v="ORD03200"/>
    <x v="1033"/>
    <x v="1"/>
    <x v="10"/>
    <x v="2"/>
    <x v="3169"/>
    <x v="3052"/>
    <x v="0"/>
    <x v="1"/>
  </r>
  <r>
    <s v="ORD03201"/>
    <x v="571"/>
    <x v="1"/>
    <x v="8"/>
    <x v="1"/>
    <x v="3170"/>
    <x v="3053"/>
    <x v="2"/>
    <x v="2"/>
  </r>
  <r>
    <s v="ORD03202"/>
    <x v="248"/>
    <x v="1"/>
    <x v="9"/>
    <x v="0"/>
    <x v="3171"/>
    <x v="3054"/>
    <x v="0"/>
    <x v="3"/>
  </r>
  <r>
    <s v="ORD03203"/>
    <x v="1001"/>
    <x v="2"/>
    <x v="2"/>
    <x v="1"/>
    <x v="3172"/>
    <x v="3055"/>
    <x v="2"/>
    <x v="2"/>
  </r>
  <r>
    <s v="ORD03204"/>
    <x v="422"/>
    <x v="3"/>
    <x v="6"/>
    <x v="0"/>
    <x v="3173"/>
    <x v="3056"/>
    <x v="0"/>
    <x v="2"/>
  </r>
  <r>
    <s v="ORD03205"/>
    <x v="284"/>
    <x v="0"/>
    <x v="6"/>
    <x v="0"/>
    <x v="3174"/>
    <x v="3057"/>
    <x v="0"/>
    <x v="3"/>
  </r>
  <r>
    <s v="ORD03206"/>
    <x v="919"/>
    <x v="2"/>
    <x v="14"/>
    <x v="2"/>
    <x v="3175"/>
    <x v="3058"/>
    <x v="2"/>
    <x v="0"/>
  </r>
  <r>
    <s v="ORD03207"/>
    <x v="741"/>
    <x v="1"/>
    <x v="14"/>
    <x v="2"/>
    <x v="3176"/>
    <x v="3059"/>
    <x v="0"/>
    <x v="2"/>
  </r>
  <r>
    <s v="ORD03208"/>
    <x v="364"/>
    <x v="1"/>
    <x v="4"/>
    <x v="0"/>
    <x v="3177"/>
    <x v="3060"/>
    <x v="0"/>
    <x v="0"/>
  </r>
  <r>
    <s v="ORD03209"/>
    <x v="702"/>
    <x v="2"/>
    <x v="0"/>
    <x v="0"/>
    <x v="3178"/>
    <x v="3061"/>
    <x v="1"/>
    <x v="0"/>
  </r>
  <r>
    <s v="ORD03210"/>
    <x v="285"/>
    <x v="2"/>
    <x v="5"/>
    <x v="1"/>
    <x v="3179"/>
    <x v="3062"/>
    <x v="2"/>
    <x v="2"/>
  </r>
  <r>
    <s v="ORD03211"/>
    <x v="882"/>
    <x v="0"/>
    <x v="2"/>
    <x v="1"/>
    <x v="3180"/>
    <x v="1447"/>
    <x v="0"/>
    <x v="3"/>
  </r>
  <r>
    <s v="ORD03212"/>
    <x v="835"/>
    <x v="0"/>
    <x v="6"/>
    <x v="0"/>
    <x v="3181"/>
    <x v="3063"/>
    <x v="1"/>
    <x v="3"/>
  </r>
  <r>
    <s v="ORD03213"/>
    <x v="1004"/>
    <x v="1"/>
    <x v="14"/>
    <x v="2"/>
    <x v="3182"/>
    <x v="3064"/>
    <x v="2"/>
    <x v="3"/>
  </r>
  <r>
    <s v="ORD03214"/>
    <x v="712"/>
    <x v="0"/>
    <x v="11"/>
    <x v="2"/>
    <x v="3183"/>
    <x v="3065"/>
    <x v="2"/>
    <x v="1"/>
  </r>
  <r>
    <s v="ORD03215"/>
    <x v="407"/>
    <x v="1"/>
    <x v="9"/>
    <x v="0"/>
    <x v="3184"/>
    <x v="3066"/>
    <x v="2"/>
    <x v="3"/>
  </r>
  <r>
    <s v="ORD03216"/>
    <x v="1000"/>
    <x v="3"/>
    <x v="0"/>
    <x v="0"/>
    <x v="3185"/>
    <x v="3067"/>
    <x v="0"/>
    <x v="2"/>
  </r>
  <r>
    <s v="ORD03217"/>
    <x v="423"/>
    <x v="3"/>
    <x v="13"/>
    <x v="1"/>
    <x v="3186"/>
    <x v="3068"/>
    <x v="1"/>
    <x v="0"/>
  </r>
  <r>
    <s v="ORD03218"/>
    <x v="766"/>
    <x v="3"/>
    <x v="5"/>
    <x v="1"/>
    <x v="3187"/>
    <x v="3069"/>
    <x v="2"/>
    <x v="2"/>
  </r>
  <r>
    <s v="ORD03219"/>
    <x v="573"/>
    <x v="3"/>
    <x v="14"/>
    <x v="2"/>
    <x v="3188"/>
    <x v="3070"/>
    <x v="2"/>
    <x v="2"/>
  </r>
  <r>
    <s v="ORD03220"/>
    <x v="216"/>
    <x v="2"/>
    <x v="5"/>
    <x v="1"/>
    <x v="3189"/>
    <x v="3071"/>
    <x v="1"/>
    <x v="1"/>
  </r>
  <r>
    <s v="ORD03221"/>
    <x v="68"/>
    <x v="2"/>
    <x v="6"/>
    <x v="0"/>
    <x v="3190"/>
    <x v="3072"/>
    <x v="2"/>
    <x v="0"/>
  </r>
  <r>
    <s v="ORD03222"/>
    <x v="853"/>
    <x v="0"/>
    <x v="14"/>
    <x v="2"/>
    <x v="3191"/>
    <x v="3073"/>
    <x v="1"/>
    <x v="2"/>
  </r>
  <r>
    <s v="ORD03223"/>
    <x v="174"/>
    <x v="0"/>
    <x v="13"/>
    <x v="1"/>
    <x v="3192"/>
    <x v="3074"/>
    <x v="1"/>
    <x v="3"/>
  </r>
  <r>
    <s v="ORD03224"/>
    <x v="98"/>
    <x v="3"/>
    <x v="13"/>
    <x v="1"/>
    <x v="3193"/>
    <x v="3075"/>
    <x v="1"/>
    <x v="3"/>
  </r>
  <r>
    <s v="ORD03225"/>
    <x v="50"/>
    <x v="0"/>
    <x v="10"/>
    <x v="2"/>
    <x v="3194"/>
    <x v="3076"/>
    <x v="2"/>
    <x v="2"/>
  </r>
  <r>
    <s v="ORD03226"/>
    <x v="666"/>
    <x v="1"/>
    <x v="4"/>
    <x v="0"/>
    <x v="3195"/>
    <x v="3077"/>
    <x v="1"/>
    <x v="0"/>
  </r>
  <r>
    <s v="ORD03227"/>
    <x v="377"/>
    <x v="1"/>
    <x v="0"/>
    <x v="0"/>
    <x v="3196"/>
    <x v="3078"/>
    <x v="1"/>
    <x v="1"/>
  </r>
  <r>
    <s v="ORD03228"/>
    <x v="937"/>
    <x v="1"/>
    <x v="13"/>
    <x v="1"/>
    <x v="3197"/>
    <x v="3079"/>
    <x v="1"/>
    <x v="0"/>
  </r>
  <r>
    <s v="ORD03229"/>
    <x v="440"/>
    <x v="3"/>
    <x v="6"/>
    <x v="0"/>
    <x v="3198"/>
    <x v="1742"/>
    <x v="1"/>
    <x v="1"/>
  </r>
  <r>
    <s v="ORD03230"/>
    <x v="101"/>
    <x v="2"/>
    <x v="3"/>
    <x v="2"/>
    <x v="3199"/>
    <x v="3080"/>
    <x v="1"/>
    <x v="2"/>
  </r>
  <r>
    <s v="ORD03231"/>
    <x v="227"/>
    <x v="2"/>
    <x v="12"/>
    <x v="2"/>
    <x v="3200"/>
    <x v="2613"/>
    <x v="0"/>
    <x v="0"/>
  </r>
  <r>
    <s v="ORD03232"/>
    <x v="248"/>
    <x v="2"/>
    <x v="4"/>
    <x v="0"/>
    <x v="3201"/>
    <x v="3081"/>
    <x v="2"/>
    <x v="0"/>
  </r>
  <r>
    <s v="ORD03233"/>
    <x v="960"/>
    <x v="2"/>
    <x v="6"/>
    <x v="0"/>
    <x v="624"/>
    <x v="3082"/>
    <x v="0"/>
    <x v="3"/>
  </r>
  <r>
    <s v="ORD03234"/>
    <x v="361"/>
    <x v="1"/>
    <x v="10"/>
    <x v="2"/>
    <x v="3202"/>
    <x v="3083"/>
    <x v="0"/>
    <x v="2"/>
  </r>
  <r>
    <s v="ORD03235"/>
    <x v="459"/>
    <x v="1"/>
    <x v="13"/>
    <x v="1"/>
    <x v="3203"/>
    <x v="3084"/>
    <x v="1"/>
    <x v="2"/>
  </r>
  <r>
    <s v="ORD03236"/>
    <x v="241"/>
    <x v="2"/>
    <x v="8"/>
    <x v="1"/>
    <x v="3204"/>
    <x v="3085"/>
    <x v="2"/>
    <x v="3"/>
  </r>
  <r>
    <s v="ORD03237"/>
    <x v="71"/>
    <x v="1"/>
    <x v="13"/>
    <x v="1"/>
    <x v="3205"/>
    <x v="3086"/>
    <x v="2"/>
    <x v="3"/>
  </r>
  <r>
    <s v="ORD03238"/>
    <x v="471"/>
    <x v="2"/>
    <x v="10"/>
    <x v="2"/>
    <x v="3206"/>
    <x v="3087"/>
    <x v="1"/>
    <x v="2"/>
  </r>
  <r>
    <s v="ORD03239"/>
    <x v="836"/>
    <x v="1"/>
    <x v="13"/>
    <x v="1"/>
    <x v="3207"/>
    <x v="3088"/>
    <x v="1"/>
    <x v="1"/>
  </r>
  <r>
    <s v="ORD03240"/>
    <x v="515"/>
    <x v="3"/>
    <x v="8"/>
    <x v="1"/>
    <x v="3208"/>
    <x v="1654"/>
    <x v="2"/>
    <x v="2"/>
  </r>
  <r>
    <s v="ORD03241"/>
    <x v="856"/>
    <x v="3"/>
    <x v="3"/>
    <x v="2"/>
    <x v="3209"/>
    <x v="3089"/>
    <x v="0"/>
    <x v="1"/>
  </r>
  <r>
    <s v="ORD03242"/>
    <x v="66"/>
    <x v="2"/>
    <x v="4"/>
    <x v="0"/>
    <x v="3210"/>
    <x v="3090"/>
    <x v="1"/>
    <x v="2"/>
  </r>
  <r>
    <s v="ORD03243"/>
    <x v="423"/>
    <x v="1"/>
    <x v="6"/>
    <x v="0"/>
    <x v="3211"/>
    <x v="3091"/>
    <x v="2"/>
    <x v="2"/>
  </r>
  <r>
    <s v="ORD03244"/>
    <x v="561"/>
    <x v="2"/>
    <x v="8"/>
    <x v="1"/>
    <x v="3212"/>
    <x v="3092"/>
    <x v="2"/>
    <x v="3"/>
  </r>
  <r>
    <s v="ORD03245"/>
    <x v="709"/>
    <x v="2"/>
    <x v="14"/>
    <x v="2"/>
    <x v="3213"/>
    <x v="3093"/>
    <x v="0"/>
    <x v="0"/>
  </r>
  <r>
    <s v="ORD03246"/>
    <x v="330"/>
    <x v="2"/>
    <x v="13"/>
    <x v="1"/>
    <x v="3214"/>
    <x v="3094"/>
    <x v="2"/>
    <x v="2"/>
  </r>
  <r>
    <s v="ORD03247"/>
    <x v="483"/>
    <x v="3"/>
    <x v="2"/>
    <x v="1"/>
    <x v="3215"/>
    <x v="3095"/>
    <x v="1"/>
    <x v="2"/>
  </r>
  <r>
    <s v="ORD03248"/>
    <x v="442"/>
    <x v="3"/>
    <x v="6"/>
    <x v="0"/>
    <x v="3216"/>
    <x v="3096"/>
    <x v="2"/>
    <x v="2"/>
  </r>
  <r>
    <s v="ORD03249"/>
    <x v="449"/>
    <x v="1"/>
    <x v="0"/>
    <x v="0"/>
    <x v="3217"/>
    <x v="3097"/>
    <x v="0"/>
    <x v="3"/>
  </r>
  <r>
    <s v="ORD03250"/>
    <x v="413"/>
    <x v="3"/>
    <x v="5"/>
    <x v="1"/>
    <x v="3218"/>
    <x v="3098"/>
    <x v="2"/>
    <x v="3"/>
  </r>
  <r>
    <s v="ORD03251"/>
    <x v="154"/>
    <x v="0"/>
    <x v="11"/>
    <x v="2"/>
    <x v="3219"/>
    <x v="3099"/>
    <x v="2"/>
    <x v="1"/>
  </r>
  <r>
    <s v="ORD03252"/>
    <x v="746"/>
    <x v="2"/>
    <x v="7"/>
    <x v="0"/>
    <x v="3220"/>
    <x v="3100"/>
    <x v="0"/>
    <x v="1"/>
  </r>
  <r>
    <s v="ORD03253"/>
    <x v="875"/>
    <x v="3"/>
    <x v="9"/>
    <x v="0"/>
    <x v="3221"/>
    <x v="3101"/>
    <x v="1"/>
    <x v="3"/>
  </r>
  <r>
    <s v="ORD03254"/>
    <x v="29"/>
    <x v="2"/>
    <x v="9"/>
    <x v="0"/>
    <x v="3222"/>
    <x v="2569"/>
    <x v="2"/>
    <x v="1"/>
  </r>
  <r>
    <s v="ORD03255"/>
    <x v="768"/>
    <x v="1"/>
    <x v="3"/>
    <x v="2"/>
    <x v="3223"/>
    <x v="3102"/>
    <x v="0"/>
    <x v="1"/>
  </r>
  <r>
    <s v="ORD03256"/>
    <x v="724"/>
    <x v="2"/>
    <x v="2"/>
    <x v="1"/>
    <x v="3224"/>
    <x v="3103"/>
    <x v="1"/>
    <x v="1"/>
  </r>
  <r>
    <s v="ORD03257"/>
    <x v="165"/>
    <x v="1"/>
    <x v="14"/>
    <x v="2"/>
    <x v="3225"/>
    <x v="3104"/>
    <x v="0"/>
    <x v="0"/>
  </r>
  <r>
    <s v="ORD03258"/>
    <x v="1011"/>
    <x v="0"/>
    <x v="4"/>
    <x v="0"/>
    <x v="3226"/>
    <x v="3105"/>
    <x v="1"/>
    <x v="0"/>
  </r>
  <r>
    <s v="ORD03259"/>
    <x v="386"/>
    <x v="1"/>
    <x v="11"/>
    <x v="2"/>
    <x v="3227"/>
    <x v="792"/>
    <x v="0"/>
    <x v="1"/>
  </r>
  <r>
    <s v="ORD03260"/>
    <x v="948"/>
    <x v="1"/>
    <x v="9"/>
    <x v="0"/>
    <x v="3228"/>
    <x v="3106"/>
    <x v="0"/>
    <x v="2"/>
  </r>
  <r>
    <s v="ORD03261"/>
    <x v="10"/>
    <x v="0"/>
    <x v="10"/>
    <x v="2"/>
    <x v="3229"/>
    <x v="3107"/>
    <x v="2"/>
    <x v="0"/>
  </r>
  <r>
    <s v="ORD03262"/>
    <x v="687"/>
    <x v="0"/>
    <x v="13"/>
    <x v="1"/>
    <x v="3230"/>
    <x v="3108"/>
    <x v="0"/>
    <x v="0"/>
  </r>
  <r>
    <s v="ORD03263"/>
    <x v="789"/>
    <x v="3"/>
    <x v="0"/>
    <x v="0"/>
    <x v="3231"/>
    <x v="3109"/>
    <x v="0"/>
    <x v="1"/>
  </r>
  <r>
    <s v="ORD03264"/>
    <x v="836"/>
    <x v="1"/>
    <x v="11"/>
    <x v="2"/>
    <x v="3232"/>
    <x v="917"/>
    <x v="1"/>
    <x v="0"/>
  </r>
  <r>
    <s v="ORD03265"/>
    <x v="11"/>
    <x v="0"/>
    <x v="4"/>
    <x v="0"/>
    <x v="3233"/>
    <x v="3110"/>
    <x v="1"/>
    <x v="0"/>
  </r>
  <r>
    <s v="ORD03266"/>
    <x v="421"/>
    <x v="2"/>
    <x v="7"/>
    <x v="0"/>
    <x v="3234"/>
    <x v="1661"/>
    <x v="0"/>
    <x v="1"/>
  </r>
  <r>
    <s v="ORD03267"/>
    <x v="99"/>
    <x v="1"/>
    <x v="5"/>
    <x v="1"/>
    <x v="3235"/>
    <x v="3111"/>
    <x v="2"/>
    <x v="0"/>
  </r>
  <r>
    <s v="ORD03268"/>
    <x v="50"/>
    <x v="0"/>
    <x v="12"/>
    <x v="2"/>
    <x v="3236"/>
    <x v="3112"/>
    <x v="2"/>
    <x v="3"/>
  </r>
  <r>
    <s v="ORD03269"/>
    <x v="58"/>
    <x v="1"/>
    <x v="4"/>
    <x v="0"/>
    <x v="3237"/>
    <x v="3113"/>
    <x v="1"/>
    <x v="0"/>
  </r>
  <r>
    <s v="ORD03270"/>
    <x v="920"/>
    <x v="1"/>
    <x v="4"/>
    <x v="0"/>
    <x v="3238"/>
    <x v="3114"/>
    <x v="0"/>
    <x v="0"/>
  </r>
  <r>
    <s v="ORD03271"/>
    <x v="648"/>
    <x v="0"/>
    <x v="13"/>
    <x v="1"/>
    <x v="3239"/>
    <x v="3115"/>
    <x v="2"/>
    <x v="1"/>
  </r>
  <r>
    <s v="ORD03272"/>
    <x v="18"/>
    <x v="0"/>
    <x v="10"/>
    <x v="2"/>
    <x v="3240"/>
    <x v="3116"/>
    <x v="0"/>
    <x v="3"/>
  </r>
  <r>
    <s v="ORD03273"/>
    <x v="766"/>
    <x v="1"/>
    <x v="12"/>
    <x v="2"/>
    <x v="3241"/>
    <x v="3117"/>
    <x v="2"/>
    <x v="3"/>
  </r>
  <r>
    <s v="ORD03274"/>
    <x v="475"/>
    <x v="2"/>
    <x v="9"/>
    <x v="0"/>
    <x v="3242"/>
    <x v="3118"/>
    <x v="0"/>
    <x v="3"/>
  </r>
  <r>
    <s v="ORD03275"/>
    <x v="958"/>
    <x v="1"/>
    <x v="11"/>
    <x v="2"/>
    <x v="3243"/>
    <x v="3119"/>
    <x v="2"/>
    <x v="1"/>
  </r>
  <r>
    <s v="ORD03276"/>
    <x v="610"/>
    <x v="1"/>
    <x v="7"/>
    <x v="0"/>
    <x v="3244"/>
    <x v="2319"/>
    <x v="1"/>
    <x v="0"/>
  </r>
  <r>
    <s v="ORD03277"/>
    <x v="424"/>
    <x v="0"/>
    <x v="9"/>
    <x v="0"/>
    <x v="3245"/>
    <x v="3120"/>
    <x v="0"/>
    <x v="0"/>
  </r>
  <r>
    <s v="ORD03278"/>
    <x v="9"/>
    <x v="3"/>
    <x v="14"/>
    <x v="2"/>
    <x v="3246"/>
    <x v="3121"/>
    <x v="2"/>
    <x v="1"/>
  </r>
  <r>
    <s v="ORD03279"/>
    <x v="171"/>
    <x v="1"/>
    <x v="5"/>
    <x v="1"/>
    <x v="3247"/>
    <x v="3122"/>
    <x v="0"/>
    <x v="2"/>
  </r>
  <r>
    <s v="ORD03280"/>
    <x v="404"/>
    <x v="1"/>
    <x v="10"/>
    <x v="2"/>
    <x v="3248"/>
    <x v="3123"/>
    <x v="2"/>
    <x v="3"/>
  </r>
  <r>
    <s v="ORD03281"/>
    <x v="565"/>
    <x v="1"/>
    <x v="12"/>
    <x v="2"/>
    <x v="3249"/>
    <x v="3124"/>
    <x v="0"/>
    <x v="0"/>
  </r>
  <r>
    <s v="ORD03282"/>
    <x v="593"/>
    <x v="0"/>
    <x v="13"/>
    <x v="1"/>
    <x v="3250"/>
    <x v="3125"/>
    <x v="1"/>
    <x v="1"/>
  </r>
  <r>
    <s v="ORD03283"/>
    <x v="919"/>
    <x v="3"/>
    <x v="14"/>
    <x v="2"/>
    <x v="3251"/>
    <x v="3126"/>
    <x v="1"/>
    <x v="1"/>
  </r>
  <r>
    <s v="ORD03284"/>
    <x v="440"/>
    <x v="2"/>
    <x v="4"/>
    <x v="0"/>
    <x v="3252"/>
    <x v="3127"/>
    <x v="2"/>
    <x v="0"/>
  </r>
  <r>
    <s v="ORD03285"/>
    <x v="383"/>
    <x v="1"/>
    <x v="7"/>
    <x v="0"/>
    <x v="3253"/>
    <x v="3128"/>
    <x v="0"/>
    <x v="3"/>
  </r>
  <r>
    <s v="ORD03286"/>
    <x v="839"/>
    <x v="0"/>
    <x v="11"/>
    <x v="2"/>
    <x v="3254"/>
    <x v="3129"/>
    <x v="1"/>
    <x v="2"/>
  </r>
  <r>
    <s v="ORD03287"/>
    <x v="552"/>
    <x v="0"/>
    <x v="11"/>
    <x v="2"/>
    <x v="3255"/>
    <x v="3130"/>
    <x v="1"/>
    <x v="2"/>
  </r>
  <r>
    <s v="ORD03288"/>
    <x v="747"/>
    <x v="0"/>
    <x v="12"/>
    <x v="2"/>
    <x v="3256"/>
    <x v="3131"/>
    <x v="1"/>
    <x v="1"/>
  </r>
  <r>
    <s v="ORD03289"/>
    <x v="375"/>
    <x v="2"/>
    <x v="10"/>
    <x v="2"/>
    <x v="3257"/>
    <x v="3132"/>
    <x v="2"/>
    <x v="0"/>
  </r>
  <r>
    <s v="ORD03290"/>
    <x v="643"/>
    <x v="0"/>
    <x v="5"/>
    <x v="1"/>
    <x v="3258"/>
    <x v="3133"/>
    <x v="1"/>
    <x v="1"/>
  </r>
  <r>
    <s v="ORD03291"/>
    <x v="443"/>
    <x v="3"/>
    <x v="12"/>
    <x v="2"/>
    <x v="3259"/>
    <x v="3134"/>
    <x v="2"/>
    <x v="1"/>
  </r>
  <r>
    <s v="ORD03292"/>
    <x v="368"/>
    <x v="2"/>
    <x v="4"/>
    <x v="0"/>
    <x v="3260"/>
    <x v="3135"/>
    <x v="1"/>
    <x v="1"/>
  </r>
  <r>
    <s v="ORD03293"/>
    <x v="429"/>
    <x v="1"/>
    <x v="1"/>
    <x v="1"/>
    <x v="3261"/>
    <x v="3136"/>
    <x v="2"/>
    <x v="2"/>
  </r>
  <r>
    <s v="ORD03294"/>
    <x v="355"/>
    <x v="1"/>
    <x v="5"/>
    <x v="1"/>
    <x v="3262"/>
    <x v="3137"/>
    <x v="1"/>
    <x v="3"/>
  </r>
  <r>
    <s v="ORD03295"/>
    <x v="773"/>
    <x v="3"/>
    <x v="12"/>
    <x v="2"/>
    <x v="3263"/>
    <x v="3138"/>
    <x v="1"/>
    <x v="0"/>
  </r>
  <r>
    <s v="ORD03296"/>
    <x v="822"/>
    <x v="1"/>
    <x v="14"/>
    <x v="2"/>
    <x v="3264"/>
    <x v="856"/>
    <x v="0"/>
    <x v="1"/>
  </r>
  <r>
    <s v="ORD03297"/>
    <x v="55"/>
    <x v="1"/>
    <x v="1"/>
    <x v="1"/>
    <x v="3265"/>
    <x v="3139"/>
    <x v="0"/>
    <x v="2"/>
  </r>
  <r>
    <s v="ORD03298"/>
    <x v="733"/>
    <x v="3"/>
    <x v="5"/>
    <x v="1"/>
    <x v="3266"/>
    <x v="3140"/>
    <x v="1"/>
    <x v="2"/>
  </r>
  <r>
    <s v="ORD03299"/>
    <x v="76"/>
    <x v="2"/>
    <x v="7"/>
    <x v="0"/>
    <x v="3256"/>
    <x v="3141"/>
    <x v="1"/>
    <x v="0"/>
  </r>
  <r>
    <s v="ORD03300"/>
    <x v="668"/>
    <x v="2"/>
    <x v="13"/>
    <x v="1"/>
    <x v="3267"/>
    <x v="3142"/>
    <x v="0"/>
    <x v="0"/>
  </r>
  <r>
    <s v="ORD03301"/>
    <x v="182"/>
    <x v="0"/>
    <x v="3"/>
    <x v="2"/>
    <x v="3268"/>
    <x v="3143"/>
    <x v="2"/>
    <x v="2"/>
  </r>
  <r>
    <s v="ORD03302"/>
    <x v="279"/>
    <x v="2"/>
    <x v="3"/>
    <x v="2"/>
    <x v="3269"/>
    <x v="1851"/>
    <x v="0"/>
    <x v="0"/>
  </r>
  <r>
    <s v="ORD03303"/>
    <x v="660"/>
    <x v="1"/>
    <x v="0"/>
    <x v="0"/>
    <x v="3270"/>
    <x v="3144"/>
    <x v="1"/>
    <x v="1"/>
  </r>
  <r>
    <s v="ORD03304"/>
    <x v="1033"/>
    <x v="0"/>
    <x v="1"/>
    <x v="1"/>
    <x v="3271"/>
    <x v="3145"/>
    <x v="0"/>
    <x v="3"/>
  </r>
  <r>
    <s v="ORD03305"/>
    <x v="722"/>
    <x v="1"/>
    <x v="12"/>
    <x v="2"/>
    <x v="3272"/>
    <x v="2144"/>
    <x v="2"/>
    <x v="0"/>
  </r>
  <r>
    <s v="ORD03306"/>
    <x v="739"/>
    <x v="0"/>
    <x v="5"/>
    <x v="1"/>
    <x v="3273"/>
    <x v="3146"/>
    <x v="2"/>
    <x v="2"/>
  </r>
  <r>
    <s v="ORD03307"/>
    <x v="821"/>
    <x v="3"/>
    <x v="5"/>
    <x v="1"/>
    <x v="3274"/>
    <x v="3147"/>
    <x v="1"/>
    <x v="3"/>
  </r>
  <r>
    <s v="ORD03308"/>
    <x v="96"/>
    <x v="1"/>
    <x v="12"/>
    <x v="2"/>
    <x v="3275"/>
    <x v="3148"/>
    <x v="0"/>
    <x v="0"/>
  </r>
  <r>
    <s v="ORD03309"/>
    <x v="648"/>
    <x v="1"/>
    <x v="9"/>
    <x v="0"/>
    <x v="3276"/>
    <x v="3149"/>
    <x v="0"/>
    <x v="2"/>
  </r>
  <r>
    <s v="ORD03310"/>
    <x v="440"/>
    <x v="0"/>
    <x v="4"/>
    <x v="0"/>
    <x v="3277"/>
    <x v="3150"/>
    <x v="0"/>
    <x v="2"/>
  </r>
  <r>
    <s v="ORD03311"/>
    <x v="1034"/>
    <x v="2"/>
    <x v="12"/>
    <x v="2"/>
    <x v="3278"/>
    <x v="3151"/>
    <x v="2"/>
    <x v="0"/>
  </r>
  <r>
    <s v="ORD03312"/>
    <x v="949"/>
    <x v="0"/>
    <x v="6"/>
    <x v="0"/>
    <x v="3279"/>
    <x v="3152"/>
    <x v="1"/>
    <x v="1"/>
  </r>
  <r>
    <s v="ORD03313"/>
    <x v="146"/>
    <x v="2"/>
    <x v="6"/>
    <x v="0"/>
    <x v="3280"/>
    <x v="3153"/>
    <x v="2"/>
    <x v="3"/>
  </r>
  <r>
    <s v="ORD03314"/>
    <x v="104"/>
    <x v="0"/>
    <x v="12"/>
    <x v="2"/>
    <x v="3281"/>
    <x v="3154"/>
    <x v="0"/>
    <x v="0"/>
  </r>
  <r>
    <s v="ORD03315"/>
    <x v="953"/>
    <x v="0"/>
    <x v="14"/>
    <x v="2"/>
    <x v="65"/>
    <x v="3155"/>
    <x v="1"/>
    <x v="3"/>
  </r>
  <r>
    <s v="ORD03316"/>
    <x v="662"/>
    <x v="3"/>
    <x v="2"/>
    <x v="1"/>
    <x v="3282"/>
    <x v="3156"/>
    <x v="1"/>
    <x v="3"/>
  </r>
  <r>
    <s v="ORD03317"/>
    <x v="449"/>
    <x v="0"/>
    <x v="2"/>
    <x v="1"/>
    <x v="3283"/>
    <x v="3157"/>
    <x v="0"/>
    <x v="3"/>
  </r>
  <r>
    <s v="ORD03318"/>
    <x v="587"/>
    <x v="3"/>
    <x v="4"/>
    <x v="0"/>
    <x v="3284"/>
    <x v="3158"/>
    <x v="1"/>
    <x v="3"/>
  </r>
  <r>
    <s v="ORD03319"/>
    <x v="772"/>
    <x v="3"/>
    <x v="1"/>
    <x v="1"/>
    <x v="3285"/>
    <x v="3159"/>
    <x v="2"/>
    <x v="0"/>
  </r>
  <r>
    <s v="ORD03320"/>
    <x v="1035"/>
    <x v="1"/>
    <x v="5"/>
    <x v="1"/>
    <x v="3286"/>
    <x v="3160"/>
    <x v="1"/>
    <x v="3"/>
  </r>
  <r>
    <s v="ORD03321"/>
    <x v="438"/>
    <x v="1"/>
    <x v="0"/>
    <x v="0"/>
    <x v="3287"/>
    <x v="3161"/>
    <x v="1"/>
    <x v="3"/>
  </r>
  <r>
    <s v="ORD03322"/>
    <x v="300"/>
    <x v="0"/>
    <x v="8"/>
    <x v="1"/>
    <x v="2107"/>
    <x v="3162"/>
    <x v="2"/>
    <x v="0"/>
  </r>
  <r>
    <s v="ORD03323"/>
    <x v="601"/>
    <x v="3"/>
    <x v="13"/>
    <x v="1"/>
    <x v="3288"/>
    <x v="3163"/>
    <x v="2"/>
    <x v="1"/>
  </r>
  <r>
    <s v="ORD03324"/>
    <x v="236"/>
    <x v="0"/>
    <x v="7"/>
    <x v="0"/>
    <x v="3289"/>
    <x v="3164"/>
    <x v="0"/>
    <x v="3"/>
  </r>
  <r>
    <s v="ORD03325"/>
    <x v="718"/>
    <x v="3"/>
    <x v="12"/>
    <x v="2"/>
    <x v="3290"/>
    <x v="3165"/>
    <x v="1"/>
    <x v="1"/>
  </r>
  <r>
    <s v="ORD03326"/>
    <x v="211"/>
    <x v="0"/>
    <x v="12"/>
    <x v="2"/>
    <x v="3291"/>
    <x v="3166"/>
    <x v="1"/>
    <x v="2"/>
  </r>
  <r>
    <s v="ORD03327"/>
    <x v="1033"/>
    <x v="0"/>
    <x v="10"/>
    <x v="2"/>
    <x v="3292"/>
    <x v="3167"/>
    <x v="1"/>
    <x v="0"/>
  </r>
  <r>
    <s v="ORD03328"/>
    <x v="291"/>
    <x v="3"/>
    <x v="2"/>
    <x v="1"/>
    <x v="3293"/>
    <x v="3168"/>
    <x v="2"/>
    <x v="1"/>
  </r>
  <r>
    <s v="ORD03329"/>
    <x v="698"/>
    <x v="0"/>
    <x v="5"/>
    <x v="1"/>
    <x v="1920"/>
    <x v="690"/>
    <x v="0"/>
    <x v="0"/>
  </r>
  <r>
    <s v="ORD03330"/>
    <x v="1001"/>
    <x v="0"/>
    <x v="1"/>
    <x v="1"/>
    <x v="3294"/>
    <x v="3169"/>
    <x v="0"/>
    <x v="2"/>
  </r>
  <r>
    <s v="ORD03331"/>
    <x v="619"/>
    <x v="0"/>
    <x v="1"/>
    <x v="1"/>
    <x v="3295"/>
    <x v="3170"/>
    <x v="1"/>
    <x v="0"/>
  </r>
  <r>
    <s v="ORD03332"/>
    <x v="962"/>
    <x v="2"/>
    <x v="0"/>
    <x v="0"/>
    <x v="3296"/>
    <x v="225"/>
    <x v="1"/>
    <x v="3"/>
  </r>
  <r>
    <s v="ORD03333"/>
    <x v="56"/>
    <x v="2"/>
    <x v="8"/>
    <x v="1"/>
    <x v="3297"/>
    <x v="3171"/>
    <x v="0"/>
    <x v="0"/>
  </r>
  <r>
    <s v="ORD03334"/>
    <x v="632"/>
    <x v="1"/>
    <x v="9"/>
    <x v="0"/>
    <x v="3298"/>
    <x v="3172"/>
    <x v="1"/>
    <x v="3"/>
  </r>
  <r>
    <s v="ORD03335"/>
    <x v="210"/>
    <x v="2"/>
    <x v="9"/>
    <x v="0"/>
    <x v="3299"/>
    <x v="3173"/>
    <x v="1"/>
    <x v="0"/>
  </r>
  <r>
    <s v="ORD03336"/>
    <x v="453"/>
    <x v="0"/>
    <x v="6"/>
    <x v="0"/>
    <x v="3300"/>
    <x v="3174"/>
    <x v="2"/>
    <x v="3"/>
  </r>
  <r>
    <s v="ORD03337"/>
    <x v="983"/>
    <x v="1"/>
    <x v="7"/>
    <x v="0"/>
    <x v="3301"/>
    <x v="3175"/>
    <x v="2"/>
    <x v="1"/>
  </r>
  <r>
    <s v="ORD03338"/>
    <x v="364"/>
    <x v="2"/>
    <x v="13"/>
    <x v="1"/>
    <x v="3302"/>
    <x v="3176"/>
    <x v="2"/>
    <x v="1"/>
  </r>
  <r>
    <s v="ORD03339"/>
    <x v="665"/>
    <x v="1"/>
    <x v="14"/>
    <x v="2"/>
    <x v="3303"/>
    <x v="3177"/>
    <x v="2"/>
    <x v="1"/>
  </r>
  <r>
    <s v="ORD03340"/>
    <x v="620"/>
    <x v="2"/>
    <x v="12"/>
    <x v="2"/>
    <x v="3304"/>
    <x v="3178"/>
    <x v="0"/>
    <x v="1"/>
  </r>
  <r>
    <s v="ORD03341"/>
    <x v="608"/>
    <x v="2"/>
    <x v="8"/>
    <x v="1"/>
    <x v="3305"/>
    <x v="3179"/>
    <x v="2"/>
    <x v="1"/>
  </r>
  <r>
    <s v="ORD03342"/>
    <x v="989"/>
    <x v="1"/>
    <x v="5"/>
    <x v="1"/>
    <x v="3306"/>
    <x v="3180"/>
    <x v="2"/>
    <x v="0"/>
  </r>
  <r>
    <s v="ORD03343"/>
    <x v="158"/>
    <x v="2"/>
    <x v="8"/>
    <x v="1"/>
    <x v="3307"/>
    <x v="928"/>
    <x v="1"/>
    <x v="0"/>
  </r>
  <r>
    <s v="ORD03344"/>
    <x v="198"/>
    <x v="3"/>
    <x v="9"/>
    <x v="0"/>
    <x v="3308"/>
    <x v="3181"/>
    <x v="1"/>
    <x v="2"/>
  </r>
  <r>
    <s v="ORD03345"/>
    <x v="161"/>
    <x v="0"/>
    <x v="2"/>
    <x v="1"/>
    <x v="3309"/>
    <x v="3182"/>
    <x v="0"/>
    <x v="1"/>
  </r>
  <r>
    <s v="ORD03346"/>
    <x v="972"/>
    <x v="3"/>
    <x v="1"/>
    <x v="1"/>
    <x v="3310"/>
    <x v="3183"/>
    <x v="0"/>
    <x v="2"/>
  </r>
  <r>
    <s v="ORD03347"/>
    <x v="943"/>
    <x v="2"/>
    <x v="13"/>
    <x v="1"/>
    <x v="3311"/>
    <x v="3184"/>
    <x v="2"/>
    <x v="1"/>
  </r>
  <r>
    <s v="ORD03348"/>
    <x v="979"/>
    <x v="3"/>
    <x v="11"/>
    <x v="2"/>
    <x v="3312"/>
    <x v="3185"/>
    <x v="0"/>
    <x v="2"/>
  </r>
  <r>
    <s v="ORD03349"/>
    <x v="142"/>
    <x v="0"/>
    <x v="5"/>
    <x v="1"/>
    <x v="3313"/>
    <x v="3186"/>
    <x v="1"/>
    <x v="0"/>
  </r>
  <r>
    <s v="ORD03350"/>
    <x v="1036"/>
    <x v="3"/>
    <x v="9"/>
    <x v="0"/>
    <x v="3314"/>
    <x v="3187"/>
    <x v="0"/>
    <x v="0"/>
  </r>
  <r>
    <s v="ORD03351"/>
    <x v="775"/>
    <x v="3"/>
    <x v="8"/>
    <x v="1"/>
    <x v="3315"/>
    <x v="3188"/>
    <x v="2"/>
    <x v="3"/>
  </r>
  <r>
    <s v="ORD03352"/>
    <x v="985"/>
    <x v="2"/>
    <x v="14"/>
    <x v="2"/>
    <x v="3316"/>
    <x v="3189"/>
    <x v="0"/>
    <x v="1"/>
  </r>
  <r>
    <s v="ORD03353"/>
    <x v="122"/>
    <x v="1"/>
    <x v="7"/>
    <x v="0"/>
    <x v="3317"/>
    <x v="3190"/>
    <x v="0"/>
    <x v="3"/>
  </r>
  <r>
    <s v="ORD03354"/>
    <x v="533"/>
    <x v="0"/>
    <x v="12"/>
    <x v="2"/>
    <x v="3318"/>
    <x v="3191"/>
    <x v="1"/>
    <x v="3"/>
  </r>
  <r>
    <s v="ORD03355"/>
    <x v="828"/>
    <x v="1"/>
    <x v="0"/>
    <x v="0"/>
    <x v="3319"/>
    <x v="3192"/>
    <x v="0"/>
    <x v="2"/>
  </r>
  <r>
    <s v="ORD03356"/>
    <x v="240"/>
    <x v="3"/>
    <x v="6"/>
    <x v="0"/>
    <x v="3320"/>
    <x v="3193"/>
    <x v="0"/>
    <x v="2"/>
  </r>
  <r>
    <s v="ORD03357"/>
    <x v="47"/>
    <x v="3"/>
    <x v="5"/>
    <x v="1"/>
    <x v="3321"/>
    <x v="3194"/>
    <x v="2"/>
    <x v="2"/>
  </r>
  <r>
    <s v="ORD03358"/>
    <x v="955"/>
    <x v="0"/>
    <x v="2"/>
    <x v="1"/>
    <x v="3322"/>
    <x v="109"/>
    <x v="0"/>
    <x v="0"/>
  </r>
  <r>
    <s v="ORD03359"/>
    <x v="505"/>
    <x v="1"/>
    <x v="13"/>
    <x v="1"/>
    <x v="3323"/>
    <x v="3195"/>
    <x v="0"/>
    <x v="2"/>
  </r>
  <r>
    <s v="ORD03360"/>
    <x v="44"/>
    <x v="1"/>
    <x v="10"/>
    <x v="2"/>
    <x v="3324"/>
    <x v="3196"/>
    <x v="2"/>
    <x v="2"/>
  </r>
  <r>
    <s v="ORD03361"/>
    <x v="931"/>
    <x v="1"/>
    <x v="3"/>
    <x v="2"/>
    <x v="3325"/>
    <x v="3197"/>
    <x v="2"/>
    <x v="2"/>
  </r>
  <r>
    <s v="ORD03362"/>
    <x v="407"/>
    <x v="1"/>
    <x v="4"/>
    <x v="0"/>
    <x v="3326"/>
    <x v="3198"/>
    <x v="2"/>
    <x v="1"/>
  </r>
  <r>
    <s v="ORD03363"/>
    <x v="976"/>
    <x v="1"/>
    <x v="3"/>
    <x v="2"/>
    <x v="3327"/>
    <x v="3199"/>
    <x v="2"/>
    <x v="1"/>
  </r>
  <r>
    <s v="ORD03364"/>
    <x v="616"/>
    <x v="0"/>
    <x v="6"/>
    <x v="0"/>
    <x v="3328"/>
    <x v="3200"/>
    <x v="1"/>
    <x v="0"/>
  </r>
  <r>
    <s v="ORD03365"/>
    <x v="1034"/>
    <x v="2"/>
    <x v="7"/>
    <x v="0"/>
    <x v="3329"/>
    <x v="3201"/>
    <x v="1"/>
    <x v="0"/>
  </r>
  <r>
    <s v="ORD03366"/>
    <x v="646"/>
    <x v="2"/>
    <x v="7"/>
    <x v="0"/>
    <x v="3330"/>
    <x v="3202"/>
    <x v="1"/>
    <x v="0"/>
  </r>
  <r>
    <s v="ORD03367"/>
    <x v="520"/>
    <x v="2"/>
    <x v="1"/>
    <x v="1"/>
    <x v="3331"/>
    <x v="1266"/>
    <x v="2"/>
    <x v="3"/>
  </r>
  <r>
    <s v="ORD03368"/>
    <x v="1020"/>
    <x v="3"/>
    <x v="1"/>
    <x v="1"/>
    <x v="3332"/>
    <x v="2838"/>
    <x v="0"/>
    <x v="2"/>
  </r>
  <r>
    <s v="ORD03369"/>
    <x v="1037"/>
    <x v="0"/>
    <x v="9"/>
    <x v="0"/>
    <x v="3333"/>
    <x v="3203"/>
    <x v="2"/>
    <x v="3"/>
  </r>
  <r>
    <s v="ORD03370"/>
    <x v="55"/>
    <x v="2"/>
    <x v="13"/>
    <x v="1"/>
    <x v="3334"/>
    <x v="3204"/>
    <x v="1"/>
    <x v="1"/>
  </r>
  <r>
    <s v="ORD03371"/>
    <x v="188"/>
    <x v="0"/>
    <x v="13"/>
    <x v="1"/>
    <x v="3335"/>
    <x v="3205"/>
    <x v="0"/>
    <x v="1"/>
  </r>
  <r>
    <s v="ORD03372"/>
    <x v="490"/>
    <x v="0"/>
    <x v="5"/>
    <x v="1"/>
    <x v="3336"/>
    <x v="2913"/>
    <x v="0"/>
    <x v="0"/>
  </r>
  <r>
    <s v="ORD03373"/>
    <x v="263"/>
    <x v="0"/>
    <x v="10"/>
    <x v="2"/>
    <x v="3337"/>
    <x v="3206"/>
    <x v="0"/>
    <x v="2"/>
  </r>
  <r>
    <s v="ORD03374"/>
    <x v="767"/>
    <x v="0"/>
    <x v="7"/>
    <x v="0"/>
    <x v="3338"/>
    <x v="403"/>
    <x v="1"/>
    <x v="3"/>
  </r>
  <r>
    <s v="ORD03375"/>
    <x v="591"/>
    <x v="0"/>
    <x v="12"/>
    <x v="2"/>
    <x v="3339"/>
    <x v="3207"/>
    <x v="2"/>
    <x v="1"/>
  </r>
  <r>
    <s v="ORD03376"/>
    <x v="843"/>
    <x v="0"/>
    <x v="2"/>
    <x v="1"/>
    <x v="3340"/>
    <x v="3208"/>
    <x v="0"/>
    <x v="1"/>
  </r>
  <r>
    <s v="ORD03377"/>
    <x v="460"/>
    <x v="3"/>
    <x v="7"/>
    <x v="0"/>
    <x v="3341"/>
    <x v="3209"/>
    <x v="2"/>
    <x v="0"/>
  </r>
  <r>
    <s v="ORD03378"/>
    <x v="414"/>
    <x v="1"/>
    <x v="1"/>
    <x v="1"/>
    <x v="3342"/>
    <x v="3210"/>
    <x v="2"/>
    <x v="2"/>
  </r>
  <r>
    <s v="ORD03379"/>
    <x v="890"/>
    <x v="2"/>
    <x v="8"/>
    <x v="1"/>
    <x v="3343"/>
    <x v="3211"/>
    <x v="1"/>
    <x v="0"/>
  </r>
  <r>
    <s v="ORD03380"/>
    <x v="244"/>
    <x v="2"/>
    <x v="14"/>
    <x v="2"/>
    <x v="3344"/>
    <x v="3212"/>
    <x v="1"/>
    <x v="3"/>
  </r>
  <r>
    <s v="ORD03381"/>
    <x v="106"/>
    <x v="3"/>
    <x v="0"/>
    <x v="0"/>
    <x v="3345"/>
    <x v="3213"/>
    <x v="0"/>
    <x v="1"/>
  </r>
  <r>
    <s v="ORD03382"/>
    <x v="902"/>
    <x v="2"/>
    <x v="0"/>
    <x v="0"/>
    <x v="3346"/>
    <x v="3214"/>
    <x v="2"/>
    <x v="0"/>
  </r>
  <r>
    <s v="ORD03383"/>
    <x v="205"/>
    <x v="2"/>
    <x v="8"/>
    <x v="1"/>
    <x v="3347"/>
    <x v="3215"/>
    <x v="0"/>
    <x v="1"/>
  </r>
  <r>
    <s v="ORD03384"/>
    <x v="72"/>
    <x v="3"/>
    <x v="4"/>
    <x v="0"/>
    <x v="3348"/>
    <x v="3216"/>
    <x v="1"/>
    <x v="3"/>
  </r>
  <r>
    <s v="ORD03385"/>
    <x v="1038"/>
    <x v="0"/>
    <x v="11"/>
    <x v="2"/>
    <x v="3349"/>
    <x v="3217"/>
    <x v="2"/>
    <x v="1"/>
  </r>
  <r>
    <s v="ORD03386"/>
    <x v="403"/>
    <x v="1"/>
    <x v="8"/>
    <x v="1"/>
    <x v="3350"/>
    <x v="3218"/>
    <x v="1"/>
    <x v="3"/>
  </r>
  <r>
    <s v="ORD03387"/>
    <x v="830"/>
    <x v="1"/>
    <x v="5"/>
    <x v="1"/>
    <x v="3351"/>
    <x v="3219"/>
    <x v="1"/>
    <x v="2"/>
  </r>
  <r>
    <s v="ORD03388"/>
    <x v="822"/>
    <x v="3"/>
    <x v="8"/>
    <x v="1"/>
    <x v="3352"/>
    <x v="3220"/>
    <x v="1"/>
    <x v="1"/>
  </r>
  <r>
    <s v="ORD03389"/>
    <x v="852"/>
    <x v="1"/>
    <x v="13"/>
    <x v="1"/>
    <x v="3353"/>
    <x v="3221"/>
    <x v="2"/>
    <x v="0"/>
  </r>
  <r>
    <s v="ORD03390"/>
    <x v="1006"/>
    <x v="2"/>
    <x v="13"/>
    <x v="1"/>
    <x v="3354"/>
    <x v="3222"/>
    <x v="0"/>
    <x v="0"/>
  </r>
  <r>
    <s v="ORD03391"/>
    <x v="213"/>
    <x v="3"/>
    <x v="14"/>
    <x v="2"/>
    <x v="3355"/>
    <x v="3223"/>
    <x v="0"/>
    <x v="0"/>
  </r>
  <r>
    <s v="ORD03392"/>
    <x v="76"/>
    <x v="0"/>
    <x v="5"/>
    <x v="1"/>
    <x v="3356"/>
    <x v="3224"/>
    <x v="2"/>
    <x v="3"/>
  </r>
  <r>
    <s v="ORD03393"/>
    <x v="848"/>
    <x v="2"/>
    <x v="5"/>
    <x v="1"/>
    <x v="3357"/>
    <x v="571"/>
    <x v="2"/>
    <x v="2"/>
  </r>
  <r>
    <s v="ORD03394"/>
    <x v="200"/>
    <x v="0"/>
    <x v="1"/>
    <x v="1"/>
    <x v="3358"/>
    <x v="3225"/>
    <x v="1"/>
    <x v="3"/>
  </r>
  <r>
    <s v="ORD03395"/>
    <x v="116"/>
    <x v="2"/>
    <x v="1"/>
    <x v="1"/>
    <x v="3359"/>
    <x v="3226"/>
    <x v="2"/>
    <x v="2"/>
  </r>
  <r>
    <s v="ORD03396"/>
    <x v="93"/>
    <x v="3"/>
    <x v="10"/>
    <x v="2"/>
    <x v="3360"/>
    <x v="3227"/>
    <x v="0"/>
    <x v="2"/>
  </r>
  <r>
    <s v="ORD03397"/>
    <x v="435"/>
    <x v="2"/>
    <x v="5"/>
    <x v="1"/>
    <x v="3361"/>
    <x v="3228"/>
    <x v="1"/>
    <x v="0"/>
  </r>
  <r>
    <s v="ORD03398"/>
    <x v="69"/>
    <x v="1"/>
    <x v="8"/>
    <x v="1"/>
    <x v="3362"/>
    <x v="3229"/>
    <x v="2"/>
    <x v="0"/>
  </r>
  <r>
    <s v="ORD03399"/>
    <x v="312"/>
    <x v="3"/>
    <x v="13"/>
    <x v="1"/>
    <x v="3363"/>
    <x v="3230"/>
    <x v="2"/>
    <x v="0"/>
  </r>
  <r>
    <s v="ORD03400"/>
    <x v="230"/>
    <x v="2"/>
    <x v="1"/>
    <x v="1"/>
    <x v="3364"/>
    <x v="3231"/>
    <x v="2"/>
    <x v="3"/>
  </r>
  <r>
    <s v="ORD03401"/>
    <x v="466"/>
    <x v="1"/>
    <x v="11"/>
    <x v="2"/>
    <x v="3365"/>
    <x v="3232"/>
    <x v="1"/>
    <x v="3"/>
  </r>
  <r>
    <s v="ORD03402"/>
    <x v="819"/>
    <x v="3"/>
    <x v="13"/>
    <x v="1"/>
    <x v="3366"/>
    <x v="3233"/>
    <x v="1"/>
    <x v="2"/>
  </r>
  <r>
    <s v="ORD03403"/>
    <x v="895"/>
    <x v="2"/>
    <x v="0"/>
    <x v="0"/>
    <x v="3367"/>
    <x v="3234"/>
    <x v="0"/>
    <x v="1"/>
  </r>
  <r>
    <s v="ORD03404"/>
    <x v="431"/>
    <x v="2"/>
    <x v="7"/>
    <x v="0"/>
    <x v="3368"/>
    <x v="3235"/>
    <x v="0"/>
    <x v="0"/>
  </r>
  <r>
    <s v="ORD03405"/>
    <x v="524"/>
    <x v="0"/>
    <x v="2"/>
    <x v="1"/>
    <x v="3369"/>
    <x v="3236"/>
    <x v="1"/>
    <x v="2"/>
  </r>
  <r>
    <s v="ORD03406"/>
    <x v="1039"/>
    <x v="2"/>
    <x v="7"/>
    <x v="0"/>
    <x v="3370"/>
    <x v="3237"/>
    <x v="2"/>
    <x v="2"/>
  </r>
  <r>
    <s v="ORD03407"/>
    <x v="757"/>
    <x v="1"/>
    <x v="10"/>
    <x v="2"/>
    <x v="3371"/>
    <x v="3238"/>
    <x v="0"/>
    <x v="2"/>
  </r>
  <r>
    <s v="ORD03408"/>
    <x v="564"/>
    <x v="0"/>
    <x v="6"/>
    <x v="0"/>
    <x v="3372"/>
    <x v="3239"/>
    <x v="2"/>
    <x v="0"/>
  </r>
  <r>
    <s v="ORD03409"/>
    <x v="265"/>
    <x v="1"/>
    <x v="12"/>
    <x v="2"/>
    <x v="3373"/>
    <x v="3240"/>
    <x v="0"/>
    <x v="3"/>
  </r>
  <r>
    <s v="ORD03410"/>
    <x v="315"/>
    <x v="2"/>
    <x v="1"/>
    <x v="1"/>
    <x v="3374"/>
    <x v="3241"/>
    <x v="1"/>
    <x v="2"/>
  </r>
  <r>
    <s v="ORD03411"/>
    <x v="831"/>
    <x v="2"/>
    <x v="10"/>
    <x v="2"/>
    <x v="3375"/>
    <x v="3242"/>
    <x v="0"/>
    <x v="3"/>
  </r>
  <r>
    <s v="ORD03412"/>
    <x v="355"/>
    <x v="0"/>
    <x v="10"/>
    <x v="2"/>
    <x v="3376"/>
    <x v="3243"/>
    <x v="1"/>
    <x v="1"/>
  </r>
  <r>
    <s v="ORD03413"/>
    <x v="695"/>
    <x v="1"/>
    <x v="5"/>
    <x v="1"/>
    <x v="3377"/>
    <x v="3244"/>
    <x v="2"/>
    <x v="0"/>
  </r>
  <r>
    <s v="ORD03414"/>
    <x v="84"/>
    <x v="3"/>
    <x v="3"/>
    <x v="2"/>
    <x v="3378"/>
    <x v="3245"/>
    <x v="2"/>
    <x v="2"/>
  </r>
  <r>
    <s v="ORD03415"/>
    <x v="316"/>
    <x v="1"/>
    <x v="2"/>
    <x v="1"/>
    <x v="3379"/>
    <x v="3246"/>
    <x v="2"/>
    <x v="3"/>
  </r>
  <r>
    <s v="ORD03416"/>
    <x v="959"/>
    <x v="2"/>
    <x v="6"/>
    <x v="0"/>
    <x v="3380"/>
    <x v="3247"/>
    <x v="1"/>
    <x v="3"/>
  </r>
  <r>
    <s v="ORD03417"/>
    <x v="598"/>
    <x v="1"/>
    <x v="8"/>
    <x v="1"/>
    <x v="3381"/>
    <x v="3248"/>
    <x v="1"/>
    <x v="2"/>
  </r>
  <r>
    <s v="ORD03418"/>
    <x v="1016"/>
    <x v="1"/>
    <x v="8"/>
    <x v="1"/>
    <x v="3382"/>
    <x v="3249"/>
    <x v="1"/>
    <x v="3"/>
  </r>
  <r>
    <s v="ORD03419"/>
    <x v="525"/>
    <x v="0"/>
    <x v="10"/>
    <x v="2"/>
    <x v="3383"/>
    <x v="3250"/>
    <x v="1"/>
    <x v="2"/>
  </r>
  <r>
    <s v="ORD03420"/>
    <x v="237"/>
    <x v="2"/>
    <x v="1"/>
    <x v="1"/>
    <x v="3384"/>
    <x v="3251"/>
    <x v="2"/>
    <x v="0"/>
  </r>
  <r>
    <s v="ORD03421"/>
    <x v="192"/>
    <x v="1"/>
    <x v="7"/>
    <x v="0"/>
    <x v="3385"/>
    <x v="3252"/>
    <x v="0"/>
    <x v="1"/>
  </r>
  <r>
    <s v="ORD03422"/>
    <x v="1040"/>
    <x v="0"/>
    <x v="0"/>
    <x v="0"/>
    <x v="2879"/>
    <x v="3253"/>
    <x v="0"/>
    <x v="0"/>
  </r>
  <r>
    <s v="ORD03423"/>
    <x v="648"/>
    <x v="0"/>
    <x v="0"/>
    <x v="0"/>
    <x v="3386"/>
    <x v="1375"/>
    <x v="1"/>
    <x v="2"/>
  </r>
  <r>
    <s v="ORD03424"/>
    <x v="102"/>
    <x v="2"/>
    <x v="14"/>
    <x v="2"/>
    <x v="3387"/>
    <x v="3254"/>
    <x v="0"/>
    <x v="1"/>
  </r>
  <r>
    <s v="ORD03425"/>
    <x v="800"/>
    <x v="2"/>
    <x v="12"/>
    <x v="2"/>
    <x v="3388"/>
    <x v="3255"/>
    <x v="1"/>
    <x v="1"/>
  </r>
  <r>
    <s v="ORD03426"/>
    <x v="579"/>
    <x v="2"/>
    <x v="14"/>
    <x v="2"/>
    <x v="3389"/>
    <x v="3256"/>
    <x v="2"/>
    <x v="2"/>
  </r>
  <r>
    <s v="ORD03427"/>
    <x v="413"/>
    <x v="3"/>
    <x v="1"/>
    <x v="1"/>
    <x v="3390"/>
    <x v="3257"/>
    <x v="2"/>
    <x v="1"/>
  </r>
  <r>
    <s v="ORD03428"/>
    <x v="720"/>
    <x v="2"/>
    <x v="0"/>
    <x v="0"/>
    <x v="3391"/>
    <x v="3258"/>
    <x v="1"/>
    <x v="0"/>
  </r>
  <r>
    <s v="ORD03429"/>
    <x v="111"/>
    <x v="3"/>
    <x v="11"/>
    <x v="2"/>
    <x v="3392"/>
    <x v="3259"/>
    <x v="0"/>
    <x v="2"/>
  </r>
  <r>
    <s v="ORD03430"/>
    <x v="829"/>
    <x v="2"/>
    <x v="0"/>
    <x v="0"/>
    <x v="3393"/>
    <x v="3260"/>
    <x v="1"/>
    <x v="3"/>
  </r>
  <r>
    <s v="ORD03431"/>
    <x v="171"/>
    <x v="3"/>
    <x v="13"/>
    <x v="1"/>
    <x v="3394"/>
    <x v="3261"/>
    <x v="0"/>
    <x v="1"/>
  </r>
  <r>
    <s v="ORD03432"/>
    <x v="556"/>
    <x v="0"/>
    <x v="12"/>
    <x v="2"/>
    <x v="3395"/>
    <x v="3262"/>
    <x v="0"/>
    <x v="2"/>
  </r>
  <r>
    <s v="ORD03433"/>
    <x v="433"/>
    <x v="3"/>
    <x v="0"/>
    <x v="0"/>
    <x v="3396"/>
    <x v="3263"/>
    <x v="0"/>
    <x v="1"/>
  </r>
  <r>
    <s v="ORD03434"/>
    <x v="833"/>
    <x v="3"/>
    <x v="13"/>
    <x v="1"/>
    <x v="3397"/>
    <x v="3264"/>
    <x v="1"/>
    <x v="3"/>
  </r>
  <r>
    <s v="ORD03435"/>
    <x v="198"/>
    <x v="1"/>
    <x v="12"/>
    <x v="2"/>
    <x v="3398"/>
    <x v="3265"/>
    <x v="1"/>
    <x v="2"/>
  </r>
  <r>
    <s v="ORD03436"/>
    <x v="690"/>
    <x v="2"/>
    <x v="14"/>
    <x v="2"/>
    <x v="3399"/>
    <x v="3266"/>
    <x v="2"/>
    <x v="3"/>
  </r>
  <r>
    <s v="ORD03437"/>
    <x v="756"/>
    <x v="1"/>
    <x v="1"/>
    <x v="1"/>
    <x v="3400"/>
    <x v="3267"/>
    <x v="1"/>
    <x v="2"/>
  </r>
  <r>
    <s v="ORD03438"/>
    <x v="275"/>
    <x v="2"/>
    <x v="3"/>
    <x v="2"/>
    <x v="3401"/>
    <x v="3268"/>
    <x v="1"/>
    <x v="3"/>
  </r>
  <r>
    <s v="ORD03439"/>
    <x v="406"/>
    <x v="0"/>
    <x v="6"/>
    <x v="0"/>
    <x v="3402"/>
    <x v="3269"/>
    <x v="1"/>
    <x v="1"/>
  </r>
  <r>
    <s v="ORD03440"/>
    <x v="821"/>
    <x v="3"/>
    <x v="3"/>
    <x v="2"/>
    <x v="3403"/>
    <x v="3270"/>
    <x v="0"/>
    <x v="0"/>
  </r>
  <r>
    <s v="ORD03441"/>
    <x v="982"/>
    <x v="0"/>
    <x v="7"/>
    <x v="0"/>
    <x v="3404"/>
    <x v="3271"/>
    <x v="0"/>
    <x v="3"/>
  </r>
  <r>
    <s v="ORD03442"/>
    <x v="529"/>
    <x v="0"/>
    <x v="2"/>
    <x v="1"/>
    <x v="3405"/>
    <x v="3272"/>
    <x v="2"/>
    <x v="2"/>
  </r>
  <r>
    <s v="ORD03443"/>
    <x v="530"/>
    <x v="2"/>
    <x v="7"/>
    <x v="0"/>
    <x v="3406"/>
    <x v="3273"/>
    <x v="1"/>
    <x v="2"/>
  </r>
  <r>
    <s v="ORD03444"/>
    <x v="502"/>
    <x v="1"/>
    <x v="13"/>
    <x v="1"/>
    <x v="3407"/>
    <x v="3274"/>
    <x v="2"/>
    <x v="0"/>
  </r>
  <r>
    <s v="ORD03445"/>
    <x v="866"/>
    <x v="2"/>
    <x v="7"/>
    <x v="0"/>
    <x v="3408"/>
    <x v="3275"/>
    <x v="2"/>
    <x v="3"/>
  </r>
  <r>
    <s v="ORD03446"/>
    <x v="179"/>
    <x v="2"/>
    <x v="10"/>
    <x v="2"/>
    <x v="3409"/>
    <x v="3276"/>
    <x v="1"/>
    <x v="1"/>
  </r>
  <r>
    <s v="ORD03447"/>
    <x v="755"/>
    <x v="1"/>
    <x v="5"/>
    <x v="1"/>
    <x v="3410"/>
    <x v="3277"/>
    <x v="2"/>
    <x v="2"/>
  </r>
  <r>
    <s v="ORD03448"/>
    <x v="111"/>
    <x v="3"/>
    <x v="14"/>
    <x v="2"/>
    <x v="3411"/>
    <x v="3278"/>
    <x v="0"/>
    <x v="3"/>
  </r>
  <r>
    <s v="ORD03449"/>
    <x v="776"/>
    <x v="2"/>
    <x v="13"/>
    <x v="1"/>
    <x v="3412"/>
    <x v="3279"/>
    <x v="2"/>
    <x v="0"/>
  </r>
  <r>
    <s v="ORD03450"/>
    <x v="502"/>
    <x v="2"/>
    <x v="10"/>
    <x v="2"/>
    <x v="3413"/>
    <x v="1126"/>
    <x v="2"/>
    <x v="2"/>
  </r>
  <r>
    <s v="ORD03451"/>
    <x v="938"/>
    <x v="0"/>
    <x v="7"/>
    <x v="0"/>
    <x v="3414"/>
    <x v="3280"/>
    <x v="2"/>
    <x v="3"/>
  </r>
  <r>
    <s v="ORD03452"/>
    <x v="1041"/>
    <x v="2"/>
    <x v="0"/>
    <x v="0"/>
    <x v="3415"/>
    <x v="3281"/>
    <x v="0"/>
    <x v="3"/>
  </r>
  <r>
    <s v="ORD03453"/>
    <x v="12"/>
    <x v="1"/>
    <x v="4"/>
    <x v="0"/>
    <x v="3416"/>
    <x v="3282"/>
    <x v="2"/>
    <x v="3"/>
  </r>
  <r>
    <s v="ORD03454"/>
    <x v="862"/>
    <x v="3"/>
    <x v="2"/>
    <x v="1"/>
    <x v="3417"/>
    <x v="1211"/>
    <x v="1"/>
    <x v="2"/>
  </r>
  <r>
    <s v="ORD03455"/>
    <x v="168"/>
    <x v="3"/>
    <x v="3"/>
    <x v="2"/>
    <x v="3418"/>
    <x v="3283"/>
    <x v="2"/>
    <x v="0"/>
  </r>
  <r>
    <s v="ORD03456"/>
    <x v="692"/>
    <x v="3"/>
    <x v="10"/>
    <x v="2"/>
    <x v="3419"/>
    <x v="3284"/>
    <x v="0"/>
    <x v="1"/>
  </r>
  <r>
    <s v="ORD03457"/>
    <x v="176"/>
    <x v="3"/>
    <x v="2"/>
    <x v="1"/>
    <x v="3420"/>
    <x v="3285"/>
    <x v="1"/>
    <x v="0"/>
  </r>
  <r>
    <s v="ORD03458"/>
    <x v="680"/>
    <x v="0"/>
    <x v="11"/>
    <x v="2"/>
    <x v="3421"/>
    <x v="3286"/>
    <x v="0"/>
    <x v="1"/>
  </r>
  <r>
    <s v="ORD03459"/>
    <x v="698"/>
    <x v="0"/>
    <x v="2"/>
    <x v="1"/>
    <x v="3422"/>
    <x v="3287"/>
    <x v="1"/>
    <x v="0"/>
  </r>
  <r>
    <s v="ORD03460"/>
    <x v="494"/>
    <x v="1"/>
    <x v="0"/>
    <x v="0"/>
    <x v="3423"/>
    <x v="3288"/>
    <x v="2"/>
    <x v="3"/>
  </r>
  <r>
    <s v="ORD03461"/>
    <x v="630"/>
    <x v="2"/>
    <x v="2"/>
    <x v="1"/>
    <x v="3424"/>
    <x v="3289"/>
    <x v="1"/>
    <x v="2"/>
  </r>
  <r>
    <s v="ORD03462"/>
    <x v="52"/>
    <x v="3"/>
    <x v="10"/>
    <x v="2"/>
    <x v="3425"/>
    <x v="3290"/>
    <x v="2"/>
    <x v="3"/>
  </r>
  <r>
    <s v="ORD03463"/>
    <x v="853"/>
    <x v="0"/>
    <x v="0"/>
    <x v="0"/>
    <x v="3426"/>
    <x v="3291"/>
    <x v="1"/>
    <x v="2"/>
  </r>
  <r>
    <s v="ORD03464"/>
    <x v="730"/>
    <x v="3"/>
    <x v="13"/>
    <x v="1"/>
    <x v="3427"/>
    <x v="3292"/>
    <x v="0"/>
    <x v="2"/>
  </r>
  <r>
    <s v="ORD03465"/>
    <x v="737"/>
    <x v="1"/>
    <x v="5"/>
    <x v="1"/>
    <x v="3428"/>
    <x v="3293"/>
    <x v="1"/>
    <x v="3"/>
  </r>
  <r>
    <s v="ORD03466"/>
    <x v="766"/>
    <x v="1"/>
    <x v="10"/>
    <x v="2"/>
    <x v="3429"/>
    <x v="3294"/>
    <x v="0"/>
    <x v="3"/>
  </r>
  <r>
    <s v="ORD03467"/>
    <x v="558"/>
    <x v="3"/>
    <x v="4"/>
    <x v="0"/>
    <x v="3430"/>
    <x v="3295"/>
    <x v="0"/>
    <x v="3"/>
  </r>
  <r>
    <s v="ORD03468"/>
    <x v="408"/>
    <x v="1"/>
    <x v="8"/>
    <x v="1"/>
    <x v="3431"/>
    <x v="3296"/>
    <x v="1"/>
    <x v="1"/>
  </r>
  <r>
    <s v="ORD03469"/>
    <x v="1030"/>
    <x v="2"/>
    <x v="10"/>
    <x v="2"/>
    <x v="3432"/>
    <x v="3297"/>
    <x v="0"/>
    <x v="1"/>
  </r>
  <r>
    <s v="ORD03470"/>
    <x v="504"/>
    <x v="1"/>
    <x v="3"/>
    <x v="2"/>
    <x v="2287"/>
    <x v="3298"/>
    <x v="2"/>
    <x v="3"/>
  </r>
  <r>
    <s v="ORD03471"/>
    <x v="481"/>
    <x v="3"/>
    <x v="13"/>
    <x v="1"/>
    <x v="3433"/>
    <x v="3299"/>
    <x v="0"/>
    <x v="3"/>
  </r>
  <r>
    <s v="ORD03472"/>
    <x v="732"/>
    <x v="1"/>
    <x v="5"/>
    <x v="1"/>
    <x v="3434"/>
    <x v="3300"/>
    <x v="2"/>
    <x v="0"/>
  </r>
  <r>
    <s v="ORD03473"/>
    <x v="923"/>
    <x v="1"/>
    <x v="8"/>
    <x v="1"/>
    <x v="3435"/>
    <x v="3301"/>
    <x v="2"/>
    <x v="0"/>
  </r>
  <r>
    <s v="ORD03474"/>
    <x v="1006"/>
    <x v="2"/>
    <x v="9"/>
    <x v="0"/>
    <x v="3436"/>
    <x v="3302"/>
    <x v="1"/>
    <x v="0"/>
  </r>
  <r>
    <s v="ORD03475"/>
    <x v="687"/>
    <x v="1"/>
    <x v="2"/>
    <x v="1"/>
    <x v="3437"/>
    <x v="1531"/>
    <x v="1"/>
    <x v="1"/>
  </r>
  <r>
    <s v="ORD03476"/>
    <x v="259"/>
    <x v="1"/>
    <x v="6"/>
    <x v="0"/>
    <x v="3438"/>
    <x v="1847"/>
    <x v="1"/>
    <x v="2"/>
  </r>
  <r>
    <s v="ORD03477"/>
    <x v="505"/>
    <x v="3"/>
    <x v="3"/>
    <x v="2"/>
    <x v="3439"/>
    <x v="3303"/>
    <x v="0"/>
    <x v="0"/>
  </r>
  <r>
    <s v="ORD03478"/>
    <x v="560"/>
    <x v="2"/>
    <x v="2"/>
    <x v="1"/>
    <x v="3440"/>
    <x v="3304"/>
    <x v="0"/>
    <x v="2"/>
  </r>
  <r>
    <s v="ORD03479"/>
    <x v="384"/>
    <x v="3"/>
    <x v="11"/>
    <x v="2"/>
    <x v="3441"/>
    <x v="3305"/>
    <x v="0"/>
    <x v="1"/>
  </r>
  <r>
    <s v="ORD03480"/>
    <x v="416"/>
    <x v="1"/>
    <x v="10"/>
    <x v="2"/>
    <x v="3442"/>
    <x v="3306"/>
    <x v="1"/>
    <x v="0"/>
  </r>
  <r>
    <s v="ORD03481"/>
    <x v="451"/>
    <x v="0"/>
    <x v="4"/>
    <x v="0"/>
    <x v="3443"/>
    <x v="3307"/>
    <x v="1"/>
    <x v="3"/>
  </r>
  <r>
    <s v="ORD03482"/>
    <x v="759"/>
    <x v="1"/>
    <x v="5"/>
    <x v="1"/>
    <x v="3444"/>
    <x v="3308"/>
    <x v="2"/>
    <x v="1"/>
  </r>
  <r>
    <s v="ORD03483"/>
    <x v="1042"/>
    <x v="3"/>
    <x v="14"/>
    <x v="2"/>
    <x v="3445"/>
    <x v="3309"/>
    <x v="0"/>
    <x v="3"/>
  </r>
  <r>
    <s v="ORD03484"/>
    <x v="686"/>
    <x v="0"/>
    <x v="9"/>
    <x v="0"/>
    <x v="3446"/>
    <x v="3310"/>
    <x v="2"/>
    <x v="1"/>
  </r>
  <r>
    <s v="ORD03485"/>
    <x v="1043"/>
    <x v="2"/>
    <x v="4"/>
    <x v="0"/>
    <x v="3447"/>
    <x v="3311"/>
    <x v="0"/>
    <x v="0"/>
  </r>
  <r>
    <s v="ORD03486"/>
    <x v="756"/>
    <x v="1"/>
    <x v="6"/>
    <x v="0"/>
    <x v="3448"/>
    <x v="3312"/>
    <x v="0"/>
    <x v="0"/>
  </r>
  <r>
    <s v="ORD03487"/>
    <x v="433"/>
    <x v="2"/>
    <x v="6"/>
    <x v="0"/>
    <x v="3449"/>
    <x v="3313"/>
    <x v="1"/>
    <x v="3"/>
  </r>
  <r>
    <s v="ORD03488"/>
    <x v="174"/>
    <x v="3"/>
    <x v="4"/>
    <x v="0"/>
    <x v="3450"/>
    <x v="3314"/>
    <x v="0"/>
    <x v="2"/>
  </r>
  <r>
    <s v="ORD03489"/>
    <x v="25"/>
    <x v="2"/>
    <x v="3"/>
    <x v="2"/>
    <x v="2012"/>
    <x v="3315"/>
    <x v="0"/>
    <x v="1"/>
  </r>
  <r>
    <s v="ORD03490"/>
    <x v="257"/>
    <x v="3"/>
    <x v="13"/>
    <x v="1"/>
    <x v="3451"/>
    <x v="3316"/>
    <x v="2"/>
    <x v="3"/>
  </r>
  <r>
    <s v="ORD03491"/>
    <x v="95"/>
    <x v="1"/>
    <x v="10"/>
    <x v="2"/>
    <x v="3452"/>
    <x v="3317"/>
    <x v="1"/>
    <x v="0"/>
  </r>
  <r>
    <s v="ORD03492"/>
    <x v="618"/>
    <x v="0"/>
    <x v="14"/>
    <x v="2"/>
    <x v="3453"/>
    <x v="834"/>
    <x v="1"/>
    <x v="0"/>
  </r>
  <r>
    <s v="ORD03493"/>
    <x v="445"/>
    <x v="1"/>
    <x v="3"/>
    <x v="2"/>
    <x v="3454"/>
    <x v="3318"/>
    <x v="2"/>
    <x v="1"/>
  </r>
  <r>
    <s v="ORD03494"/>
    <x v="72"/>
    <x v="0"/>
    <x v="2"/>
    <x v="1"/>
    <x v="3455"/>
    <x v="3319"/>
    <x v="2"/>
    <x v="3"/>
  </r>
  <r>
    <s v="ORD03495"/>
    <x v="653"/>
    <x v="3"/>
    <x v="3"/>
    <x v="2"/>
    <x v="3456"/>
    <x v="3320"/>
    <x v="0"/>
    <x v="0"/>
  </r>
  <r>
    <s v="ORD03496"/>
    <x v="904"/>
    <x v="0"/>
    <x v="1"/>
    <x v="1"/>
    <x v="3457"/>
    <x v="3321"/>
    <x v="2"/>
    <x v="1"/>
  </r>
  <r>
    <s v="ORD03497"/>
    <x v="615"/>
    <x v="0"/>
    <x v="12"/>
    <x v="2"/>
    <x v="3458"/>
    <x v="3322"/>
    <x v="2"/>
    <x v="3"/>
  </r>
  <r>
    <s v="ORD03498"/>
    <x v="131"/>
    <x v="0"/>
    <x v="8"/>
    <x v="1"/>
    <x v="3459"/>
    <x v="3323"/>
    <x v="2"/>
    <x v="2"/>
  </r>
  <r>
    <s v="ORD03499"/>
    <x v="158"/>
    <x v="2"/>
    <x v="3"/>
    <x v="2"/>
    <x v="3460"/>
    <x v="41"/>
    <x v="2"/>
    <x v="1"/>
  </r>
  <r>
    <s v="ORD03500"/>
    <x v="958"/>
    <x v="2"/>
    <x v="0"/>
    <x v="0"/>
    <x v="3461"/>
    <x v="3324"/>
    <x v="2"/>
    <x v="0"/>
  </r>
  <r>
    <s v="ORD03501"/>
    <x v="565"/>
    <x v="2"/>
    <x v="8"/>
    <x v="1"/>
    <x v="3462"/>
    <x v="3325"/>
    <x v="1"/>
    <x v="0"/>
  </r>
  <r>
    <s v="ORD03502"/>
    <x v="114"/>
    <x v="2"/>
    <x v="11"/>
    <x v="2"/>
    <x v="3463"/>
    <x v="3326"/>
    <x v="2"/>
    <x v="2"/>
  </r>
  <r>
    <s v="ORD03503"/>
    <x v="787"/>
    <x v="3"/>
    <x v="12"/>
    <x v="2"/>
    <x v="3464"/>
    <x v="3327"/>
    <x v="2"/>
    <x v="1"/>
  </r>
  <r>
    <s v="ORD03504"/>
    <x v="589"/>
    <x v="3"/>
    <x v="5"/>
    <x v="1"/>
    <x v="3465"/>
    <x v="3328"/>
    <x v="1"/>
    <x v="1"/>
  </r>
  <r>
    <s v="ORD03505"/>
    <x v="971"/>
    <x v="2"/>
    <x v="1"/>
    <x v="1"/>
    <x v="3466"/>
    <x v="3329"/>
    <x v="0"/>
    <x v="0"/>
  </r>
  <r>
    <s v="ORD03506"/>
    <x v="73"/>
    <x v="3"/>
    <x v="10"/>
    <x v="2"/>
    <x v="3467"/>
    <x v="3330"/>
    <x v="2"/>
    <x v="3"/>
  </r>
  <r>
    <s v="ORD03507"/>
    <x v="25"/>
    <x v="2"/>
    <x v="11"/>
    <x v="2"/>
    <x v="3468"/>
    <x v="3257"/>
    <x v="2"/>
    <x v="3"/>
  </r>
  <r>
    <s v="ORD03508"/>
    <x v="1044"/>
    <x v="1"/>
    <x v="7"/>
    <x v="0"/>
    <x v="3469"/>
    <x v="3331"/>
    <x v="0"/>
    <x v="2"/>
  </r>
  <r>
    <s v="ORD03509"/>
    <x v="370"/>
    <x v="2"/>
    <x v="1"/>
    <x v="1"/>
    <x v="3470"/>
    <x v="3332"/>
    <x v="2"/>
    <x v="1"/>
  </r>
  <r>
    <s v="ORD03510"/>
    <x v="529"/>
    <x v="3"/>
    <x v="11"/>
    <x v="2"/>
    <x v="3471"/>
    <x v="3333"/>
    <x v="2"/>
    <x v="1"/>
  </r>
  <r>
    <s v="ORD03511"/>
    <x v="1045"/>
    <x v="1"/>
    <x v="8"/>
    <x v="1"/>
    <x v="3472"/>
    <x v="3334"/>
    <x v="2"/>
    <x v="1"/>
  </r>
  <r>
    <s v="ORD03512"/>
    <x v="810"/>
    <x v="2"/>
    <x v="11"/>
    <x v="2"/>
    <x v="3473"/>
    <x v="3335"/>
    <x v="2"/>
    <x v="3"/>
  </r>
  <r>
    <s v="ORD03513"/>
    <x v="1005"/>
    <x v="3"/>
    <x v="7"/>
    <x v="0"/>
    <x v="3474"/>
    <x v="3336"/>
    <x v="2"/>
    <x v="3"/>
  </r>
  <r>
    <s v="ORD03514"/>
    <x v="869"/>
    <x v="3"/>
    <x v="11"/>
    <x v="2"/>
    <x v="3475"/>
    <x v="3337"/>
    <x v="2"/>
    <x v="0"/>
  </r>
  <r>
    <s v="ORD03515"/>
    <x v="439"/>
    <x v="2"/>
    <x v="12"/>
    <x v="2"/>
    <x v="3476"/>
    <x v="3338"/>
    <x v="2"/>
    <x v="1"/>
  </r>
  <r>
    <s v="ORD03516"/>
    <x v="682"/>
    <x v="3"/>
    <x v="8"/>
    <x v="1"/>
    <x v="3477"/>
    <x v="3339"/>
    <x v="0"/>
    <x v="3"/>
  </r>
  <r>
    <s v="ORD03517"/>
    <x v="341"/>
    <x v="2"/>
    <x v="5"/>
    <x v="1"/>
    <x v="3478"/>
    <x v="3340"/>
    <x v="2"/>
    <x v="0"/>
  </r>
  <r>
    <s v="ORD03518"/>
    <x v="293"/>
    <x v="1"/>
    <x v="14"/>
    <x v="2"/>
    <x v="3479"/>
    <x v="3341"/>
    <x v="0"/>
    <x v="0"/>
  </r>
  <r>
    <s v="ORD03519"/>
    <x v="319"/>
    <x v="3"/>
    <x v="0"/>
    <x v="0"/>
    <x v="2350"/>
    <x v="3342"/>
    <x v="0"/>
    <x v="0"/>
  </r>
  <r>
    <s v="ORD03520"/>
    <x v="721"/>
    <x v="1"/>
    <x v="0"/>
    <x v="0"/>
    <x v="3480"/>
    <x v="3343"/>
    <x v="0"/>
    <x v="1"/>
  </r>
  <r>
    <s v="ORD03521"/>
    <x v="1046"/>
    <x v="0"/>
    <x v="8"/>
    <x v="1"/>
    <x v="3481"/>
    <x v="3344"/>
    <x v="1"/>
    <x v="0"/>
  </r>
  <r>
    <s v="ORD03523"/>
    <x v="414"/>
    <x v="3"/>
    <x v="6"/>
    <x v="0"/>
    <x v="3482"/>
    <x v="3345"/>
    <x v="1"/>
    <x v="1"/>
  </r>
  <r>
    <s v="ORD03524"/>
    <x v="32"/>
    <x v="2"/>
    <x v="1"/>
    <x v="1"/>
    <x v="3483"/>
    <x v="3346"/>
    <x v="1"/>
    <x v="0"/>
  </r>
  <r>
    <s v="ORD03525"/>
    <x v="420"/>
    <x v="2"/>
    <x v="6"/>
    <x v="0"/>
    <x v="3484"/>
    <x v="3347"/>
    <x v="1"/>
    <x v="0"/>
  </r>
  <r>
    <s v="ORD03526"/>
    <x v="917"/>
    <x v="3"/>
    <x v="0"/>
    <x v="0"/>
    <x v="3485"/>
    <x v="2287"/>
    <x v="1"/>
    <x v="0"/>
  </r>
  <r>
    <s v="ORD03527"/>
    <x v="797"/>
    <x v="0"/>
    <x v="3"/>
    <x v="2"/>
    <x v="3486"/>
    <x v="3348"/>
    <x v="2"/>
    <x v="2"/>
  </r>
  <r>
    <s v="ORD03528"/>
    <x v="268"/>
    <x v="0"/>
    <x v="4"/>
    <x v="0"/>
    <x v="3487"/>
    <x v="3349"/>
    <x v="0"/>
    <x v="2"/>
  </r>
  <r>
    <s v="ORD03529"/>
    <x v="1047"/>
    <x v="1"/>
    <x v="0"/>
    <x v="0"/>
    <x v="3488"/>
    <x v="393"/>
    <x v="0"/>
    <x v="0"/>
  </r>
  <r>
    <s v="ORD03530"/>
    <x v="975"/>
    <x v="3"/>
    <x v="10"/>
    <x v="2"/>
    <x v="3489"/>
    <x v="3350"/>
    <x v="2"/>
    <x v="3"/>
  </r>
  <r>
    <s v="ORD03531"/>
    <x v="797"/>
    <x v="2"/>
    <x v="10"/>
    <x v="2"/>
    <x v="3490"/>
    <x v="3351"/>
    <x v="2"/>
    <x v="2"/>
  </r>
  <r>
    <s v="ORD03532"/>
    <x v="623"/>
    <x v="3"/>
    <x v="3"/>
    <x v="2"/>
    <x v="3491"/>
    <x v="3352"/>
    <x v="0"/>
    <x v="2"/>
  </r>
  <r>
    <s v="ORD03533"/>
    <x v="675"/>
    <x v="1"/>
    <x v="7"/>
    <x v="0"/>
    <x v="3492"/>
    <x v="3353"/>
    <x v="1"/>
    <x v="2"/>
  </r>
  <r>
    <s v="ORD03534"/>
    <x v="1029"/>
    <x v="0"/>
    <x v="1"/>
    <x v="1"/>
    <x v="3493"/>
    <x v="3354"/>
    <x v="1"/>
    <x v="2"/>
  </r>
  <r>
    <s v="ORD03535"/>
    <x v="258"/>
    <x v="0"/>
    <x v="14"/>
    <x v="2"/>
    <x v="3494"/>
    <x v="3355"/>
    <x v="0"/>
    <x v="1"/>
  </r>
  <r>
    <s v="ORD03536"/>
    <x v="987"/>
    <x v="3"/>
    <x v="5"/>
    <x v="1"/>
    <x v="3495"/>
    <x v="3356"/>
    <x v="0"/>
    <x v="0"/>
  </r>
  <r>
    <s v="ORD03537"/>
    <x v="357"/>
    <x v="0"/>
    <x v="10"/>
    <x v="2"/>
    <x v="3496"/>
    <x v="3357"/>
    <x v="0"/>
    <x v="3"/>
  </r>
  <r>
    <s v="ORD03538"/>
    <x v="708"/>
    <x v="2"/>
    <x v="1"/>
    <x v="1"/>
    <x v="3497"/>
    <x v="3358"/>
    <x v="1"/>
    <x v="0"/>
  </r>
  <r>
    <s v="ORD03539"/>
    <x v="1004"/>
    <x v="0"/>
    <x v="12"/>
    <x v="2"/>
    <x v="3498"/>
    <x v="3359"/>
    <x v="2"/>
    <x v="1"/>
  </r>
  <r>
    <s v="ORD03540"/>
    <x v="951"/>
    <x v="2"/>
    <x v="1"/>
    <x v="1"/>
    <x v="3499"/>
    <x v="3360"/>
    <x v="1"/>
    <x v="2"/>
  </r>
  <r>
    <s v="ORD03541"/>
    <x v="26"/>
    <x v="2"/>
    <x v="7"/>
    <x v="0"/>
    <x v="1666"/>
    <x v="3361"/>
    <x v="0"/>
    <x v="2"/>
  </r>
  <r>
    <s v="ORD03542"/>
    <x v="1012"/>
    <x v="2"/>
    <x v="0"/>
    <x v="0"/>
    <x v="3500"/>
    <x v="3362"/>
    <x v="0"/>
    <x v="0"/>
  </r>
  <r>
    <s v="ORD03543"/>
    <x v="805"/>
    <x v="0"/>
    <x v="0"/>
    <x v="0"/>
    <x v="3501"/>
    <x v="3363"/>
    <x v="0"/>
    <x v="0"/>
  </r>
  <r>
    <s v="ORD03544"/>
    <x v="228"/>
    <x v="2"/>
    <x v="0"/>
    <x v="0"/>
    <x v="3502"/>
    <x v="3364"/>
    <x v="1"/>
    <x v="2"/>
  </r>
  <r>
    <s v="ORD03545"/>
    <x v="543"/>
    <x v="0"/>
    <x v="4"/>
    <x v="0"/>
    <x v="3503"/>
    <x v="3365"/>
    <x v="2"/>
    <x v="3"/>
  </r>
  <r>
    <s v="ORD03546"/>
    <x v="1013"/>
    <x v="3"/>
    <x v="12"/>
    <x v="2"/>
    <x v="3504"/>
    <x v="3366"/>
    <x v="1"/>
    <x v="2"/>
  </r>
  <r>
    <s v="ORD03547"/>
    <x v="490"/>
    <x v="3"/>
    <x v="0"/>
    <x v="0"/>
    <x v="3505"/>
    <x v="3367"/>
    <x v="2"/>
    <x v="2"/>
  </r>
  <r>
    <s v="ORD03548"/>
    <x v="681"/>
    <x v="1"/>
    <x v="3"/>
    <x v="2"/>
    <x v="3506"/>
    <x v="3368"/>
    <x v="1"/>
    <x v="1"/>
  </r>
  <r>
    <s v="ORD03549"/>
    <x v="1048"/>
    <x v="3"/>
    <x v="3"/>
    <x v="2"/>
    <x v="3507"/>
    <x v="3369"/>
    <x v="2"/>
    <x v="0"/>
  </r>
  <r>
    <s v="ORD03550"/>
    <x v="577"/>
    <x v="1"/>
    <x v="0"/>
    <x v="0"/>
    <x v="3508"/>
    <x v="3370"/>
    <x v="0"/>
    <x v="3"/>
  </r>
  <r>
    <s v="ORD03551"/>
    <x v="797"/>
    <x v="2"/>
    <x v="14"/>
    <x v="2"/>
    <x v="3509"/>
    <x v="3371"/>
    <x v="0"/>
    <x v="2"/>
  </r>
  <r>
    <s v="ORD03552"/>
    <x v="555"/>
    <x v="2"/>
    <x v="4"/>
    <x v="0"/>
    <x v="3510"/>
    <x v="3372"/>
    <x v="2"/>
    <x v="1"/>
  </r>
  <r>
    <s v="ORD03553"/>
    <x v="239"/>
    <x v="0"/>
    <x v="8"/>
    <x v="1"/>
    <x v="3511"/>
    <x v="3373"/>
    <x v="1"/>
    <x v="2"/>
  </r>
  <r>
    <s v="ORD03554"/>
    <x v="816"/>
    <x v="0"/>
    <x v="10"/>
    <x v="2"/>
    <x v="3512"/>
    <x v="3374"/>
    <x v="1"/>
    <x v="0"/>
  </r>
  <r>
    <s v="ORD03555"/>
    <x v="402"/>
    <x v="1"/>
    <x v="2"/>
    <x v="1"/>
    <x v="2585"/>
    <x v="3375"/>
    <x v="2"/>
    <x v="1"/>
  </r>
  <r>
    <s v="ORD03556"/>
    <x v="490"/>
    <x v="3"/>
    <x v="12"/>
    <x v="2"/>
    <x v="3513"/>
    <x v="3376"/>
    <x v="0"/>
    <x v="3"/>
  </r>
  <r>
    <s v="ORD03557"/>
    <x v="917"/>
    <x v="2"/>
    <x v="9"/>
    <x v="0"/>
    <x v="3514"/>
    <x v="3377"/>
    <x v="0"/>
    <x v="0"/>
  </r>
  <r>
    <s v="ORD03558"/>
    <x v="302"/>
    <x v="3"/>
    <x v="7"/>
    <x v="0"/>
    <x v="3515"/>
    <x v="3378"/>
    <x v="2"/>
    <x v="1"/>
  </r>
  <r>
    <s v="ORD03559"/>
    <x v="199"/>
    <x v="3"/>
    <x v="6"/>
    <x v="0"/>
    <x v="3516"/>
    <x v="3379"/>
    <x v="2"/>
    <x v="3"/>
  </r>
  <r>
    <s v="ORD03560"/>
    <x v="208"/>
    <x v="0"/>
    <x v="3"/>
    <x v="2"/>
    <x v="3517"/>
    <x v="3380"/>
    <x v="0"/>
    <x v="0"/>
  </r>
  <r>
    <s v="ORD03561"/>
    <x v="498"/>
    <x v="1"/>
    <x v="13"/>
    <x v="1"/>
    <x v="3518"/>
    <x v="3381"/>
    <x v="1"/>
    <x v="0"/>
  </r>
  <r>
    <s v="ORD03562"/>
    <x v="1049"/>
    <x v="2"/>
    <x v="7"/>
    <x v="0"/>
    <x v="3519"/>
    <x v="3382"/>
    <x v="1"/>
    <x v="0"/>
  </r>
  <r>
    <s v="ORD03563"/>
    <x v="132"/>
    <x v="1"/>
    <x v="1"/>
    <x v="1"/>
    <x v="3520"/>
    <x v="3383"/>
    <x v="2"/>
    <x v="0"/>
  </r>
  <r>
    <s v="ORD03564"/>
    <x v="238"/>
    <x v="2"/>
    <x v="0"/>
    <x v="0"/>
    <x v="3521"/>
    <x v="3291"/>
    <x v="1"/>
    <x v="1"/>
  </r>
  <r>
    <s v="ORD03565"/>
    <x v="1046"/>
    <x v="0"/>
    <x v="10"/>
    <x v="2"/>
    <x v="3522"/>
    <x v="3384"/>
    <x v="0"/>
    <x v="0"/>
  </r>
  <r>
    <s v="ORD03566"/>
    <x v="685"/>
    <x v="3"/>
    <x v="0"/>
    <x v="0"/>
    <x v="3523"/>
    <x v="1492"/>
    <x v="1"/>
    <x v="1"/>
  </r>
  <r>
    <s v="ORD03567"/>
    <x v="890"/>
    <x v="1"/>
    <x v="12"/>
    <x v="2"/>
    <x v="3524"/>
    <x v="3385"/>
    <x v="1"/>
    <x v="0"/>
  </r>
  <r>
    <s v="ORD03568"/>
    <x v="766"/>
    <x v="1"/>
    <x v="11"/>
    <x v="2"/>
    <x v="3525"/>
    <x v="3386"/>
    <x v="0"/>
    <x v="1"/>
  </r>
  <r>
    <s v="ORD03569"/>
    <x v="1014"/>
    <x v="3"/>
    <x v="13"/>
    <x v="1"/>
    <x v="3526"/>
    <x v="3387"/>
    <x v="0"/>
    <x v="1"/>
  </r>
  <r>
    <s v="ORD03570"/>
    <x v="158"/>
    <x v="0"/>
    <x v="2"/>
    <x v="1"/>
    <x v="3527"/>
    <x v="3388"/>
    <x v="2"/>
    <x v="3"/>
  </r>
  <r>
    <s v="ORD03571"/>
    <x v="1"/>
    <x v="3"/>
    <x v="10"/>
    <x v="2"/>
    <x v="3528"/>
    <x v="3389"/>
    <x v="1"/>
    <x v="1"/>
  </r>
  <r>
    <s v="ORD03572"/>
    <x v="771"/>
    <x v="0"/>
    <x v="13"/>
    <x v="1"/>
    <x v="3529"/>
    <x v="3390"/>
    <x v="1"/>
    <x v="2"/>
  </r>
  <r>
    <s v="ORD03573"/>
    <x v="779"/>
    <x v="1"/>
    <x v="6"/>
    <x v="0"/>
    <x v="3530"/>
    <x v="3391"/>
    <x v="2"/>
    <x v="0"/>
  </r>
  <r>
    <s v="ORD03574"/>
    <x v="910"/>
    <x v="2"/>
    <x v="3"/>
    <x v="2"/>
    <x v="3531"/>
    <x v="3392"/>
    <x v="1"/>
    <x v="0"/>
  </r>
  <r>
    <s v="ORD03575"/>
    <x v="3"/>
    <x v="2"/>
    <x v="7"/>
    <x v="0"/>
    <x v="3532"/>
    <x v="3393"/>
    <x v="0"/>
    <x v="0"/>
  </r>
  <r>
    <s v="ORD03576"/>
    <x v="885"/>
    <x v="2"/>
    <x v="8"/>
    <x v="1"/>
    <x v="3533"/>
    <x v="3394"/>
    <x v="0"/>
    <x v="1"/>
  </r>
  <r>
    <s v="ORD03577"/>
    <x v="931"/>
    <x v="3"/>
    <x v="4"/>
    <x v="0"/>
    <x v="3534"/>
    <x v="3395"/>
    <x v="0"/>
    <x v="2"/>
  </r>
  <r>
    <s v="ORD03578"/>
    <x v="891"/>
    <x v="2"/>
    <x v="2"/>
    <x v="1"/>
    <x v="3535"/>
    <x v="3396"/>
    <x v="0"/>
    <x v="3"/>
  </r>
  <r>
    <s v="ORD03579"/>
    <x v="646"/>
    <x v="3"/>
    <x v="2"/>
    <x v="1"/>
    <x v="3536"/>
    <x v="3397"/>
    <x v="0"/>
    <x v="1"/>
  </r>
  <r>
    <s v="ORD03580"/>
    <x v="324"/>
    <x v="0"/>
    <x v="10"/>
    <x v="2"/>
    <x v="3537"/>
    <x v="3398"/>
    <x v="1"/>
    <x v="2"/>
  </r>
  <r>
    <s v="ORD03581"/>
    <x v="302"/>
    <x v="1"/>
    <x v="9"/>
    <x v="0"/>
    <x v="3538"/>
    <x v="3399"/>
    <x v="1"/>
    <x v="3"/>
  </r>
  <r>
    <s v="ORD03582"/>
    <x v="623"/>
    <x v="3"/>
    <x v="8"/>
    <x v="1"/>
    <x v="3539"/>
    <x v="3400"/>
    <x v="0"/>
    <x v="3"/>
  </r>
  <r>
    <s v="ORD03583"/>
    <x v="348"/>
    <x v="3"/>
    <x v="11"/>
    <x v="2"/>
    <x v="3540"/>
    <x v="3401"/>
    <x v="1"/>
    <x v="0"/>
  </r>
  <r>
    <s v="ORD03584"/>
    <x v="768"/>
    <x v="0"/>
    <x v="12"/>
    <x v="2"/>
    <x v="3541"/>
    <x v="3402"/>
    <x v="2"/>
    <x v="3"/>
  </r>
  <r>
    <s v="ORD03585"/>
    <x v="859"/>
    <x v="0"/>
    <x v="2"/>
    <x v="1"/>
    <x v="3542"/>
    <x v="3403"/>
    <x v="0"/>
    <x v="2"/>
  </r>
  <r>
    <s v="ORD03586"/>
    <x v="485"/>
    <x v="3"/>
    <x v="1"/>
    <x v="1"/>
    <x v="3543"/>
    <x v="3404"/>
    <x v="1"/>
    <x v="2"/>
  </r>
  <r>
    <s v="ORD03587"/>
    <x v="1026"/>
    <x v="1"/>
    <x v="12"/>
    <x v="2"/>
    <x v="3544"/>
    <x v="3405"/>
    <x v="0"/>
    <x v="1"/>
  </r>
  <r>
    <s v="ORD03588"/>
    <x v="959"/>
    <x v="3"/>
    <x v="13"/>
    <x v="1"/>
    <x v="3545"/>
    <x v="3406"/>
    <x v="2"/>
    <x v="2"/>
  </r>
  <r>
    <s v="ORD03589"/>
    <x v="40"/>
    <x v="0"/>
    <x v="0"/>
    <x v="0"/>
    <x v="3546"/>
    <x v="3407"/>
    <x v="2"/>
    <x v="3"/>
  </r>
  <r>
    <s v="ORD03590"/>
    <x v="221"/>
    <x v="3"/>
    <x v="8"/>
    <x v="1"/>
    <x v="3547"/>
    <x v="3408"/>
    <x v="2"/>
    <x v="0"/>
  </r>
  <r>
    <s v="ORD03591"/>
    <x v="369"/>
    <x v="3"/>
    <x v="10"/>
    <x v="2"/>
    <x v="3548"/>
    <x v="3409"/>
    <x v="1"/>
    <x v="1"/>
  </r>
  <r>
    <s v="ORD03592"/>
    <x v="93"/>
    <x v="2"/>
    <x v="2"/>
    <x v="1"/>
    <x v="3549"/>
    <x v="3410"/>
    <x v="1"/>
    <x v="0"/>
  </r>
  <r>
    <s v="ORD03593"/>
    <x v="126"/>
    <x v="1"/>
    <x v="14"/>
    <x v="2"/>
    <x v="3550"/>
    <x v="3411"/>
    <x v="1"/>
    <x v="3"/>
  </r>
  <r>
    <s v="ORD03594"/>
    <x v="107"/>
    <x v="1"/>
    <x v="14"/>
    <x v="2"/>
    <x v="3551"/>
    <x v="3412"/>
    <x v="1"/>
    <x v="2"/>
  </r>
  <r>
    <s v="ORD03595"/>
    <x v="553"/>
    <x v="0"/>
    <x v="3"/>
    <x v="2"/>
    <x v="3552"/>
    <x v="3413"/>
    <x v="1"/>
    <x v="0"/>
  </r>
  <r>
    <s v="ORD03596"/>
    <x v="391"/>
    <x v="0"/>
    <x v="6"/>
    <x v="0"/>
    <x v="3553"/>
    <x v="3414"/>
    <x v="2"/>
    <x v="1"/>
  </r>
  <r>
    <s v="ORD03597"/>
    <x v="575"/>
    <x v="3"/>
    <x v="6"/>
    <x v="0"/>
    <x v="3554"/>
    <x v="3415"/>
    <x v="2"/>
    <x v="2"/>
  </r>
  <r>
    <s v="ORD03598"/>
    <x v="64"/>
    <x v="1"/>
    <x v="3"/>
    <x v="2"/>
    <x v="3555"/>
    <x v="3416"/>
    <x v="1"/>
    <x v="1"/>
  </r>
  <r>
    <s v="ORD03599"/>
    <x v="1050"/>
    <x v="1"/>
    <x v="14"/>
    <x v="2"/>
    <x v="3556"/>
    <x v="3417"/>
    <x v="2"/>
    <x v="0"/>
  </r>
  <r>
    <s v="ORD03600"/>
    <x v="282"/>
    <x v="0"/>
    <x v="14"/>
    <x v="2"/>
    <x v="3557"/>
    <x v="3418"/>
    <x v="2"/>
    <x v="2"/>
  </r>
  <r>
    <s v="ORD03601"/>
    <x v="742"/>
    <x v="0"/>
    <x v="2"/>
    <x v="1"/>
    <x v="3558"/>
    <x v="3419"/>
    <x v="2"/>
    <x v="0"/>
  </r>
  <r>
    <s v="ORD03602"/>
    <x v="496"/>
    <x v="1"/>
    <x v="12"/>
    <x v="2"/>
    <x v="3559"/>
    <x v="3420"/>
    <x v="1"/>
    <x v="2"/>
  </r>
  <r>
    <s v="ORD03603"/>
    <x v="53"/>
    <x v="2"/>
    <x v="4"/>
    <x v="0"/>
    <x v="3560"/>
    <x v="3421"/>
    <x v="0"/>
    <x v="1"/>
  </r>
  <r>
    <s v="ORD03604"/>
    <x v="720"/>
    <x v="3"/>
    <x v="5"/>
    <x v="1"/>
    <x v="3561"/>
    <x v="3422"/>
    <x v="0"/>
    <x v="2"/>
  </r>
  <r>
    <s v="ORD03605"/>
    <x v="955"/>
    <x v="0"/>
    <x v="2"/>
    <x v="1"/>
    <x v="3562"/>
    <x v="3423"/>
    <x v="1"/>
    <x v="1"/>
  </r>
  <r>
    <s v="ORD03606"/>
    <x v="485"/>
    <x v="0"/>
    <x v="14"/>
    <x v="2"/>
    <x v="3563"/>
    <x v="3424"/>
    <x v="2"/>
    <x v="1"/>
  </r>
  <r>
    <s v="ORD03607"/>
    <x v="1051"/>
    <x v="2"/>
    <x v="11"/>
    <x v="2"/>
    <x v="3564"/>
    <x v="3425"/>
    <x v="1"/>
    <x v="3"/>
  </r>
  <r>
    <s v="ORD03608"/>
    <x v="278"/>
    <x v="3"/>
    <x v="10"/>
    <x v="2"/>
    <x v="3565"/>
    <x v="3426"/>
    <x v="2"/>
    <x v="1"/>
  </r>
  <r>
    <s v="ORD03609"/>
    <x v="453"/>
    <x v="3"/>
    <x v="0"/>
    <x v="0"/>
    <x v="3566"/>
    <x v="3427"/>
    <x v="1"/>
    <x v="3"/>
  </r>
  <r>
    <s v="ORD03610"/>
    <x v="833"/>
    <x v="2"/>
    <x v="4"/>
    <x v="0"/>
    <x v="3567"/>
    <x v="3428"/>
    <x v="2"/>
    <x v="0"/>
  </r>
  <r>
    <s v="ORD03611"/>
    <x v="241"/>
    <x v="2"/>
    <x v="7"/>
    <x v="0"/>
    <x v="3568"/>
    <x v="3429"/>
    <x v="0"/>
    <x v="0"/>
  </r>
  <r>
    <s v="ORD03612"/>
    <x v="1030"/>
    <x v="3"/>
    <x v="2"/>
    <x v="1"/>
    <x v="3569"/>
    <x v="3430"/>
    <x v="1"/>
    <x v="2"/>
  </r>
  <r>
    <s v="ORD03613"/>
    <x v="811"/>
    <x v="2"/>
    <x v="9"/>
    <x v="0"/>
    <x v="3570"/>
    <x v="3156"/>
    <x v="1"/>
    <x v="2"/>
  </r>
  <r>
    <s v="ORD03614"/>
    <x v="206"/>
    <x v="3"/>
    <x v="12"/>
    <x v="2"/>
    <x v="3571"/>
    <x v="3431"/>
    <x v="2"/>
    <x v="0"/>
  </r>
  <r>
    <s v="ORD03615"/>
    <x v="696"/>
    <x v="2"/>
    <x v="11"/>
    <x v="2"/>
    <x v="3572"/>
    <x v="3432"/>
    <x v="2"/>
    <x v="3"/>
  </r>
  <r>
    <s v="ORD03616"/>
    <x v="502"/>
    <x v="3"/>
    <x v="14"/>
    <x v="2"/>
    <x v="3573"/>
    <x v="3433"/>
    <x v="1"/>
    <x v="1"/>
  </r>
  <r>
    <s v="ORD03617"/>
    <x v="1052"/>
    <x v="3"/>
    <x v="10"/>
    <x v="2"/>
    <x v="2343"/>
    <x v="3434"/>
    <x v="1"/>
    <x v="1"/>
  </r>
  <r>
    <s v="ORD03618"/>
    <x v="544"/>
    <x v="1"/>
    <x v="10"/>
    <x v="2"/>
    <x v="3574"/>
    <x v="3435"/>
    <x v="2"/>
    <x v="0"/>
  </r>
  <r>
    <s v="ORD03619"/>
    <x v="923"/>
    <x v="1"/>
    <x v="0"/>
    <x v="0"/>
    <x v="3575"/>
    <x v="3436"/>
    <x v="1"/>
    <x v="3"/>
  </r>
  <r>
    <s v="ORD03620"/>
    <x v="233"/>
    <x v="1"/>
    <x v="5"/>
    <x v="1"/>
    <x v="3576"/>
    <x v="3437"/>
    <x v="1"/>
    <x v="1"/>
  </r>
  <r>
    <s v="ORD03621"/>
    <x v="390"/>
    <x v="3"/>
    <x v="14"/>
    <x v="2"/>
    <x v="3577"/>
    <x v="3438"/>
    <x v="1"/>
    <x v="2"/>
  </r>
  <r>
    <s v="ORD03622"/>
    <x v="806"/>
    <x v="2"/>
    <x v="6"/>
    <x v="0"/>
    <x v="3578"/>
    <x v="3439"/>
    <x v="0"/>
    <x v="2"/>
  </r>
  <r>
    <s v="ORD03623"/>
    <x v="694"/>
    <x v="2"/>
    <x v="13"/>
    <x v="1"/>
    <x v="3579"/>
    <x v="1263"/>
    <x v="1"/>
    <x v="3"/>
  </r>
  <r>
    <s v="ORD03624"/>
    <x v="106"/>
    <x v="3"/>
    <x v="7"/>
    <x v="0"/>
    <x v="3580"/>
    <x v="3440"/>
    <x v="2"/>
    <x v="3"/>
  </r>
  <r>
    <s v="ORD03625"/>
    <x v="607"/>
    <x v="0"/>
    <x v="2"/>
    <x v="1"/>
    <x v="3581"/>
    <x v="3441"/>
    <x v="0"/>
    <x v="0"/>
  </r>
  <r>
    <s v="ORD03626"/>
    <x v="676"/>
    <x v="2"/>
    <x v="12"/>
    <x v="2"/>
    <x v="3582"/>
    <x v="3442"/>
    <x v="0"/>
    <x v="0"/>
  </r>
  <r>
    <s v="ORD03627"/>
    <x v="973"/>
    <x v="0"/>
    <x v="8"/>
    <x v="1"/>
    <x v="3583"/>
    <x v="2532"/>
    <x v="1"/>
    <x v="3"/>
  </r>
  <r>
    <s v="ORD03628"/>
    <x v="745"/>
    <x v="0"/>
    <x v="1"/>
    <x v="1"/>
    <x v="3584"/>
    <x v="3443"/>
    <x v="0"/>
    <x v="3"/>
  </r>
  <r>
    <s v="ORD03629"/>
    <x v="438"/>
    <x v="0"/>
    <x v="5"/>
    <x v="1"/>
    <x v="3585"/>
    <x v="3444"/>
    <x v="2"/>
    <x v="1"/>
  </r>
  <r>
    <s v="ORD03630"/>
    <x v="904"/>
    <x v="3"/>
    <x v="6"/>
    <x v="0"/>
    <x v="3457"/>
    <x v="3445"/>
    <x v="0"/>
    <x v="3"/>
  </r>
  <r>
    <s v="ORD03631"/>
    <x v="12"/>
    <x v="2"/>
    <x v="11"/>
    <x v="2"/>
    <x v="3586"/>
    <x v="3446"/>
    <x v="2"/>
    <x v="0"/>
  </r>
  <r>
    <s v="ORD03632"/>
    <x v="812"/>
    <x v="1"/>
    <x v="5"/>
    <x v="1"/>
    <x v="3587"/>
    <x v="1360"/>
    <x v="2"/>
    <x v="0"/>
  </r>
  <r>
    <s v="ORD03633"/>
    <x v="541"/>
    <x v="3"/>
    <x v="10"/>
    <x v="2"/>
    <x v="3588"/>
    <x v="3447"/>
    <x v="0"/>
    <x v="1"/>
  </r>
  <r>
    <s v="ORD03634"/>
    <x v="1053"/>
    <x v="0"/>
    <x v="13"/>
    <x v="1"/>
    <x v="3589"/>
    <x v="3448"/>
    <x v="2"/>
    <x v="1"/>
  </r>
  <r>
    <s v="ORD03635"/>
    <x v="949"/>
    <x v="3"/>
    <x v="2"/>
    <x v="1"/>
    <x v="3590"/>
    <x v="3449"/>
    <x v="2"/>
    <x v="3"/>
  </r>
  <r>
    <s v="ORD03636"/>
    <x v="83"/>
    <x v="1"/>
    <x v="12"/>
    <x v="2"/>
    <x v="3591"/>
    <x v="3450"/>
    <x v="0"/>
    <x v="0"/>
  </r>
  <r>
    <s v="ORD03637"/>
    <x v="321"/>
    <x v="3"/>
    <x v="8"/>
    <x v="1"/>
    <x v="3592"/>
    <x v="3451"/>
    <x v="2"/>
    <x v="1"/>
  </r>
  <r>
    <s v="ORD03638"/>
    <x v="953"/>
    <x v="1"/>
    <x v="10"/>
    <x v="2"/>
    <x v="3593"/>
    <x v="3452"/>
    <x v="0"/>
    <x v="0"/>
  </r>
  <r>
    <s v="ORD03639"/>
    <x v="131"/>
    <x v="0"/>
    <x v="14"/>
    <x v="2"/>
    <x v="3594"/>
    <x v="3453"/>
    <x v="0"/>
    <x v="2"/>
  </r>
  <r>
    <s v="ORD03640"/>
    <x v="388"/>
    <x v="1"/>
    <x v="3"/>
    <x v="2"/>
    <x v="3595"/>
    <x v="3454"/>
    <x v="1"/>
    <x v="3"/>
  </r>
  <r>
    <s v="ORD03641"/>
    <x v="452"/>
    <x v="2"/>
    <x v="14"/>
    <x v="2"/>
    <x v="3596"/>
    <x v="3455"/>
    <x v="0"/>
    <x v="2"/>
  </r>
  <r>
    <s v="ORD03642"/>
    <x v="577"/>
    <x v="0"/>
    <x v="12"/>
    <x v="2"/>
    <x v="3597"/>
    <x v="3456"/>
    <x v="1"/>
    <x v="1"/>
  </r>
  <r>
    <s v="ORD03643"/>
    <x v="952"/>
    <x v="2"/>
    <x v="5"/>
    <x v="1"/>
    <x v="1127"/>
    <x v="3457"/>
    <x v="2"/>
    <x v="1"/>
  </r>
  <r>
    <s v="ORD03644"/>
    <x v="428"/>
    <x v="3"/>
    <x v="13"/>
    <x v="1"/>
    <x v="3598"/>
    <x v="1723"/>
    <x v="2"/>
    <x v="0"/>
  </r>
  <r>
    <s v="ORD03645"/>
    <x v="306"/>
    <x v="1"/>
    <x v="2"/>
    <x v="1"/>
    <x v="3599"/>
    <x v="3458"/>
    <x v="2"/>
    <x v="0"/>
  </r>
  <r>
    <s v="ORD03646"/>
    <x v="30"/>
    <x v="2"/>
    <x v="9"/>
    <x v="0"/>
    <x v="3600"/>
    <x v="3459"/>
    <x v="2"/>
    <x v="0"/>
  </r>
  <r>
    <s v="ORD03647"/>
    <x v="70"/>
    <x v="3"/>
    <x v="8"/>
    <x v="1"/>
    <x v="3601"/>
    <x v="3460"/>
    <x v="1"/>
    <x v="2"/>
  </r>
  <r>
    <s v="ORD03648"/>
    <x v="746"/>
    <x v="2"/>
    <x v="1"/>
    <x v="1"/>
    <x v="3602"/>
    <x v="3461"/>
    <x v="2"/>
    <x v="2"/>
  </r>
  <r>
    <s v="ORD03649"/>
    <x v="800"/>
    <x v="0"/>
    <x v="10"/>
    <x v="2"/>
    <x v="3603"/>
    <x v="3462"/>
    <x v="1"/>
    <x v="0"/>
  </r>
  <r>
    <s v="ORD03650"/>
    <x v="564"/>
    <x v="2"/>
    <x v="4"/>
    <x v="0"/>
    <x v="3604"/>
    <x v="3463"/>
    <x v="2"/>
    <x v="3"/>
  </r>
  <r>
    <s v="ORD03651"/>
    <x v="884"/>
    <x v="1"/>
    <x v="2"/>
    <x v="1"/>
    <x v="3605"/>
    <x v="3464"/>
    <x v="1"/>
    <x v="3"/>
  </r>
  <r>
    <s v="ORD03652"/>
    <x v="817"/>
    <x v="1"/>
    <x v="11"/>
    <x v="2"/>
    <x v="3606"/>
    <x v="3465"/>
    <x v="1"/>
    <x v="1"/>
  </r>
  <r>
    <s v="ORD03653"/>
    <x v="691"/>
    <x v="2"/>
    <x v="7"/>
    <x v="0"/>
    <x v="3607"/>
    <x v="3466"/>
    <x v="0"/>
    <x v="2"/>
  </r>
  <r>
    <s v="ORD03654"/>
    <x v="484"/>
    <x v="0"/>
    <x v="8"/>
    <x v="1"/>
    <x v="3608"/>
    <x v="3467"/>
    <x v="0"/>
    <x v="1"/>
  </r>
  <r>
    <s v="ORD03655"/>
    <x v="506"/>
    <x v="0"/>
    <x v="7"/>
    <x v="0"/>
    <x v="3609"/>
    <x v="3468"/>
    <x v="1"/>
    <x v="1"/>
  </r>
  <r>
    <s v="ORD03656"/>
    <x v="435"/>
    <x v="2"/>
    <x v="13"/>
    <x v="1"/>
    <x v="3610"/>
    <x v="3469"/>
    <x v="2"/>
    <x v="0"/>
  </r>
  <r>
    <s v="ORD03657"/>
    <x v="11"/>
    <x v="0"/>
    <x v="8"/>
    <x v="1"/>
    <x v="3611"/>
    <x v="3470"/>
    <x v="0"/>
    <x v="0"/>
  </r>
  <r>
    <s v="ORD03658"/>
    <x v="786"/>
    <x v="0"/>
    <x v="9"/>
    <x v="0"/>
    <x v="3612"/>
    <x v="3471"/>
    <x v="0"/>
    <x v="0"/>
  </r>
  <r>
    <s v="ORD03659"/>
    <x v="201"/>
    <x v="0"/>
    <x v="0"/>
    <x v="0"/>
    <x v="3613"/>
    <x v="3472"/>
    <x v="2"/>
    <x v="0"/>
  </r>
  <r>
    <s v="ORD03660"/>
    <x v="648"/>
    <x v="3"/>
    <x v="8"/>
    <x v="1"/>
    <x v="3614"/>
    <x v="3473"/>
    <x v="0"/>
    <x v="3"/>
  </r>
  <r>
    <s v="ORD03661"/>
    <x v="423"/>
    <x v="0"/>
    <x v="14"/>
    <x v="2"/>
    <x v="3615"/>
    <x v="984"/>
    <x v="2"/>
    <x v="0"/>
  </r>
  <r>
    <s v="ORD03662"/>
    <x v="486"/>
    <x v="0"/>
    <x v="7"/>
    <x v="0"/>
    <x v="3616"/>
    <x v="3474"/>
    <x v="1"/>
    <x v="3"/>
  </r>
  <r>
    <s v="ORD03663"/>
    <x v="842"/>
    <x v="3"/>
    <x v="2"/>
    <x v="1"/>
    <x v="3617"/>
    <x v="2056"/>
    <x v="2"/>
    <x v="1"/>
  </r>
  <r>
    <s v="ORD03664"/>
    <x v="511"/>
    <x v="1"/>
    <x v="12"/>
    <x v="2"/>
    <x v="3618"/>
    <x v="3475"/>
    <x v="1"/>
    <x v="1"/>
  </r>
  <r>
    <s v="ORD03665"/>
    <x v="911"/>
    <x v="1"/>
    <x v="13"/>
    <x v="1"/>
    <x v="3619"/>
    <x v="3476"/>
    <x v="1"/>
    <x v="1"/>
  </r>
  <r>
    <s v="ORD03666"/>
    <x v="425"/>
    <x v="1"/>
    <x v="12"/>
    <x v="2"/>
    <x v="3620"/>
    <x v="3477"/>
    <x v="1"/>
    <x v="1"/>
  </r>
  <r>
    <s v="ORD03667"/>
    <x v="889"/>
    <x v="1"/>
    <x v="14"/>
    <x v="2"/>
    <x v="3621"/>
    <x v="3478"/>
    <x v="1"/>
    <x v="0"/>
  </r>
  <r>
    <s v="ORD03668"/>
    <x v="27"/>
    <x v="0"/>
    <x v="11"/>
    <x v="2"/>
    <x v="3622"/>
    <x v="3479"/>
    <x v="1"/>
    <x v="3"/>
  </r>
  <r>
    <s v="ORD03669"/>
    <x v="678"/>
    <x v="0"/>
    <x v="10"/>
    <x v="2"/>
    <x v="3623"/>
    <x v="3480"/>
    <x v="2"/>
    <x v="0"/>
  </r>
  <r>
    <s v="ORD03670"/>
    <x v="198"/>
    <x v="0"/>
    <x v="9"/>
    <x v="0"/>
    <x v="3624"/>
    <x v="3481"/>
    <x v="0"/>
    <x v="2"/>
  </r>
  <r>
    <s v="ORD03671"/>
    <x v="463"/>
    <x v="3"/>
    <x v="14"/>
    <x v="2"/>
    <x v="3625"/>
    <x v="3482"/>
    <x v="2"/>
    <x v="2"/>
  </r>
  <r>
    <s v="ORD03672"/>
    <x v="123"/>
    <x v="0"/>
    <x v="14"/>
    <x v="2"/>
    <x v="3626"/>
    <x v="3483"/>
    <x v="1"/>
    <x v="0"/>
  </r>
  <r>
    <s v="ORD03673"/>
    <x v="448"/>
    <x v="3"/>
    <x v="0"/>
    <x v="0"/>
    <x v="3627"/>
    <x v="3484"/>
    <x v="0"/>
    <x v="0"/>
  </r>
  <r>
    <s v="ORD03674"/>
    <x v="153"/>
    <x v="0"/>
    <x v="4"/>
    <x v="0"/>
    <x v="3628"/>
    <x v="3485"/>
    <x v="0"/>
    <x v="0"/>
  </r>
  <r>
    <s v="ORD03675"/>
    <x v="688"/>
    <x v="3"/>
    <x v="4"/>
    <x v="0"/>
    <x v="3629"/>
    <x v="3486"/>
    <x v="2"/>
    <x v="1"/>
  </r>
  <r>
    <s v="ORD03676"/>
    <x v="73"/>
    <x v="0"/>
    <x v="6"/>
    <x v="0"/>
    <x v="3630"/>
    <x v="3487"/>
    <x v="1"/>
    <x v="2"/>
  </r>
  <r>
    <s v="ORD03677"/>
    <x v="282"/>
    <x v="1"/>
    <x v="4"/>
    <x v="0"/>
    <x v="3631"/>
    <x v="3488"/>
    <x v="1"/>
    <x v="1"/>
  </r>
  <r>
    <s v="ORD03678"/>
    <x v="1054"/>
    <x v="1"/>
    <x v="10"/>
    <x v="2"/>
    <x v="3632"/>
    <x v="3489"/>
    <x v="0"/>
    <x v="1"/>
  </r>
  <r>
    <s v="ORD03679"/>
    <x v="638"/>
    <x v="2"/>
    <x v="12"/>
    <x v="2"/>
    <x v="3633"/>
    <x v="3490"/>
    <x v="1"/>
    <x v="0"/>
  </r>
  <r>
    <s v="ORD03680"/>
    <x v="936"/>
    <x v="1"/>
    <x v="13"/>
    <x v="1"/>
    <x v="3634"/>
    <x v="3491"/>
    <x v="2"/>
    <x v="0"/>
  </r>
  <r>
    <s v="ORD03681"/>
    <x v="213"/>
    <x v="0"/>
    <x v="0"/>
    <x v="0"/>
    <x v="3635"/>
    <x v="3492"/>
    <x v="0"/>
    <x v="2"/>
  </r>
  <r>
    <s v="ORD03682"/>
    <x v="729"/>
    <x v="2"/>
    <x v="2"/>
    <x v="1"/>
    <x v="3636"/>
    <x v="3493"/>
    <x v="1"/>
    <x v="0"/>
  </r>
  <r>
    <s v="ORD03683"/>
    <x v="965"/>
    <x v="2"/>
    <x v="13"/>
    <x v="1"/>
    <x v="3637"/>
    <x v="3494"/>
    <x v="0"/>
    <x v="2"/>
  </r>
  <r>
    <s v="ORD03684"/>
    <x v="418"/>
    <x v="3"/>
    <x v="5"/>
    <x v="1"/>
    <x v="3638"/>
    <x v="3495"/>
    <x v="2"/>
    <x v="1"/>
  </r>
  <r>
    <s v="ORD03685"/>
    <x v="599"/>
    <x v="2"/>
    <x v="4"/>
    <x v="0"/>
    <x v="3639"/>
    <x v="3496"/>
    <x v="2"/>
    <x v="2"/>
  </r>
  <r>
    <s v="ORD03686"/>
    <x v="84"/>
    <x v="1"/>
    <x v="1"/>
    <x v="1"/>
    <x v="3640"/>
    <x v="3497"/>
    <x v="2"/>
    <x v="3"/>
  </r>
  <r>
    <s v="ORD03687"/>
    <x v="522"/>
    <x v="2"/>
    <x v="8"/>
    <x v="1"/>
    <x v="3641"/>
    <x v="3498"/>
    <x v="2"/>
    <x v="1"/>
  </r>
  <r>
    <s v="ORD03688"/>
    <x v="767"/>
    <x v="0"/>
    <x v="1"/>
    <x v="1"/>
    <x v="3642"/>
    <x v="3499"/>
    <x v="2"/>
    <x v="1"/>
  </r>
  <r>
    <s v="ORD03689"/>
    <x v="560"/>
    <x v="0"/>
    <x v="8"/>
    <x v="1"/>
    <x v="3643"/>
    <x v="3500"/>
    <x v="2"/>
    <x v="2"/>
  </r>
  <r>
    <s v="ORD03690"/>
    <x v="753"/>
    <x v="1"/>
    <x v="10"/>
    <x v="2"/>
    <x v="3644"/>
    <x v="3501"/>
    <x v="0"/>
    <x v="1"/>
  </r>
  <r>
    <s v="ORD03691"/>
    <x v="470"/>
    <x v="1"/>
    <x v="8"/>
    <x v="1"/>
    <x v="3645"/>
    <x v="3502"/>
    <x v="1"/>
    <x v="2"/>
  </r>
  <r>
    <s v="ORD03692"/>
    <x v="10"/>
    <x v="0"/>
    <x v="13"/>
    <x v="1"/>
    <x v="3646"/>
    <x v="3503"/>
    <x v="1"/>
    <x v="0"/>
  </r>
  <r>
    <s v="ORD03693"/>
    <x v="185"/>
    <x v="0"/>
    <x v="2"/>
    <x v="1"/>
    <x v="3647"/>
    <x v="3504"/>
    <x v="1"/>
    <x v="2"/>
  </r>
  <r>
    <s v="ORD03694"/>
    <x v="800"/>
    <x v="1"/>
    <x v="6"/>
    <x v="0"/>
    <x v="3648"/>
    <x v="3505"/>
    <x v="1"/>
    <x v="0"/>
  </r>
  <r>
    <s v="ORD03695"/>
    <x v="775"/>
    <x v="0"/>
    <x v="10"/>
    <x v="2"/>
    <x v="3649"/>
    <x v="3506"/>
    <x v="2"/>
    <x v="2"/>
  </r>
  <r>
    <s v="ORD03696"/>
    <x v="623"/>
    <x v="0"/>
    <x v="5"/>
    <x v="1"/>
    <x v="3650"/>
    <x v="3507"/>
    <x v="0"/>
    <x v="0"/>
  </r>
  <r>
    <s v="ORD03697"/>
    <x v="72"/>
    <x v="2"/>
    <x v="12"/>
    <x v="2"/>
    <x v="3651"/>
    <x v="3508"/>
    <x v="2"/>
    <x v="3"/>
  </r>
  <r>
    <s v="ORD03698"/>
    <x v="19"/>
    <x v="3"/>
    <x v="2"/>
    <x v="1"/>
    <x v="3652"/>
    <x v="2446"/>
    <x v="0"/>
    <x v="1"/>
  </r>
  <r>
    <s v="ORD03699"/>
    <x v="204"/>
    <x v="2"/>
    <x v="4"/>
    <x v="0"/>
    <x v="3653"/>
    <x v="3509"/>
    <x v="2"/>
    <x v="3"/>
  </r>
  <r>
    <s v="ORD03700"/>
    <x v="684"/>
    <x v="3"/>
    <x v="4"/>
    <x v="0"/>
    <x v="3654"/>
    <x v="3510"/>
    <x v="0"/>
    <x v="0"/>
  </r>
  <r>
    <s v="ORD03701"/>
    <x v="627"/>
    <x v="2"/>
    <x v="5"/>
    <x v="1"/>
    <x v="3655"/>
    <x v="3511"/>
    <x v="2"/>
    <x v="2"/>
  </r>
  <r>
    <s v="ORD03702"/>
    <x v="148"/>
    <x v="0"/>
    <x v="12"/>
    <x v="2"/>
    <x v="3656"/>
    <x v="253"/>
    <x v="0"/>
    <x v="3"/>
  </r>
  <r>
    <s v="ORD03703"/>
    <x v="284"/>
    <x v="1"/>
    <x v="6"/>
    <x v="0"/>
    <x v="3657"/>
    <x v="3512"/>
    <x v="0"/>
    <x v="0"/>
  </r>
  <r>
    <s v="ORD03704"/>
    <x v="1052"/>
    <x v="3"/>
    <x v="7"/>
    <x v="0"/>
    <x v="3658"/>
    <x v="3513"/>
    <x v="0"/>
    <x v="0"/>
  </r>
  <r>
    <s v="ORD03705"/>
    <x v="177"/>
    <x v="3"/>
    <x v="6"/>
    <x v="0"/>
    <x v="3659"/>
    <x v="3514"/>
    <x v="1"/>
    <x v="2"/>
  </r>
  <r>
    <s v="ORD03706"/>
    <x v="602"/>
    <x v="0"/>
    <x v="5"/>
    <x v="1"/>
    <x v="3660"/>
    <x v="3515"/>
    <x v="2"/>
    <x v="0"/>
  </r>
  <r>
    <s v="ORD03707"/>
    <x v="538"/>
    <x v="2"/>
    <x v="1"/>
    <x v="1"/>
    <x v="3661"/>
    <x v="3516"/>
    <x v="1"/>
    <x v="1"/>
  </r>
  <r>
    <s v="ORD03708"/>
    <x v="551"/>
    <x v="2"/>
    <x v="4"/>
    <x v="0"/>
    <x v="3662"/>
    <x v="3517"/>
    <x v="0"/>
    <x v="3"/>
  </r>
  <r>
    <s v="ORD03709"/>
    <x v="562"/>
    <x v="1"/>
    <x v="12"/>
    <x v="2"/>
    <x v="3663"/>
    <x v="1733"/>
    <x v="1"/>
    <x v="2"/>
  </r>
  <r>
    <s v="ORD03710"/>
    <x v="1"/>
    <x v="1"/>
    <x v="8"/>
    <x v="1"/>
    <x v="3664"/>
    <x v="3518"/>
    <x v="0"/>
    <x v="2"/>
  </r>
  <r>
    <s v="ORD03711"/>
    <x v="255"/>
    <x v="2"/>
    <x v="0"/>
    <x v="0"/>
    <x v="3665"/>
    <x v="3519"/>
    <x v="1"/>
    <x v="3"/>
  </r>
  <r>
    <s v="ORD03712"/>
    <x v="31"/>
    <x v="2"/>
    <x v="12"/>
    <x v="2"/>
    <x v="3666"/>
    <x v="3520"/>
    <x v="0"/>
    <x v="2"/>
  </r>
  <r>
    <s v="ORD03713"/>
    <x v="874"/>
    <x v="3"/>
    <x v="12"/>
    <x v="2"/>
    <x v="3667"/>
    <x v="3521"/>
    <x v="1"/>
    <x v="0"/>
  </r>
  <r>
    <s v="ORD03714"/>
    <x v="296"/>
    <x v="2"/>
    <x v="2"/>
    <x v="1"/>
    <x v="3668"/>
    <x v="3522"/>
    <x v="1"/>
    <x v="0"/>
  </r>
  <r>
    <s v="ORD03715"/>
    <x v="154"/>
    <x v="0"/>
    <x v="0"/>
    <x v="0"/>
    <x v="3669"/>
    <x v="422"/>
    <x v="2"/>
    <x v="2"/>
  </r>
  <r>
    <s v="ORD03716"/>
    <x v="611"/>
    <x v="3"/>
    <x v="6"/>
    <x v="0"/>
    <x v="3670"/>
    <x v="3523"/>
    <x v="1"/>
    <x v="1"/>
  </r>
  <r>
    <s v="ORD03717"/>
    <x v="477"/>
    <x v="2"/>
    <x v="13"/>
    <x v="1"/>
    <x v="3671"/>
    <x v="3524"/>
    <x v="0"/>
    <x v="1"/>
  </r>
  <r>
    <s v="ORD03718"/>
    <x v="608"/>
    <x v="3"/>
    <x v="11"/>
    <x v="2"/>
    <x v="3672"/>
    <x v="3525"/>
    <x v="1"/>
    <x v="2"/>
  </r>
  <r>
    <s v="ORD03719"/>
    <x v="975"/>
    <x v="2"/>
    <x v="12"/>
    <x v="2"/>
    <x v="3673"/>
    <x v="3526"/>
    <x v="1"/>
    <x v="0"/>
  </r>
  <r>
    <s v="ORD03720"/>
    <x v="858"/>
    <x v="0"/>
    <x v="8"/>
    <x v="1"/>
    <x v="3674"/>
    <x v="3527"/>
    <x v="1"/>
    <x v="2"/>
  </r>
  <r>
    <s v="ORD03721"/>
    <x v="918"/>
    <x v="0"/>
    <x v="3"/>
    <x v="2"/>
    <x v="3675"/>
    <x v="3528"/>
    <x v="2"/>
    <x v="0"/>
  </r>
  <r>
    <s v="ORD03722"/>
    <x v="127"/>
    <x v="0"/>
    <x v="3"/>
    <x v="2"/>
    <x v="3676"/>
    <x v="3529"/>
    <x v="0"/>
    <x v="3"/>
  </r>
  <r>
    <s v="ORD03723"/>
    <x v="1055"/>
    <x v="2"/>
    <x v="11"/>
    <x v="2"/>
    <x v="3677"/>
    <x v="3530"/>
    <x v="1"/>
    <x v="0"/>
  </r>
  <r>
    <s v="ORD03724"/>
    <x v="709"/>
    <x v="1"/>
    <x v="10"/>
    <x v="2"/>
    <x v="3678"/>
    <x v="3531"/>
    <x v="2"/>
    <x v="0"/>
  </r>
  <r>
    <s v="ORD03725"/>
    <x v="442"/>
    <x v="1"/>
    <x v="13"/>
    <x v="1"/>
    <x v="3679"/>
    <x v="3532"/>
    <x v="2"/>
    <x v="2"/>
  </r>
  <r>
    <s v="ORD03726"/>
    <x v="690"/>
    <x v="3"/>
    <x v="14"/>
    <x v="2"/>
    <x v="3680"/>
    <x v="3533"/>
    <x v="2"/>
    <x v="2"/>
  </r>
  <r>
    <s v="ORD03727"/>
    <x v="343"/>
    <x v="3"/>
    <x v="7"/>
    <x v="0"/>
    <x v="3681"/>
    <x v="2752"/>
    <x v="1"/>
    <x v="0"/>
  </r>
  <r>
    <s v="ORD03728"/>
    <x v="26"/>
    <x v="1"/>
    <x v="8"/>
    <x v="1"/>
    <x v="3682"/>
    <x v="3534"/>
    <x v="0"/>
    <x v="3"/>
  </r>
  <r>
    <s v="ORD03729"/>
    <x v="610"/>
    <x v="3"/>
    <x v="4"/>
    <x v="0"/>
    <x v="3683"/>
    <x v="3535"/>
    <x v="1"/>
    <x v="1"/>
  </r>
  <r>
    <s v="ORD03730"/>
    <x v="596"/>
    <x v="3"/>
    <x v="14"/>
    <x v="2"/>
    <x v="3684"/>
    <x v="3536"/>
    <x v="2"/>
    <x v="1"/>
  </r>
  <r>
    <s v="ORD03731"/>
    <x v="1017"/>
    <x v="0"/>
    <x v="0"/>
    <x v="0"/>
    <x v="3685"/>
    <x v="3537"/>
    <x v="1"/>
    <x v="1"/>
  </r>
  <r>
    <s v="ORD03732"/>
    <x v="668"/>
    <x v="3"/>
    <x v="7"/>
    <x v="0"/>
    <x v="3686"/>
    <x v="3538"/>
    <x v="0"/>
    <x v="2"/>
  </r>
  <r>
    <s v="ORD03733"/>
    <x v="81"/>
    <x v="0"/>
    <x v="12"/>
    <x v="2"/>
    <x v="3687"/>
    <x v="3539"/>
    <x v="1"/>
    <x v="1"/>
  </r>
  <r>
    <s v="ORD03734"/>
    <x v="643"/>
    <x v="0"/>
    <x v="4"/>
    <x v="0"/>
    <x v="3688"/>
    <x v="3540"/>
    <x v="0"/>
    <x v="0"/>
  </r>
  <r>
    <s v="ORD03735"/>
    <x v="43"/>
    <x v="0"/>
    <x v="8"/>
    <x v="1"/>
    <x v="3689"/>
    <x v="3541"/>
    <x v="0"/>
    <x v="0"/>
  </r>
  <r>
    <s v="ORD03736"/>
    <x v="600"/>
    <x v="0"/>
    <x v="4"/>
    <x v="0"/>
    <x v="3690"/>
    <x v="3382"/>
    <x v="0"/>
    <x v="1"/>
  </r>
  <r>
    <s v="ORD03737"/>
    <x v="493"/>
    <x v="3"/>
    <x v="9"/>
    <x v="0"/>
    <x v="3691"/>
    <x v="3542"/>
    <x v="1"/>
    <x v="3"/>
  </r>
  <r>
    <s v="ORD03738"/>
    <x v="762"/>
    <x v="0"/>
    <x v="6"/>
    <x v="0"/>
    <x v="3692"/>
    <x v="3543"/>
    <x v="0"/>
    <x v="1"/>
  </r>
  <r>
    <s v="ORD03739"/>
    <x v="220"/>
    <x v="2"/>
    <x v="5"/>
    <x v="1"/>
    <x v="3693"/>
    <x v="3544"/>
    <x v="0"/>
    <x v="0"/>
  </r>
  <r>
    <s v="ORD03740"/>
    <x v="348"/>
    <x v="1"/>
    <x v="7"/>
    <x v="0"/>
    <x v="3694"/>
    <x v="3545"/>
    <x v="0"/>
    <x v="1"/>
  </r>
  <r>
    <s v="ORD03741"/>
    <x v="97"/>
    <x v="2"/>
    <x v="5"/>
    <x v="1"/>
    <x v="3695"/>
    <x v="3546"/>
    <x v="2"/>
    <x v="1"/>
  </r>
  <r>
    <s v="ORD03742"/>
    <x v="18"/>
    <x v="3"/>
    <x v="11"/>
    <x v="2"/>
    <x v="3696"/>
    <x v="1598"/>
    <x v="2"/>
    <x v="3"/>
  </r>
  <r>
    <s v="ORD03743"/>
    <x v="321"/>
    <x v="3"/>
    <x v="4"/>
    <x v="0"/>
    <x v="3697"/>
    <x v="3547"/>
    <x v="0"/>
    <x v="0"/>
  </r>
  <r>
    <s v="ORD03744"/>
    <x v="468"/>
    <x v="3"/>
    <x v="14"/>
    <x v="2"/>
    <x v="3698"/>
    <x v="3548"/>
    <x v="2"/>
    <x v="0"/>
  </r>
  <r>
    <s v="ORD03745"/>
    <x v="308"/>
    <x v="3"/>
    <x v="9"/>
    <x v="0"/>
    <x v="3699"/>
    <x v="3549"/>
    <x v="2"/>
    <x v="1"/>
  </r>
  <r>
    <s v="ORD03746"/>
    <x v="1012"/>
    <x v="0"/>
    <x v="0"/>
    <x v="0"/>
    <x v="3700"/>
    <x v="3550"/>
    <x v="2"/>
    <x v="0"/>
  </r>
  <r>
    <s v="ORD03747"/>
    <x v="112"/>
    <x v="1"/>
    <x v="0"/>
    <x v="0"/>
    <x v="3701"/>
    <x v="3551"/>
    <x v="1"/>
    <x v="1"/>
  </r>
  <r>
    <s v="ORD03748"/>
    <x v="782"/>
    <x v="3"/>
    <x v="12"/>
    <x v="2"/>
    <x v="3702"/>
    <x v="3552"/>
    <x v="1"/>
    <x v="0"/>
  </r>
  <r>
    <s v="ORD03749"/>
    <x v="688"/>
    <x v="1"/>
    <x v="11"/>
    <x v="2"/>
    <x v="3703"/>
    <x v="3553"/>
    <x v="1"/>
    <x v="3"/>
  </r>
  <r>
    <s v="ORD03750"/>
    <x v="801"/>
    <x v="0"/>
    <x v="7"/>
    <x v="0"/>
    <x v="2102"/>
    <x v="3554"/>
    <x v="1"/>
    <x v="0"/>
  </r>
  <r>
    <s v="ORD03751"/>
    <x v="776"/>
    <x v="2"/>
    <x v="10"/>
    <x v="2"/>
    <x v="3704"/>
    <x v="3555"/>
    <x v="2"/>
    <x v="0"/>
  </r>
  <r>
    <s v="ORD03752"/>
    <x v="1046"/>
    <x v="1"/>
    <x v="4"/>
    <x v="0"/>
    <x v="3705"/>
    <x v="3556"/>
    <x v="0"/>
    <x v="2"/>
  </r>
  <r>
    <s v="ORD03753"/>
    <x v="960"/>
    <x v="2"/>
    <x v="1"/>
    <x v="1"/>
    <x v="3706"/>
    <x v="3557"/>
    <x v="0"/>
    <x v="1"/>
  </r>
  <r>
    <s v="ORD03754"/>
    <x v="919"/>
    <x v="0"/>
    <x v="12"/>
    <x v="2"/>
    <x v="1628"/>
    <x v="3558"/>
    <x v="0"/>
    <x v="0"/>
  </r>
  <r>
    <s v="ORD03755"/>
    <x v="362"/>
    <x v="1"/>
    <x v="12"/>
    <x v="2"/>
    <x v="3707"/>
    <x v="3559"/>
    <x v="0"/>
    <x v="3"/>
  </r>
  <r>
    <s v="ORD03756"/>
    <x v="227"/>
    <x v="1"/>
    <x v="9"/>
    <x v="0"/>
    <x v="3708"/>
    <x v="3560"/>
    <x v="2"/>
    <x v="0"/>
  </r>
  <r>
    <s v="ORD03757"/>
    <x v="414"/>
    <x v="2"/>
    <x v="14"/>
    <x v="2"/>
    <x v="3709"/>
    <x v="3561"/>
    <x v="1"/>
    <x v="0"/>
  </r>
  <r>
    <s v="ORD03758"/>
    <x v="1056"/>
    <x v="2"/>
    <x v="1"/>
    <x v="1"/>
    <x v="2154"/>
    <x v="3562"/>
    <x v="2"/>
    <x v="1"/>
  </r>
  <r>
    <s v="ORD03759"/>
    <x v="415"/>
    <x v="3"/>
    <x v="10"/>
    <x v="2"/>
    <x v="3710"/>
    <x v="3563"/>
    <x v="0"/>
    <x v="2"/>
  </r>
  <r>
    <s v="ORD03760"/>
    <x v="400"/>
    <x v="3"/>
    <x v="1"/>
    <x v="1"/>
    <x v="3711"/>
    <x v="3564"/>
    <x v="2"/>
    <x v="0"/>
  </r>
  <r>
    <s v="ORD03761"/>
    <x v="481"/>
    <x v="0"/>
    <x v="11"/>
    <x v="2"/>
    <x v="3712"/>
    <x v="3565"/>
    <x v="1"/>
    <x v="2"/>
  </r>
  <r>
    <s v="ORD03762"/>
    <x v="439"/>
    <x v="2"/>
    <x v="11"/>
    <x v="2"/>
    <x v="3713"/>
    <x v="3566"/>
    <x v="1"/>
    <x v="3"/>
  </r>
  <r>
    <s v="ORD03763"/>
    <x v="101"/>
    <x v="1"/>
    <x v="6"/>
    <x v="0"/>
    <x v="3714"/>
    <x v="3567"/>
    <x v="1"/>
    <x v="0"/>
  </r>
  <r>
    <s v="ORD03764"/>
    <x v="31"/>
    <x v="2"/>
    <x v="7"/>
    <x v="0"/>
    <x v="3715"/>
    <x v="3568"/>
    <x v="1"/>
    <x v="2"/>
  </r>
  <r>
    <s v="ORD03765"/>
    <x v="561"/>
    <x v="1"/>
    <x v="1"/>
    <x v="1"/>
    <x v="3716"/>
    <x v="3569"/>
    <x v="2"/>
    <x v="1"/>
  </r>
  <r>
    <s v="ORD03766"/>
    <x v="624"/>
    <x v="3"/>
    <x v="8"/>
    <x v="1"/>
    <x v="3717"/>
    <x v="3570"/>
    <x v="2"/>
    <x v="1"/>
  </r>
  <r>
    <s v="ORD03767"/>
    <x v="806"/>
    <x v="3"/>
    <x v="6"/>
    <x v="0"/>
    <x v="3718"/>
    <x v="3571"/>
    <x v="0"/>
    <x v="1"/>
  </r>
  <r>
    <s v="ORD03768"/>
    <x v="1012"/>
    <x v="3"/>
    <x v="0"/>
    <x v="0"/>
    <x v="3719"/>
    <x v="3572"/>
    <x v="0"/>
    <x v="1"/>
  </r>
  <r>
    <s v="ORD03769"/>
    <x v="793"/>
    <x v="0"/>
    <x v="2"/>
    <x v="1"/>
    <x v="3720"/>
    <x v="3573"/>
    <x v="1"/>
    <x v="0"/>
  </r>
  <r>
    <s v="ORD03770"/>
    <x v="117"/>
    <x v="0"/>
    <x v="2"/>
    <x v="1"/>
    <x v="3721"/>
    <x v="3574"/>
    <x v="0"/>
    <x v="2"/>
  </r>
  <r>
    <s v="ORD03771"/>
    <x v="46"/>
    <x v="1"/>
    <x v="11"/>
    <x v="2"/>
    <x v="3722"/>
    <x v="3575"/>
    <x v="2"/>
    <x v="2"/>
  </r>
  <r>
    <s v="ORD03772"/>
    <x v="533"/>
    <x v="1"/>
    <x v="5"/>
    <x v="1"/>
    <x v="3723"/>
    <x v="3576"/>
    <x v="2"/>
    <x v="3"/>
  </r>
  <r>
    <s v="ORD03773"/>
    <x v="465"/>
    <x v="3"/>
    <x v="10"/>
    <x v="2"/>
    <x v="3724"/>
    <x v="3577"/>
    <x v="1"/>
    <x v="3"/>
  </r>
  <r>
    <s v="ORD03774"/>
    <x v="515"/>
    <x v="3"/>
    <x v="14"/>
    <x v="2"/>
    <x v="3725"/>
    <x v="3578"/>
    <x v="2"/>
    <x v="2"/>
  </r>
  <r>
    <s v="ORD03775"/>
    <x v="481"/>
    <x v="2"/>
    <x v="3"/>
    <x v="2"/>
    <x v="3726"/>
    <x v="617"/>
    <x v="1"/>
    <x v="1"/>
  </r>
  <r>
    <s v="ORD03776"/>
    <x v="380"/>
    <x v="0"/>
    <x v="13"/>
    <x v="1"/>
    <x v="3727"/>
    <x v="3579"/>
    <x v="2"/>
    <x v="3"/>
  </r>
  <r>
    <s v="ORD03777"/>
    <x v="905"/>
    <x v="3"/>
    <x v="8"/>
    <x v="1"/>
    <x v="3728"/>
    <x v="3580"/>
    <x v="2"/>
    <x v="1"/>
  </r>
  <r>
    <s v="ORD03778"/>
    <x v="744"/>
    <x v="3"/>
    <x v="6"/>
    <x v="0"/>
    <x v="3729"/>
    <x v="3581"/>
    <x v="0"/>
    <x v="0"/>
  </r>
  <r>
    <s v="ORD03779"/>
    <x v="276"/>
    <x v="3"/>
    <x v="1"/>
    <x v="1"/>
    <x v="3730"/>
    <x v="3582"/>
    <x v="1"/>
    <x v="2"/>
  </r>
  <r>
    <s v="ORD03780"/>
    <x v="217"/>
    <x v="2"/>
    <x v="14"/>
    <x v="2"/>
    <x v="3731"/>
    <x v="3583"/>
    <x v="2"/>
    <x v="3"/>
  </r>
  <r>
    <s v="ORD03781"/>
    <x v="284"/>
    <x v="1"/>
    <x v="10"/>
    <x v="2"/>
    <x v="3732"/>
    <x v="3584"/>
    <x v="0"/>
    <x v="3"/>
  </r>
  <r>
    <s v="ORD03782"/>
    <x v="992"/>
    <x v="1"/>
    <x v="6"/>
    <x v="0"/>
    <x v="3733"/>
    <x v="3585"/>
    <x v="2"/>
    <x v="1"/>
  </r>
  <r>
    <s v="ORD03783"/>
    <x v="74"/>
    <x v="0"/>
    <x v="12"/>
    <x v="2"/>
    <x v="3734"/>
    <x v="3586"/>
    <x v="1"/>
    <x v="0"/>
  </r>
  <r>
    <s v="ORD03784"/>
    <x v="417"/>
    <x v="1"/>
    <x v="9"/>
    <x v="0"/>
    <x v="3735"/>
    <x v="3587"/>
    <x v="1"/>
    <x v="2"/>
  </r>
  <r>
    <s v="ORD03785"/>
    <x v="674"/>
    <x v="2"/>
    <x v="7"/>
    <x v="0"/>
    <x v="3736"/>
    <x v="3588"/>
    <x v="1"/>
    <x v="0"/>
  </r>
  <r>
    <s v="ORD03786"/>
    <x v="357"/>
    <x v="2"/>
    <x v="6"/>
    <x v="0"/>
    <x v="3262"/>
    <x v="3589"/>
    <x v="0"/>
    <x v="3"/>
  </r>
  <r>
    <s v="ORD03787"/>
    <x v="419"/>
    <x v="0"/>
    <x v="5"/>
    <x v="1"/>
    <x v="3737"/>
    <x v="3590"/>
    <x v="2"/>
    <x v="0"/>
  </r>
  <r>
    <s v="ORD03788"/>
    <x v="373"/>
    <x v="3"/>
    <x v="10"/>
    <x v="2"/>
    <x v="3738"/>
    <x v="3591"/>
    <x v="0"/>
    <x v="1"/>
  </r>
  <r>
    <s v="ORD03789"/>
    <x v="307"/>
    <x v="3"/>
    <x v="10"/>
    <x v="2"/>
    <x v="3739"/>
    <x v="3592"/>
    <x v="0"/>
    <x v="3"/>
  </r>
  <r>
    <s v="ORD03790"/>
    <x v="622"/>
    <x v="3"/>
    <x v="14"/>
    <x v="2"/>
    <x v="3740"/>
    <x v="3593"/>
    <x v="1"/>
    <x v="3"/>
  </r>
  <r>
    <s v="ORD03791"/>
    <x v="396"/>
    <x v="3"/>
    <x v="11"/>
    <x v="2"/>
    <x v="3741"/>
    <x v="3594"/>
    <x v="2"/>
    <x v="1"/>
  </r>
  <r>
    <s v="ORD03792"/>
    <x v="34"/>
    <x v="0"/>
    <x v="5"/>
    <x v="1"/>
    <x v="3742"/>
    <x v="3595"/>
    <x v="2"/>
    <x v="0"/>
  </r>
  <r>
    <s v="ORD03793"/>
    <x v="1057"/>
    <x v="3"/>
    <x v="12"/>
    <x v="2"/>
    <x v="3743"/>
    <x v="3596"/>
    <x v="1"/>
    <x v="2"/>
  </r>
  <r>
    <s v="ORD03794"/>
    <x v="135"/>
    <x v="0"/>
    <x v="6"/>
    <x v="0"/>
    <x v="3744"/>
    <x v="2747"/>
    <x v="0"/>
    <x v="3"/>
  </r>
  <r>
    <s v="ORD03795"/>
    <x v="926"/>
    <x v="2"/>
    <x v="5"/>
    <x v="1"/>
    <x v="3745"/>
    <x v="2441"/>
    <x v="2"/>
    <x v="0"/>
  </r>
  <r>
    <s v="ORD03796"/>
    <x v="1051"/>
    <x v="0"/>
    <x v="1"/>
    <x v="1"/>
    <x v="3746"/>
    <x v="3597"/>
    <x v="0"/>
    <x v="0"/>
  </r>
  <r>
    <s v="ORD03797"/>
    <x v="727"/>
    <x v="2"/>
    <x v="11"/>
    <x v="2"/>
    <x v="3747"/>
    <x v="3598"/>
    <x v="1"/>
    <x v="0"/>
  </r>
  <r>
    <s v="ORD03798"/>
    <x v="861"/>
    <x v="1"/>
    <x v="7"/>
    <x v="0"/>
    <x v="3748"/>
    <x v="3599"/>
    <x v="1"/>
    <x v="1"/>
  </r>
  <r>
    <s v="ORD03799"/>
    <x v="402"/>
    <x v="3"/>
    <x v="5"/>
    <x v="1"/>
    <x v="3749"/>
    <x v="3600"/>
    <x v="1"/>
    <x v="1"/>
  </r>
  <r>
    <s v="ORD03800"/>
    <x v="965"/>
    <x v="2"/>
    <x v="13"/>
    <x v="1"/>
    <x v="3750"/>
    <x v="3601"/>
    <x v="1"/>
    <x v="0"/>
  </r>
  <r>
    <s v="ORD03801"/>
    <x v="1058"/>
    <x v="3"/>
    <x v="1"/>
    <x v="1"/>
    <x v="3751"/>
    <x v="3602"/>
    <x v="1"/>
    <x v="3"/>
  </r>
  <r>
    <s v="ORD03802"/>
    <x v="381"/>
    <x v="0"/>
    <x v="8"/>
    <x v="1"/>
    <x v="3752"/>
    <x v="3603"/>
    <x v="0"/>
    <x v="0"/>
  </r>
  <r>
    <s v="ORD03803"/>
    <x v="280"/>
    <x v="3"/>
    <x v="3"/>
    <x v="2"/>
    <x v="3753"/>
    <x v="3604"/>
    <x v="2"/>
    <x v="0"/>
  </r>
  <r>
    <s v="ORD03804"/>
    <x v="862"/>
    <x v="3"/>
    <x v="10"/>
    <x v="2"/>
    <x v="3754"/>
    <x v="3605"/>
    <x v="0"/>
    <x v="2"/>
  </r>
  <r>
    <s v="ORD03805"/>
    <x v="276"/>
    <x v="0"/>
    <x v="3"/>
    <x v="2"/>
    <x v="3755"/>
    <x v="3606"/>
    <x v="1"/>
    <x v="2"/>
  </r>
  <r>
    <s v="ORD03806"/>
    <x v="835"/>
    <x v="2"/>
    <x v="4"/>
    <x v="0"/>
    <x v="3756"/>
    <x v="3607"/>
    <x v="1"/>
    <x v="1"/>
  </r>
  <r>
    <s v="ORD03807"/>
    <x v="1031"/>
    <x v="3"/>
    <x v="7"/>
    <x v="0"/>
    <x v="3757"/>
    <x v="3608"/>
    <x v="2"/>
    <x v="2"/>
  </r>
  <r>
    <s v="ORD03808"/>
    <x v="469"/>
    <x v="2"/>
    <x v="6"/>
    <x v="0"/>
    <x v="3758"/>
    <x v="3609"/>
    <x v="1"/>
    <x v="0"/>
  </r>
  <r>
    <s v="ORD03809"/>
    <x v="403"/>
    <x v="3"/>
    <x v="6"/>
    <x v="0"/>
    <x v="3759"/>
    <x v="3610"/>
    <x v="2"/>
    <x v="3"/>
  </r>
  <r>
    <s v="ORD03810"/>
    <x v="583"/>
    <x v="1"/>
    <x v="5"/>
    <x v="1"/>
    <x v="3760"/>
    <x v="3611"/>
    <x v="0"/>
    <x v="2"/>
  </r>
  <r>
    <s v="ORD03811"/>
    <x v="0"/>
    <x v="3"/>
    <x v="1"/>
    <x v="1"/>
    <x v="3761"/>
    <x v="3612"/>
    <x v="1"/>
    <x v="1"/>
  </r>
  <r>
    <s v="ORD03812"/>
    <x v="213"/>
    <x v="1"/>
    <x v="1"/>
    <x v="1"/>
    <x v="3762"/>
    <x v="3613"/>
    <x v="0"/>
    <x v="1"/>
  </r>
  <r>
    <s v="ORD03813"/>
    <x v="989"/>
    <x v="3"/>
    <x v="4"/>
    <x v="0"/>
    <x v="3763"/>
    <x v="3614"/>
    <x v="2"/>
    <x v="1"/>
  </r>
  <r>
    <s v="ORD03814"/>
    <x v="815"/>
    <x v="3"/>
    <x v="6"/>
    <x v="0"/>
    <x v="3764"/>
    <x v="3615"/>
    <x v="1"/>
    <x v="3"/>
  </r>
  <r>
    <s v="ORD03815"/>
    <x v="993"/>
    <x v="1"/>
    <x v="13"/>
    <x v="1"/>
    <x v="3765"/>
    <x v="3616"/>
    <x v="2"/>
    <x v="1"/>
  </r>
  <r>
    <s v="ORD03816"/>
    <x v="257"/>
    <x v="1"/>
    <x v="2"/>
    <x v="1"/>
    <x v="3766"/>
    <x v="2319"/>
    <x v="2"/>
    <x v="0"/>
  </r>
  <r>
    <s v="ORD03817"/>
    <x v="499"/>
    <x v="1"/>
    <x v="8"/>
    <x v="1"/>
    <x v="3767"/>
    <x v="3617"/>
    <x v="0"/>
    <x v="1"/>
  </r>
  <r>
    <s v="ORD03818"/>
    <x v="951"/>
    <x v="0"/>
    <x v="10"/>
    <x v="2"/>
    <x v="3768"/>
    <x v="3618"/>
    <x v="0"/>
    <x v="2"/>
  </r>
  <r>
    <s v="ORD03819"/>
    <x v="756"/>
    <x v="2"/>
    <x v="4"/>
    <x v="0"/>
    <x v="3769"/>
    <x v="3619"/>
    <x v="0"/>
    <x v="2"/>
  </r>
  <r>
    <s v="ORD03820"/>
    <x v="285"/>
    <x v="0"/>
    <x v="6"/>
    <x v="0"/>
    <x v="3770"/>
    <x v="3620"/>
    <x v="0"/>
    <x v="0"/>
  </r>
  <r>
    <s v="ORD03821"/>
    <x v="590"/>
    <x v="3"/>
    <x v="6"/>
    <x v="0"/>
    <x v="3771"/>
    <x v="3621"/>
    <x v="2"/>
    <x v="1"/>
  </r>
  <r>
    <s v="ORD03822"/>
    <x v="778"/>
    <x v="1"/>
    <x v="10"/>
    <x v="2"/>
    <x v="3772"/>
    <x v="3622"/>
    <x v="1"/>
    <x v="2"/>
  </r>
  <r>
    <s v="ORD03823"/>
    <x v="906"/>
    <x v="2"/>
    <x v="9"/>
    <x v="0"/>
    <x v="3773"/>
    <x v="3623"/>
    <x v="2"/>
    <x v="3"/>
  </r>
  <r>
    <s v="ORD03824"/>
    <x v="165"/>
    <x v="1"/>
    <x v="14"/>
    <x v="2"/>
    <x v="3774"/>
    <x v="3624"/>
    <x v="0"/>
    <x v="1"/>
  </r>
  <r>
    <s v="ORD03825"/>
    <x v="219"/>
    <x v="2"/>
    <x v="6"/>
    <x v="0"/>
    <x v="3775"/>
    <x v="3625"/>
    <x v="1"/>
    <x v="2"/>
  </r>
  <r>
    <s v="ORD03826"/>
    <x v="129"/>
    <x v="3"/>
    <x v="13"/>
    <x v="1"/>
    <x v="3776"/>
    <x v="3626"/>
    <x v="0"/>
    <x v="0"/>
  </r>
  <r>
    <s v="ORD03827"/>
    <x v="806"/>
    <x v="1"/>
    <x v="8"/>
    <x v="1"/>
    <x v="3777"/>
    <x v="3627"/>
    <x v="0"/>
    <x v="3"/>
  </r>
  <r>
    <s v="ORD03828"/>
    <x v="883"/>
    <x v="0"/>
    <x v="8"/>
    <x v="1"/>
    <x v="3778"/>
    <x v="3628"/>
    <x v="2"/>
    <x v="3"/>
  </r>
  <r>
    <s v="ORD03829"/>
    <x v="570"/>
    <x v="1"/>
    <x v="0"/>
    <x v="0"/>
    <x v="3779"/>
    <x v="3629"/>
    <x v="1"/>
    <x v="1"/>
  </r>
  <r>
    <s v="ORD03830"/>
    <x v="476"/>
    <x v="3"/>
    <x v="4"/>
    <x v="0"/>
    <x v="3780"/>
    <x v="3630"/>
    <x v="0"/>
    <x v="1"/>
  </r>
  <r>
    <s v="ORD03831"/>
    <x v="371"/>
    <x v="0"/>
    <x v="10"/>
    <x v="2"/>
    <x v="3781"/>
    <x v="914"/>
    <x v="1"/>
    <x v="1"/>
  </r>
  <r>
    <s v="ORD03832"/>
    <x v="635"/>
    <x v="0"/>
    <x v="13"/>
    <x v="1"/>
    <x v="3782"/>
    <x v="3631"/>
    <x v="1"/>
    <x v="0"/>
  </r>
  <r>
    <s v="ORD03833"/>
    <x v="450"/>
    <x v="2"/>
    <x v="14"/>
    <x v="2"/>
    <x v="3783"/>
    <x v="3632"/>
    <x v="1"/>
    <x v="3"/>
  </r>
  <r>
    <s v="ORD03834"/>
    <x v="663"/>
    <x v="3"/>
    <x v="0"/>
    <x v="0"/>
    <x v="3784"/>
    <x v="3633"/>
    <x v="0"/>
    <x v="0"/>
  </r>
  <r>
    <s v="ORD03835"/>
    <x v="833"/>
    <x v="3"/>
    <x v="14"/>
    <x v="2"/>
    <x v="3785"/>
    <x v="3634"/>
    <x v="0"/>
    <x v="3"/>
  </r>
  <r>
    <s v="ORD03836"/>
    <x v="314"/>
    <x v="3"/>
    <x v="5"/>
    <x v="1"/>
    <x v="3786"/>
    <x v="2946"/>
    <x v="2"/>
    <x v="3"/>
  </r>
  <r>
    <s v="ORD03837"/>
    <x v="438"/>
    <x v="3"/>
    <x v="8"/>
    <x v="1"/>
    <x v="3787"/>
    <x v="1545"/>
    <x v="1"/>
    <x v="0"/>
  </r>
  <r>
    <s v="ORD03838"/>
    <x v="88"/>
    <x v="1"/>
    <x v="3"/>
    <x v="2"/>
    <x v="3788"/>
    <x v="3635"/>
    <x v="2"/>
    <x v="1"/>
  </r>
  <r>
    <s v="ORD03839"/>
    <x v="930"/>
    <x v="2"/>
    <x v="10"/>
    <x v="2"/>
    <x v="3789"/>
    <x v="3636"/>
    <x v="1"/>
    <x v="0"/>
  </r>
  <r>
    <s v="ORD03840"/>
    <x v="1022"/>
    <x v="3"/>
    <x v="1"/>
    <x v="1"/>
    <x v="3790"/>
    <x v="3637"/>
    <x v="1"/>
    <x v="2"/>
  </r>
  <r>
    <s v="ORD03841"/>
    <x v="572"/>
    <x v="1"/>
    <x v="1"/>
    <x v="1"/>
    <x v="3791"/>
    <x v="3638"/>
    <x v="0"/>
    <x v="3"/>
  </r>
  <r>
    <s v="ORD03842"/>
    <x v="463"/>
    <x v="1"/>
    <x v="9"/>
    <x v="0"/>
    <x v="3792"/>
    <x v="3639"/>
    <x v="0"/>
    <x v="1"/>
  </r>
  <r>
    <s v="ORD03843"/>
    <x v="1042"/>
    <x v="2"/>
    <x v="4"/>
    <x v="0"/>
    <x v="3793"/>
    <x v="3640"/>
    <x v="0"/>
    <x v="2"/>
  </r>
  <r>
    <s v="ORD03844"/>
    <x v="989"/>
    <x v="1"/>
    <x v="12"/>
    <x v="2"/>
    <x v="3794"/>
    <x v="3641"/>
    <x v="1"/>
    <x v="0"/>
  </r>
  <r>
    <s v="ORD03845"/>
    <x v="395"/>
    <x v="3"/>
    <x v="4"/>
    <x v="0"/>
    <x v="3795"/>
    <x v="3642"/>
    <x v="1"/>
    <x v="2"/>
  </r>
  <r>
    <s v="ORD03846"/>
    <x v="94"/>
    <x v="2"/>
    <x v="11"/>
    <x v="2"/>
    <x v="3796"/>
    <x v="3643"/>
    <x v="1"/>
    <x v="3"/>
  </r>
  <r>
    <s v="ORD03847"/>
    <x v="19"/>
    <x v="3"/>
    <x v="2"/>
    <x v="1"/>
    <x v="3797"/>
    <x v="2760"/>
    <x v="0"/>
    <x v="0"/>
  </r>
  <r>
    <s v="ORD03848"/>
    <x v="93"/>
    <x v="3"/>
    <x v="2"/>
    <x v="1"/>
    <x v="3798"/>
    <x v="1742"/>
    <x v="2"/>
    <x v="2"/>
  </r>
  <r>
    <s v="ORD03849"/>
    <x v="497"/>
    <x v="2"/>
    <x v="14"/>
    <x v="2"/>
    <x v="3799"/>
    <x v="3644"/>
    <x v="1"/>
    <x v="1"/>
  </r>
  <r>
    <s v="ORD03850"/>
    <x v="896"/>
    <x v="0"/>
    <x v="3"/>
    <x v="2"/>
    <x v="3800"/>
    <x v="3645"/>
    <x v="1"/>
    <x v="3"/>
  </r>
  <r>
    <s v="ORD03851"/>
    <x v="623"/>
    <x v="2"/>
    <x v="13"/>
    <x v="1"/>
    <x v="3801"/>
    <x v="3646"/>
    <x v="2"/>
    <x v="1"/>
  </r>
  <r>
    <s v="ORD03852"/>
    <x v="580"/>
    <x v="0"/>
    <x v="7"/>
    <x v="0"/>
    <x v="3802"/>
    <x v="1902"/>
    <x v="2"/>
    <x v="1"/>
  </r>
  <r>
    <s v="ORD03853"/>
    <x v="305"/>
    <x v="0"/>
    <x v="5"/>
    <x v="1"/>
    <x v="3803"/>
    <x v="3647"/>
    <x v="1"/>
    <x v="0"/>
  </r>
  <r>
    <s v="ORD03854"/>
    <x v="1059"/>
    <x v="3"/>
    <x v="1"/>
    <x v="1"/>
    <x v="3804"/>
    <x v="3648"/>
    <x v="0"/>
    <x v="0"/>
  </r>
  <r>
    <s v="ORD03855"/>
    <x v="448"/>
    <x v="2"/>
    <x v="14"/>
    <x v="2"/>
    <x v="3805"/>
    <x v="3649"/>
    <x v="2"/>
    <x v="3"/>
  </r>
  <r>
    <s v="ORD03856"/>
    <x v="1060"/>
    <x v="0"/>
    <x v="6"/>
    <x v="0"/>
    <x v="3806"/>
    <x v="3650"/>
    <x v="0"/>
    <x v="3"/>
  </r>
  <r>
    <s v="ORD03857"/>
    <x v="974"/>
    <x v="2"/>
    <x v="2"/>
    <x v="1"/>
    <x v="3807"/>
    <x v="3651"/>
    <x v="1"/>
    <x v="3"/>
  </r>
  <r>
    <s v="ORD03858"/>
    <x v="628"/>
    <x v="3"/>
    <x v="6"/>
    <x v="0"/>
    <x v="3808"/>
    <x v="3652"/>
    <x v="0"/>
    <x v="0"/>
  </r>
  <r>
    <s v="ORD03859"/>
    <x v="583"/>
    <x v="2"/>
    <x v="0"/>
    <x v="0"/>
    <x v="3809"/>
    <x v="3653"/>
    <x v="0"/>
    <x v="1"/>
  </r>
  <r>
    <s v="ORD03860"/>
    <x v="973"/>
    <x v="2"/>
    <x v="10"/>
    <x v="2"/>
    <x v="3810"/>
    <x v="3654"/>
    <x v="0"/>
    <x v="3"/>
  </r>
  <r>
    <s v="ORD03861"/>
    <x v="603"/>
    <x v="2"/>
    <x v="11"/>
    <x v="2"/>
    <x v="3811"/>
    <x v="3655"/>
    <x v="0"/>
    <x v="1"/>
  </r>
  <r>
    <s v="ORD03862"/>
    <x v="649"/>
    <x v="0"/>
    <x v="4"/>
    <x v="0"/>
    <x v="3812"/>
    <x v="414"/>
    <x v="2"/>
    <x v="2"/>
  </r>
  <r>
    <s v="ORD03863"/>
    <x v="568"/>
    <x v="3"/>
    <x v="12"/>
    <x v="2"/>
    <x v="3813"/>
    <x v="3656"/>
    <x v="2"/>
    <x v="2"/>
  </r>
  <r>
    <s v="ORD03864"/>
    <x v="644"/>
    <x v="3"/>
    <x v="4"/>
    <x v="0"/>
    <x v="3814"/>
    <x v="3657"/>
    <x v="1"/>
    <x v="1"/>
  </r>
  <r>
    <s v="ORD03865"/>
    <x v="532"/>
    <x v="3"/>
    <x v="10"/>
    <x v="2"/>
    <x v="3815"/>
    <x v="3658"/>
    <x v="1"/>
    <x v="0"/>
  </r>
  <r>
    <s v="ORD03866"/>
    <x v="672"/>
    <x v="0"/>
    <x v="7"/>
    <x v="0"/>
    <x v="3816"/>
    <x v="3659"/>
    <x v="1"/>
    <x v="1"/>
  </r>
  <r>
    <s v="ORD03867"/>
    <x v="887"/>
    <x v="2"/>
    <x v="8"/>
    <x v="1"/>
    <x v="3817"/>
    <x v="3660"/>
    <x v="0"/>
    <x v="3"/>
  </r>
  <r>
    <s v="ORD03868"/>
    <x v="291"/>
    <x v="0"/>
    <x v="6"/>
    <x v="0"/>
    <x v="3818"/>
    <x v="3661"/>
    <x v="1"/>
    <x v="2"/>
  </r>
  <r>
    <s v="ORD03869"/>
    <x v="639"/>
    <x v="2"/>
    <x v="6"/>
    <x v="0"/>
    <x v="3819"/>
    <x v="3662"/>
    <x v="0"/>
    <x v="2"/>
  </r>
  <r>
    <s v="ORD03870"/>
    <x v="510"/>
    <x v="3"/>
    <x v="7"/>
    <x v="0"/>
    <x v="3820"/>
    <x v="3663"/>
    <x v="1"/>
    <x v="0"/>
  </r>
  <r>
    <s v="ORD03871"/>
    <x v="787"/>
    <x v="1"/>
    <x v="3"/>
    <x v="2"/>
    <x v="3821"/>
    <x v="3664"/>
    <x v="0"/>
    <x v="1"/>
  </r>
  <r>
    <s v="ORD03872"/>
    <x v="136"/>
    <x v="3"/>
    <x v="4"/>
    <x v="0"/>
    <x v="3822"/>
    <x v="3665"/>
    <x v="0"/>
    <x v="1"/>
  </r>
  <r>
    <s v="ORD03873"/>
    <x v="334"/>
    <x v="1"/>
    <x v="10"/>
    <x v="2"/>
    <x v="3823"/>
    <x v="3666"/>
    <x v="2"/>
    <x v="0"/>
  </r>
  <r>
    <s v="ORD03874"/>
    <x v="812"/>
    <x v="3"/>
    <x v="5"/>
    <x v="1"/>
    <x v="3824"/>
    <x v="3667"/>
    <x v="2"/>
    <x v="1"/>
  </r>
  <r>
    <s v="ORD03875"/>
    <x v="653"/>
    <x v="3"/>
    <x v="2"/>
    <x v="1"/>
    <x v="3825"/>
    <x v="3668"/>
    <x v="0"/>
    <x v="2"/>
  </r>
  <r>
    <s v="ORD03876"/>
    <x v="836"/>
    <x v="1"/>
    <x v="0"/>
    <x v="0"/>
    <x v="3826"/>
    <x v="3669"/>
    <x v="0"/>
    <x v="1"/>
  </r>
  <r>
    <s v="ORD03877"/>
    <x v="865"/>
    <x v="0"/>
    <x v="8"/>
    <x v="1"/>
    <x v="3827"/>
    <x v="3670"/>
    <x v="0"/>
    <x v="2"/>
  </r>
  <r>
    <s v="ORD03878"/>
    <x v="235"/>
    <x v="0"/>
    <x v="9"/>
    <x v="0"/>
    <x v="3828"/>
    <x v="3671"/>
    <x v="1"/>
    <x v="0"/>
  </r>
  <r>
    <s v="ORD03879"/>
    <x v="515"/>
    <x v="2"/>
    <x v="9"/>
    <x v="0"/>
    <x v="3829"/>
    <x v="3672"/>
    <x v="2"/>
    <x v="2"/>
  </r>
  <r>
    <s v="ORD03880"/>
    <x v="162"/>
    <x v="3"/>
    <x v="3"/>
    <x v="2"/>
    <x v="3830"/>
    <x v="3673"/>
    <x v="0"/>
    <x v="2"/>
  </r>
  <r>
    <s v="ORD03881"/>
    <x v="603"/>
    <x v="2"/>
    <x v="11"/>
    <x v="2"/>
    <x v="3831"/>
    <x v="3674"/>
    <x v="2"/>
    <x v="2"/>
  </r>
  <r>
    <s v="ORD03882"/>
    <x v="390"/>
    <x v="1"/>
    <x v="9"/>
    <x v="0"/>
    <x v="3832"/>
    <x v="3675"/>
    <x v="0"/>
    <x v="2"/>
  </r>
  <r>
    <s v="ORD03883"/>
    <x v="230"/>
    <x v="1"/>
    <x v="0"/>
    <x v="0"/>
    <x v="3833"/>
    <x v="3676"/>
    <x v="2"/>
    <x v="0"/>
  </r>
  <r>
    <s v="ORD03884"/>
    <x v="600"/>
    <x v="2"/>
    <x v="0"/>
    <x v="0"/>
    <x v="3834"/>
    <x v="3677"/>
    <x v="2"/>
    <x v="2"/>
  </r>
  <r>
    <s v="ORD03885"/>
    <x v="324"/>
    <x v="3"/>
    <x v="7"/>
    <x v="0"/>
    <x v="3835"/>
    <x v="3678"/>
    <x v="2"/>
    <x v="1"/>
  </r>
  <r>
    <s v="ORD03886"/>
    <x v="607"/>
    <x v="2"/>
    <x v="1"/>
    <x v="1"/>
    <x v="3836"/>
    <x v="798"/>
    <x v="2"/>
    <x v="3"/>
  </r>
  <r>
    <s v="ORD03887"/>
    <x v="1028"/>
    <x v="1"/>
    <x v="4"/>
    <x v="0"/>
    <x v="3837"/>
    <x v="3679"/>
    <x v="0"/>
    <x v="0"/>
  </r>
  <r>
    <s v="ORD03888"/>
    <x v="478"/>
    <x v="0"/>
    <x v="4"/>
    <x v="0"/>
    <x v="3838"/>
    <x v="3680"/>
    <x v="0"/>
    <x v="1"/>
  </r>
  <r>
    <s v="ORD03889"/>
    <x v="253"/>
    <x v="1"/>
    <x v="10"/>
    <x v="2"/>
    <x v="3839"/>
    <x v="3681"/>
    <x v="0"/>
    <x v="2"/>
  </r>
  <r>
    <s v="ORD03890"/>
    <x v="269"/>
    <x v="1"/>
    <x v="7"/>
    <x v="0"/>
    <x v="3840"/>
    <x v="3682"/>
    <x v="2"/>
    <x v="1"/>
  </r>
  <r>
    <s v="ORD03891"/>
    <x v="725"/>
    <x v="0"/>
    <x v="8"/>
    <x v="1"/>
    <x v="3841"/>
    <x v="3683"/>
    <x v="1"/>
    <x v="3"/>
  </r>
  <r>
    <s v="ORD03892"/>
    <x v="521"/>
    <x v="3"/>
    <x v="3"/>
    <x v="2"/>
    <x v="3842"/>
    <x v="3684"/>
    <x v="2"/>
    <x v="0"/>
  </r>
  <r>
    <s v="ORD03893"/>
    <x v="218"/>
    <x v="2"/>
    <x v="14"/>
    <x v="2"/>
    <x v="3843"/>
    <x v="3685"/>
    <x v="1"/>
    <x v="0"/>
  </r>
  <r>
    <s v="ORD03894"/>
    <x v="431"/>
    <x v="2"/>
    <x v="10"/>
    <x v="2"/>
    <x v="3844"/>
    <x v="3686"/>
    <x v="0"/>
    <x v="0"/>
  </r>
  <r>
    <s v="ORD03895"/>
    <x v="402"/>
    <x v="3"/>
    <x v="9"/>
    <x v="0"/>
    <x v="3845"/>
    <x v="3687"/>
    <x v="0"/>
    <x v="3"/>
  </r>
  <r>
    <s v="ORD03896"/>
    <x v="329"/>
    <x v="0"/>
    <x v="13"/>
    <x v="1"/>
    <x v="3846"/>
    <x v="2061"/>
    <x v="2"/>
    <x v="0"/>
  </r>
  <r>
    <s v="ORD03897"/>
    <x v="628"/>
    <x v="1"/>
    <x v="4"/>
    <x v="0"/>
    <x v="3847"/>
    <x v="3688"/>
    <x v="0"/>
    <x v="2"/>
  </r>
  <r>
    <s v="ORD03898"/>
    <x v="32"/>
    <x v="0"/>
    <x v="13"/>
    <x v="1"/>
    <x v="3848"/>
    <x v="3689"/>
    <x v="1"/>
    <x v="2"/>
  </r>
  <r>
    <s v="ORD03899"/>
    <x v="948"/>
    <x v="3"/>
    <x v="4"/>
    <x v="0"/>
    <x v="3849"/>
    <x v="3690"/>
    <x v="1"/>
    <x v="0"/>
  </r>
  <r>
    <s v="ORD03900"/>
    <x v="912"/>
    <x v="1"/>
    <x v="11"/>
    <x v="2"/>
    <x v="3850"/>
    <x v="3691"/>
    <x v="0"/>
    <x v="3"/>
  </r>
  <r>
    <s v="ORD03901"/>
    <x v="365"/>
    <x v="1"/>
    <x v="10"/>
    <x v="2"/>
    <x v="3851"/>
    <x v="3692"/>
    <x v="0"/>
    <x v="2"/>
  </r>
  <r>
    <s v="ORD03902"/>
    <x v="155"/>
    <x v="2"/>
    <x v="7"/>
    <x v="0"/>
    <x v="3852"/>
    <x v="3693"/>
    <x v="2"/>
    <x v="2"/>
  </r>
  <r>
    <s v="ORD03903"/>
    <x v="930"/>
    <x v="2"/>
    <x v="1"/>
    <x v="1"/>
    <x v="3853"/>
    <x v="3694"/>
    <x v="0"/>
    <x v="0"/>
  </r>
  <r>
    <s v="ORD03904"/>
    <x v="566"/>
    <x v="2"/>
    <x v="8"/>
    <x v="1"/>
    <x v="3854"/>
    <x v="2182"/>
    <x v="0"/>
    <x v="3"/>
  </r>
  <r>
    <s v="ORD03905"/>
    <x v="652"/>
    <x v="2"/>
    <x v="14"/>
    <x v="2"/>
    <x v="3855"/>
    <x v="3695"/>
    <x v="1"/>
    <x v="0"/>
  </r>
  <r>
    <s v="ORD03906"/>
    <x v="1056"/>
    <x v="1"/>
    <x v="6"/>
    <x v="0"/>
    <x v="3856"/>
    <x v="3696"/>
    <x v="2"/>
    <x v="3"/>
  </r>
  <r>
    <s v="ORD03907"/>
    <x v="897"/>
    <x v="1"/>
    <x v="0"/>
    <x v="0"/>
    <x v="3857"/>
    <x v="3697"/>
    <x v="1"/>
    <x v="2"/>
  </r>
  <r>
    <s v="ORD03908"/>
    <x v="318"/>
    <x v="0"/>
    <x v="12"/>
    <x v="2"/>
    <x v="3858"/>
    <x v="3698"/>
    <x v="2"/>
    <x v="2"/>
  </r>
  <r>
    <s v="ORD03909"/>
    <x v="942"/>
    <x v="2"/>
    <x v="8"/>
    <x v="1"/>
    <x v="3859"/>
    <x v="3699"/>
    <x v="2"/>
    <x v="2"/>
  </r>
  <r>
    <s v="ORD03910"/>
    <x v="52"/>
    <x v="2"/>
    <x v="12"/>
    <x v="2"/>
    <x v="3860"/>
    <x v="3700"/>
    <x v="0"/>
    <x v="3"/>
  </r>
  <r>
    <s v="ORD03911"/>
    <x v="1037"/>
    <x v="2"/>
    <x v="8"/>
    <x v="1"/>
    <x v="3861"/>
    <x v="3701"/>
    <x v="2"/>
    <x v="2"/>
  </r>
  <r>
    <s v="ORD03912"/>
    <x v="225"/>
    <x v="2"/>
    <x v="7"/>
    <x v="0"/>
    <x v="3862"/>
    <x v="3702"/>
    <x v="0"/>
    <x v="3"/>
  </r>
  <r>
    <s v="ORD03913"/>
    <x v="561"/>
    <x v="0"/>
    <x v="12"/>
    <x v="2"/>
    <x v="3863"/>
    <x v="3703"/>
    <x v="0"/>
    <x v="1"/>
  </r>
  <r>
    <s v="ORD03914"/>
    <x v="214"/>
    <x v="1"/>
    <x v="10"/>
    <x v="2"/>
    <x v="3864"/>
    <x v="3704"/>
    <x v="1"/>
    <x v="2"/>
  </r>
  <r>
    <s v="ORD03915"/>
    <x v="265"/>
    <x v="1"/>
    <x v="14"/>
    <x v="2"/>
    <x v="3865"/>
    <x v="3705"/>
    <x v="0"/>
    <x v="0"/>
  </r>
  <r>
    <s v="ORD03916"/>
    <x v="913"/>
    <x v="2"/>
    <x v="13"/>
    <x v="1"/>
    <x v="3866"/>
    <x v="3706"/>
    <x v="2"/>
    <x v="0"/>
  </r>
  <r>
    <s v="ORD03917"/>
    <x v="696"/>
    <x v="3"/>
    <x v="2"/>
    <x v="1"/>
    <x v="3867"/>
    <x v="3707"/>
    <x v="2"/>
    <x v="2"/>
  </r>
  <r>
    <s v="ORD03918"/>
    <x v="340"/>
    <x v="1"/>
    <x v="12"/>
    <x v="2"/>
    <x v="3868"/>
    <x v="3708"/>
    <x v="2"/>
    <x v="2"/>
  </r>
  <r>
    <s v="ORD03919"/>
    <x v="29"/>
    <x v="0"/>
    <x v="3"/>
    <x v="2"/>
    <x v="3869"/>
    <x v="3709"/>
    <x v="2"/>
    <x v="3"/>
  </r>
  <r>
    <s v="ORD03920"/>
    <x v="330"/>
    <x v="2"/>
    <x v="4"/>
    <x v="0"/>
    <x v="3870"/>
    <x v="3710"/>
    <x v="2"/>
    <x v="3"/>
  </r>
  <r>
    <s v="ORD03921"/>
    <x v="959"/>
    <x v="2"/>
    <x v="5"/>
    <x v="1"/>
    <x v="3871"/>
    <x v="2466"/>
    <x v="0"/>
    <x v="2"/>
  </r>
  <r>
    <s v="ORD03922"/>
    <x v="547"/>
    <x v="0"/>
    <x v="12"/>
    <x v="2"/>
    <x v="3872"/>
    <x v="3711"/>
    <x v="0"/>
    <x v="0"/>
  </r>
  <r>
    <s v="ORD03923"/>
    <x v="943"/>
    <x v="0"/>
    <x v="12"/>
    <x v="2"/>
    <x v="3873"/>
    <x v="640"/>
    <x v="1"/>
    <x v="1"/>
  </r>
  <r>
    <s v="ORD03924"/>
    <x v="123"/>
    <x v="0"/>
    <x v="14"/>
    <x v="2"/>
    <x v="3874"/>
    <x v="986"/>
    <x v="0"/>
    <x v="0"/>
  </r>
  <r>
    <s v="ORD03925"/>
    <x v="750"/>
    <x v="3"/>
    <x v="14"/>
    <x v="2"/>
    <x v="3875"/>
    <x v="3712"/>
    <x v="1"/>
    <x v="1"/>
  </r>
  <r>
    <s v="ORD03926"/>
    <x v="334"/>
    <x v="3"/>
    <x v="9"/>
    <x v="0"/>
    <x v="3876"/>
    <x v="3713"/>
    <x v="0"/>
    <x v="2"/>
  </r>
  <r>
    <s v="ORD03927"/>
    <x v="248"/>
    <x v="3"/>
    <x v="13"/>
    <x v="1"/>
    <x v="3877"/>
    <x v="3714"/>
    <x v="0"/>
    <x v="0"/>
  </r>
  <r>
    <s v="ORD03928"/>
    <x v="535"/>
    <x v="0"/>
    <x v="13"/>
    <x v="1"/>
    <x v="3878"/>
    <x v="3715"/>
    <x v="2"/>
    <x v="0"/>
  </r>
  <r>
    <s v="ORD03929"/>
    <x v="290"/>
    <x v="3"/>
    <x v="6"/>
    <x v="0"/>
    <x v="3879"/>
    <x v="3260"/>
    <x v="1"/>
    <x v="2"/>
  </r>
  <r>
    <s v="ORD03930"/>
    <x v="517"/>
    <x v="2"/>
    <x v="10"/>
    <x v="2"/>
    <x v="3880"/>
    <x v="3716"/>
    <x v="2"/>
    <x v="0"/>
  </r>
  <r>
    <s v="ORD03931"/>
    <x v="174"/>
    <x v="3"/>
    <x v="9"/>
    <x v="0"/>
    <x v="3881"/>
    <x v="3717"/>
    <x v="1"/>
    <x v="0"/>
  </r>
  <r>
    <s v="ORD03932"/>
    <x v="35"/>
    <x v="3"/>
    <x v="5"/>
    <x v="1"/>
    <x v="3882"/>
    <x v="3718"/>
    <x v="1"/>
    <x v="2"/>
  </r>
  <r>
    <s v="ORD03933"/>
    <x v="771"/>
    <x v="2"/>
    <x v="10"/>
    <x v="2"/>
    <x v="3883"/>
    <x v="3719"/>
    <x v="1"/>
    <x v="3"/>
  </r>
  <r>
    <s v="ORD03934"/>
    <x v="1015"/>
    <x v="1"/>
    <x v="12"/>
    <x v="2"/>
    <x v="3884"/>
    <x v="3720"/>
    <x v="1"/>
    <x v="0"/>
  </r>
  <r>
    <s v="ORD03935"/>
    <x v="1061"/>
    <x v="1"/>
    <x v="2"/>
    <x v="1"/>
    <x v="3885"/>
    <x v="3721"/>
    <x v="2"/>
    <x v="3"/>
  </r>
  <r>
    <s v="ORD03936"/>
    <x v="761"/>
    <x v="1"/>
    <x v="2"/>
    <x v="1"/>
    <x v="3886"/>
    <x v="3722"/>
    <x v="0"/>
    <x v="3"/>
  </r>
  <r>
    <s v="ORD03937"/>
    <x v="951"/>
    <x v="0"/>
    <x v="1"/>
    <x v="1"/>
    <x v="3887"/>
    <x v="3723"/>
    <x v="0"/>
    <x v="0"/>
  </r>
  <r>
    <s v="ORD03938"/>
    <x v="922"/>
    <x v="2"/>
    <x v="10"/>
    <x v="2"/>
    <x v="3888"/>
    <x v="3724"/>
    <x v="0"/>
    <x v="1"/>
  </r>
  <r>
    <s v="ORD03939"/>
    <x v="974"/>
    <x v="3"/>
    <x v="7"/>
    <x v="0"/>
    <x v="3889"/>
    <x v="3725"/>
    <x v="0"/>
    <x v="1"/>
  </r>
  <r>
    <s v="ORD03940"/>
    <x v="570"/>
    <x v="1"/>
    <x v="6"/>
    <x v="0"/>
    <x v="3890"/>
    <x v="954"/>
    <x v="1"/>
    <x v="1"/>
  </r>
  <r>
    <s v="ORD03941"/>
    <x v="13"/>
    <x v="3"/>
    <x v="5"/>
    <x v="1"/>
    <x v="3891"/>
    <x v="3726"/>
    <x v="0"/>
    <x v="3"/>
  </r>
  <r>
    <s v="ORD03942"/>
    <x v="435"/>
    <x v="3"/>
    <x v="13"/>
    <x v="1"/>
    <x v="3892"/>
    <x v="3727"/>
    <x v="1"/>
    <x v="2"/>
  </r>
  <r>
    <s v="ORD03943"/>
    <x v="669"/>
    <x v="2"/>
    <x v="12"/>
    <x v="2"/>
    <x v="3893"/>
    <x v="3728"/>
    <x v="2"/>
    <x v="1"/>
  </r>
  <r>
    <s v="ORD03944"/>
    <x v="2"/>
    <x v="1"/>
    <x v="5"/>
    <x v="1"/>
    <x v="3894"/>
    <x v="3729"/>
    <x v="1"/>
    <x v="0"/>
  </r>
  <r>
    <s v="ORD03945"/>
    <x v="874"/>
    <x v="3"/>
    <x v="5"/>
    <x v="1"/>
    <x v="3895"/>
    <x v="3730"/>
    <x v="0"/>
    <x v="1"/>
  </r>
  <r>
    <s v="ORD03946"/>
    <x v="341"/>
    <x v="0"/>
    <x v="5"/>
    <x v="1"/>
    <x v="3896"/>
    <x v="3731"/>
    <x v="1"/>
    <x v="3"/>
  </r>
  <r>
    <s v="ORD03947"/>
    <x v="831"/>
    <x v="1"/>
    <x v="3"/>
    <x v="2"/>
    <x v="3897"/>
    <x v="3732"/>
    <x v="2"/>
    <x v="3"/>
  </r>
  <r>
    <s v="ORD03948"/>
    <x v="1043"/>
    <x v="0"/>
    <x v="11"/>
    <x v="2"/>
    <x v="3898"/>
    <x v="3733"/>
    <x v="0"/>
    <x v="0"/>
  </r>
  <r>
    <s v="ORD03949"/>
    <x v="591"/>
    <x v="3"/>
    <x v="6"/>
    <x v="0"/>
    <x v="3899"/>
    <x v="3734"/>
    <x v="1"/>
    <x v="1"/>
  </r>
  <r>
    <s v="ORD03950"/>
    <x v="666"/>
    <x v="1"/>
    <x v="12"/>
    <x v="2"/>
    <x v="3900"/>
    <x v="3735"/>
    <x v="2"/>
    <x v="0"/>
  </r>
  <r>
    <s v="ORD03951"/>
    <x v="606"/>
    <x v="0"/>
    <x v="6"/>
    <x v="0"/>
    <x v="3901"/>
    <x v="3736"/>
    <x v="1"/>
    <x v="2"/>
  </r>
  <r>
    <s v="ORD03952"/>
    <x v="1029"/>
    <x v="2"/>
    <x v="0"/>
    <x v="0"/>
    <x v="3902"/>
    <x v="3737"/>
    <x v="0"/>
    <x v="0"/>
  </r>
  <r>
    <s v="ORD03953"/>
    <x v="360"/>
    <x v="3"/>
    <x v="8"/>
    <x v="1"/>
    <x v="3903"/>
    <x v="3738"/>
    <x v="2"/>
    <x v="3"/>
  </r>
  <r>
    <s v="ORD03954"/>
    <x v="160"/>
    <x v="1"/>
    <x v="6"/>
    <x v="0"/>
    <x v="3904"/>
    <x v="3739"/>
    <x v="1"/>
    <x v="0"/>
  </r>
  <r>
    <s v="ORD03955"/>
    <x v="912"/>
    <x v="1"/>
    <x v="3"/>
    <x v="2"/>
    <x v="3905"/>
    <x v="3740"/>
    <x v="2"/>
    <x v="0"/>
  </r>
  <r>
    <s v="ORD03956"/>
    <x v="599"/>
    <x v="0"/>
    <x v="14"/>
    <x v="2"/>
    <x v="3906"/>
    <x v="3741"/>
    <x v="0"/>
    <x v="2"/>
  </r>
  <r>
    <s v="ORD03957"/>
    <x v="724"/>
    <x v="3"/>
    <x v="13"/>
    <x v="1"/>
    <x v="3907"/>
    <x v="3742"/>
    <x v="1"/>
    <x v="0"/>
  </r>
  <r>
    <s v="ORD03958"/>
    <x v="819"/>
    <x v="2"/>
    <x v="2"/>
    <x v="1"/>
    <x v="3908"/>
    <x v="3743"/>
    <x v="2"/>
    <x v="0"/>
  </r>
  <r>
    <s v="ORD03959"/>
    <x v="585"/>
    <x v="0"/>
    <x v="13"/>
    <x v="1"/>
    <x v="3909"/>
    <x v="3744"/>
    <x v="1"/>
    <x v="2"/>
  </r>
  <r>
    <s v="ORD03960"/>
    <x v="343"/>
    <x v="1"/>
    <x v="14"/>
    <x v="2"/>
    <x v="3910"/>
    <x v="3745"/>
    <x v="1"/>
    <x v="1"/>
  </r>
  <r>
    <s v="ORD03961"/>
    <x v="488"/>
    <x v="2"/>
    <x v="12"/>
    <x v="2"/>
    <x v="3911"/>
    <x v="3746"/>
    <x v="1"/>
    <x v="3"/>
  </r>
  <r>
    <s v="ORD03962"/>
    <x v="247"/>
    <x v="0"/>
    <x v="8"/>
    <x v="1"/>
    <x v="3912"/>
    <x v="3747"/>
    <x v="1"/>
    <x v="3"/>
  </r>
  <r>
    <s v="ORD03963"/>
    <x v="202"/>
    <x v="2"/>
    <x v="2"/>
    <x v="1"/>
    <x v="3913"/>
    <x v="3748"/>
    <x v="0"/>
    <x v="1"/>
  </r>
  <r>
    <s v="ORD03964"/>
    <x v="425"/>
    <x v="3"/>
    <x v="12"/>
    <x v="2"/>
    <x v="3914"/>
    <x v="3749"/>
    <x v="0"/>
    <x v="2"/>
  </r>
  <r>
    <s v="ORD03965"/>
    <x v="641"/>
    <x v="3"/>
    <x v="12"/>
    <x v="2"/>
    <x v="3915"/>
    <x v="3750"/>
    <x v="0"/>
    <x v="0"/>
  </r>
  <r>
    <s v="ORD03966"/>
    <x v="1006"/>
    <x v="1"/>
    <x v="4"/>
    <x v="0"/>
    <x v="3916"/>
    <x v="3751"/>
    <x v="2"/>
    <x v="2"/>
  </r>
  <r>
    <s v="ORD03967"/>
    <x v="1006"/>
    <x v="1"/>
    <x v="8"/>
    <x v="1"/>
    <x v="3917"/>
    <x v="3752"/>
    <x v="2"/>
    <x v="0"/>
  </r>
  <r>
    <s v="ORD03968"/>
    <x v="729"/>
    <x v="1"/>
    <x v="2"/>
    <x v="1"/>
    <x v="3918"/>
    <x v="3632"/>
    <x v="0"/>
    <x v="1"/>
  </r>
  <r>
    <s v="ORD03969"/>
    <x v="489"/>
    <x v="3"/>
    <x v="2"/>
    <x v="1"/>
    <x v="3919"/>
    <x v="3753"/>
    <x v="0"/>
    <x v="1"/>
  </r>
  <r>
    <s v="ORD03970"/>
    <x v="937"/>
    <x v="0"/>
    <x v="13"/>
    <x v="1"/>
    <x v="3920"/>
    <x v="3754"/>
    <x v="1"/>
    <x v="0"/>
  </r>
  <r>
    <s v="ORD03971"/>
    <x v="568"/>
    <x v="2"/>
    <x v="9"/>
    <x v="0"/>
    <x v="3921"/>
    <x v="3755"/>
    <x v="0"/>
    <x v="0"/>
  </r>
  <r>
    <s v="ORD03972"/>
    <x v="909"/>
    <x v="2"/>
    <x v="3"/>
    <x v="2"/>
    <x v="3922"/>
    <x v="2200"/>
    <x v="1"/>
    <x v="1"/>
  </r>
  <r>
    <s v="ORD03973"/>
    <x v="558"/>
    <x v="1"/>
    <x v="13"/>
    <x v="1"/>
    <x v="3923"/>
    <x v="3756"/>
    <x v="1"/>
    <x v="2"/>
  </r>
  <r>
    <s v="ORD03974"/>
    <x v="744"/>
    <x v="2"/>
    <x v="2"/>
    <x v="1"/>
    <x v="3924"/>
    <x v="3757"/>
    <x v="1"/>
    <x v="1"/>
  </r>
  <r>
    <s v="ORD03975"/>
    <x v="131"/>
    <x v="2"/>
    <x v="7"/>
    <x v="0"/>
    <x v="3925"/>
    <x v="3758"/>
    <x v="0"/>
    <x v="3"/>
  </r>
  <r>
    <s v="ORD03976"/>
    <x v="879"/>
    <x v="0"/>
    <x v="11"/>
    <x v="2"/>
    <x v="3926"/>
    <x v="3759"/>
    <x v="1"/>
    <x v="0"/>
  </r>
  <r>
    <s v="ORD03977"/>
    <x v="805"/>
    <x v="1"/>
    <x v="0"/>
    <x v="0"/>
    <x v="3927"/>
    <x v="3760"/>
    <x v="2"/>
    <x v="0"/>
  </r>
  <r>
    <s v="ORD03978"/>
    <x v="833"/>
    <x v="1"/>
    <x v="9"/>
    <x v="0"/>
    <x v="3928"/>
    <x v="3761"/>
    <x v="0"/>
    <x v="2"/>
  </r>
  <r>
    <s v="ORD03979"/>
    <x v="35"/>
    <x v="0"/>
    <x v="3"/>
    <x v="2"/>
    <x v="3929"/>
    <x v="3762"/>
    <x v="0"/>
    <x v="1"/>
  </r>
  <r>
    <s v="ORD03980"/>
    <x v="379"/>
    <x v="2"/>
    <x v="10"/>
    <x v="2"/>
    <x v="3930"/>
    <x v="3763"/>
    <x v="2"/>
    <x v="1"/>
  </r>
  <r>
    <s v="ORD03981"/>
    <x v="822"/>
    <x v="0"/>
    <x v="14"/>
    <x v="2"/>
    <x v="3931"/>
    <x v="2815"/>
    <x v="2"/>
    <x v="1"/>
  </r>
  <r>
    <s v="ORD03982"/>
    <x v="887"/>
    <x v="0"/>
    <x v="12"/>
    <x v="2"/>
    <x v="3932"/>
    <x v="3764"/>
    <x v="1"/>
    <x v="3"/>
  </r>
  <r>
    <s v="ORD03983"/>
    <x v="194"/>
    <x v="2"/>
    <x v="13"/>
    <x v="1"/>
    <x v="3933"/>
    <x v="3765"/>
    <x v="2"/>
    <x v="2"/>
  </r>
  <r>
    <s v="ORD03984"/>
    <x v="731"/>
    <x v="3"/>
    <x v="2"/>
    <x v="1"/>
    <x v="3934"/>
    <x v="3766"/>
    <x v="1"/>
    <x v="3"/>
  </r>
  <r>
    <s v="ORD03985"/>
    <x v="560"/>
    <x v="0"/>
    <x v="14"/>
    <x v="2"/>
    <x v="3935"/>
    <x v="3767"/>
    <x v="1"/>
    <x v="0"/>
  </r>
  <r>
    <s v="ORD03986"/>
    <x v="72"/>
    <x v="1"/>
    <x v="0"/>
    <x v="0"/>
    <x v="3936"/>
    <x v="3768"/>
    <x v="2"/>
    <x v="0"/>
  </r>
  <r>
    <s v="ORD03987"/>
    <x v="1062"/>
    <x v="3"/>
    <x v="4"/>
    <x v="0"/>
    <x v="3937"/>
    <x v="3769"/>
    <x v="2"/>
    <x v="1"/>
  </r>
  <r>
    <s v="ORD03988"/>
    <x v="195"/>
    <x v="3"/>
    <x v="14"/>
    <x v="2"/>
    <x v="3938"/>
    <x v="3770"/>
    <x v="2"/>
    <x v="1"/>
  </r>
  <r>
    <s v="ORD03989"/>
    <x v="242"/>
    <x v="3"/>
    <x v="9"/>
    <x v="0"/>
    <x v="3939"/>
    <x v="1112"/>
    <x v="1"/>
    <x v="3"/>
  </r>
  <r>
    <s v="ORD03990"/>
    <x v="650"/>
    <x v="3"/>
    <x v="14"/>
    <x v="2"/>
    <x v="3940"/>
    <x v="3771"/>
    <x v="2"/>
    <x v="1"/>
  </r>
  <r>
    <s v="ORD03992"/>
    <x v="91"/>
    <x v="2"/>
    <x v="6"/>
    <x v="0"/>
    <x v="3941"/>
    <x v="3772"/>
    <x v="0"/>
    <x v="2"/>
  </r>
  <r>
    <s v="ORD03993"/>
    <x v="450"/>
    <x v="2"/>
    <x v="11"/>
    <x v="2"/>
    <x v="3942"/>
    <x v="3430"/>
    <x v="0"/>
    <x v="1"/>
  </r>
  <r>
    <s v="ORD03994"/>
    <x v="316"/>
    <x v="2"/>
    <x v="9"/>
    <x v="0"/>
    <x v="3943"/>
    <x v="3773"/>
    <x v="2"/>
    <x v="1"/>
  </r>
  <r>
    <s v="ORD03995"/>
    <x v="80"/>
    <x v="1"/>
    <x v="5"/>
    <x v="1"/>
    <x v="3944"/>
    <x v="3774"/>
    <x v="2"/>
    <x v="0"/>
  </r>
  <r>
    <s v="ORD03996"/>
    <x v="769"/>
    <x v="3"/>
    <x v="6"/>
    <x v="0"/>
    <x v="3945"/>
    <x v="3775"/>
    <x v="0"/>
    <x v="1"/>
  </r>
  <r>
    <s v="ORD03997"/>
    <x v="940"/>
    <x v="0"/>
    <x v="0"/>
    <x v="0"/>
    <x v="3946"/>
    <x v="1776"/>
    <x v="1"/>
    <x v="3"/>
  </r>
  <r>
    <s v="ORD03998"/>
    <x v="81"/>
    <x v="2"/>
    <x v="5"/>
    <x v="1"/>
    <x v="3947"/>
    <x v="3776"/>
    <x v="2"/>
    <x v="2"/>
  </r>
  <r>
    <s v="ORD03999"/>
    <x v="663"/>
    <x v="2"/>
    <x v="0"/>
    <x v="0"/>
    <x v="3948"/>
    <x v="3777"/>
    <x v="1"/>
    <x v="0"/>
  </r>
  <r>
    <s v="ORD04000"/>
    <x v="1037"/>
    <x v="2"/>
    <x v="14"/>
    <x v="2"/>
    <x v="3949"/>
    <x v="3778"/>
    <x v="0"/>
    <x v="0"/>
  </r>
  <r>
    <s v="ORD04001"/>
    <x v="339"/>
    <x v="2"/>
    <x v="5"/>
    <x v="1"/>
    <x v="3950"/>
    <x v="3779"/>
    <x v="1"/>
    <x v="0"/>
  </r>
  <r>
    <s v="ORD04002"/>
    <x v="579"/>
    <x v="3"/>
    <x v="3"/>
    <x v="2"/>
    <x v="3951"/>
    <x v="2524"/>
    <x v="2"/>
    <x v="1"/>
  </r>
  <r>
    <s v="ORD04003"/>
    <x v="333"/>
    <x v="1"/>
    <x v="5"/>
    <x v="1"/>
    <x v="3952"/>
    <x v="3780"/>
    <x v="1"/>
    <x v="2"/>
  </r>
  <r>
    <s v="ORD04004"/>
    <x v="923"/>
    <x v="0"/>
    <x v="7"/>
    <x v="0"/>
    <x v="3953"/>
    <x v="3781"/>
    <x v="2"/>
    <x v="1"/>
  </r>
  <r>
    <s v="ORD04005"/>
    <x v="376"/>
    <x v="3"/>
    <x v="14"/>
    <x v="2"/>
    <x v="3954"/>
    <x v="3782"/>
    <x v="1"/>
    <x v="3"/>
  </r>
  <r>
    <s v="ORD04006"/>
    <x v="812"/>
    <x v="3"/>
    <x v="14"/>
    <x v="2"/>
    <x v="3955"/>
    <x v="3783"/>
    <x v="2"/>
    <x v="2"/>
  </r>
  <r>
    <s v="ORD04007"/>
    <x v="437"/>
    <x v="1"/>
    <x v="4"/>
    <x v="0"/>
    <x v="3956"/>
    <x v="3784"/>
    <x v="0"/>
    <x v="3"/>
  </r>
  <r>
    <s v="ORD04008"/>
    <x v="37"/>
    <x v="3"/>
    <x v="10"/>
    <x v="2"/>
    <x v="3957"/>
    <x v="3785"/>
    <x v="1"/>
    <x v="0"/>
  </r>
  <r>
    <s v="ORD04009"/>
    <x v="105"/>
    <x v="0"/>
    <x v="3"/>
    <x v="2"/>
    <x v="3958"/>
    <x v="3786"/>
    <x v="1"/>
    <x v="2"/>
  </r>
  <r>
    <s v="ORD04010"/>
    <x v="449"/>
    <x v="2"/>
    <x v="7"/>
    <x v="0"/>
    <x v="3959"/>
    <x v="2132"/>
    <x v="1"/>
    <x v="0"/>
  </r>
  <r>
    <s v="ORD04011"/>
    <x v="913"/>
    <x v="3"/>
    <x v="5"/>
    <x v="1"/>
    <x v="3960"/>
    <x v="3787"/>
    <x v="1"/>
    <x v="3"/>
  </r>
  <r>
    <s v="ORD04012"/>
    <x v="1003"/>
    <x v="0"/>
    <x v="6"/>
    <x v="0"/>
    <x v="3961"/>
    <x v="3788"/>
    <x v="2"/>
    <x v="0"/>
  </r>
  <r>
    <s v="ORD04013"/>
    <x v="787"/>
    <x v="1"/>
    <x v="14"/>
    <x v="2"/>
    <x v="3962"/>
    <x v="3789"/>
    <x v="2"/>
    <x v="1"/>
  </r>
  <r>
    <s v="ORD04014"/>
    <x v="426"/>
    <x v="2"/>
    <x v="9"/>
    <x v="0"/>
    <x v="3963"/>
    <x v="3790"/>
    <x v="1"/>
    <x v="0"/>
  </r>
  <r>
    <s v="ORD04015"/>
    <x v="267"/>
    <x v="1"/>
    <x v="5"/>
    <x v="1"/>
    <x v="3964"/>
    <x v="3791"/>
    <x v="2"/>
    <x v="3"/>
  </r>
  <r>
    <s v="ORD04016"/>
    <x v="1001"/>
    <x v="2"/>
    <x v="5"/>
    <x v="1"/>
    <x v="3965"/>
    <x v="3792"/>
    <x v="0"/>
    <x v="3"/>
  </r>
  <r>
    <s v="ORD04017"/>
    <x v="237"/>
    <x v="0"/>
    <x v="9"/>
    <x v="0"/>
    <x v="3966"/>
    <x v="3793"/>
    <x v="0"/>
    <x v="2"/>
  </r>
  <r>
    <s v="ORD04018"/>
    <x v="69"/>
    <x v="0"/>
    <x v="7"/>
    <x v="0"/>
    <x v="3967"/>
    <x v="3794"/>
    <x v="1"/>
    <x v="3"/>
  </r>
  <r>
    <s v="ORD04019"/>
    <x v="435"/>
    <x v="2"/>
    <x v="12"/>
    <x v="2"/>
    <x v="3968"/>
    <x v="3795"/>
    <x v="2"/>
    <x v="3"/>
  </r>
  <r>
    <s v="ORD04020"/>
    <x v="390"/>
    <x v="1"/>
    <x v="13"/>
    <x v="1"/>
    <x v="3969"/>
    <x v="3796"/>
    <x v="0"/>
    <x v="1"/>
  </r>
  <r>
    <s v="ORD04021"/>
    <x v="760"/>
    <x v="2"/>
    <x v="0"/>
    <x v="0"/>
    <x v="3970"/>
    <x v="1238"/>
    <x v="1"/>
    <x v="3"/>
  </r>
  <r>
    <s v="ORD04022"/>
    <x v="936"/>
    <x v="0"/>
    <x v="7"/>
    <x v="0"/>
    <x v="3971"/>
    <x v="3797"/>
    <x v="2"/>
    <x v="0"/>
  </r>
  <r>
    <s v="ORD04023"/>
    <x v="630"/>
    <x v="1"/>
    <x v="6"/>
    <x v="0"/>
    <x v="3972"/>
    <x v="3798"/>
    <x v="2"/>
    <x v="0"/>
  </r>
  <r>
    <s v="ORD04024"/>
    <x v="546"/>
    <x v="2"/>
    <x v="11"/>
    <x v="2"/>
    <x v="3973"/>
    <x v="3799"/>
    <x v="1"/>
    <x v="0"/>
  </r>
  <r>
    <s v="ORD04025"/>
    <x v="969"/>
    <x v="2"/>
    <x v="8"/>
    <x v="1"/>
    <x v="3974"/>
    <x v="1517"/>
    <x v="1"/>
    <x v="0"/>
  </r>
  <r>
    <s v="ORD04026"/>
    <x v="639"/>
    <x v="1"/>
    <x v="10"/>
    <x v="2"/>
    <x v="3975"/>
    <x v="3800"/>
    <x v="1"/>
    <x v="2"/>
  </r>
  <r>
    <s v="ORD04027"/>
    <x v="454"/>
    <x v="2"/>
    <x v="13"/>
    <x v="1"/>
    <x v="3976"/>
    <x v="3801"/>
    <x v="2"/>
    <x v="2"/>
  </r>
  <r>
    <s v="ORD04028"/>
    <x v="461"/>
    <x v="2"/>
    <x v="8"/>
    <x v="1"/>
    <x v="3977"/>
    <x v="3802"/>
    <x v="0"/>
    <x v="2"/>
  </r>
  <r>
    <s v="ORD04029"/>
    <x v="998"/>
    <x v="0"/>
    <x v="13"/>
    <x v="1"/>
    <x v="3978"/>
    <x v="3803"/>
    <x v="0"/>
    <x v="1"/>
  </r>
  <r>
    <s v="ORD04030"/>
    <x v="723"/>
    <x v="1"/>
    <x v="10"/>
    <x v="2"/>
    <x v="3979"/>
    <x v="3804"/>
    <x v="2"/>
    <x v="3"/>
  </r>
  <r>
    <s v="ORD04031"/>
    <x v="965"/>
    <x v="0"/>
    <x v="0"/>
    <x v="0"/>
    <x v="3980"/>
    <x v="3805"/>
    <x v="2"/>
    <x v="0"/>
  </r>
  <r>
    <s v="ORD04032"/>
    <x v="204"/>
    <x v="0"/>
    <x v="2"/>
    <x v="1"/>
    <x v="3981"/>
    <x v="3806"/>
    <x v="0"/>
    <x v="3"/>
  </r>
  <r>
    <s v="ORD04033"/>
    <x v="540"/>
    <x v="0"/>
    <x v="3"/>
    <x v="2"/>
    <x v="3982"/>
    <x v="3807"/>
    <x v="0"/>
    <x v="0"/>
  </r>
  <r>
    <s v="ORD04034"/>
    <x v="582"/>
    <x v="2"/>
    <x v="4"/>
    <x v="0"/>
    <x v="3983"/>
    <x v="3808"/>
    <x v="2"/>
    <x v="3"/>
  </r>
  <r>
    <s v="ORD04035"/>
    <x v="976"/>
    <x v="2"/>
    <x v="9"/>
    <x v="0"/>
    <x v="3984"/>
    <x v="3714"/>
    <x v="2"/>
    <x v="0"/>
  </r>
  <r>
    <s v="ORD04036"/>
    <x v="379"/>
    <x v="3"/>
    <x v="3"/>
    <x v="2"/>
    <x v="3985"/>
    <x v="3809"/>
    <x v="0"/>
    <x v="2"/>
  </r>
  <r>
    <s v="ORD04037"/>
    <x v="572"/>
    <x v="2"/>
    <x v="8"/>
    <x v="1"/>
    <x v="3986"/>
    <x v="3662"/>
    <x v="1"/>
    <x v="0"/>
  </r>
  <r>
    <s v="ORD04038"/>
    <x v="56"/>
    <x v="0"/>
    <x v="6"/>
    <x v="0"/>
    <x v="3987"/>
    <x v="3810"/>
    <x v="2"/>
    <x v="1"/>
  </r>
  <r>
    <s v="ORD04039"/>
    <x v="1063"/>
    <x v="0"/>
    <x v="4"/>
    <x v="0"/>
    <x v="3988"/>
    <x v="3811"/>
    <x v="1"/>
    <x v="1"/>
  </r>
  <r>
    <s v="ORD04040"/>
    <x v="328"/>
    <x v="2"/>
    <x v="6"/>
    <x v="0"/>
    <x v="3989"/>
    <x v="3812"/>
    <x v="0"/>
    <x v="3"/>
  </r>
  <r>
    <s v="ORD04041"/>
    <x v="221"/>
    <x v="3"/>
    <x v="3"/>
    <x v="2"/>
    <x v="3990"/>
    <x v="3813"/>
    <x v="2"/>
    <x v="2"/>
  </r>
  <r>
    <s v="ORD04042"/>
    <x v="1064"/>
    <x v="0"/>
    <x v="10"/>
    <x v="2"/>
    <x v="3991"/>
    <x v="3814"/>
    <x v="0"/>
    <x v="2"/>
  </r>
  <r>
    <s v="ORD04043"/>
    <x v="933"/>
    <x v="1"/>
    <x v="3"/>
    <x v="2"/>
    <x v="3992"/>
    <x v="3815"/>
    <x v="2"/>
    <x v="3"/>
  </r>
  <r>
    <s v="ORD04044"/>
    <x v="1006"/>
    <x v="2"/>
    <x v="1"/>
    <x v="1"/>
    <x v="3993"/>
    <x v="3816"/>
    <x v="0"/>
    <x v="1"/>
  </r>
  <r>
    <s v="ORD04045"/>
    <x v="858"/>
    <x v="1"/>
    <x v="11"/>
    <x v="2"/>
    <x v="3994"/>
    <x v="3817"/>
    <x v="1"/>
    <x v="1"/>
  </r>
  <r>
    <s v="ORD04046"/>
    <x v="808"/>
    <x v="1"/>
    <x v="10"/>
    <x v="2"/>
    <x v="3995"/>
    <x v="1008"/>
    <x v="2"/>
    <x v="0"/>
  </r>
  <r>
    <s v="ORD04047"/>
    <x v="794"/>
    <x v="0"/>
    <x v="11"/>
    <x v="2"/>
    <x v="3996"/>
    <x v="1026"/>
    <x v="2"/>
    <x v="3"/>
  </r>
  <r>
    <s v="ORD04048"/>
    <x v="697"/>
    <x v="1"/>
    <x v="1"/>
    <x v="1"/>
    <x v="3997"/>
    <x v="3818"/>
    <x v="2"/>
    <x v="0"/>
  </r>
  <r>
    <s v="ORD04049"/>
    <x v="282"/>
    <x v="0"/>
    <x v="14"/>
    <x v="2"/>
    <x v="3998"/>
    <x v="3819"/>
    <x v="0"/>
    <x v="3"/>
  </r>
  <r>
    <s v="ORD04050"/>
    <x v="1003"/>
    <x v="3"/>
    <x v="9"/>
    <x v="0"/>
    <x v="3999"/>
    <x v="3820"/>
    <x v="1"/>
    <x v="3"/>
  </r>
  <r>
    <s v="ORD04051"/>
    <x v="749"/>
    <x v="3"/>
    <x v="7"/>
    <x v="0"/>
    <x v="4000"/>
    <x v="3821"/>
    <x v="2"/>
    <x v="0"/>
  </r>
  <r>
    <s v="ORD04052"/>
    <x v="4"/>
    <x v="3"/>
    <x v="2"/>
    <x v="1"/>
    <x v="4001"/>
    <x v="3822"/>
    <x v="0"/>
    <x v="3"/>
  </r>
  <r>
    <s v="ORD04053"/>
    <x v="88"/>
    <x v="1"/>
    <x v="14"/>
    <x v="2"/>
    <x v="4002"/>
    <x v="1444"/>
    <x v="0"/>
    <x v="0"/>
  </r>
  <r>
    <s v="ORD04054"/>
    <x v="88"/>
    <x v="1"/>
    <x v="6"/>
    <x v="0"/>
    <x v="4003"/>
    <x v="3823"/>
    <x v="2"/>
    <x v="2"/>
  </r>
  <r>
    <s v="ORD04055"/>
    <x v="1039"/>
    <x v="0"/>
    <x v="1"/>
    <x v="1"/>
    <x v="4004"/>
    <x v="3824"/>
    <x v="2"/>
    <x v="2"/>
  </r>
  <r>
    <s v="ORD04056"/>
    <x v="681"/>
    <x v="0"/>
    <x v="12"/>
    <x v="2"/>
    <x v="4005"/>
    <x v="3825"/>
    <x v="0"/>
    <x v="2"/>
  </r>
  <r>
    <s v="ORD04057"/>
    <x v="804"/>
    <x v="3"/>
    <x v="0"/>
    <x v="0"/>
    <x v="4006"/>
    <x v="3826"/>
    <x v="2"/>
    <x v="0"/>
  </r>
  <r>
    <s v="ORD04058"/>
    <x v="185"/>
    <x v="0"/>
    <x v="11"/>
    <x v="2"/>
    <x v="4007"/>
    <x v="3827"/>
    <x v="1"/>
    <x v="2"/>
  </r>
  <r>
    <s v="ORD04059"/>
    <x v="1065"/>
    <x v="3"/>
    <x v="10"/>
    <x v="2"/>
    <x v="4008"/>
    <x v="3828"/>
    <x v="1"/>
    <x v="0"/>
  </r>
  <r>
    <s v="ORD04060"/>
    <x v="146"/>
    <x v="1"/>
    <x v="12"/>
    <x v="2"/>
    <x v="4009"/>
    <x v="121"/>
    <x v="0"/>
    <x v="2"/>
  </r>
  <r>
    <s v="ORD04061"/>
    <x v="825"/>
    <x v="0"/>
    <x v="9"/>
    <x v="0"/>
    <x v="4010"/>
    <x v="3829"/>
    <x v="2"/>
    <x v="3"/>
  </r>
  <r>
    <s v="ORD04062"/>
    <x v="813"/>
    <x v="1"/>
    <x v="2"/>
    <x v="1"/>
    <x v="4011"/>
    <x v="621"/>
    <x v="0"/>
    <x v="2"/>
  </r>
  <r>
    <s v="ORD04063"/>
    <x v="1066"/>
    <x v="1"/>
    <x v="7"/>
    <x v="0"/>
    <x v="4012"/>
    <x v="3830"/>
    <x v="0"/>
    <x v="0"/>
  </r>
  <r>
    <s v="ORD04064"/>
    <x v="310"/>
    <x v="0"/>
    <x v="5"/>
    <x v="1"/>
    <x v="4013"/>
    <x v="3831"/>
    <x v="2"/>
    <x v="0"/>
  </r>
  <r>
    <s v="ORD04065"/>
    <x v="52"/>
    <x v="3"/>
    <x v="8"/>
    <x v="1"/>
    <x v="4014"/>
    <x v="3832"/>
    <x v="2"/>
    <x v="3"/>
  </r>
  <r>
    <s v="ORD04066"/>
    <x v="1044"/>
    <x v="3"/>
    <x v="10"/>
    <x v="2"/>
    <x v="4015"/>
    <x v="3833"/>
    <x v="1"/>
    <x v="0"/>
  </r>
  <r>
    <s v="ORD04067"/>
    <x v="308"/>
    <x v="2"/>
    <x v="2"/>
    <x v="1"/>
    <x v="4016"/>
    <x v="3834"/>
    <x v="0"/>
    <x v="3"/>
  </r>
  <r>
    <s v="ORD04068"/>
    <x v="402"/>
    <x v="1"/>
    <x v="9"/>
    <x v="0"/>
    <x v="4017"/>
    <x v="3835"/>
    <x v="0"/>
    <x v="0"/>
  </r>
  <r>
    <s v="ORD04069"/>
    <x v="150"/>
    <x v="2"/>
    <x v="5"/>
    <x v="1"/>
    <x v="4018"/>
    <x v="3836"/>
    <x v="2"/>
    <x v="2"/>
  </r>
  <r>
    <s v="ORD04070"/>
    <x v="814"/>
    <x v="1"/>
    <x v="5"/>
    <x v="1"/>
    <x v="4019"/>
    <x v="3837"/>
    <x v="0"/>
    <x v="2"/>
  </r>
  <r>
    <s v="ORD04071"/>
    <x v="132"/>
    <x v="1"/>
    <x v="7"/>
    <x v="0"/>
    <x v="4020"/>
    <x v="809"/>
    <x v="2"/>
    <x v="2"/>
  </r>
  <r>
    <s v="ORD04072"/>
    <x v="1012"/>
    <x v="0"/>
    <x v="0"/>
    <x v="0"/>
    <x v="4021"/>
    <x v="3838"/>
    <x v="0"/>
    <x v="2"/>
  </r>
  <r>
    <s v="ORD04073"/>
    <x v="611"/>
    <x v="0"/>
    <x v="8"/>
    <x v="1"/>
    <x v="4022"/>
    <x v="3839"/>
    <x v="1"/>
    <x v="2"/>
  </r>
  <r>
    <s v="ORD04074"/>
    <x v="201"/>
    <x v="0"/>
    <x v="13"/>
    <x v="1"/>
    <x v="4023"/>
    <x v="3840"/>
    <x v="2"/>
    <x v="1"/>
  </r>
  <r>
    <s v="ORD04075"/>
    <x v="756"/>
    <x v="2"/>
    <x v="6"/>
    <x v="0"/>
    <x v="4024"/>
    <x v="3841"/>
    <x v="2"/>
    <x v="2"/>
  </r>
  <r>
    <s v="ORD04076"/>
    <x v="294"/>
    <x v="0"/>
    <x v="1"/>
    <x v="1"/>
    <x v="4025"/>
    <x v="3842"/>
    <x v="1"/>
    <x v="2"/>
  </r>
  <r>
    <s v="ORD04077"/>
    <x v="145"/>
    <x v="0"/>
    <x v="6"/>
    <x v="0"/>
    <x v="4026"/>
    <x v="3843"/>
    <x v="2"/>
    <x v="2"/>
  </r>
  <r>
    <s v="ORD04078"/>
    <x v="250"/>
    <x v="1"/>
    <x v="0"/>
    <x v="0"/>
    <x v="4027"/>
    <x v="3844"/>
    <x v="0"/>
    <x v="2"/>
  </r>
  <r>
    <s v="ORD04079"/>
    <x v="448"/>
    <x v="3"/>
    <x v="2"/>
    <x v="1"/>
    <x v="2971"/>
    <x v="3845"/>
    <x v="1"/>
    <x v="3"/>
  </r>
  <r>
    <s v="ORD04080"/>
    <x v="340"/>
    <x v="2"/>
    <x v="4"/>
    <x v="0"/>
    <x v="4028"/>
    <x v="3846"/>
    <x v="0"/>
    <x v="2"/>
  </r>
  <r>
    <s v="ORD04081"/>
    <x v="785"/>
    <x v="0"/>
    <x v="0"/>
    <x v="0"/>
    <x v="4029"/>
    <x v="84"/>
    <x v="0"/>
    <x v="2"/>
  </r>
  <r>
    <s v="ORD04082"/>
    <x v="528"/>
    <x v="3"/>
    <x v="12"/>
    <x v="2"/>
    <x v="4030"/>
    <x v="3847"/>
    <x v="1"/>
    <x v="3"/>
  </r>
  <r>
    <s v="ORD04083"/>
    <x v="759"/>
    <x v="2"/>
    <x v="2"/>
    <x v="1"/>
    <x v="4031"/>
    <x v="3848"/>
    <x v="1"/>
    <x v="3"/>
  </r>
  <r>
    <s v="ORD04084"/>
    <x v="106"/>
    <x v="1"/>
    <x v="1"/>
    <x v="1"/>
    <x v="4032"/>
    <x v="3849"/>
    <x v="0"/>
    <x v="3"/>
  </r>
  <r>
    <s v="ORD04085"/>
    <x v="106"/>
    <x v="3"/>
    <x v="4"/>
    <x v="0"/>
    <x v="4033"/>
    <x v="3850"/>
    <x v="1"/>
    <x v="2"/>
  </r>
  <r>
    <s v="ORD04086"/>
    <x v="821"/>
    <x v="0"/>
    <x v="1"/>
    <x v="1"/>
    <x v="4034"/>
    <x v="3851"/>
    <x v="2"/>
    <x v="3"/>
  </r>
  <r>
    <s v="ORD04087"/>
    <x v="226"/>
    <x v="0"/>
    <x v="14"/>
    <x v="2"/>
    <x v="4035"/>
    <x v="3852"/>
    <x v="2"/>
    <x v="3"/>
  </r>
  <r>
    <s v="ORD04088"/>
    <x v="966"/>
    <x v="0"/>
    <x v="4"/>
    <x v="0"/>
    <x v="4036"/>
    <x v="3853"/>
    <x v="2"/>
    <x v="1"/>
  </r>
  <r>
    <s v="ORD04089"/>
    <x v="485"/>
    <x v="3"/>
    <x v="2"/>
    <x v="1"/>
    <x v="4037"/>
    <x v="3854"/>
    <x v="2"/>
    <x v="1"/>
  </r>
  <r>
    <s v="ORD04090"/>
    <x v="932"/>
    <x v="2"/>
    <x v="3"/>
    <x v="2"/>
    <x v="4038"/>
    <x v="3855"/>
    <x v="2"/>
    <x v="2"/>
  </r>
  <r>
    <s v="ORD04091"/>
    <x v="713"/>
    <x v="3"/>
    <x v="3"/>
    <x v="2"/>
    <x v="4039"/>
    <x v="3856"/>
    <x v="1"/>
    <x v="1"/>
  </r>
  <r>
    <s v="ORD04092"/>
    <x v="244"/>
    <x v="2"/>
    <x v="8"/>
    <x v="1"/>
    <x v="4040"/>
    <x v="3857"/>
    <x v="1"/>
    <x v="1"/>
  </r>
  <r>
    <s v="ORD04093"/>
    <x v="544"/>
    <x v="1"/>
    <x v="1"/>
    <x v="1"/>
    <x v="4041"/>
    <x v="3858"/>
    <x v="0"/>
    <x v="3"/>
  </r>
  <r>
    <s v="ORD04094"/>
    <x v="732"/>
    <x v="1"/>
    <x v="11"/>
    <x v="2"/>
    <x v="4042"/>
    <x v="3859"/>
    <x v="1"/>
    <x v="0"/>
  </r>
  <r>
    <s v="ORD04095"/>
    <x v="589"/>
    <x v="1"/>
    <x v="9"/>
    <x v="0"/>
    <x v="4043"/>
    <x v="3860"/>
    <x v="0"/>
    <x v="1"/>
  </r>
  <r>
    <s v="ORD04096"/>
    <x v="389"/>
    <x v="2"/>
    <x v="5"/>
    <x v="1"/>
    <x v="4044"/>
    <x v="506"/>
    <x v="2"/>
    <x v="1"/>
  </r>
  <r>
    <s v="ORD04097"/>
    <x v="507"/>
    <x v="3"/>
    <x v="2"/>
    <x v="1"/>
    <x v="4045"/>
    <x v="3861"/>
    <x v="1"/>
    <x v="0"/>
  </r>
  <r>
    <s v="ORD04098"/>
    <x v="827"/>
    <x v="2"/>
    <x v="7"/>
    <x v="0"/>
    <x v="4046"/>
    <x v="3862"/>
    <x v="2"/>
    <x v="3"/>
  </r>
  <r>
    <s v="ORD04099"/>
    <x v="1047"/>
    <x v="1"/>
    <x v="14"/>
    <x v="2"/>
    <x v="4047"/>
    <x v="3863"/>
    <x v="1"/>
    <x v="3"/>
  </r>
  <r>
    <s v="ORD04100"/>
    <x v="601"/>
    <x v="2"/>
    <x v="10"/>
    <x v="2"/>
    <x v="4048"/>
    <x v="3864"/>
    <x v="1"/>
    <x v="1"/>
  </r>
  <r>
    <s v="ORD04101"/>
    <x v="794"/>
    <x v="1"/>
    <x v="11"/>
    <x v="2"/>
    <x v="4049"/>
    <x v="3865"/>
    <x v="1"/>
    <x v="2"/>
  </r>
  <r>
    <s v="ORD04102"/>
    <x v="986"/>
    <x v="1"/>
    <x v="9"/>
    <x v="0"/>
    <x v="4050"/>
    <x v="3866"/>
    <x v="1"/>
    <x v="2"/>
  </r>
  <r>
    <s v="ORD04103"/>
    <x v="415"/>
    <x v="2"/>
    <x v="6"/>
    <x v="0"/>
    <x v="4051"/>
    <x v="3867"/>
    <x v="2"/>
    <x v="1"/>
  </r>
  <r>
    <s v="ORD04104"/>
    <x v="576"/>
    <x v="3"/>
    <x v="2"/>
    <x v="1"/>
    <x v="4052"/>
    <x v="3868"/>
    <x v="2"/>
    <x v="2"/>
  </r>
  <r>
    <s v="ORD04105"/>
    <x v="354"/>
    <x v="1"/>
    <x v="6"/>
    <x v="0"/>
    <x v="2576"/>
    <x v="3869"/>
    <x v="2"/>
    <x v="2"/>
  </r>
  <r>
    <s v="ORD04106"/>
    <x v="938"/>
    <x v="1"/>
    <x v="14"/>
    <x v="2"/>
    <x v="4053"/>
    <x v="3870"/>
    <x v="2"/>
    <x v="0"/>
  </r>
  <r>
    <s v="ORD04107"/>
    <x v="913"/>
    <x v="2"/>
    <x v="8"/>
    <x v="1"/>
    <x v="4054"/>
    <x v="3871"/>
    <x v="1"/>
    <x v="3"/>
  </r>
  <r>
    <s v="ORD04108"/>
    <x v="540"/>
    <x v="3"/>
    <x v="13"/>
    <x v="1"/>
    <x v="4055"/>
    <x v="3872"/>
    <x v="1"/>
    <x v="0"/>
  </r>
  <r>
    <s v="ORD04109"/>
    <x v="601"/>
    <x v="0"/>
    <x v="1"/>
    <x v="1"/>
    <x v="4056"/>
    <x v="3873"/>
    <x v="1"/>
    <x v="1"/>
  </r>
  <r>
    <s v="ORD04110"/>
    <x v="578"/>
    <x v="3"/>
    <x v="4"/>
    <x v="0"/>
    <x v="4057"/>
    <x v="3874"/>
    <x v="2"/>
    <x v="0"/>
  </r>
  <r>
    <s v="ORD04111"/>
    <x v="347"/>
    <x v="1"/>
    <x v="13"/>
    <x v="1"/>
    <x v="4058"/>
    <x v="3875"/>
    <x v="2"/>
    <x v="1"/>
  </r>
  <r>
    <s v="ORD04112"/>
    <x v="481"/>
    <x v="0"/>
    <x v="0"/>
    <x v="0"/>
    <x v="4059"/>
    <x v="3876"/>
    <x v="1"/>
    <x v="3"/>
  </r>
  <r>
    <s v="ORD04113"/>
    <x v="1012"/>
    <x v="1"/>
    <x v="11"/>
    <x v="2"/>
    <x v="4060"/>
    <x v="3877"/>
    <x v="1"/>
    <x v="2"/>
  </r>
  <r>
    <s v="ORD04114"/>
    <x v="928"/>
    <x v="2"/>
    <x v="9"/>
    <x v="0"/>
    <x v="4061"/>
    <x v="3878"/>
    <x v="1"/>
    <x v="1"/>
  </r>
  <r>
    <s v="ORD04115"/>
    <x v="745"/>
    <x v="1"/>
    <x v="13"/>
    <x v="1"/>
    <x v="4062"/>
    <x v="3879"/>
    <x v="2"/>
    <x v="2"/>
  </r>
  <r>
    <s v="ORD04116"/>
    <x v="798"/>
    <x v="2"/>
    <x v="8"/>
    <x v="1"/>
    <x v="4063"/>
    <x v="3880"/>
    <x v="2"/>
    <x v="0"/>
  </r>
  <r>
    <s v="ORD04117"/>
    <x v="287"/>
    <x v="3"/>
    <x v="5"/>
    <x v="1"/>
    <x v="4064"/>
    <x v="3881"/>
    <x v="1"/>
    <x v="3"/>
  </r>
  <r>
    <s v="ORD04118"/>
    <x v="594"/>
    <x v="0"/>
    <x v="5"/>
    <x v="1"/>
    <x v="4065"/>
    <x v="3882"/>
    <x v="2"/>
    <x v="0"/>
  </r>
  <r>
    <s v="ORD04119"/>
    <x v="520"/>
    <x v="3"/>
    <x v="12"/>
    <x v="2"/>
    <x v="4066"/>
    <x v="3883"/>
    <x v="0"/>
    <x v="1"/>
  </r>
  <r>
    <s v="ORD04120"/>
    <x v="179"/>
    <x v="2"/>
    <x v="6"/>
    <x v="0"/>
    <x v="4067"/>
    <x v="3884"/>
    <x v="2"/>
    <x v="3"/>
  </r>
  <r>
    <s v="ORD04121"/>
    <x v="214"/>
    <x v="3"/>
    <x v="6"/>
    <x v="0"/>
    <x v="4068"/>
    <x v="202"/>
    <x v="1"/>
    <x v="1"/>
  </r>
  <r>
    <s v="ORD04122"/>
    <x v="744"/>
    <x v="0"/>
    <x v="0"/>
    <x v="0"/>
    <x v="4069"/>
    <x v="3885"/>
    <x v="2"/>
    <x v="2"/>
  </r>
  <r>
    <s v="ORD04123"/>
    <x v="1067"/>
    <x v="3"/>
    <x v="12"/>
    <x v="2"/>
    <x v="4070"/>
    <x v="3886"/>
    <x v="1"/>
    <x v="2"/>
  </r>
  <r>
    <s v="ORD04124"/>
    <x v="264"/>
    <x v="2"/>
    <x v="10"/>
    <x v="2"/>
    <x v="4071"/>
    <x v="3887"/>
    <x v="0"/>
    <x v="0"/>
  </r>
  <r>
    <s v="ORD04125"/>
    <x v="1068"/>
    <x v="2"/>
    <x v="1"/>
    <x v="1"/>
    <x v="4072"/>
    <x v="3888"/>
    <x v="1"/>
    <x v="0"/>
  </r>
  <r>
    <s v="ORD04126"/>
    <x v="870"/>
    <x v="1"/>
    <x v="9"/>
    <x v="0"/>
    <x v="4073"/>
    <x v="3889"/>
    <x v="0"/>
    <x v="0"/>
  </r>
  <r>
    <s v="ORD04127"/>
    <x v="539"/>
    <x v="3"/>
    <x v="7"/>
    <x v="0"/>
    <x v="4074"/>
    <x v="3389"/>
    <x v="1"/>
    <x v="3"/>
  </r>
  <r>
    <s v="ORD04128"/>
    <x v="1000"/>
    <x v="2"/>
    <x v="5"/>
    <x v="1"/>
    <x v="4075"/>
    <x v="3890"/>
    <x v="1"/>
    <x v="3"/>
  </r>
  <r>
    <s v="ORD04129"/>
    <x v="639"/>
    <x v="1"/>
    <x v="13"/>
    <x v="1"/>
    <x v="4076"/>
    <x v="3891"/>
    <x v="2"/>
    <x v="3"/>
  </r>
  <r>
    <s v="ORD04130"/>
    <x v="1058"/>
    <x v="1"/>
    <x v="4"/>
    <x v="0"/>
    <x v="4077"/>
    <x v="900"/>
    <x v="1"/>
    <x v="2"/>
  </r>
  <r>
    <s v="ORD04131"/>
    <x v="910"/>
    <x v="0"/>
    <x v="13"/>
    <x v="1"/>
    <x v="4078"/>
    <x v="3892"/>
    <x v="1"/>
    <x v="2"/>
  </r>
  <r>
    <s v="ORD04132"/>
    <x v="214"/>
    <x v="0"/>
    <x v="3"/>
    <x v="2"/>
    <x v="4079"/>
    <x v="3893"/>
    <x v="1"/>
    <x v="0"/>
  </r>
  <r>
    <s v="ORD04133"/>
    <x v="717"/>
    <x v="3"/>
    <x v="6"/>
    <x v="0"/>
    <x v="4080"/>
    <x v="3894"/>
    <x v="2"/>
    <x v="3"/>
  </r>
  <r>
    <s v="ORD04134"/>
    <x v="356"/>
    <x v="0"/>
    <x v="8"/>
    <x v="1"/>
    <x v="4081"/>
    <x v="3895"/>
    <x v="2"/>
    <x v="1"/>
  </r>
  <r>
    <s v="ORD04135"/>
    <x v="963"/>
    <x v="2"/>
    <x v="14"/>
    <x v="2"/>
    <x v="4082"/>
    <x v="3896"/>
    <x v="1"/>
    <x v="0"/>
  </r>
  <r>
    <s v="ORD04136"/>
    <x v="129"/>
    <x v="1"/>
    <x v="11"/>
    <x v="2"/>
    <x v="4083"/>
    <x v="3897"/>
    <x v="2"/>
    <x v="0"/>
  </r>
  <r>
    <s v="ORD04137"/>
    <x v="1023"/>
    <x v="1"/>
    <x v="7"/>
    <x v="0"/>
    <x v="4084"/>
    <x v="3898"/>
    <x v="1"/>
    <x v="0"/>
  </r>
  <r>
    <s v="ORD04138"/>
    <x v="227"/>
    <x v="2"/>
    <x v="10"/>
    <x v="2"/>
    <x v="4085"/>
    <x v="3899"/>
    <x v="1"/>
    <x v="3"/>
  </r>
  <r>
    <s v="ORD04139"/>
    <x v="925"/>
    <x v="0"/>
    <x v="2"/>
    <x v="1"/>
    <x v="4086"/>
    <x v="3900"/>
    <x v="0"/>
    <x v="0"/>
  </r>
  <r>
    <s v="ORD04140"/>
    <x v="294"/>
    <x v="3"/>
    <x v="6"/>
    <x v="0"/>
    <x v="4087"/>
    <x v="3901"/>
    <x v="1"/>
    <x v="1"/>
  </r>
  <r>
    <s v="ORD04141"/>
    <x v="593"/>
    <x v="1"/>
    <x v="13"/>
    <x v="1"/>
    <x v="4088"/>
    <x v="3902"/>
    <x v="2"/>
    <x v="3"/>
  </r>
  <r>
    <s v="ORD04142"/>
    <x v="232"/>
    <x v="3"/>
    <x v="5"/>
    <x v="1"/>
    <x v="4089"/>
    <x v="3903"/>
    <x v="2"/>
    <x v="2"/>
  </r>
  <r>
    <s v="ORD04143"/>
    <x v="677"/>
    <x v="2"/>
    <x v="13"/>
    <x v="1"/>
    <x v="4090"/>
    <x v="3904"/>
    <x v="0"/>
    <x v="0"/>
  </r>
  <r>
    <s v="ORD04144"/>
    <x v="136"/>
    <x v="3"/>
    <x v="8"/>
    <x v="1"/>
    <x v="4091"/>
    <x v="3905"/>
    <x v="2"/>
    <x v="1"/>
  </r>
  <r>
    <s v="ORD04145"/>
    <x v="732"/>
    <x v="3"/>
    <x v="1"/>
    <x v="1"/>
    <x v="4092"/>
    <x v="3906"/>
    <x v="2"/>
    <x v="0"/>
  </r>
  <r>
    <s v="ORD04146"/>
    <x v="134"/>
    <x v="2"/>
    <x v="7"/>
    <x v="0"/>
    <x v="4093"/>
    <x v="3907"/>
    <x v="2"/>
    <x v="1"/>
  </r>
  <r>
    <s v="ORD04147"/>
    <x v="718"/>
    <x v="1"/>
    <x v="4"/>
    <x v="0"/>
    <x v="4094"/>
    <x v="3908"/>
    <x v="0"/>
    <x v="3"/>
  </r>
  <r>
    <s v="ORD04148"/>
    <x v="66"/>
    <x v="2"/>
    <x v="1"/>
    <x v="1"/>
    <x v="4095"/>
    <x v="3909"/>
    <x v="0"/>
    <x v="2"/>
  </r>
  <r>
    <s v="ORD04149"/>
    <x v="538"/>
    <x v="2"/>
    <x v="12"/>
    <x v="2"/>
    <x v="4096"/>
    <x v="3910"/>
    <x v="1"/>
    <x v="1"/>
  </r>
  <r>
    <s v="ORD04150"/>
    <x v="868"/>
    <x v="3"/>
    <x v="1"/>
    <x v="1"/>
    <x v="4097"/>
    <x v="3911"/>
    <x v="2"/>
    <x v="1"/>
  </r>
  <r>
    <s v="ORD04151"/>
    <x v="654"/>
    <x v="0"/>
    <x v="0"/>
    <x v="0"/>
    <x v="4098"/>
    <x v="3912"/>
    <x v="2"/>
    <x v="2"/>
  </r>
  <r>
    <s v="ORD04152"/>
    <x v="150"/>
    <x v="1"/>
    <x v="12"/>
    <x v="2"/>
    <x v="4099"/>
    <x v="3913"/>
    <x v="2"/>
    <x v="1"/>
  </r>
  <r>
    <s v="ORD04153"/>
    <x v="969"/>
    <x v="3"/>
    <x v="2"/>
    <x v="1"/>
    <x v="4100"/>
    <x v="1721"/>
    <x v="1"/>
    <x v="2"/>
  </r>
  <r>
    <s v="ORD04154"/>
    <x v="741"/>
    <x v="0"/>
    <x v="1"/>
    <x v="1"/>
    <x v="4101"/>
    <x v="3914"/>
    <x v="2"/>
    <x v="2"/>
  </r>
  <r>
    <s v="ORD04155"/>
    <x v="46"/>
    <x v="1"/>
    <x v="2"/>
    <x v="1"/>
    <x v="4102"/>
    <x v="3915"/>
    <x v="2"/>
    <x v="2"/>
  </r>
  <r>
    <s v="ORD04156"/>
    <x v="111"/>
    <x v="1"/>
    <x v="14"/>
    <x v="2"/>
    <x v="403"/>
    <x v="3916"/>
    <x v="2"/>
    <x v="1"/>
  </r>
  <r>
    <s v="ORD04157"/>
    <x v="77"/>
    <x v="1"/>
    <x v="1"/>
    <x v="1"/>
    <x v="4103"/>
    <x v="3917"/>
    <x v="0"/>
    <x v="2"/>
  </r>
  <r>
    <s v="ORD04158"/>
    <x v="25"/>
    <x v="1"/>
    <x v="7"/>
    <x v="0"/>
    <x v="4104"/>
    <x v="3918"/>
    <x v="0"/>
    <x v="2"/>
  </r>
  <r>
    <s v="ORD04159"/>
    <x v="35"/>
    <x v="0"/>
    <x v="13"/>
    <x v="1"/>
    <x v="4105"/>
    <x v="3919"/>
    <x v="0"/>
    <x v="1"/>
  </r>
  <r>
    <s v="ORD04160"/>
    <x v="193"/>
    <x v="3"/>
    <x v="13"/>
    <x v="1"/>
    <x v="4106"/>
    <x v="3920"/>
    <x v="0"/>
    <x v="0"/>
  </r>
  <r>
    <s v="ORD04161"/>
    <x v="999"/>
    <x v="2"/>
    <x v="13"/>
    <x v="1"/>
    <x v="4107"/>
    <x v="3921"/>
    <x v="2"/>
    <x v="2"/>
  </r>
  <r>
    <s v="ORD04162"/>
    <x v="405"/>
    <x v="2"/>
    <x v="2"/>
    <x v="1"/>
    <x v="4108"/>
    <x v="3922"/>
    <x v="0"/>
    <x v="2"/>
  </r>
  <r>
    <s v="ORD04163"/>
    <x v="705"/>
    <x v="2"/>
    <x v="7"/>
    <x v="0"/>
    <x v="4109"/>
    <x v="3923"/>
    <x v="1"/>
    <x v="3"/>
  </r>
  <r>
    <s v="ORD04164"/>
    <x v="827"/>
    <x v="0"/>
    <x v="8"/>
    <x v="1"/>
    <x v="4110"/>
    <x v="3924"/>
    <x v="1"/>
    <x v="3"/>
  </r>
  <r>
    <s v="ORD04165"/>
    <x v="45"/>
    <x v="0"/>
    <x v="2"/>
    <x v="1"/>
    <x v="4111"/>
    <x v="3925"/>
    <x v="0"/>
    <x v="2"/>
  </r>
  <r>
    <s v="ORD04166"/>
    <x v="86"/>
    <x v="0"/>
    <x v="11"/>
    <x v="2"/>
    <x v="4112"/>
    <x v="3926"/>
    <x v="2"/>
    <x v="0"/>
  </r>
  <r>
    <s v="ORD04167"/>
    <x v="743"/>
    <x v="3"/>
    <x v="6"/>
    <x v="0"/>
    <x v="4113"/>
    <x v="3927"/>
    <x v="2"/>
    <x v="3"/>
  </r>
  <r>
    <s v="ORD04168"/>
    <x v="1052"/>
    <x v="2"/>
    <x v="7"/>
    <x v="0"/>
    <x v="4114"/>
    <x v="3928"/>
    <x v="2"/>
    <x v="3"/>
  </r>
  <r>
    <s v="ORD04169"/>
    <x v="472"/>
    <x v="2"/>
    <x v="9"/>
    <x v="0"/>
    <x v="4115"/>
    <x v="3929"/>
    <x v="2"/>
    <x v="1"/>
  </r>
  <r>
    <s v="ORD04170"/>
    <x v="280"/>
    <x v="0"/>
    <x v="4"/>
    <x v="0"/>
    <x v="4116"/>
    <x v="3930"/>
    <x v="0"/>
    <x v="2"/>
  </r>
  <r>
    <s v="ORD04171"/>
    <x v="494"/>
    <x v="3"/>
    <x v="5"/>
    <x v="1"/>
    <x v="4117"/>
    <x v="3931"/>
    <x v="2"/>
    <x v="0"/>
  </r>
  <r>
    <s v="ORD04172"/>
    <x v="238"/>
    <x v="0"/>
    <x v="13"/>
    <x v="1"/>
    <x v="4118"/>
    <x v="3932"/>
    <x v="0"/>
    <x v="1"/>
  </r>
  <r>
    <s v="ORD04173"/>
    <x v="558"/>
    <x v="0"/>
    <x v="9"/>
    <x v="0"/>
    <x v="4119"/>
    <x v="3933"/>
    <x v="0"/>
    <x v="1"/>
  </r>
  <r>
    <s v="ORD04174"/>
    <x v="597"/>
    <x v="0"/>
    <x v="5"/>
    <x v="1"/>
    <x v="4120"/>
    <x v="3934"/>
    <x v="0"/>
    <x v="0"/>
  </r>
  <r>
    <s v="ORD04175"/>
    <x v="1069"/>
    <x v="0"/>
    <x v="3"/>
    <x v="2"/>
    <x v="4121"/>
    <x v="3935"/>
    <x v="1"/>
    <x v="1"/>
  </r>
  <r>
    <s v="ORD04176"/>
    <x v="81"/>
    <x v="1"/>
    <x v="8"/>
    <x v="1"/>
    <x v="4122"/>
    <x v="3936"/>
    <x v="0"/>
    <x v="0"/>
  </r>
  <r>
    <s v="ORD04177"/>
    <x v="223"/>
    <x v="3"/>
    <x v="6"/>
    <x v="0"/>
    <x v="2145"/>
    <x v="3937"/>
    <x v="1"/>
    <x v="0"/>
  </r>
  <r>
    <s v="ORD04178"/>
    <x v="750"/>
    <x v="3"/>
    <x v="7"/>
    <x v="0"/>
    <x v="4123"/>
    <x v="3938"/>
    <x v="0"/>
    <x v="2"/>
  </r>
  <r>
    <s v="ORD04179"/>
    <x v="1008"/>
    <x v="1"/>
    <x v="1"/>
    <x v="1"/>
    <x v="4124"/>
    <x v="3939"/>
    <x v="0"/>
    <x v="0"/>
  </r>
  <r>
    <s v="ORD04180"/>
    <x v="24"/>
    <x v="0"/>
    <x v="1"/>
    <x v="1"/>
    <x v="4125"/>
    <x v="3940"/>
    <x v="0"/>
    <x v="0"/>
  </r>
  <r>
    <s v="ORD04181"/>
    <x v="172"/>
    <x v="3"/>
    <x v="12"/>
    <x v="2"/>
    <x v="4126"/>
    <x v="3941"/>
    <x v="1"/>
    <x v="0"/>
  </r>
  <r>
    <s v="ORD04182"/>
    <x v="588"/>
    <x v="0"/>
    <x v="3"/>
    <x v="2"/>
    <x v="4127"/>
    <x v="3942"/>
    <x v="1"/>
    <x v="3"/>
  </r>
  <r>
    <s v="ORD04183"/>
    <x v="939"/>
    <x v="0"/>
    <x v="10"/>
    <x v="2"/>
    <x v="4128"/>
    <x v="3943"/>
    <x v="2"/>
    <x v="0"/>
  </r>
  <r>
    <s v="ORD04184"/>
    <x v="96"/>
    <x v="2"/>
    <x v="6"/>
    <x v="0"/>
    <x v="4129"/>
    <x v="3944"/>
    <x v="2"/>
    <x v="2"/>
  </r>
  <r>
    <s v="ORD04185"/>
    <x v="177"/>
    <x v="3"/>
    <x v="8"/>
    <x v="1"/>
    <x v="4130"/>
    <x v="3945"/>
    <x v="0"/>
    <x v="2"/>
  </r>
  <r>
    <s v="ORD04186"/>
    <x v="1070"/>
    <x v="2"/>
    <x v="5"/>
    <x v="1"/>
    <x v="4131"/>
    <x v="3946"/>
    <x v="0"/>
    <x v="3"/>
  </r>
  <r>
    <s v="ORD04187"/>
    <x v="597"/>
    <x v="1"/>
    <x v="10"/>
    <x v="2"/>
    <x v="4132"/>
    <x v="3947"/>
    <x v="2"/>
    <x v="0"/>
  </r>
  <r>
    <s v="ORD04188"/>
    <x v="863"/>
    <x v="2"/>
    <x v="10"/>
    <x v="2"/>
    <x v="4133"/>
    <x v="3948"/>
    <x v="1"/>
    <x v="2"/>
  </r>
  <r>
    <s v="ORD04189"/>
    <x v="990"/>
    <x v="2"/>
    <x v="9"/>
    <x v="0"/>
    <x v="4134"/>
    <x v="242"/>
    <x v="2"/>
    <x v="3"/>
  </r>
  <r>
    <s v="ORD04190"/>
    <x v="1015"/>
    <x v="0"/>
    <x v="3"/>
    <x v="2"/>
    <x v="4135"/>
    <x v="3949"/>
    <x v="1"/>
    <x v="1"/>
  </r>
  <r>
    <s v="ORD04191"/>
    <x v="485"/>
    <x v="1"/>
    <x v="6"/>
    <x v="0"/>
    <x v="4136"/>
    <x v="3950"/>
    <x v="1"/>
    <x v="3"/>
  </r>
  <r>
    <s v="ORD04192"/>
    <x v="537"/>
    <x v="1"/>
    <x v="6"/>
    <x v="0"/>
    <x v="4137"/>
    <x v="3951"/>
    <x v="1"/>
    <x v="0"/>
  </r>
  <r>
    <s v="ORD04193"/>
    <x v="381"/>
    <x v="3"/>
    <x v="0"/>
    <x v="0"/>
    <x v="4138"/>
    <x v="3112"/>
    <x v="1"/>
    <x v="3"/>
  </r>
  <r>
    <s v="ORD04194"/>
    <x v="721"/>
    <x v="0"/>
    <x v="12"/>
    <x v="2"/>
    <x v="4139"/>
    <x v="3952"/>
    <x v="2"/>
    <x v="1"/>
  </r>
  <r>
    <s v="ORD04195"/>
    <x v="274"/>
    <x v="1"/>
    <x v="0"/>
    <x v="0"/>
    <x v="4140"/>
    <x v="3953"/>
    <x v="0"/>
    <x v="1"/>
  </r>
  <r>
    <s v="ORD04196"/>
    <x v="628"/>
    <x v="2"/>
    <x v="3"/>
    <x v="2"/>
    <x v="4141"/>
    <x v="3954"/>
    <x v="2"/>
    <x v="2"/>
  </r>
  <r>
    <s v="ORD04197"/>
    <x v="151"/>
    <x v="3"/>
    <x v="1"/>
    <x v="1"/>
    <x v="4142"/>
    <x v="3955"/>
    <x v="2"/>
    <x v="0"/>
  </r>
  <r>
    <s v="ORD04198"/>
    <x v="584"/>
    <x v="0"/>
    <x v="5"/>
    <x v="1"/>
    <x v="4143"/>
    <x v="2847"/>
    <x v="0"/>
    <x v="0"/>
  </r>
  <r>
    <s v="ORD04199"/>
    <x v="360"/>
    <x v="2"/>
    <x v="8"/>
    <x v="1"/>
    <x v="4144"/>
    <x v="3956"/>
    <x v="0"/>
    <x v="1"/>
  </r>
  <r>
    <s v="ORD04200"/>
    <x v="89"/>
    <x v="0"/>
    <x v="12"/>
    <x v="2"/>
    <x v="4145"/>
    <x v="3957"/>
    <x v="0"/>
    <x v="3"/>
  </r>
  <r>
    <s v="ORD04201"/>
    <x v="12"/>
    <x v="3"/>
    <x v="7"/>
    <x v="0"/>
    <x v="4146"/>
    <x v="3958"/>
    <x v="2"/>
    <x v="3"/>
  </r>
  <r>
    <s v="ORD04202"/>
    <x v="1066"/>
    <x v="0"/>
    <x v="0"/>
    <x v="0"/>
    <x v="1418"/>
    <x v="3959"/>
    <x v="0"/>
    <x v="0"/>
  </r>
  <r>
    <s v="ORD04203"/>
    <x v="840"/>
    <x v="1"/>
    <x v="4"/>
    <x v="0"/>
    <x v="4147"/>
    <x v="3960"/>
    <x v="0"/>
    <x v="2"/>
  </r>
  <r>
    <s v="ORD04204"/>
    <x v="284"/>
    <x v="1"/>
    <x v="0"/>
    <x v="0"/>
    <x v="4148"/>
    <x v="3961"/>
    <x v="0"/>
    <x v="2"/>
  </r>
  <r>
    <s v="ORD04205"/>
    <x v="988"/>
    <x v="1"/>
    <x v="6"/>
    <x v="0"/>
    <x v="4149"/>
    <x v="3962"/>
    <x v="0"/>
    <x v="3"/>
  </r>
  <r>
    <s v="ORD04206"/>
    <x v="540"/>
    <x v="0"/>
    <x v="0"/>
    <x v="0"/>
    <x v="4150"/>
    <x v="885"/>
    <x v="0"/>
    <x v="0"/>
  </r>
  <r>
    <s v="ORD04207"/>
    <x v="380"/>
    <x v="2"/>
    <x v="12"/>
    <x v="2"/>
    <x v="4151"/>
    <x v="3963"/>
    <x v="0"/>
    <x v="0"/>
  </r>
  <r>
    <s v="ORD04208"/>
    <x v="372"/>
    <x v="0"/>
    <x v="0"/>
    <x v="0"/>
    <x v="4152"/>
    <x v="3964"/>
    <x v="1"/>
    <x v="2"/>
  </r>
  <r>
    <s v="ORD04209"/>
    <x v="607"/>
    <x v="3"/>
    <x v="8"/>
    <x v="1"/>
    <x v="4153"/>
    <x v="3965"/>
    <x v="0"/>
    <x v="0"/>
  </r>
  <r>
    <s v="ORD04210"/>
    <x v="539"/>
    <x v="2"/>
    <x v="2"/>
    <x v="1"/>
    <x v="4154"/>
    <x v="3966"/>
    <x v="1"/>
    <x v="1"/>
  </r>
  <r>
    <s v="ORD04211"/>
    <x v="155"/>
    <x v="1"/>
    <x v="4"/>
    <x v="0"/>
    <x v="4155"/>
    <x v="3967"/>
    <x v="2"/>
    <x v="3"/>
  </r>
  <r>
    <s v="ORD04212"/>
    <x v="956"/>
    <x v="0"/>
    <x v="13"/>
    <x v="1"/>
    <x v="4156"/>
    <x v="3968"/>
    <x v="0"/>
    <x v="3"/>
  </r>
  <r>
    <s v="ORD04213"/>
    <x v="298"/>
    <x v="3"/>
    <x v="5"/>
    <x v="1"/>
    <x v="4157"/>
    <x v="3969"/>
    <x v="0"/>
    <x v="3"/>
  </r>
  <r>
    <s v="ORD04214"/>
    <x v="1032"/>
    <x v="1"/>
    <x v="12"/>
    <x v="2"/>
    <x v="4158"/>
    <x v="3970"/>
    <x v="2"/>
    <x v="0"/>
  </r>
  <r>
    <s v="ORD04215"/>
    <x v="1039"/>
    <x v="2"/>
    <x v="1"/>
    <x v="1"/>
    <x v="4159"/>
    <x v="2288"/>
    <x v="1"/>
    <x v="1"/>
  </r>
  <r>
    <s v="ORD04216"/>
    <x v="195"/>
    <x v="2"/>
    <x v="9"/>
    <x v="0"/>
    <x v="4160"/>
    <x v="3971"/>
    <x v="1"/>
    <x v="3"/>
  </r>
  <r>
    <s v="ORD04217"/>
    <x v="479"/>
    <x v="1"/>
    <x v="12"/>
    <x v="2"/>
    <x v="4161"/>
    <x v="3972"/>
    <x v="1"/>
    <x v="3"/>
  </r>
  <r>
    <s v="ORD04218"/>
    <x v="16"/>
    <x v="0"/>
    <x v="8"/>
    <x v="1"/>
    <x v="4162"/>
    <x v="3973"/>
    <x v="2"/>
    <x v="1"/>
  </r>
  <r>
    <s v="ORD04219"/>
    <x v="865"/>
    <x v="3"/>
    <x v="3"/>
    <x v="2"/>
    <x v="4163"/>
    <x v="3974"/>
    <x v="1"/>
    <x v="0"/>
  </r>
  <r>
    <s v="ORD04220"/>
    <x v="245"/>
    <x v="3"/>
    <x v="1"/>
    <x v="1"/>
    <x v="4164"/>
    <x v="3667"/>
    <x v="1"/>
    <x v="0"/>
  </r>
  <r>
    <s v="ORD04221"/>
    <x v="548"/>
    <x v="2"/>
    <x v="7"/>
    <x v="0"/>
    <x v="4165"/>
    <x v="3975"/>
    <x v="2"/>
    <x v="0"/>
  </r>
  <r>
    <s v="ORD04222"/>
    <x v="666"/>
    <x v="3"/>
    <x v="11"/>
    <x v="2"/>
    <x v="4166"/>
    <x v="3976"/>
    <x v="2"/>
    <x v="2"/>
  </r>
  <r>
    <s v="ORD04223"/>
    <x v="491"/>
    <x v="3"/>
    <x v="10"/>
    <x v="2"/>
    <x v="4167"/>
    <x v="3977"/>
    <x v="2"/>
    <x v="1"/>
  </r>
  <r>
    <s v="ORD04224"/>
    <x v="129"/>
    <x v="3"/>
    <x v="14"/>
    <x v="2"/>
    <x v="4168"/>
    <x v="3978"/>
    <x v="1"/>
    <x v="3"/>
  </r>
  <r>
    <s v="ORD04225"/>
    <x v="196"/>
    <x v="3"/>
    <x v="6"/>
    <x v="0"/>
    <x v="4169"/>
    <x v="3979"/>
    <x v="0"/>
    <x v="2"/>
  </r>
  <r>
    <s v="ORD04226"/>
    <x v="109"/>
    <x v="1"/>
    <x v="12"/>
    <x v="2"/>
    <x v="4170"/>
    <x v="3980"/>
    <x v="1"/>
    <x v="3"/>
  </r>
  <r>
    <s v="ORD04227"/>
    <x v="423"/>
    <x v="1"/>
    <x v="9"/>
    <x v="0"/>
    <x v="4171"/>
    <x v="3981"/>
    <x v="0"/>
    <x v="2"/>
  </r>
  <r>
    <s v="ORD04228"/>
    <x v="923"/>
    <x v="1"/>
    <x v="13"/>
    <x v="1"/>
    <x v="4172"/>
    <x v="1948"/>
    <x v="0"/>
    <x v="0"/>
  </r>
  <r>
    <s v="ORD04229"/>
    <x v="37"/>
    <x v="0"/>
    <x v="0"/>
    <x v="0"/>
    <x v="4173"/>
    <x v="3703"/>
    <x v="1"/>
    <x v="3"/>
  </r>
  <r>
    <s v="ORD04230"/>
    <x v="981"/>
    <x v="1"/>
    <x v="2"/>
    <x v="1"/>
    <x v="4174"/>
    <x v="3982"/>
    <x v="1"/>
    <x v="0"/>
  </r>
  <r>
    <s v="ORD04231"/>
    <x v="245"/>
    <x v="1"/>
    <x v="1"/>
    <x v="1"/>
    <x v="4175"/>
    <x v="3983"/>
    <x v="0"/>
    <x v="1"/>
  </r>
  <r>
    <s v="ORD04232"/>
    <x v="100"/>
    <x v="0"/>
    <x v="4"/>
    <x v="0"/>
    <x v="4176"/>
    <x v="3984"/>
    <x v="0"/>
    <x v="0"/>
  </r>
  <r>
    <s v="ORD04233"/>
    <x v="761"/>
    <x v="2"/>
    <x v="13"/>
    <x v="1"/>
    <x v="4177"/>
    <x v="3985"/>
    <x v="2"/>
    <x v="2"/>
  </r>
  <r>
    <s v="ORD04234"/>
    <x v="1037"/>
    <x v="1"/>
    <x v="13"/>
    <x v="1"/>
    <x v="2998"/>
    <x v="3986"/>
    <x v="2"/>
    <x v="3"/>
  </r>
  <r>
    <s v="ORD04235"/>
    <x v="988"/>
    <x v="0"/>
    <x v="1"/>
    <x v="1"/>
    <x v="4178"/>
    <x v="3987"/>
    <x v="2"/>
    <x v="3"/>
  </r>
  <r>
    <s v="ORD04236"/>
    <x v="625"/>
    <x v="1"/>
    <x v="9"/>
    <x v="0"/>
    <x v="4179"/>
    <x v="3988"/>
    <x v="1"/>
    <x v="2"/>
  </r>
  <r>
    <s v="ORD04237"/>
    <x v="677"/>
    <x v="0"/>
    <x v="3"/>
    <x v="2"/>
    <x v="4180"/>
    <x v="3989"/>
    <x v="1"/>
    <x v="1"/>
  </r>
  <r>
    <s v="ORD04238"/>
    <x v="530"/>
    <x v="3"/>
    <x v="1"/>
    <x v="1"/>
    <x v="4181"/>
    <x v="3990"/>
    <x v="2"/>
    <x v="1"/>
  </r>
  <r>
    <s v="ORD04239"/>
    <x v="58"/>
    <x v="0"/>
    <x v="11"/>
    <x v="2"/>
    <x v="4182"/>
    <x v="3991"/>
    <x v="1"/>
    <x v="3"/>
  </r>
  <r>
    <s v="ORD04240"/>
    <x v="928"/>
    <x v="2"/>
    <x v="14"/>
    <x v="2"/>
    <x v="4183"/>
    <x v="3992"/>
    <x v="0"/>
    <x v="0"/>
  </r>
  <r>
    <s v="ORD04241"/>
    <x v="318"/>
    <x v="3"/>
    <x v="11"/>
    <x v="2"/>
    <x v="4184"/>
    <x v="3993"/>
    <x v="0"/>
    <x v="3"/>
  </r>
  <r>
    <s v="ORD04242"/>
    <x v="53"/>
    <x v="2"/>
    <x v="3"/>
    <x v="2"/>
    <x v="4185"/>
    <x v="3994"/>
    <x v="1"/>
    <x v="3"/>
  </r>
  <r>
    <s v="ORD04243"/>
    <x v="233"/>
    <x v="0"/>
    <x v="1"/>
    <x v="1"/>
    <x v="4186"/>
    <x v="3995"/>
    <x v="1"/>
    <x v="2"/>
  </r>
  <r>
    <s v="ORD04244"/>
    <x v="891"/>
    <x v="3"/>
    <x v="10"/>
    <x v="2"/>
    <x v="4187"/>
    <x v="3996"/>
    <x v="2"/>
    <x v="0"/>
  </r>
  <r>
    <s v="ORD04245"/>
    <x v="223"/>
    <x v="2"/>
    <x v="10"/>
    <x v="2"/>
    <x v="4188"/>
    <x v="3997"/>
    <x v="2"/>
    <x v="2"/>
  </r>
  <r>
    <s v="ORD04246"/>
    <x v="1055"/>
    <x v="2"/>
    <x v="2"/>
    <x v="1"/>
    <x v="4189"/>
    <x v="3998"/>
    <x v="2"/>
    <x v="3"/>
  </r>
  <r>
    <s v="ORD04247"/>
    <x v="240"/>
    <x v="1"/>
    <x v="3"/>
    <x v="2"/>
    <x v="4190"/>
    <x v="3999"/>
    <x v="0"/>
    <x v="0"/>
  </r>
  <r>
    <s v="ORD04248"/>
    <x v="931"/>
    <x v="0"/>
    <x v="13"/>
    <x v="1"/>
    <x v="4191"/>
    <x v="2343"/>
    <x v="1"/>
    <x v="0"/>
  </r>
  <r>
    <s v="ORD04249"/>
    <x v="447"/>
    <x v="3"/>
    <x v="7"/>
    <x v="0"/>
    <x v="4192"/>
    <x v="4000"/>
    <x v="0"/>
    <x v="3"/>
  </r>
  <r>
    <s v="ORD04250"/>
    <x v="781"/>
    <x v="3"/>
    <x v="13"/>
    <x v="1"/>
    <x v="4193"/>
    <x v="4001"/>
    <x v="2"/>
    <x v="1"/>
  </r>
  <r>
    <s v="ORD04251"/>
    <x v="381"/>
    <x v="2"/>
    <x v="14"/>
    <x v="2"/>
    <x v="4194"/>
    <x v="4002"/>
    <x v="2"/>
    <x v="1"/>
  </r>
  <r>
    <s v="ORD04252"/>
    <x v="942"/>
    <x v="0"/>
    <x v="5"/>
    <x v="1"/>
    <x v="4195"/>
    <x v="4003"/>
    <x v="2"/>
    <x v="1"/>
  </r>
  <r>
    <s v="ORD04253"/>
    <x v="121"/>
    <x v="1"/>
    <x v="1"/>
    <x v="1"/>
    <x v="4196"/>
    <x v="4004"/>
    <x v="0"/>
    <x v="3"/>
  </r>
  <r>
    <s v="ORD04254"/>
    <x v="746"/>
    <x v="0"/>
    <x v="8"/>
    <x v="1"/>
    <x v="4197"/>
    <x v="4005"/>
    <x v="1"/>
    <x v="2"/>
  </r>
  <r>
    <s v="ORD04255"/>
    <x v="801"/>
    <x v="1"/>
    <x v="10"/>
    <x v="2"/>
    <x v="4198"/>
    <x v="593"/>
    <x v="0"/>
    <x v="0"/>
  </r>
  <r>
    <s v="ORD04256"/>
    <x v="26"/>
    <x v="0"/>
    <x v="10"/>
    <x v="2"/>
    <x v="4199"/>
    <x v="4006"/>
    <x v="1"/>
    <x v="3"/>
  </r>
  <r>
    <s v="ORD04257"/>
    <x v="631"/>
    <x v="1"/>
    <x v="3"/>
    <x v="2"/>
    <x v="4200"/>
    <x v="4007"/>
    <x v="1"/>
    <x v="2"/>
  </r>
  <r>
    <s v="ORD04258"/>
    <x v="972"/>
    <x v="1"/>
    <x v="2"/>
    <x v="1"/>
    <x v="4201"/>
    <x v="4008"/>
    <x v="1"/>
    <x v="2"/>
  </r>
  <r>
    <s v="ORD04259"/>
    <x v="574"/>
    <x v="3"/>
    <x v="12"/>
    <x v="2"/>
    <x v="4202"/>
    <x v="4009"/>
    <x v="0"/>
    <x v="0"/>
  </r>
  <r>
    <s v="ORD04260"/>
    <x v="31"/>
    <x v="1"/>
    <x v="12"/>
    <x v="2"/>
    <x v="4203"/>
    <x v="4010"/>
    <x v="0"/>
    <x v="1"/>
  </r>
  <r>
    <s v="ORD04261"/>
    <x v="134"/>
    <x v="3"/>
    <x v="11"/>
    <x v="2"/>
    <x v="4204"/>
    <x v="4011"/>
    <x v="0"/>
    <x v="1"/>
  </r>
  <r>
    <s v="ORD04262"/>
    <x v="84"/>
    <x v="3"/>
    <x v="14"/>
    <x v="2"/>
    <x v="4205"/>
    <x v="4012"/>
    <x v="0"/>
    <x v="3"/>
  </r>
  <r>
    <s v="ORD04263"/>
    <x v="470"/>
    <x v="0"/>
    <x v="13"/>
    <x v="1"/>
    <x v="4206"/>
    <x v="4013"/>
    <x v="0"/>
    <x v="0"/>
  </r>
  <r>
    <s v="ORD04264"/>
    <x v="7"/>
    <x v="0"/>
    <x v="1"/>
    <x v="1"/>
    <x v="4207"/>
    <x v="4014"/>
    <x v="0"/>
    <x v="2"/>
  </r>
  <r>
    <s v="ORD04265"/>
    <x v="739"/>
    <x v="2"/>
    <x v="9"/>
    <x v="0"/>
    <x v="4208"/>
    <x v="4015"/>
    <x v="2"/>
    <x v="2"/>
  </r>
  <r>
    <s v="ORD04266"/>
    <x v="870"/>
    <x v="2"/>
    <x v="1"/>
    <x v="1"/>
    <x v="4209"/>
    <x v="4016"/>
    <x v="0"/>
    <x v="2"/>
  </r>
  <r>
    <s v="ORD04267"/>
    <x v="833"/>
    <x v="1"/>
    <x v="3"/>
    <x v="2"/>
    <x v="4210"/>
    <x v="4017"/>
    <x v="0"/>
    <x v="2"/>
  </r>
  <r>
    <s v="ORD04268"/>
    <x v="817"/>
    <x v="0"/>
    <x v="4"/>
    <x v="0"/>
    <x v="4211"/>
    <x v="4018"/>
    <x v="2"/>
    <x v="3"/>
  </r>
  <r>
    <s v="ORD04269"/>
    <x v="521"/>
    <x v="2"/>
    <x v="5"/>
    <x v="1"/>
    <x v="4212"/>
    <x v="4019"/>
    <x v="2"/>
    <x v="2"/>
  </r>
  <r>
    <s v="ORD04270"/>
    <x v="1032"/>
    <x v="3"/>
    <x v="14"/>
    <x v="2"/>
    <x v="1331"/>
    <x v="4020"/>
    <x v="0"/>
    <x v="3"/>
  </r>
  <r>
    <s v="ORD04271"/>
    <x v="928"/>
    <x v="2"/>
    <x v="1"/>
    <x v="1"/>
    <x v="4213"/>
    <x v="4021"/>
    <x v="1"/>
    <x v="2"/>
  </r>
  <r>
    <s v="ORD04272"/>
    <x v="169"/>
    <x v="2"/>
    <x v="5"/>
    <x v="1"/>
    <x v="4214"/>
    <x v="4022"/>
    <x v="2"/>
    <x v="2"/>
  </r>
  <r>
    <s v="ORD04273"/>
    <x v="629"/>
    <x v="1"/>
    <x v="1"/>
    <x v="1"/>
    <x v="4215"/>
    <x v="4023"/>
    <x v="1"/>
    <x v="3"/>
  </r>
  <r>
    <s v="ORD04274"/>
    <x v="23"/>
    <x v="0"/>
    <x v="10"/>
    <x v="2"/>
    <x v="4216"/>
    <x v="4024"/>
    <x v="2"/>
    <x v="0"/>
  </r>
  <r>
    <s v="ORD04275"/>
    <x v="1069"/>
    <x v="3"/>
    <x v="3"/>
    <x v="2"/>
    <x v="4217"/>
    <x v="4025"/>
    <x v="1"/>
    <x v="1"/>
  </r>
  <r>
    <s v="ORD04276"/>
    <x v="167"/>
    <x v="2"/>
    <x v="14"/>
    <x v="2"/>
    <x v="4218"/>
    <x v="4026"/>
    <x v="2"/>
    <x v="0"/>
  </r>
  <r>
    <s v="ORD04277"/>
    <x v="515"/>
    <x v="3"/>
    <x v="9"/>
    <x v="0"/>
    <x v="4219"/>
    <x v="4027"/>
    <x v="0"/>
    <x v="1"/>
  </r>
  <r>
    <s v="ORD04278"/>
    <x v="1009"/>
    <x v="3"/>
    <x v="10"/>
    <x v="2"/>
    <x v="4220"/>
    <x v="4028"/>
    <x v="1"/>
    <x v="3"/>
  </r>
  <r>
    <s v="ORD04279"/>
    <x v="586"/>
    <x v="3"/>
    <x v="8"/>
    <x v="1"/>
    <x v="4221"/>
    <x v="4029"/>
    <x v="2"/>
    <x v="0"/>
  </r>
  <r>
    <s v="ORD04280"/>
    <x v="20"/>
    <x v="1"/>
    <x v="13"/>
    <x v="1"/>
    <x v="4222"/>
    <x v="4030"/>
    <x v="0"/>
    <x v="0"/>
  </r>
  <r>
    <s v="ORD04281"/>
    <x v="227"/>
    <x v="3"/>
    <x v="14"/>
    <x v="2"/>
    <x v="4223"/>
    <x v="4031"/>
    <x v="0"/>
    <x v="3"/>
  </r>
  <r>
    <s v="ORD04282"/>
    <x v="291"/>
    <x v="3"/>
    <x v="12"/>
    <x v="2"/>
    <x v="4224"/>
    <x v="4032"/>
    <x v="2"/>
    <x v="2"/>
  </r>
  <r>
    <s v="ORD04283"/>
    <x v="967"/>
    <x v="0"/>
    <x v="11"/>
    <x v="2"/>
    <x v="4225"/>
    <x v="4033"/>
    <x v="2"/>
    <x v="3"/>
  </r>
  <r>
    <s v="ORD04284"/>
    <x v="513"/>
    <x v="0"/>
    <x v="1"/>
    <x v="1"/>
    <x v="4226"/>
    <x v="4034"/>
    <x v="2"/>
    <x v="3"/>
  </r>
  <r>
    <s v="ORD04285"/>
    <x v="567"/>
    <x v="1"/>
    <x v="1"/>
    <x v="1"/>
    <x v="4227"/>
    <x v="81"/>
    <x v="1"/>
    <x v="2"/>
  </r>
  <r>
    <s v="ORD04286"/>
    <x v="523"/>
    <x v="0"/>
    <x v="10"/>
    <x v="2"/>
    <x v="4228"/>
    <x v="4035"/>
    <x v="2"/>
    <x v="0"/>
  </r>
  <r>
    <s v="ORD04287"/>
    <x v="389"/>
    <x v="2"/>
    <x v="0"/>
    <x v="0"/>
    <x v="4229"/>
    <x v="4036"/>
    <x v="0"/>
    <x v="1"/>
  </r>
  <r>
    <s v="ORD04288"/>
    <x v="419"/>
    <x v="3"/>
    <x v="11"/>
    <x v="2"/>
    <x v="4230"/>
    <x v="4037"/>
    <x v="1"/>
    <x v="2"/>
  </r>
  <r>
    <s v="ORD04289"/>
    <x v="903"/>
    <x v="2"/>
    <x v="10"/>
    <x v="2"/>
    <x v="4231"/>
    <x v="4038"/>
    <x v="2"/>
    <x v="2"/>
  </r>
  <r>
    <s v="ORD04290"/>
    <x v="979"/>
    <x v="0"/>
    <x v="8"/>
    <x v="1"/>
    <x v="4232"/>
    <x v="3332"/>
    <x v="2"/>
    <x v="1"/>
  </r>
  <r>
    <s v="ORD04291"/>
    <x v="661"/>
    <x v="1"/>
    <x v="4"/>
    <x v="0"/>
    <x v="4233"/>
    <x v="4039"/>
    <x v="2"/>
    <x v="2"/>
  </r>
  <r>
    <s v="ORD04292"/>
    <x v="130"/>
    <x v="1"/>
    <x v="10"/>
    <x v="2"/>
    <x v="4234"/>
    <x v="4040"/>
    <x v="1"/>
    <x v="0"/>
  </r>
  <r>
    <s v="ORD04293"/>
    <x v="941"/>
    <x v="0"/>
    <x v="8"/>
    <x v="1"/>
    <x v="4235"/>
    <x v="4041"/>
    <x v="0"/>
    <x v="0"/>
  </r>
  <r>
    <s v="ORD04294"/>
    <x v="667"/>
    <x v="3"/>
    <x v="5"/>
    <x v="1"/>
    <x v="4236"/>
    <x v="4042"/>
    <x v="0"/>
    <x v="1"/>
  </r>
  <r>
    <s v="ORD04295"/>
    <x v="1071"/>
    <x v="0"/>
    <x v="10"/>
    <x v="2"/>
    <x v="4237"/>
    <x v="3290"/>
    <x v="0"/>
    <x v="1"/>
  </r>
  <r>
    <s v="ORD04296"/>
    <x v="325"/>
    <x v="3"/>
    <x v="0"/>
    <x v="0"/>
    <x v="4238"/>
    <x v="4043"/>
    <x v="0"/>
    <x v="1"/>
  </r>
  <r>
    <s v="ORD04297"/>
    <x v="954"/>
    <x v="3"/>
    <x v="0"/>
    <x v="0"/>
    <x v="4239"/>
    <x v="4044"/>
    <x v="1"/>
    <x v="1"/>
  </r>
  <r>
    <s v="ORD04298"/>
    <x v="21"/>
    <x v="0"/>
    <x v="8"/>
    <x v="1"/>
    <x v="4240"/>
    <x v="4045"/>
    <x v="2"/>
    <x v="0"/>
  </r>
  <r>
    <s v="ORD04299"/>
    <x v="698"/>
    <x v="2"/>
    <x v="14"/>
    <x v="2"/>
    <x v="4241"/>
    <x v="4046"/>
    <x v="0"/>
    <x v="1"/>
  </r>
  <r>
    <s v="ORD04300"/>
    <x v="33"/>
    <x v="3"/>
    <x v="1"/>
    <x v="1"/>
    <x v="4242"/>
    <x v="4047"/>
    <x v="0"/>
    <x v="1"/>
  </r>
  <r>
    <s v="ORD04301"/>
    <x v="537"/>
    <x v="0"/>
    <x v="14"/>
    <x v="2"/>
    <x v="4243"/>
    <x v="3082"/>
    <x v="1"/>
    <x v="3"/>
  </r>
  <r>
    <s v="ORD04302"/>
    <x v="556"/>
    <x v="2"/>
    <x v="6"/>
    <x v="0"/>
    <x v="4244"/>
    <x v="4048"/>
    <x v="0"/>
    <x v="0"/>
  </r>
  <r>
    <s v="ORD04303"/>
    <x v="258"/>
    <x v="1"/>
    <x v="9"/>
    <x v="0"/>
    <x v="4245"/>
    <x v="4049"/>
    <x v="0"/>
    <x v="0"/>
  </r>
  <r>
    <s v="ORD04304"/>
    <x v="971"/>
    <x v="3"/>
    <x v="0"/>
    <x v="0"/>
    <x v="4246"/>
    <x v="4050"/>
    <x v="0"/>
    <x v="3"/>
  </r>
  <r>
    <s v="ORD04305"/>
    <x v="751"/>
    <x v="1"/>
    <x v="7"/>
    <x v="0"/>
    <x v="4247"/>
    <x v="4051"/>
    <x v="0"/>
    <x v="0"/>
  </r>
  <r>
    <s v="ORD04306"/>
    <x v="382"/>
    <x v="3"/>
    <x v="0"/>
    <x v="0"/>
    <x v="4248"/>
    <x v="4052"/>
    <x v="1"/>
    <x v="2"/>
  </r>
  <r>
    <s v="ORD04307"/>
    <x v="239"/>
    <x v="0"/>
    <x v="5"/>
    <x v="1"/>
    <x v="4249"/>
    <x v="4053"/>
    <x v="2"/>
    <x v="2"/>
  </r>
  <r>
    <s v="ORD04308"/>
    <x v="851"/>
    <x v="2"/>
    <x v="14"/>
    <x v="2"/>
    <x v="4250"/>
    <x v="4054"/>
    <x v="2"/>
    <x v="1"/>
  </r>
  <r>
    <s v="ORD04309"/>
    <x v="556"/>
    <x v="0"/>
    <x v="6"/>
    <x v="0"/>
    <x v="4251"/>
    <x v="4055"/>
    <x v="1"/>
    <x v="2"/>
  </r>
  <r>
    <s v="ORD04310"/>
    <x v="950"/>
    <x v="2"/>
    <x v="3"/>
    <x v="2"/>
    <x v="4252"/>
    <x v="4056"/>
    <x v="1"/>
    <x v="3"/>
  </r>
  <r>
    <s v="ORD04311"/>
    <x v="379"/>
    <x v="3"/>
    <x v="9"/>
    <x v="0"/>
    <x v="4253"/>
    <x v="4057"/>
    <x v="2"/>
    <x v="3"/>
  </r>
  <r>
    <s v="ORD04312"/>
    <x v="93"/>
    <x v="1"/>
    <x v="3"/>
    <x v="2"/>
    <x v="4254"/>
    <x v="3695"/>
    <x v="2"/>
    <x v="1"/>
  </r>
  <r>
    <s v="ORD04313"/>
    <x v="303"/>
    <x v="0"/>
    <x v="4"/>
    <x v="0"/>
    <x v="4255"/>
    <x v="3008"/>
    <x v="1"/>
    <x v="0"/>
  </r>
  <r>
    <s v="ORD04314"/>
    <x v="789"/>
    <x v="0"/>
    <x v="7"/>
    <x v="0"/>
    <x v="4256"/>
    <x v="4058"/>
    <x v="2"/>
    <x v="2"/>
  </r>
  <r>
    <s v="ORD04315"/>
    <x v="663"/>
    <x v="3"/>
    <x v="10"/>
    <x v="2"/>
    <x v="4257"/>
    <x v="4059"/>
    <x v="1"/>
    <x v="1"/>
  </r>
  <r>
    <s v="ORD04316"/>
    <x v="566"/>
    <x v="3"/>
    <x v="11"/>
    <x v="2"/>
    <x v="4258"/>
    <x v="4060"/>
    <x v="0"/>
    <x v="1"/>
  </r>
  <r>
    <s v="ORD04317"/>
    <x v="386"/>
    <x v="1"/>
    <x v="6"/>
    <x v="0"/>
    <x v="4259"/>
    <x v="4061"/>
    <x v="2"/>
    <x v="3"/>
  </r>
  <r>
    <s v="ORD04318"/>
    <x v="884"/>
    <x v="2"/>
    <x v="1"/>
    <x v="1"/>
    <x v="4260"/>
    <x v="1758"/>
    <x v="1"/>
    <x v="3"/>
  </r>
  <r>
    <s v="ORD04319"/>
    <x v="714"/>
    <x v="2"/>
    <x v="9"/>
    <x v="0"/>
    <x v="4261"/>
    <x v="646"/>
    <x v="1"/>
    <x v="3"/>
  </r>
  <r>
    <s v="ORD04320"/>
    <x v="586"/>
    <x v="3"/>
    <x v="8"/>
    <x v="1"/>
    <x v="4262"/>
    <x v="4062"/>
    <x v="2"/>
    <x v="1"/>
  </r>
  <r>
    <s v="ORD04321"/>
    <x v="331"/>
    <x v="3"/>
    <x v="3"/>
    <x v="2"/>
    <x v="4263"/>
    <x v="4063"/>
    <x v="0"/>
    <x v="0"/>
  </r>
  <r>
    <s v="ORD04322"/>
    <x v="903"/>
    <x v="3"/>
    <x v="2"/>
    <x v="1"/>
    <x v="4264"/>
    <x v="4064"/>
    <x v="1"/>
    <x v="2"/>
  </r>
  <r>
    <s v="ORD04323"/>
    <x v="614"/>
    <x v="3"/>
    <x v="6"/>
    <x v="0"/>
    <x v="4265"/>
    <x v="4065"/>
    <x v="2"/>
    <x v="3"/>
  </r>
  <r>
    <s v="ORD04324"/>
    <x v="304"/>
    <x v="0"/>
    <x v="9"/>
    <x v="0"/>
    <x v="4266"/>
    <x v="4066"/>
    <x v="0"/>
    <x v="1"/>
  </r>
  <r>
    <s v="ORD04325"/>
    <x v="245"/>
    <x v="3"/>
    <x v="14"/>
    <x v="2"/>
    <x v="4267"/>
    <x v="4067"/>
    <x v="2"/>
    <x v="3"/>
  </r>
  <r>
    <s v="ORD04327"/>
    <x v="182"/>
    <x v="3"/>
    <x v="4"/>
    <x v="0"/>
    <x v="4268"/>
    <x v="4068"/>
    <x v="1"/>
    <x v="2"/>
  </r>
  <r>
    <s v="ORD04328"/>
    <x v="1072"/>
    <x v="0"/>
    <x v="0"/>
    <x v="0"/>
    <x v="4269"/>
    <x v="4069"/>
    <x v="1"/>
    <x v="3"/>
  </r>
  <r>
    <s v="ORD04329"/>
    <x v="499"/>
    <x v="1"/>
    <x v="14"/>
    <x v="2"/>
    <x v="4270"/>
    <x v="4070"/>
    <x v="1"/>
    <x v="3"/>
  </r>
  <r>
    <s v="ORD04330"/>
    <x v="946"/>
    <x v="1"/>
    <x v="0"/>
    <x v="0"/>
    <x v="4271"/>
    <x v="4071"/>
    <x v="0"/>
    <x v="2"/>
  </r>
  <r>
    <s v="ORD04331"/>
    <x v="77"/>
    <x v="0"/>
    <x v="13"/>
    <x v="1"/>
    <x v="4272"/>
    <x v="4072"/>
    <x v="2"/>
    <x v="2"/>
  </r>
  <r>
    <s v="ORD04332"/>
    <x v="799"/>
    <x v="3"/>
    <x v="13"/>
    <x v="1"/>
    <x v="4273"/>
    <x v="4073"/>
    <x v="1"/>
    <x v="0"/>
  </r>
  <r>
    <s v="ORD04333"/>
    <x v="485"/>
    <x v="2"/>
    <x v="13"/>
    <x v="1"/>
    <x v="4274"/>
    <x v="4074"/>
    <x v="1"/>
    <x v="3"/>
  </r>
  <r>
    <s v="ORD04334"/>
    <x v="122"/>
    <x v="2"/>
    <x v="14"/>
    <x v="2"/>
    <x v="4275"/>
    <x v="4075"/>
    <x v="0"/>
    <x v="2"/>
  </r>
  <r>
    <s v="ORD04335"/>
    <x v="923"/>
    <x v="3"/>
    <x v="7"/>
    <x v="0"/>
    <x v="4276"/>
    <x v="4076"/>
    <x v="0"/>
    <x v="0"/>
  </r>
  <r>
    <s v="ORD04336"/>
    <x v="212"/>
    <x v="3"/>
    <x v="2"/>
    <x v="1"/>
    <x v="4277"/>
    <x v="4077"/>
    <x v="2"/>
    <x v="1"/>
  </r>
  <r>
    <s v="ORD04337"/>
    <x v="555"/>
    <x v="0"/>
    <x v="0"/>
    <x v="0"/>
    <x v="4278"/>
    <x v="4078"/>
    <x v="2"/>
    <x v="3"/>
  </r>
  <r>
    <s v="ORD04338"/>
    <x v="386"/>
    <x v="2"/>
    <x v="0"/>
    <x v="0"/>
    <x v="4279"/>
    <x v="4079"/>
    <x v="2"/>
    <x v="2"/>
  </r>
  <r>
    <s v="ORD04339"/>
    <x v="699"/>
    <x v="1"/>
    <x v="10"/>
    <x v="2"/>
    <x v="4280"/>
    <x v="4080"/>
    <x v="2"/>
    <x v="0"/>
  </r>
  <r>
    <s v="ORD04340"/>
    <x v="277"/>
    <x v="1"/>
    <x v="0"/>
    <x v="0"/>
    <x v="4281"/>
    <x v="4081"/>
    <x v="2"/>
    <x v="3"/>
  </r>
  <r>
    <s v="ORD04341"/>
    <x v="1073"/>
    <x v="3"/>
    <x v="11"/>
    <x v="2"/>
    <x v="4282"/>
    <x v="4082"/>
    <x v="2"/>
    <x v="0"/>
  </r>
  <r>
    <s v="ORD04342"/>
    <x v="127"/>
    <x v="1"/>
    <x v="9"/>
    <x v="0"/>
    <x v="4283"/>
    <x v="4083"/>
    <x v="2"/>
    <x v="0"/>
  </r>
  <r>
    <s v="ORD04343"/>
    <x v="158"/>
    <x v="1"/>
    <x v="9"/>
    <x v="0"/>
    <x v="4284"/>
    <x v="4084"/>
    <x v="0"/>
    <x v="1"/>
  </r>
  <r>
    <s v="ORD04344"/>
    <x v="339"/>
    <x v="3"/>
    <x v="3"/>
    <x v="2"/>
    <x v="4285"/>
    <x v="4085"/>
    <x v="2"/>
    <x v="1"/>
  </r>
  <r>
    <s v="ORD04345"/>
    <x v="720"/>
    <x v="2"/>
    <x v="9"/>
    <x v="0"/>
    <x v="4286"/>
    <x v="4086"/>
    <x v="1"/>
    <x v="2"/>
  </r>
  <r>
    <s v="ORD04346"/>
    <x v="317"/>
    <x v="0"/>
    <x v="12"/>
    <x v="2"/>
    <x v="4287"/>
    <x v="4087"/>
    <x v="2"/>
    <x v="1"/>
  </r>
  <r>
    <s v="ORD04347"/>
    <x v="402"/>
    <x v="2"/>
    <x v="4"/>
    <x v="0"/>
    <x v="4288"/>
    <x v="4088"/>
    <x v="0"/>
    <x v="2"/>
  </r>
  <r>
    <s v="ORD04348"/>
    <x v="892"/>
    <x v="2"/>
    <x v="6"/>
    <x v="0"/>
    <x v="4289"/>
    <x v="4089"/>
    <x v="0"/>
    <x v="2"/>
  </r>
  <r>
    <s v="ORD04349"/>
    <x v="163"/>
    <x v="1"/>
    <x v="6"/>
    <x v="0"/>
    <x v="4290"/>
    <x v="4090"/>
    <x v="1"/>
    <x v="2"/>
  </r>
  <r>
    <s v="ORD04350"/>
    <x v="131"/>
    <x v="3"/>
    <x v="11"/>
    <x v="2"/>
    <x v="4291"/>
    <x v="4091"/>
    <x v="1"/>
    <x v="0"/>
  </r>
  <r>
    <s v="ORD04351"/>
    <x v="669"/>
    <x v="1"/>
    <x v="14"/>
    <x v="2"/>
    <x v="4292"/>
    <x v="4092"/>
    <x v="1"/>
    <x v="3"/>
  </r>
  <r>
    <s v="ORD04352"/>
    <x v="263"/>
    <x v="2"/>
    <x v="3"/>
    <x v="2"/>
    <x v="4293"/>
    <x v="4093"/>
    <x v="0"/>
    <x v="0"/>
  </r>
  <r>
    <s v="ORD04353"/>
    <x v="113"/>
    <x v="3"/>
    <x v="3"/>
    <x v="2"/>
    <x v="4294"/>
    <x v="4094"/>
    <x v="0"/>
    <x v="0"/>
  </r>
  <r>
    <s v="ORD04354"/>
    <x v="349"/>
    <x v="0"/>
    <x v="1"/>
    <x v="1"/>
    <x v="4295"/>
    <x v="4095"/>
    <x v="1"/>
    <x v="2"/>
  </r>
  <r>
    <s v="ORD04355"/>
    <x v="440"/>
    <x v="0"/>
    <x v="3"/>
    <x v="2"/>
    <x v="4296"/>
    <x v="4096"/>
    <x v="2"/>
    <x v="2"/>
  </r>
  <r>
    <s v="ORD04356"/>
    <x v="293"/>
    <x v="3"/>
    <x v="4"/>
    <x v="0"/>
    <x v="4297"/>
    <x v="4097"/>
    <x v="2"/>
    <x v="2"/>
  </r>
  <r>
    <s v="ORD04357"/>
    <x v="1074"/>
    <x v="0"/>
    <x v="1"/>
    <x v="1"/>
    <x v="4298"/>
    <x v="4098"/>
    <x v="0"/>
    <x v="0"/>
  </r>
  <r>
    <s v="ORD04358"/>
    <x v="650"/>
    <x v="3"/>
    <x v="5"/>
    <x v="1"/>
    <x v="4299"/>
    <x v="1377"/>
    <x v="0"/>
    <x v="0"/>
  </r>
  <r>
    <s v="ORD04359"/>
    <x v="256"/>
    <x v="0"/>
    <x v="8"/>
    <x v="1"/>
    <x v="4300"/>
    <x v="4099"/>
    <x v="1"/>
    <x v="2"/>
  </r>
  <r>
    <s v="ORD04360"/>
    <x v="114"/>
    <x v="3"/>
    <x v="6"/>
    <x v="0"/>
    <x v="4301"/>
    <x v="4100"/>
    <x v="1"/>
    <x v="1"/>
  </r>
  <r>
    <s v="ORD04361"/>
    <x v="383"/>
    <x v="0"/>
    <x v="7"/>
    <x v="0"/>
    <x v="4302"/>
    <x v="4101"/>
    <x v="0"/>
    <x v="1"/>
  </r>
  <r>
    <s v="ORD04362"/>
    <x v="88"/>
    <x v="3"/>
    <x v="0"/>
    <x v="0"/>
    <x v="4303"/>
    <x v="4102"/>
    <x v="2"/>
    <x v="1"/>
  </r>
  <r>
    <s v="ORD04363"/>
    <x v="1026"/>
    <x v="3"/>
    <x v="7"/>
    <x v="0"/>
    <x v="4304"/>
    <x v="4103"/>
    <x v="1"/>
    <x v="1"/>
  </r>
  <r>
    <s v="ORD04364"/>
    <x v="800"/>
    <x v="3"/>
    <x v="3"/>
    <x v="2"/>
    <x v="4305"/>
    <x v="4104"/>
    <x v="1"/>
    <x v="0"/>
  </r>
  <r>
    <s v="ORD04365"/>
    <x v="50"/>
    <x v="1"/>
    <x v="1"/>
    <x v="1"/>
    <x v="4306"/>
    <x v="4105"/>
    <x v="1"/>
    <x v="0"/>
  </r>
  <r>
    <s v="ORD04366"/>
    <x v="192"/>
    <x v="1"/>
    <x v="10"/>
    <x v="2"/>
    <x v="4307"/>
    <x v="4106"/>
    <x v="1"/>
    <x v="0"/>
  </r>
  <r>
    <s v="ORD04367"/>
    <x v="405"/>
    <x v="1"/>
    <x v="11"/>
    <x v="2"/>
    <x v="4308"/>
    <x v="4107"/>
    <x v="2"/>
    <x v="2"/>
  </r>
  <r>
    <s v="ORD04368"/>
    <x v="941"/>
    <x v="1"/>
    <x v="7"/>
    <x v="0"/>
    <x v="4309"/>
    <x v="4108"/>
    <x v="2"/>
    <x v="0"/>
  </r>
  <r>
    <s v="ORD04369"/>
    <x v="774"/>
    <x v="3"/>
    <x v="7"/>
    <x v="0"/>
    <x v="4310"/>
    <x v="4109"/>
    <x v="1"/>
    <x v="0"/>
  </r>
  <r>
    <s v="ORD04370"/>
    <x v="554"/>
    <x v="1"/>
    <x v="12"/>
    <x v="2"/>
    <x v="4311"/>
    <x v="4110"/>
    <x v="0"/>
    <x v="3"/>
  </r>
  <r>
    <s v="ORD04371"/>
    <x v="167"/>
    <x v="3"/>
    <x v="0"/>
    <x v="0"/>
    <x v="4312"/>
    <x v="4111"/>
    <x v="0"/>
    <x v="0"/>
  </r>
  <r>
    <s v="ORD04372"/>
    <x v="245"/>
    <x v="0"/>
    <x v="9"/>
    <x v="0"/>
    <x v="4313"/>
    <x v="4112"/>
    <x v="1"/>
    <x v="0"/>
  </r>
  <r>
    <s v="ORD04373"/>
    <x v="893"/>
    <x v="0"/>
    <x v="14"/>
    <x v="2"/>
    <x v="4314"/>
    <x v="250"/>
    <x v="0"/>
    <x v="1"/>
  </r>
  <r>
    <s v="ORD04374"/>
    <x v="196"/>
    <x v="0"/>
    <x v="2"/>
    <x v="1"/>
    <x v="4315"/>
    <x v="4113"/>
    <x v="2"/>
    <x v="3"/>
  </r>
  <r>
    <s v="ORD04375"/>
    <x v="808"/>
    <x v="1"/>
    <x v="2"/>
    <x v="1"/>
    <x v="4316"/>
    <x v="4114"/>
    <x v="2"/>
    <x v="2"/>
  </r>
  <r>
    <s v="ORD04376"/>
    <x v="842"/>
    <x v="1"/>
    <x v="0"/>
    <x v="0"/>
    <x v="4317"/>
    <x v="4115"/>
    <x v="0"/>
    <x v="1"/>
  </r>
  <r>
    <s v="ORD04377"/>
    <x v="488"/>
    <x v="3"/>
    <x v="1"/>
    <x v="1"/>
    <x v="4318"/>
    <x v="4116"/>
    <x v="2"/>
    <x v="0"/>
  </r>
  <r>
    <s v="ORD04378"/>
    <x v="562"/>
    <x v="0"/>
    <x v="10"/>
    <x v="2"/>
    <x v="4319"/>
    <x v="4117"/>
    <x v="2"/>
    <x v="2"/>
  </r>
  <r>
    <s v="ORD04379"/>
    <x v="160"/>
    <x v="1"/>
    <x v="0"/>
    <x v="0"/>
    <x v="4320"/>
    <x v="235"/>
    <x v="2"/>
    <x v="0"/>
  </r>
  <r>
    <s v="ORD04380"/>
    <x v="93"/>
    <x v="3"/>
    <x v="10"/>
    <x v="2"/>
    <x v="4321"/>
    <x v="4118"/>
    <x v="1"/>
    <x v="3"/>
  </r>
  <r>
    <s v="ORD04381"/>
    <x v="124"/>
    <x v="1"/>
    <x v="6"/>
    <x v="0"/>
    <x v="4322"/>
    <x v="4119"/>
    <x v="2"/>
    <x v="3"/>
  </r>
  <r>
    <s v="ORD04382"/>
    <x v="1051"/>
    <x v="0"/>
    <x v="4"/>
    <x v="0"/>
    <x v="4323"/>
    <x v="4120"/>
    <x v="0"/>
    <x v="2"/>
  </r>
  <r>
    <s v="ORD04383"/>
    <x v="1037"/>
    <x v="3"/>
    <x v="9"/>
    <x v="0"/>
    <x v="4324"/>
    <x v="4121"/>
    <x v="1"/>
    <x v="3"/>
  </r>
  <r>
    <s v="ORD04384"/>
    <x v="679"/>
    <x v="3"/>
    <x v="8"/>
    <x v="1"/>
    <x v="4325"/>
    <x v="4122"/>
    <x v="0"/>
    <x v="2"/>
  </r>
  <r>
    <s v="ORD04385"/>
    <x v="995"/>
    <x v="1"/>
    <x v="4"/>
    <x v="0"/>
    <x v="4326"/>
    <x v="4123"/>
    <x v="1"/>
    <x v="3"/>
  </r>
  <r>
    <s v="ORD04386"/>
    <x v="125"/>
    <x v="3"/>
    <x v="6"/>
    <x v="0"/>
    <x v="4327"/>
    <x v="4124"/>
    <x v="0"/>
    <x v="1"/>
  </r>
  <r>
    <s v="ORD04387"/>
    <x v="521"/>
    <x v="1"/>
    <x v="7"/>
    <x v="0"/>
    <x v="4328"/>
    <x v="4125"/>
    <x v="1"/>
    <x v="0"/>
  </r>
  <r>
    <s v="ORD04388"/>
    <x v="117"/>
    <x v="2"/>
    <x v="10"/>
    <x v="2"/>
    <x v="4329"/>
    <x v="817"/>
    <x v="0"/>
    <x v="1"/>
  </r>
  <r>
    <s v="ORD04389"/>
    <x v="107"/>
    <x v="0"/>
    <x v="8"/>
    <x v="1"/>
    <x v="4330"/>
    <x v="4126"/>
    <x v="0"/>
    <x v="2"/>
  </r>
  <r>
    <s v="ORD04390"/>
    <x v="406"/>
    <x v="3"/>
    <x v="7"/>
    <x v="0"/>
    <x v="4331"/>
    <x v="4127"/>
    <x v="2"/>
    <x v="3"/>
  </r>
  <r>
    <s v="ORD04391"/>
    <x v="62"/>
    <x v="2"/>
    <x v="9"/>
    <x v="0"/>
    <x v="4332"/>
    <x v="4128"/>
    <x v="1"/>
    <x v="3"/>
  </r>
  <r>
    <s v="ORD04392"/>
    <x v="314"/>
    <x v="0"/>
    <x v="1"/>
    <x v="1"/>
    <x v="4333"/>
    <x v="1755"/>
    <x v="2"/>
    <x v="0"/>
  </r>
  <r>
    <s v="ORD04393"/>
    <x v="766"/>
    <x v="3"/>
    <x v="14"/>
    <x v="2"/>
    <x v="4334"/>
    <x v="4129"/>
    <x v="2"/>
    <x v="3"/>
  </r>
  <r>
    <s v="ORD04394"/>
    <x v="105"/>
    <x v="1"/>
    <x v="10"/>
    <x v="2"/>
    <x v="4335"/>
    <x v="4130"/>
    <x v="1"/>
    <x v="0"/>
  </r>
  <r>
    <s v="ORD04395"/>
    <x v="40"/>
    <x v="1"/>
    <x v="3"/>
    <x v="2"/>
    <x v="4336"/>
    <x v="4131"/>
    <x v="2"/>
    <x v="0"/>
  </r>
  <r>
    <s v="ORD04396"/>
    <x v="362"/>
    <x v="1"/>
    <x v="11"/>
    <x v="2"/>
    <x v="4337"/>
    <x v="4132"/>
    <x v="2"/>
    <x v="1"/>
  </r>
  <r>
    <s v="ORD04397"/>
    <x v="636"/>
    <x v="0"/>
    <x v="0"/>
    <x v="0"/>
    <x v="4338"/>
    <x v="4133"/>
    <x v="2"/>
    <x v="0"/>
  </r>
  <r>
    <s v="ORD04398"/>
    <x v="720"/>
    <x v="2"/>
    <x v="14"/>
    <x v="2"/>
    <x v="4339"/>
    <x v="4134"/>
    <x v="1"/>
    <x v="3"/>
  </r>
  <r>
    <s v="ORD04399"/>
    <x v="784"/>
    <x v="0"/>
    <x v="4"/>
    <x v="0"/>
    <x v="4340"/>
    <x v="4135"/>
    <x v="1"/>
    <x v="2"/>
  </r>
  <r>
    <s v="ORD04400"/>
    <x v="784"/>
    <x v="0"/>
    <x v="4"/>
    <x v="0"/>
    <x v="4341"/>
    <x v="4136"/>
    <x v="0"/>
    <x v="3"/>
  </r>
  <r>
    <s v="ORD04401"/>
    <x v="305"/>
    <x v="3"/>
    <x v="9"/>
    <x v="0"/>
    <x v="4342"/>
    <x v="4137"/>
    <x v="1"/>
    <x v="3"/>
  </r>
  <r>
    <s v="ORD04402"/>
    <x v="180"/>
    <x v="2"/>
    <x v="14"/>
    <x v="2"/>
    <x v="4343"/>
    <x v="4138"/>
    <x v="0"/>
    <x v="0"/>
  </r>
  <r>
    <s v="ORD04403"/>
    <x v="714"/>
    <x v="3"/>
    <x v="4"/>
    <x v="0"/>
    <x v="4344"/>
    <x v="4139"/>
    <x v="1"/>
    <x v="0"/>
  </r>
  <r>
    <s v="ORD04404"/>
    <x v="397"/>
    <x v="0"/>
    <x v="2"/>
    <x v="1"/>
    <x v="4345"/>
    <x v="4140"/>
    <x v="2"/>
    <x v="1"/>
  </r>
  <r>
    <s v="ORD04405"/>
    <x v="53"/>
    <x v="0"/>
    <x v="2"/>
    <x v="1"/>
    <x v="4346"/>
    <x v="3686"/>
    <x v="0"/>
    <x v="1"/>
  </r>
  <r>
    <s v="ORD04406"/>
    <x v="442"/>
    <x v="1"/>
    <x v="1"/>
    <x v="1"/>
    <x v="4347"/>
    <x v="4141"/>
    <x v="0"/>
    <x v="1"/>
  </r>
  <r>
    <s v="ORD04407"/>
    <x v="637"/>
    <x v="1"/>
    <x v="11"/>
    <x v="2"/>
    <x v="4348"/>
    <x v="4142"/>
    <x v="0"/>
    <x v="3"/>
  </r>
  <r>
    <s v="ORD04408"/>
    <x v="319"/>
    <x v="3"/>
    <x v="9"/>
    <x v="0"/>
    <x v="4349"/>
    <x v="4143"/>
    <x v="0"/>
    <x v="0"/>
  </r>
  <r>
    <s v="ORD04409"/>
    <x v="677"/>
    <x v="1"/>
    <x v="5"/>
    <x v="1"/>
    <x v="4350"/>
    <x v="4144"/>
    <x v="1"/>
    <x v="2"/>
  </r>
  <r>
    <s v="ORD04410"/>
    <x v="386"/>
    <x v="0"/>
    <x v="14"/>
    <x v="2"/>
    <x v="4351"/>
    <x v="4145"/>
    <x v="0"/>
    <x v="3"/>
  </r>
  <r>
    <s v="ORD04411"/>
    <x v="726"/>
    <x v="2"/>
    <x v="14"/>
    <x v="2"/>
    <x v="4352"/>
    <x v="4146"/>
    <x v="1"/>
    <x v="1"/>
  </r>
  <r>
    <s v="ORD04412"/>
    <x v="786"/>
    <x v="2"/>
    <x v="9"/>
    <x v="0"/>
    <x v="4353"/>
    <x v="4147"/>
    <x v="2"/>
    <x v="1"/>
  </r>
  <r>
    <s v="ORD04413"/>
    <x v="81"/>
    <x v="1"/>
    <x v="3"/>
    <x v="2"/>
    <x v="4354"/>
    <x v="4148"/>
    <x v="0"/>
    <x v="0"/>
  </r>
  <r>
    <s v="ORD04414"/>
    <x v="7"/>
    <x v="2"/>
    <x v="12"/>
    <x v="2"/>
    <x v="4355"/>
    <x v="4149"/>
    <x v="1"/>
    <x v="0"/>
  </r>
  <r>
    <s v="ORD04415"/>
    <x v="821"/>
    <x v="2"/>
    <x v="14"/>
    <x v="2"/>
    <x v="4356"/>
    <x v="4150"/>
    <x v="0"/>
    <x v="3"/>
  </r>
  <r>
    <s v="ORD04416"/>
    <x v="574"/>
    <x v="1"/>
    <x v="7"/>
    <x v="0"/>
    <x v="4357"/>
    <x v="4151"/>
    <x v="1"/>
    <x v="1"/>
  </r>
  <r>
    <s v="ORD04417"/>
    <x v="0"/>
    <x v="3"/>
    <x v="5"/>
    <x v="1"/>
    <x v="4358"/>
    <x v="4152"/>
    <x v="1"/>
    <x v="3"/>
  </r>
  <r>
    <s v="ORD04418"/>
    <x v="254"/>
    <x v="0"/>
    <x v="13"/>
    <x v="1"/>
    <x v="4359"/>
    <x v="4153"/>
    <x v="0"/>
    <x v="2"/>
  </r>
  <r>
    <s v="ORD04419"/>
    <x v="600"/>
    <x v="1"/>
    <x v="0"/>
    <x v="0"/>
    <x v="4360"/>
    <x v="4154"/>
    <x v="1"/>
    <x v="2"/>
  </r>
  <r>
    <s v="ORD04420"/>
    <x v="398"/>
    <x v="2"/>
    <x v="2"/>
    <x v="1"/>
    <x v="4361"/>
    <x v="4155"/>
    <x v="2"/>
    <x v="0"/>
  </r>
  <r>
    <s v="ORD04421"/>
    <x v="809"/>
    <x v="3"/>
    <x v="3"/>
    <x v="2"/>
    <x v="4362"/>
    <x v="4156"/>
    <x v="2"/>
    <x v="0"/>
  </r>
  <r>
    <s v="ORD04422"/>
    <x v="352"/>
    <x v="1"/>
    <x v="11"/>
    <x v="2"/>
    <x v="4363"/>
    <x v="4157"/>
    <x v="2"/>
    <x v="3"/>
  </r>
  <r>
    <s v="ORD04423"/>
    <x v="355"/>
    <x v="0"/>
    <x v="12"/>
    <x v="2"/>
    <x v="4364"/>
    <x v="4158"/>
    <x v="2"/>
    <x v="0"/>
  </r>
  <r>
    <s v="ORD04424"/>
    <x v="602"/>
    <x v="3"/>
    <x v="3"/>
    <x v="2"/>
    <x v="4365"/>
    <x v="4159"/>
    <x v="2"/>
    <x v="3"/>
  </r>
  <r>
    <s v="ORD04425"/>
    <x v="284"/>
    <x v="3"/>
    <x v="5"/>
    <x v="1"/>
    <x v="4366"/>
    <x v="4160"/>
    <x v="2"/>
    <x v="0"/>
  </r>
  <r>
    <s v="ORD04426"/>
    <x v="368"/>
    <x v="2"/>
    <x v="2"/>
    <x v="1"/>
    <x v="4367"/>
    <x v="4161"/>
    <x v="2"/>
    <x v="3"/>
  </r>
  <r>
    <s v="ORD04427"/>
    <x v="268"/>
    <x v="1"/>
    <x v="6"/>
    <x v="0"/>
    <x v="4368"/>
    <x v="4162"/>
    <x v="0"/>
    <x v="3"/>
  </r>
  <r>
    <s v="ORD04428"/>
    <x v="456"/>
    <x v="0"/>
    <x v="10"/>
    <x v="2"/>
    <x v="4369"/>
    <x v="4163"/>
    <x v="2"/>
    <x v="3"/>
  </r>
  <r>
    <s v="ORD04429"/>
    <x v="87"/>
    <x v="1"/>
    <x v="7"/>
    <x v="0"/>
    <x v="4370"/>
    <x v="4164"/>
    <x v="0"/>
    <x v="3"/>
  </r>
  <r>
    <s v="ORD04430"/>
    <x v="246"/>
    <x v="0"/>
    <x v="12"/>
    <x v="2"/>
    <x v="4371"/>
    <x v="3931"/>
    <x v="2"/>
    <x v="0"/>
  </r>
  <r>
    <s v="ORD04431"/>
    <x v="508"/>
    <x v="1"/>
    <x v="4"/>
    <x v="0"/>
    <x v="4372"/>
    <x v="4165"/>
    <x v="2"/>
    <x v="1"/>
  </r>
  <r>
    <s v="ORD04432"/>
    <x v="431"/>
    <x v="2"/>
    <x v="14"/>
    <x v="2"/>
    <x v="4373"/>
    <x v="4166"/>
    <x v="0"/>
    <x v="2"/>
  </r>
  <r>
    <s v="ORD04433"/>
    <x v="645"/>
    <x v="1"/>
    <x v="13"/>
    <x v="1"/>
    <x v="4374"/>
    <x v="4167"/>
    <x v="0"/>
    <x v="3"/>
  </r>
  <r>
    <s v="ORD04434"/>
    <x v="17"/>
    <x v="3"/>
    <x v="0"/>
    <x v="0"/>
    <x v="4375"/>
    <x v="4168"/>
    <x v="1"/>
    <x v="3"/>
  </r>
  <r>
    <s v="ORD04435"/>
    <x v="1052"/>
    <x v="1"/>
    <x v="12"/>
    <x v="2"/>
    <x v="4376"/>
    <x v="4169"/>
    <x v="0"/>
    <x v="2"/>
  </r>
  <r>
    <s v="ORD04436"/>
    <x v="824"/>
    <x v="2"/>
    <x v="5"/>
    <x v="1"/>
    <x v="4377"/>
    <x v="4170"/>
    <x v="1"/>
    <x v="0"/>
  </r>
  <r>
    <s v="ORD04437"/>
    <x v="492"/>
    <x v="1"/>
    <x v="0"/>
    <x v="0"/>
    <x v="4378"/>
    <x v="4171"/>
    <x v="0"/>
    <x v="2"/>
  </r>
  <r>
    <s v="ORD04438"/>
    <x v="840"/>
    <x v="0"/>
    <x v="11"/>
    <x v="2"/>
    <x v="4379"/>
    <x v="4172"/>
    <x v="1"/>
    <x v="1"/>
  </r>
  <r>
    <s v="ORD04439"/>
    <x v="149"/>
    <x v="3"/>
    <x v="0"/>
    <x v="0"/>
    <x v="4380"/>
    <x v="4173"/>
    <x v="0"/>
    <x v="0"/>
  </r>
  <r>
    <s v="ORD04440"/>
    <x v="326"/>
    <x v="3"/>
    <x v="5"/>
    <x v="1"/>
    <x v="4381"/>
    <x v="4174"/>
    <x v="1"/>
    <x v="0"/>
  </r>
  <r>
    <s v="ORD04441"/>
    <x v="64"/>
    <x v="3"/>
    <x v="10"/>
    <x v="2"/>
    <x v="4382"/>
    <x v="4175"/>
    <x v="0"/>
    <x v="0"/>
  </r>
  <r>
    <s v="ORD04442"/>
    <x v="810"/>
    <x v="2"/>
    <x v="2"/>
    <x v="1"/>
    <x v="4383"/>
    <x v="4176"/>
    <x v="1"/>
    <x v="2"/>
  </r>
  <r>
    <s v="ORD04443"/>
    <x v="1020"/>
    <x v="0"/>
    <x v="2"/>
    <x v="1"/>
    <x v="4384"/>
    <x v="4177"/>
    <x v="0"/>
    <x v="1"/>
  </r>
  <r>
    <s v="ORD04444"/>
    <x v="970"/>
    <x v="1"/>
    <x v="14"/>
    <x v="2"/>
    <x v="4385"/>
    <x v="4178"/>
    <x v="2"/>
    <x v="0"/>
  </r>
  <r>
    <s v="ORD04445"/>
    <x v="229"/>
    <x v="2"/>
    <x v="8"/>
    <x v="1"/>
    <x v="4386"/>
    <x v="1826"/>
    <x v="2"/>
    <x v="3"/>
  </r>
  <r>
    <s v="ORD04446"/>
    <x v="502"/>
    <x v="1"/>
    <x v="11"/>
    <x v="2"/>
    <x v="4387"/>
    <x v="4179"/>
    <x v="2"/>
    <x v="0"/>
  </r>
  <r>
    <s v="ORD04447"/>
    <x v="144"/>
    <x v="3"/>
    <x v="14"/>
    <x v="2"/>
    <x v="4388"/>
    <x v="4180"/>
    <x v="0"/>
    <x v="3"/>
  </r>
  <r>
    <s v="ORD04448"/>
    <x v="980"/>
    <x v="1"/>
    <x v="12"/>
    <x v="2"/>
    <x v="4389"/>
    <x v="4181"/>
    <x v="1"/>
    <x v="0"/>
  </r>
  <r>
    <s v="ORD04449"/>
    <x v="680"/>
    <x v="0"/>
    <x v="10"/>
    <x v="2"/>
    <x v="4390"/>
    <x v="4182"/>
    <x v="2"/>
    <x v="3"/>
  </r>
  <r>
    <s v="ORD04450"/>
    <x v="490"/>
    <x v="0"/>
    <x v="12"/>
    <x v="2"/>
    <x v="4391"/>
    <x v="4183"/>
    <x v="2"/>
    <x v="3"/>
  </r>
  <r>
    <s v="ORD04451"/>
    <x v="965"/>
    <x v="0"/>
    <x v="11"/>
    <x v="2"/>
    <x v="4392"/>
    <x v="4184"/>
    <x v="0"/>
    <x v="0"/>
  </r>
  <r>
    <s v="ORD04452"/>
    <x v="963"/>
    <x v="1"/>
    <x v="0"/>
    <x v="0"/>
    <x v="4393"/>
    <x v="4185"/>
    <x v="2"/>
    <x v="1"/>
  </r>
  <r>
    <s v="ORD04453"/>
    <x v="226"/>
    <x v="0"/>
    <x v="7"/>
    <x v="0"/>
    <x v="4394"/>
    <x v="2249"/>
    <x v="1"/>
    <x v="0"/>
  </r>
  <r>
    <s v="ORD04454"/>
    <x v="526"/>
    <x v="2"/>
    <x v="1"/>
    <x v="1"/>
    <x v="4395"/>
    <x v="4186"/>
    <x v="0"/>
    <x v="1"/>
  </r>
  <r>
    <s v="ORD04455"/>
    <x v="955"/>
    <x v="0"/>
    <x v="8"/>
    <x v="1"/>
    <x v="2309"/>
    <x v="4187"/>
    <x v="0"/>
    <x v="1"/>
  </r>
  <r>
    <s v="ORD04456"/>
    <x v="45"/>
    <x v="0"/>
    <x v="14"/>
    <x v="2"/>
    <x v="4396"/>
    <x v="4188"/>
    <x v="1"/>
    <x v="0"/>
  </r>
  <r>
    <s v="ORD04457"/>
    <x v="787"/>
    <x v="3"/>
    <x v="0"/>
    <x v="0"/>
    <x v="4397"/>
    <x v="4189"/>
    <x v="0"/>
    <x v="3"/>
  </r>
  <r>
    <s v="ORD04458"/>
    <x v="590"/>
    <x v="1"/>
    <x v="14"/>
    <x v="2"/>
    <x v="1122"/>
    <x v="4190"/>
    <x v="2"/>
    <x v="3"/>
  </r>
  <r>
    <s v="ORD04459"/>
    <x v="722"/>
    <x v="0"/>
    <x v="1"/>
    <x v="1"/>
    <x v="4398"/>
    <x v="4191"/>
    <x v="0"/>
    <x v="1"/>
  </r>
  <r>
    <s v="ORD04460"/>
    <x v="176"/>
    <x v="1"/>
    <x v="10"/>
    <x v="2"/>
    <x v="4399"/>
    <x v="4192"/>
    <x v="0"/>
    <x v="1"/>
  </r>
  <r>
    <s v="ORD04461"/>
    <x v="827"/>
    <x v="2"/>
    <x v="6"/>
    <x v="0"/>
    <x v="4400"/>
    <x v="1555"/>
    <x v="1"/>
    <x v="0"/>
  </r>
  <r>
    <s v="ORD04462"/>
    <x v="195"/>
    <x v="2"/>
    <x v="2"/>
    <x v="1"/>
    <x v="4401"/>
    <x v="4193"/>
    <x v="1"/>
    <x v="3"/>
  </r>
  <r>
    <s v="ORD04463"/>
    <x v="483"/>
    <x v="1"/>
    <x v="8"/>
    <x v="1"/>
    <x v="4402"/>
    <x v="4194"/>
    <x v="1"/>
    <x v="0"/>
  </r>
  <r>
    <s v="ORD04464"/>
    <x v="923"/>
    <x v="2"/>
    <x v="0"/>
    <x v="0"/>
    <x v="4403"/>
    <x v="4195"/>
    <x v="0"/>
    <x v="1"/>
  </r>
  <r>
    <s v="ORD04465"/>
    <x v="607"/>
    <x v="1"/>
    <x v="8"/>
    <x v="1"/>
    <x v="4404"/>
    <x v="4196"/>
    <x v="2"/>
    <x v="2"/>
  </r>
  <r>
    <s v="ORD04466"/>
    <x v="335"/>
    <x v="3"/>
    <x v="1"/>
    <x v="1"/>
    <x v="4405"/>
    <x v="4197"/>
    <x v="2"/>
    <x v="3"/>
  </r>
  <r>
    <s v="ORD04467"/>
    <x v="386"/>
    <x v="0"/>
    <x v="12"/>
    <x v="2"/>
    <x v="4406"/>
    <x v="4198"/>
    <x v="2"/>
    <x v="1"/>
  </r>
  <r>
    <s v="ORD04468"/>
    <x v="367"/>
    <x v="2"/>
    <x v="10"/>
    <x v="2"/>
    <x v="4407"/>
    <x v="4199"/>
    <x v="2"/>
    <x v="1"/>
  </r>
  <r>
    <s v="ORD04469"/>
    <x v="642"/>
    <x v="1"/>
    <x v="5"/>
    <x v="1"/>
    <x v="4408"/>
    <x v="4200"/>
    <x v="0"/>
    <x v="1"/>
  </r>
  <r>
    <s v="ORD04470"/>
    <x v="885"/>
    <x v="0"/>
    <x v="2"/>
    <x v="1"/>
    <x v="4409"/>
    <x v="4201"/>
    <x v="1"/>
    <x v="1"/>
  </r>
  <r>
    <s v="ORD04471"/>
    <x v="437"/>
    <x v="0"/>
    <x v="13"/>
    <x v="1"/>
    <x v="4410"/>
    <x v="814"/>
    <x v="0"/>
    <x v="3"/>
  </r>
  <r>
    <s v="ORD04472"/>
    <x v="722"/>
    <x v="0"/>
    <x v="4"/>
    <x v="0"/>
    <x v="4411"/>
    <x v="4202"/>
    <x v="2"/>
    <x v="3"/>
  </r>
  <r>
    <s v="ORD04473"/>
    <x v="162"/>
    <x v="2"/>
    <x v="7"/>
    <x v="0"/>
    <x v="4412"/>
    <x v="4203"/>
    <x v="0"/>
    <x v="1"/>
  </r>
  <r>
    <s v="ORD04474"/>
    <x v="882"/>
    <x v="0"/>
    <x v="4"/>
    <x v="0"/>
    <x v="4413"/>
    <x v="4204"/>
    <x v="2"/>
    <x v="0"/>
  </r>
  <r>
    <s v="ORD04475"/>
    <x v="735"/>
    <x v="2"/>
    <x v="4"/>
    <x v="0"/>
    <x v="4414"/>
    <x v="699"/>
    <x v="1"/>
    <x v="0"/>
  </r>
  <r>
    <s v="ORD04476"/>
    <x v="130"/>
    <x v="3"/>
    <x v="13"/>
    <x v="1"/>
    <x v="4415"/>
    <x v="583"/>
    <x v="2"/>
    <x v="2"/>
  </r>
  <r>
    <s v="ORD04477"/>
    <x v="673"/>
    <x v="0"/>
    <x v="8"/>
    <x v="1"/>
    <x v="4416"/>
    <x v="4205"/>
    <x v="0"/>
    <x v="3"/>
  </r>
  <r>
    <s v="ORD04478"/>
    <x v="431"/>
    <x v="2"/>
    <x v="14"/>
    <x v="2"/>
    <x v="4417"/>
    <x v="4206"/>
    <x v="0"/>
    <x v="1"/>
  </r>
  <r>
    <s v="ORD04479"/>
    <x v="360"/>
    <x v="1"/>
    <x v="1"/>
    <x v="1"/>
    <x v="4418"/>
    <x v="4207"/>
    <x v="2"/>
    <x v="0"/>
  </r>
  <r>
    <s v="ORD04480"/>
    <x v="343"/>
    <x v="3"/>
    <x v="13"/>
    <x v="1"/>
    <x v="4419"/>
    <x v="4208"/>
    <x v="2"/>
    <x v="3"/>
  </r>
  <r>
    <s v="ORD04481"/>
    <x v="896"/>
    <x v="2"/>
    <x v="5"/>
    <x v="1"/>
    <x v="4420"/>
    <x v="4209"/>
    <x v="0"/>
    <x v="3"/>
  </r>
  <r>
    <s v="ORD04482"/>
    <x v="487"/>
    <x v="1"/>
    <x v="1"/>
    <x v="1"/>
    <x v="4421"/>
    <x v="1047"/>
    <x v="1"/>
    <x v="2"/>
  </r>
  <r>
    <s v="ORD04483"/>
    <x v="44"/>
    <x v="2"/>
    <x v="6"/>
    <x v="0"/>
    <x v="4422"/>
    <x v="4210"/>
    <x v="0"/>
    <x v="2"/>
  </r>
  <r>
    <s v="ORD04484"/>
    <x v="281"/>
    <x v="2"/>
    <x v="6"/>
    <x v="0"/>
    <x v="4423"/>
    <x v="4211"/>
    <x v="1"/>
    <x v="3"/>
  </r>
  <r>
    <s v="ORD04485"/>
    <x v="61"/>
    <x v="1"/>
    <x v="5"/>
    <x v="1"/>
    <x v="4424"/>
    <x v="4212"/>
    <x v="2"/>
    <x v="0"/>
  </r>
  <r>
    <s v="ORD04486"/>
    <x v="368"/>
    <x v="3"/>
    <x v="1"/>
    <x v="1"/>
    <x v="4425"/>
    <x v="1185"/>
    <x v="2"/>
    <x v="3"/>
  </r>
  <r>
    <s v="ORD04487"/>
    <x v="348"/>
    <x v="1"/>
    <x v="12"/>
    <x v="2"/>
    <x v="4426"/>
    <x v="4213"/>
    <x v="0"/>
    <x v="3"/>
  </r>
  <r>
    <s v="ORD04488"/>
    <x v="290"/>
    <x v="1"/>
    <x v="2"/>
    <x v="1"/>
    <x v="4427"/>
    <x v="4214"/>
    <x v="1"/>
    <x v="0"/>
  </r>
  <r>
    <s v="ORD04489"/>
    <x v="342"/>
    <x v="2"/>
    <x v="9"/>
    <x v="0"/>
    <x v="4428"/>
    <x v="4215"/>
    <x v="2"/>
    <x v="3"/>
  </r>
  <r>
    <s v="ORD04490"/>
    <x v="232"/>
    <x v="1"/>
    <x v="12"/>
    <x v="2"/>
    <x v="4429"/>
    <x v="1300"/>
    <x v="2"/>
    <x v="1"/>
  </r>
  <r>
    <s v="ORD04491"/>
    <x v="381"/>
    <x v="2"/>
    <x v="10"/>
    <x v="2"/>
    <x v="4430"/>
    <x v="4216"/>
    <x v="1"/>
    <x v="1"/>
  </r>
  <r>
    <s v="ORD04492"/>
    <x v="743"/>
    <x v="3"/>
    <x v="11"/>
    <x v="2"/>
    <x v="4431"/>
    <x v="4217"/>
    <x v="1"/>
    <x v="0"/>
  </r>
  <r>
    <s v="ORD04493"/>
    <x v="794"/>
    <x v="2"/>
    <x v="12"/>
    <x v="2"/>
    <x v="4432"/>
    <x v="3658"/>
    <x v="0"/>
    <x v="1"/>
  </r>
  <r>
    <s v="ORD04494"/>
    <x v="1042"/>
    <x v="0"/>
    <x v="12"/>
    <x v="2"/>
    <x v="4433"/>
    <x v="4218"/>
    <x v="1"/>
    <x v="0"/>
  </r>
  <r>
    <s v="ORD04495"/>
    <x v="742"/>
    <x v="2"/>
    <x v="9"/>
    <x v="0"/>
    <x v="4434"/>
    <x v="4219"/>
    <x v="0"/>
    <x v="0"/>
  </r>
  <r>
    <s v="ORD04496"/>
    <x v="478"/>
    <x v="2"/>
    <x v="3"/>
    <x v="2"/>
    <x v="4435"/>
    <x v="4220"/>
    <x v="2"/>
    <x v="1"/>
  </r>
  <r>
    <s v="ORD04497"/>
    <x v="633"/>
    <x v="0"/>
    <x v="11"/>
    <x v="2"/>
    <x v="4436"/>
    <x v="878"/>
    <x v="1"/>
    <x v="1"/>
  </r>
  <r>
    <s v="ORD04498"/>
    <x v="977"/>
    <x v="0"/>
    <x v="0"/>
    <x v="0"/>
    <x v="4437"/>
    <x v="4221"/>
    <x v="1"/>
    <x v="3"/>
  </r>
  <r>
    <s v="ORD04499"/>
    <x v="511"/>
    <x v="0"/>
    <x v="8"/>
    <x v="1"/>
    <x v="4438"/>
    <x v="4222"/>
    <x v="0"/>
    <x v="1"/>
  </r>
  <r>
    <s v="ORD04500"/>
    <x v="852"/>
    <x v="3"/>
    <x v="12"/>
    <x v="2"/>
    <x v="4439"/>
    <x v="4223"/>
    <x v="1"/>
    <x v="0"/>
  </r>
  <r>
    <s v="ORD04501"/>
    <x v="436"/>
    <x v="0"/>
    <x v="11"/>
    <x v="2"/>
    <x v="4440"/>
    <x v="4224"/>
    <x v="2"/>
    <x v="2"/>
  </r>
  <r>
    <s v="ORD04502"/>
    <x v="68"/>
    <x v="3"/>
    <x v="8"/>
    <x v="1"/>
    <x v="4441"/>
    <x v="4225"/>
    <x v="2"/>
    <x v="2"/>
  </r>
  <r>
    <s v="ORD04503"/>
    <x v="275"/>
    <x v="2"/>
    <x v="7"/>
    <x v="0"/>
    <x v="4442"/>
    <x v="4226"/>
    <x v="1"/>
    <x v="1"/>
  </r>
  <r>
    <s v="ORD04504"/>
    <x v="54"/>
    <x v="2"/>
    <x v="3"/>
    <x v="2"/>
    <x v="4443"/>
    <x v="4227"/>
    <x v="0"/>
    <x v="2"/>
  </r>
  <r>
    <s v="ORD04505"/>
    <x v="562"/>
    <x v="1"/>
    <x v="14"/>
    <x v="2"/>
    <x v="4444"/>
    <x v="4228"/>
    <x v="1"/>
    <x v="0"/>
  </r>
  <r>
    <s v="ORD04506"/>
    <x v="924"/>
    <x v="0"/>
    <x v="5"/>
    <x v="1"/>
    <x v="4445"/>
    <x v="4229"/>
    <x v="0"/>
    <x v="3"/>
  </r>
  <r>
    <s v="ORD04507"/>
    <x v="612"/>
    <x v="1"/>
    <x v="12"/>
    <x v="2"/>
    <x v="4446"/>
    <x v="4230"/>
    <x v="2"/>
    <x v="1"/>
  </r>
  <r>
    <s v="ORD04508"/>
    <x v="873"/>
    <x v="2"/>
    <x v="12"/>
    <x v="2"/>
    <x v="4447"/>
    <x v="4231"/>
    <x v="2"/>
    <x v="2"/>
  </r>
  <r>
    <s v="ORD04509"/>
    <x v="1036"/>
    <x v="1"/>
    <x v="5"/>
    <x v="1"/>
    <x v="4448"/>
    <x v="3582"/>
    <x v="2"/>
    <x v="0"/>
  </r>
  <r>
    <s v="ORD04510"/>
    <x v="315"/>
    <x v="0"/>
    <x v="8"/>
    <x v="1"/>
    <x v="4449"/>
    <x v="4232"/>
    <x v="0"/>
    <x v="2"/>
  </r>
  <r>
    <s v="ORD04511"/>
    <x v="395"/>
    <x v="3"/>
    <x v="4"/>
    <x v="0"/>
    <x v="4450"/>
    <x v="4233"/>
    <x v="2"/>
    <x v="2"/>
  </r>
  <r>
    <s v="ORD04512"/>
    <x v="752"/>
    <x v="0"/>
    <x v="3"/>
    <x v="2"/>
    <x v="4451"/>
    <x v="676"/>
    <x v="1"/>
    <x v="1"/>
  </r>
  <r>
    <s v="ORD04513"/>
    <x v="965"/>
    <x v="2"/>
    <x v="4"/>
    <x v="0"/>
    <x v="4452"/>
    <x v="4234"/>
    <x v="1"/>
    <x v="2"/>
  </r>
  <r>
    <s v="ORD04514"/>
    <x v="249"/>
    <x v="1"/>
    <x v="11"/>
    <x v="2"/>
    <x v="4453"/>
    <x v="4235"/>
    <x v="0"/>
    <x v="1"/>
  </r>
  <r>
    <s v="ORD04515"/>
    <x v="783"/>
    <x v="1"/>
    <x v="8"/>
    <x v="1"/>
    <x v="4454"/>
    <x v="2042"/>
    <x v="1"/>
    <x v="1"/>
  </r>
  <r>
    <s v="ORD04516"/>
    <x v="875"/>
    <x v="0"/>
    <x v="1"/>
    <x v="1"/>
    <x v="4455"/>
    <x v="4236"/>
    <x v="0"/>
    <x v="1"/>
  </r>
  <r>
    <s v="ORD04517"/>
    <x v="285"/>
    <x v="0"/>
    <x v="8"/>
    <x v="1"/>
    <x v="4456"/>
    <x v="4237"/>
    <x v="0"/>
    <x v="3"/>
  </r>
  <r>
    <s v="ORD04518"/>
    <x v="822"/>
    <x v="2"/>
    <x v="12"/>
    <x v="2"/>
    <x v="4457"/>
    <x v="4238"/>
    <x v="1"/>
    <x v="2"/>
  </r>
  <r>
    <s v="ORD04519"/>
    <x v="346"/>
    <x v="3"/>
    <x v="0"/>
    <x v="0"/>
    <x v="4458"/>
    <x v="1394"/>
    <x v="2"/>
    <x v="3"/>
  </r>
  <r>
    <s v="ORD04520"/>
    <x v="540"/>
    <x v="0"/>
    <x v="7"/>
    <x v="0"/>
    <x v="4459"/>
    <x v="3853"/>
    <x v="1"/>
    <x v="3"/>
  </r>
  <r>
    <s v="ORD04521"/>
    <x v="615"/>
    <x v="3"/>
    <x v="11"/>
    <x v="2"/>
    <x v="4460"/>
    <x v="4239"/>
    <x v="2"/>
    <x v="3"/>
  </r>
  <r>
    <s v="ORD04522"/>
    <x v="1029"/>
    <x v="3"/>
    <x v="14"/>
    <x v="2"/>
    <x v="4461"/>
    <x v="4240"/>
    <x v="1"/>
    <x v="3"/>
  </r>
  <r>
    <s v="ORD04523"/>
    <x v="167"/>
    <x v="2"/>
    <x v="14"/>
    <x v="2"/>
    <x v="4462"/>
    <x v="4241"/>
    <x v="1"/>
    <x v="2"/>
  </r>
  <r>
    <s v="ORD04524"/>
    <x v="301"/>
    <x v="2"/>
    <x v="0"/>
    <x v="0"/>
    <x v="4463"/>
    <x v="4242"/>
    <x v="1"/>
    <x v="3"/>
  </r>
  <r>
    <s v="ORD04525"/>
    <x v="532"/>
    <x v="2"/>
    <x v="11"/>
    <x v="2"/>
    <x v="4464"/>
    <x v="1648"/>
    <x v="2"/>
    <x v="0"/>
  </r>
  <r>
    <s v="ORD04526"/>
    <x v="496"/>
    <x v="2"/>
    <x v="7"/>
    <x v="0"/>
    <x v="4465"/>
    <x v="4243"/>
    <x v="2"/>
    <x v="0"/>
  </r>
  <r>
    <s v="ORD04527"/>
    <x v="494"/>
    <x v="0"/>
    <x v="4"/>
    <x v="0"/>
    <x v="4466"/>
    <x v="4244"/>
    <x v="1"/>
    <x v="1"/>
  </r>
  <r>
    <s v="ORD04528"/>
    <x v="1017"/>
    <x v="0"/>
    <x v="13"/>
    <x v="1"/>
    <x v="4467"/>
    <x v="4245"/>
    <x v="0"/>
    <x v="3"/>
  </r>
  <r>
    <s v="ORD04529"/>
    <x v="540"/>
    <x v="3"/>
    <x v="6"/>
    <x v="0"/>
    <x v="4468"/>
    <x v="4246"/>
    <x v="0"/>
    <x v="1"/>
  </r>
  <r>
    <s v="ORD04530"/>
    <x v="63"/>
    <x v="0"/>
    <x v="6"/>
    <x v="0"/>
    <x v="4469"/>
    <x v="4247"/>
    <x v="2"/>
    <x v="2"/>
  </r>
  <r>
    <s v="ORD04531"/>
    <x v="395"/>
    <x v="0"/>
    <x v="6"/>
    <x v="0"/>
    <x v="4470"/>
    <x v="4248"/>
    <x v="1"/>
    <x v="0"/>
  </r>
  <r>
    <s v="ORD04532"/>
    <x v="1074"/>
    <x v="3"/>
    <x v="0"/>
    <x v="0"/>
    <x v="4471"/>
    <x v="4249"/>
    <x v="1"/>
    <x v="0"/>
  </r>
  <r>
    <s v="ORD04533"/>
    <x v="688"/>
    <x v="3"/>
    <x v="2"/>
    <x v="1"/>
    <x v="4472"/>
    <x v="4250"/>
    <x v="1"/>
    <x v="3"/>
  </r>
  <r>
    <s v="ORD04534"/>
    <x v="1075"/>
    <x v="1"/>
    <x v="9"/>
    <x v="0"/>
    <x v="4473"/>
    <x v="4251"/>
    <x v="2"/>
    <x v="0"/>
  </r>
  <r>
    <s v="ORD04535"/>
    <x v="218"/>
    <x v="2"/>
    <x v="12"/>
    <x v="2"/>
    <x v="4474"/>
    <x v="587"/>
    <x v="1"/>
    <x v="1"/>
  </r>
  <r>
    <s v="ORD04536"/>
    <x v="853"/>
    <x v="1"/>
    <x v="6"/>
    <x v="0"/>
    <x v="4475"/>
    <x v="4252"/>
    <x v="0"/>
    <x v="1"/>
  </r>
  <r>
    <s v="ORD04537"/>
    <x v="691"/>
    <x v="0"/>
    <x v="10"/>
    <x v="2"/>
    <x v="4476"/>
    <x v="2"/>
    <x v="2"/>
    <x v="0"/>
  </r>
  <r>
    <s v="ORD04538"/>
    <x v="754"/>
    <x v="0"/>
    <x v="11"/>
    <x v="2"/>
    <x v="4477"/>
    <x v="4253"/>
    <x v="1"/>
    <x v="2"/>
  </r>
  <r>
    <s v="ORD04539"/>
    <x v="747"/>
    <x v="0"/>
    <x v="0"/>
    <x v="0"/>
    <x v="4478"/>
    <x v="4254"/>
    <x v="2"/>
    <x v="1"/>
  </r>
  <r>
    <s v="ORD04540"/>
    <x v="91"/>
    <x v="2"/>
    <x v="12"/>
    <x v="2"/>
    <x v="4479"/>
    <x v="4255"/>
    <x v="1"/>
    <x v="0"/>
  </r>
  <r>
    <s v="ORD04541"/>
    <x v="368"/>
    <x v="3"/>
    <x v="1"/>
    <x v="1"/>
    <x v="4480"/>
    <x v="4256"/>
    <x v="2"/>
    <x v="2"/>
  </r>
  <r>
    <s v="ORD04542"/>
    <x v="987"/>
    <x v="1"/>
    <x v="1"/>
    <x v="1"/>
    <x v="4481"/>
    <x v="4257"/>
    <x v="2"/>
    <x v="2"/>
  </r>
  <r>
    <s v="ORD04543"/>
    <x v="608"/>
    <x v="0"/>
    <x v="13"/>
    <x v="1"/>
    <x v="4482"/>
    <x v="4258"/>
    <x v="1"/>
    <x v="0"/>
  </r>
  <r>
    <s v="ORD04544"/>
    <x v="584"/>
    <x v="3"/>
    <x v="6"/>
    <x v="0"/>
    <x v="4483"/>
    <x v="4259"/>
    <x v="2"/>
    <x v="1"/>
  </r>
  <r>
    <s v="ORD04545"/>
    <x v="265"/>
    <x v="3"/>
    <x v="12"/>
    <x v="2"/>
    <x v="4484"/>
    <x v="4260"/>
    <x v="1"/>
    <x v="2"/>
  </r>
  <r>
    <s v="ORD04546"/>
    <x v="283"/>
    <x v="2"/>
    <x v="7"/>
    <x v="0"/>
    <x v="4485"/>
    <x v="4261"/>
    <x v="0"/>
    <x v="1"/>
  </r>
  <r>
    <s v="ORD04547"/>
    <x v="952"/>
    <x v="1"/>
    <x v="2"/>
    <x v="1"/>
    <x v="4486"/>
    <x v="1721"/>
    <x v="0"/>
    <x v="0"/>
  </r>
  <r>
    <s v="ORD04548"/>
    <x v="338"/>
    <x v="2"/>
    <x v="9"/>
    <x v="0"/>
    <x v="4487"/>
    <x v="4262"/>
    <x v="0"/>
    <x v="3"/>
  </r>
  <r>
    <s v="ORD04549"/>
    <x v="638"/>
    <x v="3"/>
    <x v="4"/>
    <x v="0"/>
    <x v="4488"/>
    <x v="4263"/>
    <x v="2"/>
    <x v="3"/>
  </r>
  <r>
    <s v="ORD04550"/>
    <x v="329"/>
    <x v="3"/>
    <x v="6"/>
    <x v="0"/>
    <x v="4489"/>
    <x v="4264"/>
    <x v="0"/>
    <x v="2"/>
  </r>
  <r>
    <s v="ORD04551"/>
    <x v="450"/>
    <x v="1"/>
    <x v="12"/>
    <x v="2"/>
    <x v="4490"/>
    <x v="4265"/>
    <x v="1"/>
    <x v="2"/>
  </r>
  <r>
    <s v="ORD04552"/>
    <x v="637"/>
    <x v="2"/>
    <x v="13"/>
    <x v="1"/>
    <x v="4491"/>
    <x v="4266"/>
    <x v="2"/>
    <x v="2"/>
  </r>
  <r>
    <s v="ORD04553"/>
    <x v="72"/>
    <x v="1"/>
    <x v="3"/>
    <x v="2"/>
    <x v="4492"/>
    <x v="2609"/>
    <x v="0"/>
    <x v="2"/>
  </r>
  <r>
    <s v="ORD04554"/>
    <x v="588"/>
    <x v="2"/>
    <x v="7"/>
    <x v="0"/>
    <x v="4493"/>
    <x v="4267"/>
    <x v="1"/>
    <x v="0"/>
  </r>
  <r>
    <s v="ORD04555"/>
    <x v="822"/>
    <x v="0"/>
    <x v="4"/>
    <x v="0"/>
    <x v="4494"/>
    <x v="4268"/>
    <x v="2"/>
    <x v="0"/>
  </r>
  <r>
    <s v="ORD04556"/>
    <x v="18"/>
    <x v="2"/>
    <x v="14"/>
    <x v="2"/>
    <x v="4495"/>
    <x v="3879"/>
    <x v="0"/>
    <x v="2"/>
  </r>
  <r>
    <s v="ORD04557"/>
    <x v="356"/>
    <x v="3"/>
    <x v="7"/>
    <x v="0"/>
    <x v="4496"/>
    <x v="4269"/>
    <x v="1"/>
    <x v="1"/>
  </r>
  <r>
    <s v="ORD04558"/>
    <x v="527"/>
    <x v="2"/>
    <x v="13"/>
    <x v="1"/>
    <x v="4497"/>
    <x v="4270"/>
    <x v="2"/>
    <x v="0"/>
  </r>
  <r>
    <s v="ORD04559"/>
    <x v="957"/>
    <x v="0"/>
    <x v="12"/>
    <x v="2"/>
    <x v="4498"/>
    <x v="4271"/>
    <x v="0"/>
    <x v="0"/>
  </r>
  <r>
    <s v="ORD04560"/>
    <x v="509"/>
    <x v="1"/>
    <x v="2"/>
    <x v="1"/>
    <x v="4499"/>
    <x v="4272"/>
    <x v="2"/>
    <x v="1"/>
  </r>
  <r>
    <s v="ORD04561"/>
    <x v="328"/>
    <x v="0"/>
    <x v="6"/>
    <x v="0"/>
    <x v="4500"/>
    <x v="4273"/>
    <x v="1"/>
    <x v="0"/>
  </r>
  <r>
    <s v="ORD04562"/>
    <x v="109"/>
    <x v="0"/>
    <x v="6"/>
    <x v="0"/>
    <x v="4501"/>
    <x v="4274"/>
    <x v="2"/>
    <x v="1"/>
  </r>
  <r>
    <s v="ORD04563"/>
    <x v="551"/>
    <x v="3"/>
    <x v="1"/>
    <x v="1"/>
    <x v="4502"/>
    <x v="4275"/>
    <x v="2"/>
    <x v="0"/>
  </r>
  <r>
    <s v="ORD04564"/>
    <x v="696"/>
    <x v="2"/>
    <x v="4"/>
    <x v="0"/>
    <x v="4503"/>
    <x v="4276"/>
    <x v="1"/>
    <x v="1"/>
  </r>
  <r>
    <s v="ORD04565"/>
    <x v="778"/>
    <x v="1"/>
    <x v="10"/>
    <x v="2"/>
    <x v="4504"/>
    <x v="4277"/>
    <x v="1"/>
    <x v="0"/>
  </r>
  <r>
    <s v="ORD04566"/>
    <x v="706"/>
    <x v="1"/>
    <x v="5"/>
    <x v="1"/>
    <x v="4505"/>
    <x v="2084"/>
    <x v="1"/>
    <x v="3"/>
  </r>
  <r>
    <s v="ORD04567"/>
    <x v="329"/>
    <x v="0"/>
    <x v="7"/>
    <x v="0"/>
    <x v="4506"/>
    <x v="4278"/>
    <x v="0"/>
    <x v="0"/>
  </r>
  <r>
    <s v="ORD04568"/>
    <x v="317"/>
    <x v="0"/>
    <x v="5"/>
    <x v="1"/>
    <x v="4507"/>
    <x v="4279"/>
    <x v="2"/>
    <x v="1"/>
  </r>
  <r>
    <s v="ORD04569"/>
    <x v="168"/>
    <x v="1"/>
    <x v="1"/>
    <x v="1"/>
    <x v="4508"/>
    <x v="4280"/>
    <x v="0"/>
    <x v="1"/>
  </r>
  <r>
    <s v="ORD04570"/>
    <x v="840"/>
    <x v="1"/>
    <x v="1"/>
    <x v="1"/>
    <x v="4509"/>
    <x v="4281"/>
    <x v="0"/>
    <x v="3"/>
  </r>
  <r>
    <s v="ORD04571"/>
    <x v="72"/>
    <x v="0"/>
    <x v="3"/>
    <x v="2"/>
    <x v="4510"/>
    <x v="4282"/>
    <x v="0"/>
    <x v="2"/>
  </r>
  <r>
    <s v="ORD04572"/>
    <x v="213"/>
    <x v="0"/>
    <x v="12"/>
    <x v="2"/>
    <x v="4511"/>
    <x v="4283"/>
    <x v="1"/>
    <x v="1"/>
  </r>
  <r>
    <s v="ORD04573"/>
    <x v="891"/>
    <x v="3"/>
    <x v="2"/>
    <x v="1"/>
    <x v="2689"/>
    <x v="4284"/>
    <x v="2"/>
    <x v="3"/>
  </r>
  <r>
    <s v="ORD04574"/>
    <x v="680"/>
    <x v="3"/>
    <x v="14"/>
    <x v="2"/>
    <x v="4512"/>
    <x v="4285"/>
    <x v="2"/>
    <x v="3"/>
  </r>
  <r>
    <s v="ORD04575"/>
    <x v="367"/>
    <x v="1"/>
    <x v="13"/>
    <x v="1"/>
    <x v="4513"/>
    <x v="4286"/>
    <x v="0"/>
    <x v="3"/>
  </r>
  <r>
    <s v="ORD04576"/>
    <x v="295"/>
    <x v="3"/>
    <x v="3"/>
    <x v="2"/>
    <x v="4514"/>
    <x v="4287"/>
    <x v="0"/>
    <x v="3"/>
  </r>
  <r>
    <s v="ORD04577"/>
    <x v="885"/>
    <x v="3"/>
    <x v="12"/>
    <x v="2"/>
    <x v="4515"/>
    <x v="4288"/>
    <x v="0"/>
    <x v="3"/>
  </r>
  <r>
    <s v="ORD04578"/>
    <x v="538"/>
    <x v="3"/>
    <x v="10"/>
    <x v="2"/>
    <x v="4516"/>
    <x v="4289"/>
    <x v="0"/>
    <x v="2"/>
  </r>
  <r>
    <s v="ORD04579"/>
    <x v="790"/>
    <x v="0"/>
    <x v="0"/>
    <x v="0"/>
    <x v="4517"/>
    <x v="4290"/>
    <x v="0"/>
    <x v="3"/>
  </r>
  <r>
    <s v="ORD04580"/>
    <x v="3"/>
    <x v="0"/>
    <x v="9"/>
    <x v="0"/>
    <x v="4518"/>
    <x v="4291"/>
    <x v="2"/>
    <x v="1"/>
  </r>
  <r>
    <s v="ORD04581"/>
    <x v="868"/>
    <x v="3"/>
    <x v="1"/>
    <x v="1"/>
    <x v="4519"/>
    <x v="4292"/>
    <x v="0"/>
    <x v="3"/>
  </r>
  <r>
    <s v="ORD04582"/>
    <x v="465"/>
    <x v="1"/>
    <x v="6"/>
    <x v="0"/>
    <x v="4520"/>
    <x v="4293"/>
    <x v="0"/>
    <x v="3"/>
  </r>
  <r>
    <s v="ORD04583"/>
    <x v="141"/>
    <x v="2"/>
    <x v="14"/>
    <x v="2"/>
    <x v="4521"/>
    <x v="4294"/>
    <x v="2"/>
    <x v="0"/>
  </r>
  <r>
    <s v="ORD04584"/>
    <x v="1040"/>
    <x v="3"/>
    <x v="1"/>
    <x v="1"/>
    <x v="4522"/>
    <x v="4295"/>
    <x v="2"/>
    <x v="1"/>
  </r>
  <r>
    <s v="ORD04585"/>
    <x v="251"/>
    <x v="2"/>
    <x v="2"/>
    <x v="1"/>
    <x v="4523"/>
    <x v="1171"/>
    <x v="2"/>
    <x v="2"/>
  </r>
  <r>
    <s v="ORD04586"/>
    <x v="451"/>
    <x v="1"/>
    <x v="9"/>
    <x v="0"/>
    <x v="4524"/>
    <x v="4296"/>
    <x v="0"/>
    <x v="3"/>
  </r>
  <r>
    <s v="ORD04587"/>
    <x v="248"/>
    <x v="2"/>
    <x v="10"/>
    <x v="2"/>
    <x v="4525"/>
    <x v="4297"/>
    <x v="0"/>
    <x v="3"/>
  </r>
  <r>
    <s v="ORD04588"/>
    <x v="1015"/>
    <x v="3"/>
    <x v="8"/>
    <x v="1"/>
    <x v="4526"/>
    <x v="4298"/>
    <x v="2"/>
    <x v="3"/>
  </r>
  <r>
    <s v="ORD04589"/>
    <x v="1076"/>
    <x v="0"/>
    <x v="14"/>
    <x v="2"/>
    <x v="4527"/>
    <x v="4299"/>
    <x v="0"/>
    <x v="3"/>
  </r>
  <r>
    <s v="ORD04590"/>
    <x v="96"/>
    <x v="3"/>
    <x v="1"/>
    <x v="1"/>
    <x v="4528"/>
    <x v="4300"/>
    <x v="0"/>
    <x v="1"/>
  </r>
  <r>
    <s v="ORD04591"/>
    <x v="298"/>
    <x v="0"/>
    <x v="4"/>
    <x v="0"/>
    <x v="4529"/>
    <x v="4301"/>
    <x v="2"/>
    <x v="0"/>
  </r>
  <r>
    <s v="ORD04592"/>
    <x v="469"/>
    <x v="1"/>
    <x v="14"/>
    <x v="2"/>
    <x v="4530"/>
    <x v="4302"/>
    <x v="0"/>
    <x v="2"/>
  </r>
  <r>
    <s v="ORD04593"/>
    <x v="717"/>
    <x v="0"/>
    <x v="12"/>
    <x v="2"/>
    <x v="4531"/>
    <x v="4303"/>
    <x v="0"/>
    <x v="2"/>
  </r>
  <r>
    <s v="ORD04594"/>
    <x v="262"/>
    <x v="0"/>
    <x v="6"/>
    <x v="0"/>
    <x v="4532"/>
    <x v="4304"/>
    <x v="2"/>
    <x v="3"/>
  </r>
  <r>
    <s v="ORD04595"/>
    <x v="813"/>
    <x v="0"/>
    <x v="14"/>
    <x v="2"/>
    <x v="4533"/>
    <x v="4305"/>
    <x v="0"/>
    <x v="1"/>
  </r>
  <r>
    <s v="ORD04596"/>
    <x v="828"/>
    <x v="3"/>
    <x v="0"/>
    <x v="0"/>
    <x v="4534"/>
    <x v="4306"/>
    <x v="1"/>
    <x v="1"/>
  </r>
  <r>
    <s v="ORD04597"/>
    <x v="904"/>
    <x v="3"/>
    <x v="3"/>
    <x v="2"/>
    <x v="4535"/>
    <x v="4307"/>
    <x v="1"/>
    <x v="0"/>
  </r>
  <r>
    <s v="ORD04598"/>
    <x v="15"/>
    <x v="0"/>
    <x v="10"/>
    <x v="2"/>
    <x v="4536"/>
    <x v="4308"/>
    <x v="1"/>
    <x v="3"/>
  </r>
  <r>
    <s v="ORD04599"/>
    <x v="965"/>
    <x v="3"/>
    <x v="7"/>
    <x v="0"/>
    <x v="4537"/>
    <x v="1887"/>
    <x v="2"/>
    <x v="2"/>
  </r>
  <r>
    <s v="ORD04600"/>
    <x v="990"/>
    <x v="3"/>
    <x v="13"/>
    <x v="1"/>
    <x v="4538"/>
    <x v="4309"/>
    <x v="1"/>
    <x v="1"/>
  </r>
  <r>
    <s v="ORD04601"/>
    <x v="275"/>
    <x v="0"/>
    <x v="8"/>
    <x v="1"/>
    <x v="4539"/>
    <x v="4310"/>
    <x v="1"/>
    <x v="3"/>
  </r>
  <r>
    <s v="ORD04602"/>
    <x v="634"/>
    <x v="1"/>
    <x v="11"/>
    <x v="2"/>
    <x v="4540"/>
    <x v="4311"/>
    <x v="0"/>
    <x v="2"/>
  </r>
  <r>
    <s v="ORD04603"/>
    <x v="711"/>
    <x v="1"/>
    <x v="4"/>
    <x v="0"/>
    <x v="4541"/>
    <x v="4312"/>
    <x v="2"/>
    <x v="0"/>
  </r>
  <r>
    <s v="ORD04604"/>
    <x v="172"/>
    <x v="2"/>
    <x v="11"/>
    <x v="2"/>
    <x v="4542"/>
    <x v="4313"/>
    <x v="1"/>
    <x v="3"/>
  </r>
  <r>
    <s v="ORD04605"/>
    <x v="771"/>
    <x v="3"/>
    <x v="7"/>
    <x v="0"/>
    <x v="4543"/>
    <x v="4314"/>
    <x v="0"/>
    <x v="1"/>
  </r>
  <r>
    <s v="ORD04606"/>
    <x v="738"/>
    <x v="3"/>
    <x v="9"/>
    <x v="0"/>
    <x v="4544"/>
    <x v="389"/>
    <x v="1"/>
    <x v="3"/>
  </r>
  <r>
    <s v="ORD04607"/>
    <x v="686"/>
    <x v="0"/>
    <x v="5"/>
    <x v="1"/>
    <x v="4545"/>
    <x v="4315"/>
    <x v="0"/>
    <x v="1"/>
  </r>
  <r>
    <s v="ORD04608"/>
    <x v="872"/>
    <x v="3"/>
    <x v="6"/>
    <x v="0"/>
    <x v="4546"/>
    <x v="4316"/>
    <x v="1"/>
    <x v="1"/>
  </r>
  <r>
    <s v="ORD04609"/>
    <x v="738"/>
    <x v="2"/>
    <x v="13"/>
    <x v="1"/>
    <x v="4547"/>
    <x v="4317"/>
    <x v="0"/>
    <x v="2"/>
  </r>
  <r>
    <s v="ORD04610"/>
    <x v="777"/>
    <x v="3"/>
    <x v="1"/>
    <x v="1"/>
    <x v="4548"/>
    <x v="4318"/>
    <x v="0"/>
    <x v="3"/>
  </r>
  <r>
    <s v="ORD04611"/>
    <x v="663"/>
    <x v="2"/>
    <x v="8"/>
    <x v="1"/>
    <x v="4549"/>
    <x v="4319"/>
    <x v="1"/>
    <x v="0"/>
  </r>
  <r>
    <s v="ORD04612"/>
    <x v="421"/>
    <x v="0"/>
    <x v="12"/>
    <x v="2"/>
    <x v="4550"/>
    <x v="4320"/>
    <x v="1"/>
    <x v="3"/>
  </r>
  <r>
    <s v="ORD04613"/>
    <x v="984"/>
    <x v="0"/>
    <x v="13"/>
    <x v="1"/>
    <x v="4551"/>
    <x v="4321"/>
    <x v="1"/>
    <x v="3"/>
  </r>
  <r>
    <s v="ORD04614"/>
    <x v="784"/>
    <x v="3"/>
    <x v="12"/>
    <x v="2"/>
    <x v="4552"/>
    <x v="4322"/>
    <x v="0"/>
    <x v="1"/>
  </r>
  <r>
    <s v="ORD04615"/>
    <x v="664"/>
    <x v="3"/>
    <x v="6"/>
    <x v="0"/>
    <x v="4553"/>
    <x v="3933"/>
    <x v="0"/>
    <x v="3"/>
  </r>
  <r>
    <s v="ORD04616"/>
    <x v="358"/>
    <x v="1"/>
    <x v="8"/>
    <x v="1"/>
    <x v="4554"/>
    <x v="4323"/>
    <x v="1"/>
    <x v="1"/>
  </r>
  <r>
    <s v="ORD04617"/>
    <x v="5"/>
    <x v="0"/>
    <x v="0"/>
    <x v="0"/>
    <x v="4555"/>
    <x v="4324"/>
    <x v="1"/>
    <x v="2"/>
  </r>
  <r>
    <s v="ORD04618"/>
    <x v="173"/>
    <x v="2"/>
    <x v="1"/>
    <x v="1"/>
    <x v="4556"/>
    <x v="4325"/>
    <x v="1"/>
    <x v="1"/>
  </r>
  <r>
    <s v="ORD04619"/>
    <x v="369"/>
    <x v="3"/>
    <x v="0"/>
    <x v="0"/>
    <x v="4557"/>
    <x v="4326"/>
    <x v="0"/>
    <x v="0"/>
  </r>
  <r>
    <s v="ORD04620"/>
    <x v="182"/>
    <x v="2"/>
    <x v="12"/>
    <x v="2"/>
    <x v="4558"/>
    <x v="4301"/>
    <x v="1"/>
    <x v="2"/>
  </r>
  <r>
    <s v="ORD04621"/>
    <x v="980"/>
    <x v="1"/>
    <x v="3"/>
    <x v="2"/>
    <x v="4559"/>
    <x v="4327"/>
    <x v="2"/>
    <x v="1"/>
  </r>
  <r>
    <s v="ORD04622"/>
    <x v="77"/>
    <x v="2"/>
    <x v="7"/>
    <x v="0"/>
    <x v="4560"/>
    <x v="4328"/>
    <x v="0"/>
    <x v="3"/>
  </r>
  <r>
    <s v="ORD04623"/>
    <x v="385"/>
    <x v="2"/>
    <x v="7"/>
    <x v="0"/>
    <x v="4561"/>
    <x v="4329"/>
    <x v="1"/>
    <x v="0"/>
  </r>
  <r>
    <s v="ORD04624"/>
    <x v="498"/>
    <x v="3"/>
    <x v="9"/>
    <x v="0"/>
    <x v="4562"/>
    <x v="4330"/>
    <x v="1"/>
    <x v="2"/>
  </r>
  <r>
    <s v="ORD04625"/>
    <x v="420"/>
    <x v="3"/>
    <x v="11"/>
    <x v="2"/>
    <x v="4563"/>
    <x v="4331"/>
    <x v="1"/>
    <x v="1"/>
  </r>
  <r>
    <s v="ORD04626"/>
    <x v="723"/>
    <x v="0"/>
    <x v="3"/>
    <x v="2"/>
    <x v="4564"/>
    <x v="4332"/>
    <x v="0"/>
    <x v="3"/>
  </r>
  <r>
    <s v="ORD04627"/>
    <x v="27"/>
    <x v="1"/>
    <x v="8"/>
    <x v="1"/>
    <x v="4565"/>
    <x v="4333"/>
    <x v="0"/>
    <x v="0"/>
  </r>
  <r>
    <s v="ORD04628"/>
    <x v="177"/>
    <x v="3"/>
    <x v="1"/>
    <x v="1"/>
    <x v="4566"/>
    <x v="4334"/>
    <x v="0"/>
    <x v="1"/>
  </r>
  <r>
    <s v="ORD04629"/>
    <x v="746"/>
    <x v="1"/>
    <x v="14"/>
    <x v="2"/>
    <x v="4567"/>
    <x v="4335"/>
    <x v="1"/>
    <x v="3"/>
  </r>
  <r>
    <s v="ORD04630"/>
    <x v="107"/>
    <x v="2"/>
    <x v="10"/>
    <x v="2"/>
    <x v="4568"/>
    <x v="3926"/>
    <x v="1"/>
    <x v="1"/>
  </r>
  <r>
    <s v="ORD04631"/>
    <x v="619"/>
    <x v="2"/>
    <x v="2"/>
    <x v="1"/>
    <x v="4569"/>
    <x v="4336"/>
    <x v="2"/>
    <x v="1"/>
  </r>
  <r>
    <s v="ORD04632"/>
    <x v="381"/>
    <x v="0"/>
    <x v="11"/>
    <x v="2"/>
    <x v="4570"/>
    <x v="4337"/>
    <x v="2"/>
    <x v="1"/>
  </r>
  <r>
    <s v="ORD04633"/>
    <x v="798"/>
    <x v="0"/>
    <x v="9"/>
    <x v="0"/>
    <x v="4571"/>
    <x v="4338"/>
    <x v="1"/>
    <x v="2"/>
  </r>
  <r>
    <s v="ORD04634"/>
    <x v="753"/>
    <x v="1"/>
    <x v="4"/>
    <x v="0"/>
    <x v="4572"/>
    <x v="4339"/>
    <x v="0"/>
    <x v="2"/>
  </r>
  <r>
    <s v="ORD04635"/>
    <x v="525"/>
    <x v="1"/>
    <x v="2"/>
    <x v="1"/>
    <x v="4573"/>
    <x v="4340"/>
    <x v="0"/>
    <x v="3"/>
  </r>
  <r>
    <s v="ORD04636"/>
    <x v="345"/>
    <x v="2"/>
    <x v="13"/>
    <x v="1"/>
    <x v="4574"/>
    <x v="4341"/>
    <x v="0"/>
    <x v="1"/>
  </r>
  <r>
    <s v="ORD04637"/>
    <x v="797"/>
    <x v="3"/>
    <x v="6"/>
    <x v="0"/>
    <x v="4575"/>
    <x v="4342"/>
    <x v="1"/>
    <x v="2"/>
  </r>
  <r>
    <s v="ORD04638"/>
    <x v="495"/>
    <x v="0"/>
    <x v="0"/>
    <x v="0"/>
    <x v="4576"/>
    <x v="4343"/>
    <x v="2"/>
    <x v="2"/>
  </r>
  <r>
    <s v="ORD04639"/>
    <x v="140"/>
    <x v="2"/>
    <x v="11"/>
    <x v="2"/>
    <x v="4577"/>
    <x v="4344"/>
    <x v="2"/>
    <x v="2"/>
  </r>
  <r>
    <s v="ORD04640"/>
    <x v="384"/>
    <x v="2"/>
    <x v="4"/>
    <x v="0"/>
    <x v="4578"/>
    <x v="4345"/>
    <x v="2"/>
    <x v="3"/>
  </r>
  <r>
    <s v="ORD04641"/>
    <x v="191"/>
    <x v="2"/>
    <x v="12"/>
    <x v="2"/>
    <x v="4579"/>
    <x v="4346"/>
    <x v="1"/>
    <x v="2"/>
  </r>
  <r>
    <s v="ORD04642"/>
    <x v="552"/>
    <x v="0"/>
    <x v="14"/>
    <x v="2"/>
    <x v="4580"/>
    <x v="4347"/>
    <x v="2"/>
    <x v="0"/>
  </r>
  <r>
    <s v="ORD04643"/>
    <x v="435"/>
    <x v="1"/>
    <x v="0"/>
    <x v="0"/>
    <x v="4581"/>
    <x v="4348"/>
    <x v="2"/>
    <x v="0"/>
  </r>
  <r>
    <s v="ORD04644"/>
    <x v="737"/>
    <x v="2"/>
    <x v="8"/>
    <x v="1"/>
    <x v="4582"/>
    <x v="4349"/>
    <x v="1"/>
    <x v="1"/>
  </r>
  <r>
    <s v="ORD04645"/>
    <x v="880"/>
    <x v="3"/>
    <x v="0"/>
    <x v="0"/>
    <x v="4583"/>
    <x v="4350"/>
    <x v="1"/>
    <x v="1"/>
  </r>
  <r>
    <s v="ORD04646"/>
    <x v="55"/>
    <x v="3"/>
    <x v="9"/>
    <x v="0"/>
    <x v="4584"/>
    <x v="4351"/>
    <x v="2"/>
    <x v="3"/>
  </r>
  <r>
    <s v="ORD04647"/>
    <x v="77"/>
    <x v="0"/>
    <x v="2"/>
    <x v="1"/>
    <x v="4430"/>
    <x v="4352"/>
    <x v="2"/>
    <x v="2"/>
  </r>
  <r>
    <s v="ORD04648"/>
    <x v="232"/>
    <x v="1"/>
    <x v="8"/>
    <x v="1"/>
    <x v="4585"/>
    <x v="4353"/>
    <x v="2"/>
    <x v="2"/>
  </r>
  <r>
    <s v="ORD04649"/>
    <x v="380"/>
    <x v="1"/>
    <x v="13"/>
    <x v="1"/>
    <x v="4586"/>
    <x v="4354"/>
    <x v="0"/>
    <x v="1"/>
  </r>
  <r>
    <s v="ORD04650"/>
    <x v="285"/>
    <x v="1"/>
    <x v="7"/>
    <x v="0"/>
    <x v="4587"/>
    <x v="4355"/>
    <x v="0"/>
    <x v="3"/>
  </r>
  <r>
    <s v="ORD04651"/>
    <x v="674"/>
    <x v="1"/>
    <x v="6"/>
    <x v="0"/>
    <x v="4588"/>
    <x v="4356"/>
    <x v="0"/>
    <x v="2"/>
  </r>
  <r>
    <s v="ORD04652"/>
    <x v="678"/>
    <x v="2"/>
    <x v="8"/>
    <x v="1"/>
    <x v="4589"/>
    <x v="4357"/>
    <x v="0"/>
    <x v="0"/>
  </r>
  <r>
    <s v="ORD04653"/>
    <x v="402"/>
    <x v="2"/>
    <x v="12"/>
    <x v="2"/>
    <x v="4590"/>
    <x v="4358"/>
    <x v="0"/>
    <x v="3"/>
  </r>
  <r>
    <s v="ORD04654"/>
    <x v="90"/>
    <x v="3"/>
    <x v="13"/>
    <x v="1"/>
    <x v="4591"/>
    <x v="4359"/>
    <x v="2"/>
    <x v="3"/>
  </r>
  <r>
    <s v="ORD04655"/>
    <x v="674"/>
    <x v="2"/>
    <x v="14"/>
    <x v="2"/>
    <x v="4592"/>
    <x v="4360"/>
    <x v="1"/>
    <x v="1"/>
  </r>
  <r>
    <s v="ORD04656"/>
    <x v="274"/>
    <x v="3"/>
    <x v="13"/>
    <x v="1"/>
    <x v="4593"/>
    <x v="4361"/>
    <x v="2"/>
    <x v="1"/>
  </r>
  <r>
    <s v="ORD04657"/>
    <x v="393"/>
    <x v="2"/>
    <x v="7"/>
    <x v="0"/>
    <x v="4594"/>
    <x v="4362"/>
    <x v="1"/>
    <x v="2"/>
  </r>
  <r>
    <s v="ORD04658"/>
    <x v="977"/>
    <x v="2"/>
    <x v="10"/>
    <x v="2"/>
    <x v="4595"/>
    <x v="1659"/>
    <x v="2"/>
    <x v="3"/>
  </r>
  <r>
    <s v="ORD04659"/>
    <x v="342"/>
    <x v="0"/>
    <x v="7"/>
    <x v="0"/>
    <x v="4520"/>
    <x v="4363"/>
    <x v="1"/>
    <x v="3"/>
  </r>
  <r>
    <s v="ORD04660"/>
    <x v="778"/>
    <x v="1"/>
    <x v="10"/>
    <x v="2"/>
    <x v="4596"/>
    <x v="4364"/>
    <x v="0"/>
    <x v="3"/>
  </r>
  <r>
    <s v="ORD04661"/>
    <x v="227"/>
    <x v="0"/>
    <x v="8"/>
    <x v="1"/>
    <x v="4597"/>
    <x v="4365"/>
    <x v="0"/>
    <x v="3"/>
  </r>
  <r>
    <s v="ORD04662"/>
    <x v="605"/>
    <x v="2"/>
    <x v="0"/>
    <x v="0"/>
    <x v="4598"/>
    <x v="4366"/>
    <x v="1"/>
    <x v="0"/>
  </r>
  <r>
    <s v="ORD04663"/>
    <x v="549"/>
    <x v="2"/>
    <x v="5"/>
    <x v="1"/>
    <x v="4599"/>
    <x v="4367"/>
    <x v="1"/>
    <x v="2"/>
  </r>
  <r>
    <s v="ORD04664"/>
    <x v="238"/>
    <x v="2"/>
    <x v="13"/>
    <x v="1"/>
    <x v="4600"/>
    <x v="4368"/>
    <x v="1"/>
    <x v="3"/>
  </r>
  <r>
    <s v="ORD04665"/>
    <x v="175"/>
    <x v="0"/>
    <x v="8"/>
    <x v="1"/>
    <x v="4601"/>
    <x v="4369"/>
    <x v="2"/>
    <x v="2"/>
  </r>
  <r>
    <s v="ORD04666"/>
    <x v="977"/>
    <x v="3"/>
    <x v="4"/>
    <x v="0"/>
    <x v="4602"/>
    <x v="4370"/>
    <x v="1"/>
    <x v="0"/>
  </r>
  <r>
    <s v="ORD04667"/>
    <x v="425"/>
    <x v="0"/>
    <x v="5"/>
    <x v="1"/>
    <x v="4603"/>
    <x v="4371"/>
    <x v="2"/>
    <x v="1"/>
  </r>
  <r>
    <s v="ORD04668"/>
    <x v="957"/>
    <x v="3"/>
    <x v="10"/>
    <x v="2"/>
    <x v="4604"/>
    <x v="4372"/>
    <x v="2"/>
    <x v="1"/>
  </r>
  <r>
    <s v="ORD04669"/>
    <x v="130"/>
    <x v="3"/>
    <x v="7"/>
    <x v="0"/>
    <x v="4605"/>
    <x v="4373"/>
    <x v="1"/>
    <x v="0"/>
  </r>
  <r>
    <s v="ORD04670"/>
    <x v="74"/>
    <x v="3"/>
    <x v="14"/>
    <x v="2"/>
    <x v="4606"/>
    <x v="4374"/>
    <x v="0"/>
    <x v="0"/>
  </r>
  <r>
    <s v="ORD04671"/>
    <x v="1050"/>
    <x v="1"/>
    <x v="11"/>
    <x v="2"/>
    <x v="4607"/>
    <x v="4375"/>
    <x v="0"/>
    <x v="1"/>
  </r>
  <r>
    <s v="ORD04672"/>
    <x v="395"/>
    <x v="3"/>
    <x v="14"/>
    <x v="2"/>
    <x v="4608"/>
    <x v="4376"/>
    <x v="0"/>
    <x v="2"/>
  </r>
  <r>
    <s v="ORD04673"/>
    <x v="995"/>
    <x v="1"/>
    <x v="9"/>
    <x v="0"/>
    <x v="4609"/>
    <x v="4377"/>
    <x v="2"/>
    <x v="3"/>
  </r>
  <r>
    <s v="ORD04674"/>
    <x v="449"/>
    <x v="0"/>
    <x v="14"/>
    <x v="2"/>
    <x v="4610"/>
    <x v="4378"/>
    <x v="0"/>
    <x v="2"/>
  </r>
  <r>
    <s v="ORD04675"/>
    <x v="828"/>
    <x v="1"/>
    <x v="7"/>
    <x v="0"/>
    <x v="4611"/>
    <x v="4379"/>
    <x v="0"/>
    <x v="0"/>
  </r>
  <r>
    <s v="ORD04676"/>
    <x v="1070"/>
    <x v="1"/>
    <x v="8"/>
    <x v="1"/>
    <x v="3402"/>
    <x v="4380"/>
    <x v="2"/>
    <x v="0"/>
  </r>
  <r>
    <s v="ORD04677"/>
    <x v="31"/>
    <x v="2"/>
    <x v="1"/>
    <x v="1"/>
    <x v="4612"/>
    <x v="4381"/>
    <x v="0"/>
    <x v="0"/>
  </r>
  <r>
    <s v="ORD04678"/>
    <x v="440"/>
    <x v="0"/>
    <x v="2"/>
    <x v="1"/>
    <x v="4613"/>
    <x v="4382"/>
    <x v="2"/>
    <x v="2"/>
  </r>
  <r>
    <s v="ORD04679"/>
    <x v="670"/>
    <x v="1"/>
    <x v="4"/>
    <x v="0"/>
    <x v="4614"/>
    <x v="4383"/>
    <x v="2"/>
    <x v="0"/>
  </r>
  <r>
    <s v="ORD04680"/>
    <x v="669"/>
    <x v="3"/>
    <x v="4"/>
    <x v="0"/>
    <x v="4615"/>
    <x v="1694"/>
    <x v="0"/>
    <x v="2"/>
  </r>
  <r>
    <s v="ORD04681"/>
    <x v="549"/>
    <x v="3"/>
    <x v="9"/>
    <x v="0"/>
    <x v="4616"/>
    <x v="4384"/>
    <x v="1"/>
    <x v="2"/>
  </r>
  <r>
    <s v="ORD04682"/>
    <x v="461"/>
    <x v="1"/>
    <x v="7"/>
    <x v="0"/>
    <x v="4617"/>
    <x v="4385"/>
    <x v="1"/>
    <x v="2"/>
  </r>
  <r>
    <s v="ORD04683"/>
    <x v="719"/>
    <x v="2"/>
    <x v="14"/>
    <x v="2"/>
    <x v="4618"/>
    <x v="4386"/>
    <x v="0"/>
    <x v="1"/>
  </r>
  <r>
    <s v="ORD04684"/>
    <x v="649"/>
    <x v="3"/>
    <x v="11"/>
    <x v="2"/>
    <x v="4619"/>
    <x v="4387"/>
    <x v="1"/>
    <x v="1"/>
  </r>
  <r>
    <s v="ORD04685"/>
    <x v="130"/>
    <x v="2"/>
    <x v="14"/>
    <x v="2"/>
    <x v="4620"/>
    <x v="2923"/>
    <x v="1"/>
    <x v="2"/>
  </r>
  <r>
    <s v="ORD04686"/>
    <x v="429"/>
    <x v="2"/>
    <x v="3"/>
    <x v="2"/>
    <x v="4621"/>
    <x v="4388"/>
    <x v="0"/>
    <x v="2"/>
  </r>
  <r>
    <s v="ORD04687"/>
    <x v="551"/>
    <x v="3"/>
    <x v="12"/>
    <x v="2"/>
    <x v="4622"/>
    <x v="4389"/>
    <x v="2"/>
    <x v="0"/>
  </r>
  <r>
    <s v="ORD04688"/>
    <x v="308"/>
    <x v="1"/>
    <x v="12"/>
    <x v="2"/>
    <x v="4623"/>
    <x v="855"/>
    <x v="0"/>
    <x v="0"/>
  </r>
  <r>
    <s v="ORD04689"/>
    <x v="893"/>
    <x v="3"/>
    <x v="12"/>
    <x v="2"/>
    <x v="4624"/>
    <x v="4390"/>
    <x v="2"/>
    <x v="0"/>
  </r>
  <r>
    <s v="ORD04690"/>
    <x v="1065"/>
    <x v="3"/>
    <x v="7"/>
    <x v="0"/>
    <x v="4625"/>
    <x v="4391"/>
    <x v="0"/>
    <x v="0"/>
  </r>
  <r>
    <s v="ORD04691"/>
    <x v="174"/>
    <x v="2"/>
    <x v="6"/>
    <x v="0"/>
    <x v="4626"/>
    <x v="4392"/>
    <x v="1"/>
    <x v="0"/>
  </r>
  <r>
    <s v="ORD04692"/>
    <x v="710"/>
    <x v="3"/>
    <x v="14"/>
    <x v="2"/>
    <x v="4627"/>
    <x v="4393"/>
    <x v="0"/>
    <x v="3"/>
  </r>
  <r>
    <s v="ORD04693"/>
    <x v="647"/>
    <x v="3"/>
    <x v="11"/>
    <x v="2"/>
    <x v="4628"/>
    <x v="4394"/>
    <x v="0"/>
    <x v="3"/>
  </r>
  <r>
    <s v="ORD04694"/>
    <x v="983"/>
    <x v="0"/>
    <x v="12"/>
    <x v="2"/>
    <x v="4629"/>
    <x v="4395"/>
    <x v="0"/>
    <x v="1"/>
  </r>
  <r>
    <s v="ORD04695"/>
    <x v="333"/>
    <x v="3"/>
    <x v="2"/>
    <x v="1"/>
    <x v="4630"/>
    <x v="4396"/>
    <x v="1"/>
    <x v="3"/>
  </r>
  <r>
    <s v="ORD04696"/>
    <x v="771"/>
    <x v="0"/>
    <x v="7"/>
    <x v="0"/>
    <x v="4631"/>
    <x v="4397"/>
    <x v="0"/>
    <x v="0"/>
  </r>
  <r>
    <s v="ORD04697"/>
    <x v="750"/>
    <x v="2"/>
    <x v="8"/>
    <x v="1"/>
    <x v="4632"/>
    <x v="4398"/>
    <x v="0"/>
    <x v="0"/>
  </r>
  <r>
    <s v="ORD04698"/>
    <x v="162"/>
    <x v="3"/>
    <x v="14"/>
    <x v="2"/>
    <x v="4633"/>
    <x v="4399"/>
    <x v="0"/>
    <x v="3"/>
  </r>
  <r>
    <s v="ORD04699"/>
    <x v="1076"/>
    <x v="3"/>
    <x v="4"/>
    <x v="0"/>
    <x v="4634"/>
    <x v="4400"/>
    <x v="1"/>
    <x v="2"/>
  </r>
  <r>
    <s v="ORD04700"/>
    <x v="663"/>
    <x v="2"/>
    <x v="14"/>
    <x v="2"/>
    <x v="4635"/>
    <x v="4401"/>
    <x v="2"/>
    <x v="0"/>
  </r>
  <r>
    <s v="ORD04701"/>
    <x v="165"/>
    <x v="2"/>
    <x v="8"/>
    <x v="1"/>
    <x v="4636"/>
    <x v="4402"/>
    <x v="2"/>
    <x v="1"/>
  </r>
  <r>
    <s v="ORD04702"/>
    <x v="735"/>
    <x v="1"/>
    <x v="8"/>
    <x v="1"/>
    <x v="4637"/>
    <x v="4403"/>
    <x v="0"/>
    <x v="2"/>
  </r>
  <r>
    <s v="ORD04703"/>
    <x v="9"/>
    <x v="3"/>
    <x v="7"/>
    <x v="0"/>
    <x v="4638"/>
    <x v="4404"/>
    <x v="2"/>
    <x v="1"/>
  </r>
  <r>
    <s v="ORD04704"/>
    <x v="815"/>
    <x v="2"/>
    <x v="7"/>
    <x v="0"/>
    <x v="4639"/>
    <x v="4405"/>
    <x v="2"/>
    <x v="2"/>
  </r>
  <r>
    <s v="ORD04705"/>
    <x v="865"/>
    <x v="2"/>
    <x v="3"/>
    <x v="2"/>
    <x v="4640"/>
    <x v="4406"/>
    <x v="1"/>
    <x v="0"/>
  </r>
  <r>
    <s v="ORD04706"/>
    <x v="13"/>
    <x v="0"/>
    <x v="1"/>
    <x v="1"/>
    <x v="4641"/>
    <x v="4407"/>
    <x v="1"/>
    <x v="1"/>
  </r>
  <r>
    <s v="ORD04707"/>
    <x v="98"/>
    <x v="2"/>
    <x v="5"/>
    <x v="1"/>
    <x v="4642"/>
    <x v="4408"/>
    <x v="2"/>
    <x v="3"/>
  </r>
  <r>
    <s v="ORD04708"/>
    <x v="933"/>
    <x v="1"/>
    <x v="3"/>
    <x v="2"/>
    <x v="4404"/>
    <x v="2653"/>
    <x v="0"/>
    <x v="0"/>
  </r>
  <r>
    <s v="ORD04709"/>
    <x v="181"/>
    <x v="0"/>
    <x v="2"/>
    <x v="1"/>
    <x v="4643"/>
    <x v="4409"/>
    <x v="2"/>
    <x v="2"/>
  </r>
  <r>
    <s v="ORD04710"/>
    <x v="15"/>
    <x v="0"/>
    <x v="7"/>
    <x v="0"/>
    <x v="4644"/>
    <x v="4410"/>
    <x v="1"/>
    <x v="0"/>
  </r>
  <r>
    <s v="ORD04711"/>
    <x v="116"/>
    <x v="1"/>
    <x v="5"/>
    <x v="1"/>
    <x v="4645"/>
    <x v="2927"/>
    <x v="0"/>
    <x v="0"/>
  </r>
  <r>
    <s v="ORD04712"/>
    <x v="358"/>
    <x v="2"/>
    <x v="14"/>
    <x v="2"/>
    <x v="4646"/>
    <x v="4411"/>
    <x v="0"/>
    <x v="1"/>
  </r>
  <r>
    <s v="ORD04713"/>
    <x v="563"/>
    <x v="0"/>
    <x v="5"/>
    <x v="1"/>
    <x v="192"/>
    <x v="4412"/>
    <x v="0"/>
    <x v="0"/>
  </r>
  <r>
    <s v="ORD04714"/>
    <x v="963"/>
    <x v="0"/>
    <x v="8"/>
    <x v="1"/>
    <x v="4647"/>
    <x v="918"/>
    <x v="2"/>
    <x v="1"/>
  </r>
  <r>
    <s v="ORD04715"/>
    <x v="287"/>
    <x v="3"/>
    <x v="2"/>
    <x v="1"/>
    <x v="4648"/>
    <x v="4413"/>
    <x v="0"/>
    <x v="2"/>
  </r>
  <r>
    <s v="ORD04716"/>
    <x v="94"/>
    <x v="1"/>
    <x v="14"/>
    <x v="2"/>
    <x v="4649"/>
    <x v="4414"/>
    <x v="2"/>
    <x v="1"/>
  </r>
  <r>
    <s v="ORD04717"/>
    <x v="713"/>
    <x v="0"/>
    <x v="9"/>
    <x v="0"/>
    <x v="4650"/>
    <x v="213"/>
    <x v="2"/>
    <x v="2"/>
  </r>
  <r>
    <s v="ORD04718"/>
    <x v="279"/>
    <x v="3"/>
    <x v="4"/>
    <x v="0"/>
    <x v="4651"/>
    <x v="4415"/>
    <x v="2"/>
    <x v="3"/>
  </r>
  <r>
    <s v="ORD04719"/>
    <x v="33"/>
    <x v="0"/>
    <x v="7"/>
    <x v="0"/>
    <x v="2254"/>
    <x v="4416"/>
    <x v="0"/>
    <x v="1"/>
  </r>
  <r>
    <s v="ORD04720"/>
    <x v="1077"/>
    <x v="2"/>
    <x v="2"/>
    <x v="1"/>
    <x v="4652"/>
    <x v="4417"/>
    <x v="1"/>
    <x v="0"/>
  </r>
  <r>
    <s v="ORD04721"/>
    <x v="519"/>
    <x v="3"/>
    <x v="11"/>
    <x v="2"/>
    <x v="4653"/>
    <x v="4418"/>
    <x v="0"/>
    <x v="3"/>
  </r>
  <r>
    <s v="ORD04722"/>
    <x v="824"/>
    <x v="2"/>
    <x v="2"/>
    <x v="1"/>
    <x v="4654"/>
    <x v="4419"/>
    <x v="0"/>
    <x v="2"/>
  </r>
  <r>
    <s v="ORD04724"/>
    <x v="822"/>
    <x v="1"/>
    <x v="14"/>
    <x v="2"/>
    <x v="4655"/>
    <x v="4420"/>
    <x v="2"/>
    <x v="0"/>
  </r>
  <r>
    <s v="ORD04725"/>
    <x v="65"/>
    <x v="2"/>
    <x v="4"/>
    <x v="0"/>
    <x v="4656"/>
    <x v="4421"/>
    <x v="2"/>
    <x v="2"/>
  </r>
  <r>
    <s v="ORD04726"/>
    <x v="431"/>
    <x v="0"/>
    <x v="8"/>
    <x v="1"/>
    <x v="4657"/>
    <x v="4422"/>
    <x v="1"/>
    <x v="1"/>
  </r>
  <r>
    <s v="ORD04727"/>
    <x v="171"/>
    <x v="1"/>
    <x v="12"/>
    <x v="2"/>
    <x v="4658"/>
    <x v="4423"/>
    <x v="2"/>
    <x v="2"/>
  </r>
  <r>
    <s v="ORD04728"/>
    <x v="45"/>
    <x v="1"/>
    <x v="14"/>
    <x v="2"/>
    <x v="4659"/>
    <x v="4424"/>
    <x v="0"/>
    <x v="3"/>
  </r>
  <r>
    <s v="ORD04729"/>
    <x v="794"/>
    <x v="2"/>
    <x v="5"/>
    <x v="1"/>
    <x v="4660"/>
    <x v="4425"/>
    <x v="0"/>
    <x v="1"/>
  </r>
  <r>
    <s v="ORD04730"/>
    <x v="408"/>
    <x v="2"/>
    <x v="8"/>
    <x v="1"/>
    <x v="4661"/>
    <x v="1680"/>
    <x v="2"/>
    <x v="2"/>
  </r>
  <r>
    <s v="ORD04731"/>
    <x v="1040"/>
    <x v="0"/>
    <x v="9"/>
    <x v="0"/>
    <x v="4662"/>
    <x v="4426"/>
    <x v="0"/>
    <x v="2"/>
  </r>
  <r>
    <s v="ORD04732"/>
    <x v="944"/>
    <x v="1"/>
    <x v="1"/>
    <x v="1"/>
    <x v="4663"/>
    <x v="4427"/>
    <x v="0"/>
    <x v="3"/>
  </r>
  <r>
    <s v="ORD04733"/>
    <x v="996"/>
    <x v="1"/>
    <x v="6"/>
    <x v="0"/>
    <x v="4664"/>
    <x v="4428"/>
    <x v="2"/>
    <x v="1"/>
  </r>
  <r>
    <s v="ORD04734"/>
    <x v="360"/>
    <x v="2"/>
    <x v="3"/>
    <x v="2"/>
    <x v="4665"/>
    <x v="4429"/>
    <x v="2"/>
    <x v="3"/>
  </r>
  <r>
    <s v="ORD04735"/>
    <x v="995"/>
    <x v="1"/>
    <x v="8"/>
    <x v="1"/>
    <x v="4666"/>
    <x v="4430"/>
    <x v="2"/>
    <x v="2"/>
  </r>
  <r>
    <s v="ORD04736"/>
    <x v="446"/>
    <x v="2"/>
    <x v="2"/>
    <x v="1"/>
    <x v="3545"/>
    <x v="4431"/>
    <x v="0"/>
    <x v="2"/>
  </r>
  <r>
    <s v="ORD04737"/>
    <x v="980"/>
    <x v="0"/>
    <x v="8"/>
    <x v="1"/>
    <x v="4667"/>
    <x v="4432"/>
    <x v="0"/>
    <x v="0"/>
  </r>
  <r>
    <s v="ORD04738"/>
    <x v="90"/>
    <x v="1"/>
    <x v="10"/>
    <x v="2"/>
    <x v="4668"/>
    <x v="4433"/>
    <x v="0"/>
    <x v="2"/>
  </r>
  <r>
    <s v="ORD04740"/>
    <x v="426"/>
    <x v="3"/>
    <x v="5"/>
    <x v="1"/>
    <x v="4669"/>
    <x v="4434"/>
    <x v="1"/>
    <x v="0"/>
  </r>
  <r>
    <s v="ORD04741"/>
    <x v="1016"/>
    <x v="2"/>
    <x v="2"/>
    <x v="1"/>
    <x v="4670"/>
    <x v="4435"/>
    <x v="0"/>
    <x v="3"/>
  </r>
  <r>
    <s v="ORD04742"/>
    <x v="1051"/>
    <x v="3"/>
    <x v="6"/>
    <x v="0"/>
    <x v="4671"/>
    <x v="263"/>
    <x v="1"/>
    <x v="3"/>
  </r>
  <r>
    <s v="ORD04743"/>
    <x v="874"/>
    <x v="0"/>
    <x v="6"/>
    <x v="0"/>
    <x v="4672"/>
    <x v="4436"/>
    <x v="2"/>
    <x v="2"/>
  </r>
  <r>
    <s v="ORD04744"/>
    <x v="763"/>
    <x v="1"/>
    <x v="8"/>
    <x v="1"/>
    <x v="4673"/>
    <x v="4437"/>
    <x v="2"/>
    <x v="1"/>
  </r>
  <r>
    <s v="ORD04745"/>
    <x v="958"/>
    <x v="2"/>
    <x v="4"/>
    <x v="0"/>
    <x v="4674"/>
    <x v="4438"/>
    <x v="1"/>
    <x v="3"/>
  </r>
  <r>
    <s v="ORD04746"/>
    <x v="980"/>
    <x v="3"/>
    <x v="13"/>
    <x v="1"/>
    <x v="4675"/>
    <x v="4439"/>
    <x v="1"/>
    <x v="1"/>
  </r>
  <r>
    <s v="ORD04747"/>
    <x v="170"/>
    <x v="2"/>
    <x v="8"/>
    <x v="1"/>
    <x v="4676"/>
    <x v="4440"/>
    <x v="0"/>
    <x v="1"/>
  </r>
  <r>
    <s v="ORD04748"/>
    <x v="926"/>
    <x v="1"/>
    <x v="7"/>
    <x v="0"/>
    <x v="4677"/>
    <x v="4441"/>
    <x v="2"/>
    <x v="1"/>
  </r>
  <r>
    <s v="ORD04749"/>
    <x v="245"/>
    <x v="1"/>
    <x v="13"/>
    <x v="1"/>
    <x v="4678"/>
    <x v="4442"/>
    <x v="1"/>
    <x v="0"/>
  </r>
  <r>
    <s v="ORD04750"/>
    <x v="641"/>
    <x v="3"/>
    <x v="8"/>
    <x v="1"/>
    <x v="4679"/>
    <x v="4443"/>
    <x v="2"/>
    <x v="1"/>
  </r>
  <r>
    <s v="ORD04751"/>
    <x v="499"/>
    <x v="0"/>
    <x v="1"/>
    <x v="1"/>
    <x v="4680"/>
    <x v="4444"/>
    <x v="1"/>
    <x v="3"/>
  </r>
  <r>
    <s v="ORD04752"/>
    <x v="1042"/>
    <x v="1"/>
    <x v="2"/>
    <x v="1"/>
    <x v="4681"/>
    <x v="4315"/>
    <x v="0"/>
    <x v="3"/>
  </r>
  <r>
    <s v="ORD04753"/>
    <x v="736"/>
    <x v="1"/>
    <x v="13"/>
    <x v="1"/>
    <x v="4682"/>
    <x v="4445"/>
    <x v="0"/>
    <x v="0"/>
  </r>
  <r>
    <s v="ORD04754"/>
    <x v="646"/>
    <x v="2"/>
    <x v="2"/>
    <x v="1"/>
    <x v="4683"/>
    <x v="4446"/>
    <x v="2"/>
    <x v="0"/>
  </r>
  <r>
    <s v="ORD04755"/>
    <x v="120"/>
    <x v="3"/>
    <x v="5"/>
    <x v="1"/>
    <x v="4684"/>
    <x v="4447"/>
    <x v="2"/>
    <x v="1"/>
  </r>
  <r>
    <s v="ORD04756"/>
    <x v="1037"/>
    <x v="0"/>
    <x v="4"/>
    <x v="0"/>
    <x v="4685"/>
    <x v="4448"/>
    <x v="0"/>
    <x v="3"/>
  </r>
  <r>
    <s v="ORD04757"/>
    <x v="99"/>
    <x v="2"/>
    <x v="14"/>
    <x v="2"/>
    <x v="4686"/>
    <x v="3048"/>
    <x v="1"/>
    <x v="2"/>
  </r>
  <r>
    <s v="ORD04758"/>
    <x v="1031"/>
    <x v="1"/>
    <x v="9"/>
    <x v="0"/>
    <x v="4687"/>
    <x v="4449"/>
    <x v="0"/>
    <x v="0"/>
  </r>
  <r>
    <s v="ORD04759"/>
    <x v="403"/>
    <x v="0"/>
    <x v="5"/>
    <x v="1"/>
    <x v="3198"/>
    <x v="4450"/>
    <x v="2"/>
    <x v="1"/>
  </r>
  <r>
    <s v="ORD04760"/>
    <x v="213"/>
    <x v="2"/>
    <x v="11"/>
    <x v="2"/>
    <x v="4688"/>
    <x v="4451"/>
    <x v="2"/>
    <x v="0"/>
  </r>
  <r>
    <s v="ORD04761"/>
    <x v="380"/>
    <x v="3"/>
    <x v="0"/>
    <x v="0"/>
    <x v="4689"/>
    <x v="4452"/>
    <x v="2"/>
    <x v="1"/>
  </r>
  <r>
    <s v="ORD04762"/>
    <x v="612"/>
    <x v="2"/>
    <x v="14"/>
    <x v="2"/>
    <x v="4690"/>
    <x v="4453"/>
    <x v="1"/>
    <x v="1"/>
  </r>
  <r>
    <s v="ORD04763"/>
    <x v="403"/>
    <x v="2"/>
    <x v="8"/>
    <x v="1"/>
    <x v="4691"/>
    <x v="4454"/>
    <x v="0"/>
    <x v="0"/>
  </r>
  <r>
    <s v="ORD04764"/>
    <x v="1041"/>
    <x v="1"/>
    <x v="10"/>
    <x v="2"/>
    <x v="4692"/>
    <x v="4455"/>
    <x v="2"/>
    <x v="2"/>
  </r>
  <r>
    <s v="ORD04765"/>
    <x v="251"/>
    <x v="2"/>
    <x v="9"/>
    <x v="0"/>
    <x v="4693"/>
    <x v="4456"/>
    <x v="0"/>
    <x v="3"/>
  </r>
  <r>
    <s v="ORD04766"/>
    <x v="362"/>
    <x v="0"/>
    <x v="12"/>
    <x v="2"/>
    <x v="4694"/>
    <x v="4457"/>
    <x v="1"/>
    <x v="0"/>
  </r>
  <r>
    <s v="ORD04767"/>
    <x v="981"/>
    <x v="3"/>
    <x v="0"/>
    <x v="0"/>
    <x v="4695"/>
    <x v="4458"/>
    <x v="0"/>
    <x v="2"/>
  </r>
  <r>
    <s v="ORD04768"/>
    <x v="873"/>
    <x v="2"/>
    <x v="12"/>
    <x v="2"/>
    <x v="4696"/>
    <x v="4459"/>
    <x v="0"/>
    <x v="1"/>
  </r>
  <r>
    <s v="ORD04769"/>
    <x v="151"/>
    <x v="2"/>
    <x v="2"/>
    <x v="1"/>
    <x v="4697"/>
    <x v="1499"/>
    <x v="0"/>
    <x v="1"/>
  </r>
  <r>
    <s v="ORD04770"/>
    <x v="237"/>
    <x v="1"/>
    <x v="11"/>
    <x v="2"/>
    <x v="4698"/>
    <x v="4460"/>
    <x v="1"/>
    <x v="2"/>
  </r>
  <r>
    <s v="ORD04771"/>
    <x v="856"/>
    <x v="1"/>
    <x v="13"/>
    <x v="1"/>
    <x v="4699"/>
    <x v="1633"/>
    <x v="1"/>
    <x v="3"/>
  </r>
  <r>
    <s v="ORD04772"/>
    <x v="654"/>
    <x v="1"/>
    <x v="2"/>
    <x v="1"/>
    <x v="4700"/>
    <x v="4461"/>
    <x v="1"/>
    <x v="2"/>
  </r>
  <r>
    <s v="ORD04773"/>
    <x v="540"/>
    <x v="0"/>
    <x v="14"/>
    <x v="2"/>
    <x v="4701"/>
    <x v="4462"/>
    <x v="1"/>
    <x v="2"/>
  </r>
  <r>
    <s v="ORD04774"/>
    <x v="526"/>
    <x v="2"/>
    <x v="1"/>
    <x v="1"/>
    <x v="4702"/>
    <x v="4463"/>
    <x v="0"/>
    <x v="3"/>
  </r>
  <r>
    <s v="ORD04775"/>
    <x v="1047"/>
    <x v="2"/>
    <x v="6"/>
    <x v="0"/>
    <x v="4703"/>
    <x v="4464"/>
    <x v="2"/>
    <x v="2"/>
  </r>
  <r>
    <s v="ORD04776"/>
    <x v="871"/>
    <x v="3"/>
    <x v="12"/>
    <x v="2"/>
    <x v="4704"/>
    <x v="4465"/>
    <x v="2"/>
    <x v="2"/>
  </r>
  <r>
    <s v="ORD04777"/>
    <x v="91"/>
    <x v="0"/>
    <x v="3"/>
    <x v="2"/>
    <x v="4705"/>
    <x v="4466"/>
    <x v="0"/>
    <x v="2"/>
  </r>
  <r>
    <s v="ORD04778"/>
    <x v="269"/>
    <x v="0"/>
    <x v="11"/>
    <x v="2"/>
    <x v="1149"/>
    <x v="4467"/>
    <x v="0"/>
    <x v="0"/>
  </r>
  <r>
    <s v="ORD04779"/>
    <x v="287"/>
    <x v="0"/>
    <x v="9"/>
    <x v="0"/>
    <x v="4706"/>
    <x v="4468"/>
    <x v="1"/>
    <x v="2"/>
  </r>
  <r>
    <s v="ORD04780"/>
    <x v="845"/>
    <x v="1"/>
    <x v="1"/>
    <x v="1"/>
    <x v="4707"/>
    <x v="4469"/>
    <x v="2"/>
    <x v="2"/>
  </r>
  <r>
    <s v="ORD04781"/>
    <x v="386"/>
    <x v="1"/>
    <x v="8"/>
    <x v="1"/>
    <x v="4708"/>
    <x v="4470"/>
    <x v="0"/>
    <x v="2"/>
  </r>
  <r>
    <s v="ORD04782"/>
    <x v="460"/>
    <x v="1"/>
    <x v="1"/>
    <x v="1"/>
    <x v="4709"/>
    <x v="4471"/>
    <x v="1"/>
    <x v="1"/>
  </r>
  <r>
    <s v="ORD04783"/>
    <x v="839"/>
    <x v="1"/>
    <x v="10"/>
    <x v="2"/>
    <x v="4710"/>
    <x v="4472"/>
    <x v="0"/>
    <x v="0"/>
  </r>
  <r>
    <s v="ORD04784"/>
    <x v="536"/>
    <x v="0"/>
    <x v="4"/>
    <x v="0"/>
    <x v="4711"/>
    <x v="2031"/>
    <x v="2"/>
    <x v="3"/>
  </r>
  <r>
    <s v="ORD04785"/>
    <x v="541"/>
    <x v="0"/>
    <x v="6"/>
    <x v="0"/>
    <x v="4712"/>
    <x v="4473"/>
    <x v="2"/>
    <x v="3"/>
  </r>
  <r>
    <s v="ORD04786"/>
    <x v="674"/>
    <x v="2"/>
    <x v="3"/>
    <x v="2"/>
    <x v="4713"/>
    <x v="4474"/>
    <x v="2"/>
    <x v="1"/>
  </r>
  <r>
    <s v="ORD04787"/>
    <x v="42"/>
    <x v="1"/>
    <x v="10"/>
    <x v="2"/>
    <x v="4714"/>
    <x v="4475"/>
    <x v="1"/>
    <x v="1"/>
  </r>
  <r>
    <s v="ORD04788"/>
    <x v="836"/>
    <x v="2"/>
    <x v="10"/>
    <x v="2"/>
    <x v="4715"/>
    <x v="4476"/>
    <x v="1"/>
    <x v="2"/>
  </r>
  <r>
    <s v="ORD04789"/>
    <x v="904"/>
    <x v="3"/>
    <x v="12"/>
    <x v="2"/>
    <x v="4716"/>
    <x v="4477"/>
    <x v="2"/>
    <x v="1"/>
  </r>
  <r>
    <s v="ORD04790"/>
    <x v="392"/>
    <x v="2"/>
    <x v="4"/>
    <x v="0"/>
    <x v="4717"/>
    <x v="33"/>
    <x v="0"/>
    <x v="0"/>
  </r>
  <r>
    <s v="ORD04791"/>
    <x v="1066"/>
    <x v="0"/>
    <x v="6"/>
    <x v="0"/>
    <x v="4718"/>
    <x v="4478"/>
    <x v="0"/>
    <x v="1"/>
  </r>
  <r>
    <s v="ORD04792"/>
    <x v="522"/>
    <x v="0"/>
    <x v="6"/>
    <x v="0"/>
    <x v="4719"/>
    <x v="6"/>
    <x v="0"/>
    <x v="3"/>
  </r>
  <r>
    <s v="ORD04793"/>
    <x v="6"/>
    <x v="2"/>
    <x v="9"/>
    <x v="0"/>
    <x v="4720"/>
    <x v="4479"/>
    <x v="2"/>
    <x v="2"/>
  </r>
  <r>
    <s v="ORD04794"/>
    <x v="353"/>
    <x v="1"/>
    <x v="11"/>
    <x v="2"/>
    <x v="4721"/>
    <x v="4480"/>
    <x v="1"/>
    <x v="0"/>
  </r>
  <r>
    <s v="ORD04795"/>
    <x v="883"/>
    <x v="2"/>
    <x v="6"/>
    <x v="0"/>
    <x v="4722"/>
    <x v="2402"/>
    <x v="2"/>
    <x v="0"/>
  </r>
  <r>
    <s v="ORD04796"/>
    <x v="381"/>
    <x v="3"/>
    <x v="3"/>
    <x v="2"/>
    <x v="4723"/>
    <x v="4481"/>
    <x v="1"/>
    <x v="1"/>
  </r>
  <r>
    <s v="ORD04797"/>
    <x v="398"/>
    <x v="3"/>
    <x v="14"/>
    <x v="2"/>
    <x v="4724"/>
    <x v="4482"/>
    <x v="2"/>
    <x v="3"/>
  </r>
  <r>
    <s v="ORD04798"/>
    <x v="280"/>
    <x v="3"/>
    <x v="13"/>
    <x v="1"/>
    <x v="4725"/>
    <x v="4483"/>
    <x v="1"/>
    <x v="1"/>
  </r>
  <r>
    <s v="ORD04799"/>
    <x v="881"/>
    <x v="0"/>
    <x v="5"/>
    <x v="1"/>
    <x v="4726"/>
    <x v="4484"/>
    <x v="0"/>
    <x v="0"/>
  </r>
  <r>
    <s v="ORD04800"/>
    <x v="812"/>
    <x v="2"/>
    <x v="7"/>
    <x v="0"/>
    <x v="4727"/>
    <x v="4485"/>
    <x v="2"/>
    <x v="0"/>
  </r>
  <r>
    <s v="ORD04801"/>
    <x v="638"/>
    <x v="2"/>
    <x v="13"/>
    <x v="1"/>
    <x v="4728"/>
    <x v="4486"/>
    <x v="0"/>
    <x v="2"/>
  </r>
  <r>
    <s v="ORD04802"/>
    <x v="1078"/>
    <x v="2"/>
    <x v="7"/>
    <x v="0"/>
    <x v="4729"/>
    <x v="4487"/>
    <x v="2"/>
    <x v="1"/>
  </r>
  <r>
    <s v="ORD04803"/>
    <x v="554"/>
    <x v="0"/>
    <x v="6"/>
    <x v="0"/>
    <x v="4730"/>
    <x v="4488"/>
    <x v="1"/>
    <x v="1"/>
  </r>
  <r>
    <s v="ORD04804"/>
    <x v="274"/>
    <x v="1"/>
    <x v="14"/>
    <x v="2"/>
    <x v="4731"/>
    <x v="4489"/>
    <x v="2"/>
    <x v="2"/>
  </r>
  <r>
    <s v="ORD04805"/>
    <x v="111"/>
    <x v="0"/>
    <x v="9"/>
    <x v="0"/>
    <x v="4732"/>
    <x v="4490"/>
    <x v="2"/>
    <x v="3"/>
  </r>
  <r>
    <s v="ORD04806"/>
    <x v="101"/>
    <x v="3"/>
    <x v="3"/>
    <x v="2"/>
    <x v="4733"/>
    <x v="4491"/>
    <x v="1"/>
    <x v="0"/>
  </r>
  <r>
    <s v="ORD04807"/>
    <x v="1025"/>
    <x v="0"/>
    <x v="5"/>
    <x v="1"/>
    <x v="4734"/>
    <x v="4492"/>
    <x v="1"/>
    <x v="3"/>
  </r>
  <r>
    <s v="ORD04808"/>
    <x v="119"/>
    <x v="3"/>
    <x v="13"/>
    <x v="1"/>
    <x v="4735"/>
    <x v="4493"/>
    <x v="1"/>
    <x v="2"/>
  </r>
  <r>
    <s v="ORD04809"/>
    <x v="923"/>
    <x v="2"/>
    <x v="13"/>
    <x v="1"/>
    <x v="4736"/>
    <x v="4494"/>
    <x v="2"/>
    <x v="3"/>
  </r>
  <r>
    <s v="ORD04810"/>
    <x v="313"/>
    <x v="2"/>
    <x v="7"/>
    <x v="0"/>
    <x v="4737"/>
    <x v="4495"/>
    <x v="1"/>
    <x v="3"/>
  </r>
  <r>
    <s v="ORD04811"/>
    <x v="14"/>
    <x v="2"/>
    <x v="3"/>
    <x v="2"/>
    <x v="4738"/>
    <x v="4496"/>
    <x v="1"/>
    <x v="1"/>
  </r>
  <r>
    <s v="ORD04812"/>
    <x v="561"/>
    <x v="1"/>
    <x v="3"/>
    <x v="2"/>
    <x v="4739"/>
    <x v="4497"/>
    <x v="0"/>
    <x v="2"/>
  </r>
  <r>
    <s v="ORD04813"/>
    <x v="316"/>
    <x v="3"/>
    <x v="9"/>
    <x v="0"/>
    <x v="4740"/>
    <x v="4498"/>
    <x v="2"/>
    <x v="0"/>
  </r>
  <r>
    <s v="ORD04814"/>
    <x v="914"/>
    <x v="3"/>
    <x v="7"/>
    <x v="0"/>
    <x v="4741"/>
    <x v="4499"/>
    <x v="1"/>
    <x v="3"/>
  </r>
  <r>
    <s v="ORD04815"/>
    <x v="662"/>
    <x v="0"/>
    <x v="10"/>
    <x v="2"/>
    <x v="4742"/>
    <x v="4500"/>
    <x v="0"/>
    <x v="1"/>
  </r>
  <r>
    <s v="ORD04816"/>
    <x v="680"/>
    <x v="3"/>
    <x v="1"/>
    <x v="1"/>
    <x v="4743"/>
    <x v="4501"/>
    <x v="2"/>
    <x v="1"/>
  </r>
  <r>
    <s v="ORD04817"/>
    <x v="257"/>
    <x v="1"/>
    <x v="9"/>
    <x v="0"/>
    <x v="4744"/>
    <x v="4502"/>
    <x v="2"/>
    <x v="2"/>
  </r>
  <r>
    <s v="ORD04818"/>
    <x v="1048"/>
    <x v="1"/>
    <x v="1"/>
    <x v="1"/>
    <x v="4745"/>
    <x v="4503"/>
    <x v="0"/>
    <x v="0"/>
  </r>
  <r>
    <s v="ORD04819"/>
    <x v="609"/>
    <x v="2"/>
    <x v="8"/>
    <x v="1"/>
    <x v="4746"/>
    <x v="4504"/>
    <x v="0"/>
    <x v="3"/>
  </r>
  <r>
    <s v="ORD04820"/>
    <x v="10"/>
    <x v="3"/>
    <x v="1"/>
    <x v="1"/>
    <x v="4747"/>
    <x v="4505"/>
    <x v="1"/>
    <x v="3"/>
  </r>
  <r>
    <s v="ORD04821"/>
    <x v="602"/>
    <x v="2"/>
    <x v="0"/>
    <x v="0"/>
    <x v="4748"/>
    <x v="4506"/>
    <x v="1"/>
    <x v="2"/>
  </r>
  <r>
    <s v="ORD04822"/>
    <x v="221"/>
    <x v="0"/>
    <x v="6"/>
    <x v="0"/>
    <x v="4749"/>
    <x v="4507"/>
    <x v="1"/>
    <x v="2"/>
  </r>
  <r>
    <s v="ORD04823"/>
    <x v="865"/>
    <x v="2"/>
    <x v="0"/>
    <x v="0"/>
    <x v="4750"/>
    <x v="4508"/>
    <x v="1"/>
    <x v="1"/>
  </r>
  <r>
    <s v="ORD04824"/>
    <x v="92"/>
    <x v="2"/>
    <x v="8"/>
    <x v="1"/>
    <x v="4751"/>
    <x v="4509"/>
    <x v="1"/>
    <x v="3"/>
  </r>
  <r>
    <s v="ORD04825"/>
    <x v="212"/>
    <x v="3"/>
    <x v="13"/>
    <x v="1"/>
    <x v="4752"/>
    <x v="4510"/>
    <x v="0"/>
    <x v="3"/>
  </r>
  <r>
    <s v="ORD04827"/>
    <x v="211"/>
    <x v="1"/>
    <x v="7"/>
    <x v="0"/>
    <x v="4753"/>
    <x v="4511"/>
    <x v="1"/>
    <x v="1"/>
  </r>
  <r>
    <s v="ORD04828"/>
    <x v="925"/>
    <x v="3"/>
    <x v="1"/>
    <x v="1"/>
    <x v="4754"/>
    <x v="4512"/>
    <x v="1"/>
    <x v="2"/>
  </r>
  <r>
    <s v="ORD04829"/>
    <x v="381"/>
    <x v="1"/>
    <x v="11"/>
    <x v="2"/>
    <x v="4755"/>
    <x v="4513"/>
    <x v="0"/>
    <x v="1"/>
  </r>
  <r>
    <s v="ORD04830"/>
    <x v="102"/>
    <x v="3"/>
    <x v="6"/>
    <x v="0"/>
    <x v="4756"/>
    <x v="4514"/>
    <x v="1"/>
    <x v="1"/>
  </r>
  <r>
    <s v="ORD04831"/>
    <x v="395"/>
    <x v="3"/>
    <x v="14"/>
    <x v="2"/>
    <x v="4757"/>
    <x v="4515"/>
    <x v="2"/>
    <x v="0"/>
  </r>
  <r>
    <s v="ORD04832"/>
    <x v="946"/>
    <x v="1"/>
    <x v="9"/>
    <x v="0"/>
    <x v="4758"/>
    <x v="4516"/>
    <x v="2"/>
    <x v="2"/>
  </r>
  <r>
    <s v="ORD04833"/>
    <x v="945"/>
    <x v="1"/>
    <x v="6"/>
    <x v="0"/>
    <x v="4759"/>
    <x v="4517"/>
    <x v="1"/>
    <x v="3"/>
  </r>
  <r>
    <s v="ORD04834"/>
    <x v="824"/>
    <x v="0"/>
    <x v="3"/>
    <x v="2"/>
    <x v="4760"/>
    <x v="4518"/>
    <x v="1"/>
    <x v="0"/>
  </r>
  <r>
    <s v="ORD04835"/>
    <x v="963"/>
    <x v="2"/>
    <x v="8"/>
    <x v="1"/>
    <x v="4761"/>
    <x v="4519"/>
    <x v="1"/>
    <x v="0"/>
  </r>
  <r>
    <s v="ORD04836"/>
    <x v="572"/>
    <x v="0"/>
    <x v="5"/>
    <x v="1"/>
    <x v="4762"/>
    <x v="4520"/>
    <x v="2"/>
    <x v="1"/>
  </r>
  <r>
    <s v="ORD04837"/>
    <x v="457"/>
    <x v="2"/>
    <x v="3"/>
    <x v="2"/>
    <x v="4763"/>
    <x v="4521"/>
    <x v="1"/>
    <x v="2"/>
  </r>
  <r>
    <s v="ORD04838"/>
    <x v="190"/>
    <x v="0"/>
    <x v="3"/>
    <x v="2"/>
    <x v="4764"/>
    <x v="4522"/>
    <x v="2"/>
    <x v="1"/>
  </r>
  <r>
    <s v="ORD04839"/>
    <x v="671"/>
    <x v="0"/>
    <x v="12"/>
    <x v="2"/>
    <x v="4765"/>
    <x v="4523"/>
    <x v="0"/>
    <x v="3"/>
  </r>
  <r>
    <s v="ORD04840"/>
    <x v="556"/>
    <x v="3"/>
    <x v="12"/>
    <x v="2"/>
    <x v="4766"/>
    <x v="4524"/>
    <x v="1"/>
    <x v="2"/>
  </r>
  <r>
    <s v="ORD04841"/>
    <x v="598"/>
    <x v="1"/>
    <x v="3"/>
    <x v="2"/>
    <x v="4767"/>
    <x v="4525"/>
    <x v="0"/>
    <x v="3"/>
  </r>
  <r>
    <s v="ORD04842"/>
    <x v="238"/>
    <x v="0"/>
    <x v="12"/>
    <x v="2"/>
    <x v="4768"/>
    <x v="4526"/>
    <x v="1"/>
    <x v="3"/>
  </r>
  <r>
    <s v="ORD04843"/>
    <x v="1047"/>
    <x v="2"/>
    <x v="2"/>
    <x v="1"/>
    <x v="4769"/>
    <x v="4527"/>
    <x v="0"/>
    <x v="2"/>
  </r>
  <r>
    <s v="ORD04844"/>
    <x v="90"/>
    <x v="3"/>
    <x v="9"/>
    <x v="0"/>
    <x v="4770"/>
    <x v="4528"/>
    <x v="1"/>
    <x v="2"/>
  </r>
  <r>
    <s v="ORD04845"/>
    <x v="295"/>
    <x v="0"/>
    <x v="7"/>
    <x v="0"/>
    <x v="4771"/>
    <x v="4529"/>
    <x v="1"/>
    <x v="1"/>
  </r>
  <r>
    <s v="ORD04846"/>
    <x v="705"/>
    <x v="1"/>
    <x v="9"/>
    <x v="0"/>
    <x v="4772"/>
    <x v="4530"/>
    <x v="0"/>
    <x v="3"/>
  </r>
  <r>
    <s v="ORD04847"/>
    <x v="975"/>
    <x v="2"/>
    <x v="7"/>
    <x v="0"/>
    <x v="4773"/>
    <x v="4531"/>
    <x v="2"/>
    <x v="0"/>
  </r>
  <r>
    <s v="ORD04848"/>
    <x v="218"/>
    <x v="1"/>
    <x v="13"/>
    <x v="1"/>
    <x v="4774"/>
    <x v="4532"/>
    <x v="1"/>
    <x v="2"/>
  </r>
  <r>
    <s v="ORD04849"/>
    <x v="190"/>
    <x v="0"/>
    <x v="8"/>
    <x v="1"/>
    <x v="4775"/>
    <x v="4533"/>
    <x v="2"/>
    <x v="0"/>
  </r>
  <r>
    <s v="ORD04850"/>
    <x v="227"/>
    <x v="3"/>
    <x v="7"/>
    <x v="0"/>
    <x v="4776"/>
    <x v="4534"/>
    <x v="1"/>
    <x v="1"/>
  </r>
  <r>
    <s v="ORD04851"/>
    <x v="155"/>
    <x v="1"/>
    <x v="3"/>
    <x v="2"/>
    <x v="4777"/>
    <x v="4535"/>
    <x v="1"/>
    <x v="3"/>
  </r>
  <r>
    <s v="ORD04852"/>
    <x v="856"/>
    <x v="3"/>
    <x v="4"/>
    <x v="0"/>
    <x v="4778"/>
    <x v="4536"/>
    <x v="0"/>
    <x v="0"/>
  </r>
  <r>
    <s v="ORD04853"/>
    <x v="694"/>
    <x v="3"/>
    <x v="12"/>
    <x v="2"/>
    <x v="4779"/>
    <x v="4537"/>
    <x v="1"/>
    <x v="3"/>
  </r>
  <r>
    <s v="ORD04854"/>
    <x v="718"/>
    <x v="2"/>
    <x v="6"/>
    <x v="0"/>
    <x v="4780"/>
    <x v="4538"/>
    <x v="0"/>
    <x v="1"/>
  </r>
  <r>
    <s v="ORD04855"/>
    <x v="525"/>
    <x v="3"/>
    <x v="11"/>
    <x v="2"/>
    <x v="4781"/>
    <x v="4539"/>
    <x v="0"/>
    <x v="1"/>
  </r>
  <r>
    <s v="ORD04856"/>
    <x v="789"/>
    <x v="2"/>
    <x v="1"/>
    <x v="1"/>
    <x v="4782"/>
    <x v="4540"/>
    <x v="2"/>
    <x v="2"/>
  </r>
  <r>
    <s v="ORD04857"/>
    <x v="167"/>
    <x v="3"/>
    <x v="13"/>
    <x v="1"/>
    <x v="4783"/>
    <x v="4541"/>
    <x v="0"/>
    <x v="3"/>
  </r>
  <r>
    <s v="ORD04858"/>
    <x v="350"/>
    <x v="3"/>
    <x v="0"/>
    <x v="0"/>
    <x v="4784"/>
    <x v="4542"/>
    <x v="0"/>
    <x v="1"/>
  </r>
  <r>
    <s v="ORD04859"/>
    <x v="309"/>
    <x v="2"/>
    <x v="5"/>
    <x v="1"/>
    <x v="4785"/>
    <x v="3461"/>
    <x v="2"/>
    <x v="0"/>
  </r>
  <r>
    <s v="ORD04860"/>
    <x v="630"/>
    <x v="0"/>
    <x v="11"/>
    <x v="2"/>
    <x v="4786"/>
    <x v="4543"/>
    <x v="0"/>
    <x v="2"/>
  </r>
  <r>
    <s v="ORD04861"/>
    <x v="321"/>
    <x v="3"/>
    <x v="1"/>
    <x v="1"/>
    <x v="4787"/>
    <x v="4544"/>
    <x v="1"/>
    <x v="3"/>
  </r>
  <r>
    <s v="ORD04862"/>
    <x v="781"/>
    <x v="0"/>
    <x v="0"/>
    <x v="0"/>
    <x v="4788"/>
    <x v="4545"/>
    <x v="1"/>
    <x v="1"/>
  </r>
  <r>
    <s v="ORD04863"/>
    <x v="174"/>
    <x v="3"/>
    <x v="0"/>
    <x v="0"/>
    <x v="4789"/>
    <x v="4546"/>
    <x v="0"/>
    <x v="0"/>
  </r>
  <r>
    <s v="ORD04864"/>
    <x v="639"/>
    <x v="0"/>
    <x v="4"/>
    <x v="0"/>
    <x v="4790"/>
    <x v="4547"/>
    <x v="0"/>
    <x v="0"/>
  </r>
  <r>
    <s v="ORD04865"/>
    <x v="624"/>
    <x v="2"/>
    <x v="2"/>
    <x v="1"/>
    <x v="4791"/>
    <x v="4548"/>
    <x v="0"/>
    <x v="1"/>
  </r>
  <r>
    <s v="ORD04866"/>
    <x v="829"/>
    <x v="0"/>
    <x v="2"/>
    <x v="1"/>
    <x v="4792"/>
    <x v="4549"/>
    <x v="1"/>
    <x v="2"/>
  </r>
  <r>
    <s v="ORD04867"/>
    <x v="353"/>
    <x v="0"/>
    <x v="13"/>
    <x v="1"/>
    <x v="4793"/>
    <x v="4550"/>
    <x v="1"/>
    <x v="3"/>
  </r>
  <r>
    <s v="ORD04868"/>
    <x v="469"/>
    <x v="1"/>
    <x v="4"/>
    <x v="0"/>
    <x v="4794"/>
    <x v="4551"/>
    <x v="1"/>
    <x v="1"/>
  </r>
  <r>
    <s v="ORD04869"/>
    <x v="1020"/>
    <x v="0"/>
    <x v="12"/>
    <x v="2"/>
    <x v="4795"/>
    <x v="4552"/>
    <x v="0"/>
    <x v="3"/>
  </r>
  <r>
    <s v="ORD04870"/>
    <x v="788"/>
    <x v="2"/>
    <x v="2"/>
    <x v="1"/>
    <x v="4796"/>
    <x v="4553"/>
    <x v="1"/>
    <x v="2"/>
  </r>
  <r>
    <s v="ORD04871"/>
    <x v="944"/>
    <x v="0"/>
    <x v="0"/>
    <x v="0"/>
    <x v="4797"/>
    <x v="4554"/>
    <x v="0"/>
    <x v="3"/>
  </r>
  <r>
    <s v="ORD04872"/>
    <x v="745"/>
    <x v="1"/>
    <x v="13"/>
    <x v="1"/>
    <x v="4798"/>
    <x v="4555"/>
    <x v="1"/>
    <x v="2"/>
  </r>
  <r>
    <s v="ORD04873"/>
    <x v="1049"/>
    <x v="0"/>
    <x v="7"/>
    <x v="0"/>
    <x v="4799"/>
    <x v="4556"/>
    <x v="0"/>
    <x v="1"/>
  </r>
  <r>
    <s v="ORD04874"/>
    <x v="285"/>
    <x v="1"/>
    <x v="7"/>
    <x v="0"/>
    <x v="4800"/>
    <x v="4557"/>
    <x v="0"/>
    <x v="0"/>
  </r>
  <r>
    <s v="ORD04875"/>
    <x v="433"/>
    <x v="0"/>
    <x v="10"/>
    <x v="2"/>
    <x v="4801"/>
    <x v="4558"/>
    <x v="0"/>
    <x v="2"/>
  </r>
  <r>
    <s v="ORD04876"/>
    <x v="588"/>
    <x v="0"/>
    <x v="4"/>
    <x v="0"/>
    <x v="4802"/>
    <x v="4559"/>
    <x v="2"/>
    <x v="3"/>
  </r>
  <r>
    <s v="ORD04877"/>
    <x v="351"/>
    <x v="2"/>
    <x v="5"/>
    <x v="1"/>
    <x v="4803"/>
    <x v="665"/>
    <x v="0"/>
    <x v="1"/>
  </r>
  <r>
    <s v="ORD04878"/>
    <x v="967"/>
    <x v="0"/>
    <x v="1"/>
    <x v="1"/>
    <x v="4804"/>
    <x v="4560"/>
    <x v="2"/>
    <x v="0"/>
  </r>
  <r>
    <s v="ORD04879"/>
    <x v="648"/>
    <x v="3"/>
    <x v="2"/>
    <x v="1"/>
    <x v="4805"/>
    <x v="4561"/>
    <x v="1"/>
    <x v="0"/>
  </r>
  <r>
    <s v="ORD04880"/>
    <x v="672"/>
    <x v="3"/>
    <x v="8"/>
    <x v="1"/>
    <x v="4806"/>
    <x v="4562"/>
    <x v="2"/>
    <x v="2"/>
  </r>
  <r>
    <s v="ORD04881"/>
    <x v="1038"/>
    <x v="0"/>
    <x v="6"/>
    <x v="0"/>
    <x v="4807"/>
    <x v="4563"/>
    <x v="1"/>
    <x v="1"/>
  </r>
  <r>
    <s v="ORD04882"/>
    <x v="211"/>
    <x v="0"/>
    <x v="4"/>
    <x v="0"/>
    <x v="4808"/>
    <x v="3530"/>
    <x v="0"/>
    <x v="3"/>
  </r>
  <r>
    <s v="ORD04883"/>
    <x v="210"/>
    <x v="2"/>
    <x v="14"/>
    <x v="2"/>
    <x v="4809"/>
    <x v="4564"/>
    <x v="1"/>
    <x v="3"/>
  </r>
  <r>
    <s v="ORD04884"/>
    <x v="65"/>
    <x v="2"/>
    <x v="0"/>
    <x v="0"/>
    <x v="4810"/>
    <x v="4565"/>
    <x v="0"/>
    <x v="1"/>
  </r>
  <r>
    <s v="ORD04885"/>
    <x v="1000"/>
    <x v="3"/>
    <x v="6"/>
    <x v="0"/>
    <x v="4811"/>
    <x v="4566"/>
    <x v="0"/>
    <x v="1"/>
  </r>
  <r>
    <s v="ORD04886"/>
    <x v="124"/>
    <x v="0"/>
    <x v="0"/>
    <x v="0"/>
    <x v="4812"/>
    <x v="4567"/>
    <x v="1"/>
    <x v="0"/>
  </r>
  <r>
    <s v="ORD04887"/>
    <x v="384"/>
    <x v="2"/>
    <x v="0"/>
    <x v="0"/>
    <x v="4813"/>
    <x v="4568"/>
    <x v="2"/>
    <x v="2"/>
  </r>
  <r>
    <s v="ORD04888"/>
    <x v="833"/>
    <x v="3"/>
    <x v="10"/>
    <x v="2"/>
    <x v="4814"/>
    <x v="4569"/>
    <x v="1"/>
    <x v="2"/>
  </r>
  <r>
    <s v="ORD04889"/>
    <x v="676"/>
    <x v="3"/>
    <x v="8"/>
    <x v="1"/>
    <x v="4815"/>
    <x v="289"/>
    <x v="2"/>
    <x v="3"/>
  </r>
  <r>
    <s v="ORD04890"/>
    <x v="136"/>
    <x v="2"/>
    <x v="11"/>
    <x v="2"/>
    <x v="4816"/>
    <x v="4570"/>
    <x v="2"/>
    <x v="1"/>
  </r>
  <r>
    <s v="ORD04891"/>
    <x v="649"/>
    <x v="1"/>
    <x v="13"/>
    <x v="1"/>
    <x v="4817"/>
    <x v="4571"/>
    <x v="1"/>
    <x v="3"/>
  </r>
  <r>
    <s v="ORD04892"/>
    <x v="325"/>
    <x v="0"/>
    <x v="11"/>
    <x v="2"/>
    <x v="4818"/>
    <x v="4572"/>
    <x v="2"/>
    <x v="3"/>
  </r>
  <r>
    <s v="ORD04893"/>
    <x v="1073"/>
    <x v="2"/>
    <x v="4"/>
    <x v="0"/>
    <x v="4819"/>
    <x v="4573"/>
    <x v="1"/>
    <x v="2"/>
  </r>
  <r>
    <s v="ORD04894"/>
    <x v="799"/>
    <x v="1"/>
    <x v="5"/>
    <x v="1"/>
    <x v="4820"/>
    <x v="4574"/>
    <x v="0"/>
    <x v="0"/>
  </r>
  <r>
    <s v="ORD04895"/>
    <x v="94"/>
    <x v="0"/>
    <x v="2"/>
    <x v="1"/>
    <x v="4821"/>
    <x v="4575"/>
    <x v="1"/>
    <x v="2"/>
  </r>
  <r>
    <s v="ORD04896"/>
    <x v="28"/>
    <x v="2"/>
    <x v="1"/>
    <x v="1"/>
    <x v="4822"/>
    <x v="4576"/>
    <x v="2"/>
    <x v="0"/>
  </r>
  <r>
    <s v="ORD04897"/>
    <x v="718"/>
    <x v="1"/>
    <x v="7"/>
    <x v="0"/>
    <x v="4823"/>
    <x v="4577"/>
    <x v="0"/>
    <x v="1"/>
  </r>
  <r>
    <s v="ORD04898"/>
    <x v="1038"/>
    <x v="0"/>
    <x v="10"/>
    <x v="2"/>
    <x v="4824"/>
    <x v="4578"/>
    <x v="0"/>
    <x v="3"/>
  </r>
  <r>
    <s v="ORD04899"/>
    <x v="850"/>
    <x v="1"/>
    <x v="14"/>
    <x v="2"/>
    <x v="4825"/>
    <x v="4579"/>
    <x v="1"/>
    <x v="1"/>
  </r>
  <r>
    <s v="ORD04900"/>
    <x v="740"/>
    <x v="1"/>
    <x v="10"/>
    <x v="2"/>
    <x v="4826"/>
    <x v="3675"/>
    <x v="1"/>
    <x v="1"/>
  </r>
  <r>
    <s v="ORD04901"/>
    <x v="487"/>
    <x v="3"/>
    <x v="11"/>
    <x v="2"/>
    <x v="4827"/>
    <x v="4580"/>
    <x v="2"/>
    <x v="2"/>
  </r>
  <r>
    <s v="ORD04902"/>
    <x v="438"/>
    <x v="1"/>
    <x v="14"/>
    <x v="2"/>
    <x v="4828"/>
    <x v="4581"/>
    <x v="0"/>
    <x v="2"/>
  </r>
  <r>
    <s v="ORD04903"/>
    <x v="236"/>
    <x v="3"/>
    <x v="6"/>
    <x v="0"/>
    <x v="4829"/>
    <x v="4582"/>
    <x v="1"/>
    <x v="2"/>
  </r>
  <r>
    <s v="ORD04904"/>
    <x v="179"/>
    <x v="3"/>
    <x v="1"/>
    <x v="1"/>
    <x v="4830"/>
    <x v="4583"/>
    <x v="1"/>
    <x v="0"/>
  </r>
  <r>
    <s v="ORD04905"/>
    <x v="346"/>
    <x v="2"/>
    <x v="5"/>
    <x v="1"/>
    <x v="4831"/>
    <x v="4584"/>
    <x v="2"/>
    <x v="3"/>
  </r>
  <r>
    <s v="ORD04906"/>
    <x v="967"/>
    <x v="3"/>
    <x v="14"/>
    <x v="2"/>
    <x v="4832"/>
    <x v="4585"/>
    <x v="1"/>
    <x v="0"/>
  </r>
  <r>
    <s v="ORD04907"/>
    <x v="661"/>
    <x v="3"/>
    <x v="13"/>
    <x v="1"/>
    <x v="4833"/>
    <x v="4586"/>
    <x v="1"/>
    <x v="1"/>
  </r>
  <r>
    <s v="ORD04908"/>
    <x v="1063"/>
    <x v="2"/>
    <x v="8"/>
    <x v="1"/>
    <x v="4834"/>
    <x v="4587"/>
    <x v="1"/>
    <x v="0"/>
  </r>
  <r>
    <s v="ORD04909"/>
    <x v="1021"/>
    <x v="1"/>
    <x v="7"/>
    <x v="0"/>
    <x v="4835"/>
    <x v="4588"/>
    <x v="1"/>
    <x v="3"/>
  </r>
  <r>
    <s v="ORD04910"/>
    <x v="507"/>
    <x v="1"/>
    <x v="7"/>
    <x v="0"/>
    <x v="4836"/>
    <x v="4589"/>
    <x v="0"/>
    <x v="1"/>
  </r>
  <r>
    <s v="ORD04912"/>
    <x v="262"/>
    <x v="1"/>
    <x v="14"/>
    <x v="2"/>
    <x v="4837"/>
    <x v="2639"/>
    <x v="1"/>
    <x v="3"/>
  </r>
  <r>
    <s v="ORD04913"/>
    <x v="1038"/>
    <x v="0"/>
    <x v="9"/>
    <x v="0"/>
    <x v="4838"/>
    <x v="4590"/>
    <x v="1"/>
    <x v="3"/>
  </r>
  <r>
    <s v="ORD04914"/>
    <x v="191"/>
    <x v="2"/>
    <x v="1"/>
    <x v="1"/>
    <x v="4839"/>
    <x v="4591"/>
    <x v="2"/>
    <x v="0"/>
  </r>
  <r>
    <s v="ORD04915"/>
    <x v="332"/>
    <x v="0"/>
    <x v="4"/>
    <x v="0"/>
    <x v="4840"/>
    <x v="4592"/>
    <x v="0"/>
    <x v="0"/>
  </r>
  <r>
    <s v="ORD04916"/>
    <x v="590"/>
    <x v="3"/>
    <x v="0"/>
    <x v="0"/>
    <x v="4841"/>
    <x v="4593"/>
    <x v="0"/>
    <x v="1"/>
  </r>
  <r>
    <s v="ORD04917"/>
    <x v="632"/>
    <x v="3"/>
    <x v="10"/>
    <x v="2"/>
    <x v="4842"/>
    <x v="4594"/>
    <x v="0"/>
    <x v="3"/>
  </r>
  <r>
    <s v="ORD04918"/>
    <x v="350"/>
    <x v="0"/>
    <x v="7"/>
    <x v="0"/>
    <x v="4843"/>
    <x v="4595"/>
    <x v="2"/>
    <x v="2"/>
  </r>
  <r>
    <s v="ORD04919"/>
    <x v="205"/>
    <x v="3"/>
    <x v="2"/>
    <x v="1"/>
    <x v="4844"/>
    <x v="4596"/>
    <x v="1"/>
    <x v="1"/>
  </r>
  <r>
    <s v="ORD04920"/>
    <x v="576"/>
    <x v="2"/>
    <x v="8"/>
    <x v="1"/>
    <x v="4845"/>
    <x v="4597"/>
    <x v="1"/>
    <x v="1"/>
  </r>
  <r>
    <s v="ORD04921"/>
    <x v="694"/>
    <x v="1"/>
    <x v="2"/>
    <x v="1"/>
    <x v="4846"/>
    <x v="1106"/>
    <x v="0"/>
    <x v="1"/>
  </r>
  <r>
    <s v="ORD04922"/>
    <x v="891"/>
    <x v="3"/>
    <x v="8"/>
    <x v="1"/>
    <x v="2283"/>
    <x v="4598"/>
    <x v="2"/>
    <x v="3"/>
  </r>
  <r>
    <s v="ORD04923"/>
    <x v="270"/>
    <x v="1"/>
    <x v="2"/>
    <x v="1"/>
    <x v="4847"/>
    <x v="4599"/>
    <x v="2"/>
    <x v="2"/>
  </r>
  <r>
    <s v="ORD04924"/>
    <x v="895"/>
    <x v="3"/>
    <x v="12"/>
    <x v="2"/>
    <x v="4848"/>
    <x v="4600"/>
    <x v="0"/>
    <x v="3"/>
  </r>
  <r>
    <s v="ORD04925"/>
    <x v="489"/>
    <x v="3"/>
    <x v="14"/>
    <x v="2"/>
    <x v="238"/>
    <x v="4601"/>
    <x v="1"/>
    <x v="2"/>
  </r>
  <r>
    <s v="ORD04926"/>
    <x v="348"/>
    <x v="2"/>
    <x v="14"/>
    <x v="2"/>
    <x v="4849"/>
    <x v="853"/>
    <x v="1"/>
    <x v="1"/>
  </r>
  <r>
    <s v="ORD04927"/>
    <x v="305"/>
    <x v="1"/>
    <x v="3"/>
    <x v="2"/>
    <x v="4850"/>
    <x v="4602"/>
    <x v="2"/>
    <x v="1"/>
  </r>
  <r>
    <s v="ORD04928"/>
    <x v="756"/>
    <x v="2"/>
    <x v="2"/>
    <x v="1"/>
    <x v="4851"/>
    <x v="4603"/>
    <x v="1"/>
    <x v="1"/>
  </r>
  <r>
    <s v="ORD04929"/>
    <x v="222"/>
    <x v="0"/>
    <x v="2"/>
    <x v="1"/>
    <x v="4852"/>
    <x v="4604"/>
    <x v="1"/>
    <x v="2"/>
  </r>
  <r>
    <s v="ORD04930"/>
    <x v="387"/>
    <x v="2"/>
    <x v="2"/>
    <x v="1"/>
    <x v="4853"/>
    <x v="4605"/>
    <x v="2"/>
    <x v="0"/>
  </r>
  <r>
    <s v="ORD04931"/>
    <x v="737"/>
    <x v="1"/>
    <x v="1"/>
    <x v="1"/>
    <x v="4854"/>
    <x v="4606"/>
    <x v="1"/>
    <x v="0"/>
  </r>
  <r>
    <s v="ORD04932"/>
    <x v="653"/>
    <x v="2"/>
    <x v="0"/>
    <x v="0"/>
    <x v="4855"/>
    <x v="4607"/>
    <x v="0"/>
    <x v="0"/>
  </r>
  <r>
    <s v="ORD04933"/>
    <x v="327"/>
    <x v="0"/>
    <x v="0"/>
    <x v="0"/>
    <x v="4856"/>
    <x v="4608"/>
    <x v="0"/>
    <x v="0"/>
  </r>
  <r>
    <s v="ORD04934"/>
    <x v="633"/>
    <x v="3"/>
    <x v="14"/>
    <x v="2"/>
    <x v="4857"/>
    <x v="4609"/>
    <x v="1"/>
    <x v="0"/>
  </r>
  <r>
    <s v="ORD04935"/>
    <x v="473"/>
    <x v="3"/>
    <x v="0"/>
    <x v="0"/>
    <x v="4858"/>
    <x v="4610"/>
    <x v="0"/>
    <x v="1"/>
  </r>
  <r>
    <s v="ORD04936"/>
    <x v="245"/>
    <x v="0"/>
    <x v="11"/>
    <x v="2"/>
    <x v="4859"/>
    <x v="4211"/>
    <x v="2"/>
    <x v="2"/>
  </r>
  <r>
    <s v="ORD04937"/>
    <x v="901"/>
    <x v="1"/>
    <x v="10"/>
    <x v="2"/>
    <x v="4860"/>
    <x v="4611"/>
    <x v="2"/>
    <x v="3"/>
  </r>
  <r>
    <s v="ORD04938"/>
    <x v="559"/>
    <x v="3"/>
    <x v="5"/>
    <x v="1"/>
    <x v="4861"/>
    <x v="4612"/>
    <x v="2"/>
    <x v="0"/>
  </r>
  <r>
    <s v="ORD04939"/>
    <x v="938"/>
    <x v="3"/>
    <x v="10"/>
    <x v="2"/>
    <x v="4862"/>
    <x v="4613"/>
    <x v="2"/>
    <x v="0"/>
  </r>
  <r>
    <s v="ORD04940"/>
    <x v="109"/>
    <x v="2"/>
    <x v="12"/>
    <x v="2"/>
    <x v="4863"/>
    <x v="4614"/>
    <x v="1"/>
    <x v="2"/>
  </r>
  <r>
    <s v="ORD04941"/>
    <x v="314"/>
    <x v="1"/>
    <x v="14"/>
    <x v="2"/>
    <x v="4864"/>
    <x v="4615"/>
    <x v="0"/>
    <x v="1"/>
  </r>
  <r>
    <s v="ORD04942"/>
    <x v="843"/>
    <x v="3"/>
    <x v="7"/>
    <x v="0"/>
    <x v="4865"/>
    <x v="4616"/>
    <x v="2"/>
    <x v="3"/>
  </r>
  <r>
    <s v="ORD04943"/>
    <x v="1007"/>
    <x v="2"/>
    <x v="0"/>
    <x v="0"/>
    <x v="4866"/>
    <x v="4617"/>
    <x v="1"/>
    <x v="2"/>
  </r>
  <r>
    <s v="ORD04944"/>
    <x v="83"/>
    <x v="2"/>
    <x v="10"/>
    <x v="2"/>
    <x v="4867"/>
    <x v="2714"/>
    <x v="1"/>
    <x v="0"/>
  </r>
  <r>
    <s v="ORD04945"/>
    <x v="997"/>
    <x v="0"/>
    <x v="0"/>
    <x v="0"/>
    <x v="4868"/>
    <x v="798"/>
    <x v="2"/>
    <x v="1"/>
  </r>
  <r>
    <s v="ORD04946"/>
    <x v="631"/>
    <x v="2"/>
    <x v="7"/>
    <x v="0"/>
    <x v="2800"/>
    <x v="4618"/>
    <x v="0"/>
    <x v="1"/>
  </r>
  <r>
    <s v="ORD04947"/>
    <x v="406"/>
    <x v="3"/>
    <x v="8"/>
    <x v="1"/>
    <x v="4869"/>
    <x v="1015"/>
    <x v="2"/>
    <x v="3"/>
  </r>
  <r>
    <s v="ORD04948"/>
    <x v="125"/>
    <x v="0"/>
    <x v="13"/>
    <x v="1"/>
    <x v="4870"/>
    <x v="4619"/>
    <x v="2"/>
    <x v="3"/>
  </r>
  <r>
    <s v="ORD04949"/>
    <x v="970"/>
    <x v="1"/>
    <x v="3"/>
    <x v="2"/>
    <x v="4871"/>
    <x v="4620"/>
    <x v="0"/>
    <x v="2"/>
  </r>
  <r>
    <s v="ORD04950"/>
    <x v="897"/>
    <x v="0"/>
    <x v="4"/>
    <x v="0"/>
    <x v="4872"/>
    <x v="4621"/>
    <x v="2"/>
    <x v="3"/>
  </r>
  <r>
    <s v="ORD04951"/>
    <x v="794"/>
    <x v="3"/>
    <x v="8"/>
    <x v="1"/>
    <x v="4873"/>
    <x v="4622"/>
    <x v="1"/>
    <x v="1"/>
  </r>
  <r>
    <s v="ORD04952"/>
    <x v="221"/>
    <x v="1"/>
    <x v="3"/>
    <x v="2"/>
    <x v="4874"/>
    <x v="4623"/>
    <x v="2"/>
    <x v="0"/>
  </r>
  <r>
    <s v="ORD04953"/>
    <x v="23"/>
    <x v="1"/>
    <x v="11"/>
    <x v="2"/>
    <x v="4875"/>
    <x v="4624"/>
    <x v="0"/>
    <x v="2"/>
  </r>
  <r>
    <s v="ORD04954"/>
    <x v="438"/>
    <x v="2"/>
    <x v="7"/>
    <x v="0"/>
    <x v="4876"/>
    <x v="4625"/>
    <x v="1"/>
    <x v="2"/>
  </r>
  <r>
    <s v="ORD04955"/>
    <x v="329"/>
    <x v="1"/>
    <x v="2"/>
    <x v="1"/>
    <x v="4877"/>
    <x v="4626"/>
    <x v="2"/>
    <x v="1"/>
  </r>
  <r>
    <s v="ORD04956"/>
    <x v="546"/>
    <x v="1"/>
    <x v="0"/>
    <x v="0"/>
    <x v="4878"/>
    <x v="4627"/>
    <x v="2"/>
    <x v="2"/>
  </r>
  <r>
    <s v="ORD04957"/>
    <x v="1043"/>
    <x v="3"/>
    <x v="0"/>
    <x v="0"/>
    <x v="4879"/>
    <x v="4628"/>
    <x v="0"/>
    <x v="1"/>
  </r>
  <r>
    <s v="ORD04958"/>
    <x v="226"/>
    <x v="2"/>
    <x v="10"/>
    <x v="2"/>
    <x v="4880"/>
    <x v="4629"/>
    <x v="1"/>
    <x v="2"/>
  </r>
  <r>
    <s v="ORD04959"/>
    <x v="879"/>
    <x v="0"/>
    <x v="1"/>
    <x v="1"/>
    <x v="4881"/>
    <x v="4630"/>
    <x v="0"/>
    <x v="0"/>
  </r>
  <r>
    <s v="ORD04960"/>
    <x v="1018"/>
    <x v="2"/>
    <x v="2"/>
    <x v="1"/>
    <x v="4882"/>
    <x v="4631"/>
    <x v="2"/>
    <x v="0"/>
  </r>
  <r>
    <s v="ORD04961"/>
    <x v="339"/>
    <x v="3"/>
    <x v="10"/>
    <x v="2"/>
    <x v="4883"/>
    <x v="4632"/>
    <x v="1"/>
    <x v="2"/>
  </r>
  <r>
    <s v="ORD04962"/>
    <x v="144"/>
    <x v="2"/>
    <x v="11"/>
    <x v="2"/>
    <x v="4884"/>
    <x v="4633"/>
    <x v="2"/>
    <x v="1"/>
  </r>
  <r>
    <s v="ORD04963"/>
    <x v="317"/>
    <x v="0"/>
    <x v="6"/>
    <x v="0"/>
    <x v="4885"/>
    <x v="4634"/>
    <x v="1"/>
    <x v="1"/>
  </r>
  <r>
    <s v="ORD04964"/>
    <x v="305"/>
    <x v="3"/>
    <x v="14"/>
    <x v="2"/>
    <x v="4886"/>
    <x v="4635"/>
    <x v="0"/>
    <x v="2"/>
  </r>
  <r>
    <s v="ORD04965"/>
    <x v="823"/>
    <x v="2"/>
    <x v="7"/>
    <x v="0"/>
    <x v="4887"/>
    <x v="3463"/>
    <x v="0"/>
    <x v="3"/>
  </r>
  <r>
    <s v="ORD04966"/>
    <x v="929"/>
    <x v="2"/>
    <x v="1"/>
    <x v="1"/>
    <x v="4888"/>
    <x v="2547"/>
    <x v="1"/>
    <x v="1"/>
  </r>
  <r>
    <s v="ORD04967"/>
    <x v="122"/>
    <x v="2"/>
    <x v="9"/>
    <x v="0"/>
    <x v="4889"/>
    <x v="4358"/>
    <x v="2"/>
    <x v="0"/>
  </r>
  <r>
    <s v="ORD04968"/>
    <x v="877"/>
    <x v="1"/>
    <x v="6"/>
    <x v="0"/>
    <x v="4890"/>
    <x v="4636"/>
    <x v="0"/>
    <x v="1"/>
  </r>
  <r>
    <s v="ORD04969"/>
    <x v="413"/>
    <x v="3"/>
    <x v="3"/>
    <x v="2"/>
    <x v="4891"/>
    <x v="4637"/>
    <x v="2"/>
    <x v="2"/>
  </r>
  <r>
    <s v="ORD04970"/>
    <x v="265"/>
    <x v="1"/>
    <x v="10"/>
    <x v="2"/>
    <x v="4892"/>
    <x v="4638"/>
    <x v="1"/>
    <x v="3"/>
  </r>
  <r>
    <s v="ORD04971"/>
    <x v="716"/>
    <x v="1"/>
    <x v="8"/>
    <x v="1"/>
    <x v="4893"/>
    <x v="2533"/>
    <x v="1"/>
    <x v="2"/>
  </r>
  <r>
    <s v="ORD04972"/>
    <x v="471"/>
    <x v="3"/>
    <x v="1"/>
    <x v="1"/>
    <x v="4894"/>
    <x v="4639"/>
    <x v="2"/>
    <x v="0"/>
  </r>
  <r>
    <s v="ORD04973"/>
    <x v="1046"/>
    <x v="0"/>
    <x v="1"/>
    <x v="1"/>
    <x v="4895"/>
    <x v="4640"/>
    <x v="0"/>
    <x v="1"/>
  </r>
  <r>
    <s v="ORD04974"/>
    <x v="226"/>
    <x v="2"/>
    <x v="10"/>
    <x v="2"/>
    <x v="4896"/>
    <x v="4641"/>
    <x v="2"/>
    <x v="0"/>
  </r>
  <r>
    <s v="ORD04975"/>
    <x v="568"/>
    <x v="2"/>
    <x v="0"/>
    <x v="0"/>
    <x v="4897"/>
    <x v="4642"/>
    <x v="1"/>
    <x v="1"/>
  </r>
  <r>
    <s v="ORD04976"/>
    <x v="132"/>
    <x v="2"/>
    <x v="14"/>
    <x v="2"/>
    <x v="4898"/>
    <x v="4643"/>
    <x v="2"/>
    <x v="0"/>
  </r>
  <r>
    <s v="ORD04977"/>
    <x v="93"/>
    <x v="0"/>
    <x v="10"/>
    <x v="2"/>
    <x v="2494"/>
    <x v="4644"/>
    <x v="0"/>
    <x v="3"/>
  </r>
  <r>
    <s v="ORD04978"/>
    <x v="504"/>
    <x v="2"/>
    <x v="10"/>
    <x v="2"/>
    <x v="4899"/>
    <x v="4645"/>
    <x v="1"/>
    <x v="0"/>
  </r>
  <r>
    <s v="ORD04979"/>
    <x v="187"/>
    <x v="3"/>
    <x v="0"/>
    <x v="0"/>
    <x v="4900"/>
    <x v="4646"/>
    <x v="1"/>
    <x v="3"/>
  </r>
  <r>
    <s v="ORD04980"/>
    <x v="1079"/>
    <x v="2"/>
    <x v="7"/>
    <x v="0"/>
    <x v="4901"/>
    <x v="1340"/>
    <x v="2"/>
    <x v="0"/>
  </r>
  <r>
    <s v="ORD04981"/>
    <x v="122"/>
    <x v="3"/>
    <x v="12"/>
    <x v="2"/>
    <x v="4902"/>
    <x v="4647"/>
    <x v="1"/>
    <x v="0"/>
  </r>
  <r>
    <s v="ORD04982"/>
    <x v="223"/>
    <x v="2"/>
    <x v="9"/>
    <x v="0"/>
    <x v="4903"/>
    <x v="4648"/>
    <x v="2"/>
    <x v="3"/>
  </r>
  <r>
    <s v="ORD04983"/>
    <x v="831"/>
    <x v="0"/>
    <x v="14"/>
    <x v="2"/>
    <x v="4904"/>
    <x v="4649"/>
    <x v="0"/>
    <x v="0"/>
  </r>
  <r>
    <s v="ORD04984"/>
    <x v="831"/>
    <x v="3"/>
    <x v="0"/>
    <x v="0"/>
    <x v="4905"/>
    <x v="4650"/>
    <x v="1"/>
    <x v="1"/>
  </r>
  <r>
    <s v="ORD04985"/>
    <x v="464"/>
    <x v="1"/>
    <x v="6"/>
    <x v="0"/>
    <x v="4906"/>
    <x v="4651"/>
    <x v="2"/>
    <x v="0"/>
  </r>
  <r>
    <s v="ORD04986"/>
    <x v="27"/>
    <x v="0"/>
    <x v="5"/>
    <x v="1"/>
    <x v="4907"/>
    <x v="4652"/>
    <x v="2"/>
    <x v="3"/>
  </r>
  <r>
    <s v="ORD04987"/>
    <x v="361"/>
    <x v="1"/>
    <x v="0"/>
    <x v="0"/>
    <x v="4908"/>
    <x v="4653"/>
    <x v="2"/>
    <x v="1"/>
  </r>
  <r>
    <s v="ORD04988"/>
    <x v="304"/>
    <x v="1"/>
    <x v="4"/>
    <x v="0"/>
    <x v="4909"/>
    <x v="4654"/>
    <x v="0"/>
    <x v="0"/>
  </r>
  <r>
    <s v="ORD04989"/>
    <x v="153"/>
    <x v="3"/>
    <x v="11"/>
    <x v="2"/>
    <x v="4910"/>
    <x v="4655"/>
    <x v="1"/>
    <x v="0"/>
  </r>
  <r>
    <s v="ORD04990"/>
    <x v="27"/>
    <x v="0"/>
    <x v="2"/>
    <x v="1"/>
    <x v="4911"/>
    <x v="4656"/>
    <x v="2"/>
    <x v="0"/>
  </r>
  <r>
    <s v="ORD04991"/>
    <x v="66"/>
    <x v="3"/>
    <x v="8"/>
    <x v="1"/>
    <x v="4912"/>
    <x v="4657"/>
    <x v="0"/>
    <x v="3"/>
  </r>
  <r>
    <s v="ORD04992"/>
    <x v="880"/>
    <x v="0"/>
    <x v="3"/>
    <x v="2"/>
    <x v="4913"/>
    <x v="4658"/>
    <x v="2"/>
    <x v="3"/>
  </r>
  <r>
    <s v="ORD04993"/>
    <x v="222"/>
    <x v="2"/>
    <x v="7"/>
    <x v="0"/>
    <x v="4914"/>
    <x v="4659"/>
    <x v="2"/>
    <x v="0"/>
  </r>
  <r>
    <s v="ORD04994"/>
    <x v="74"/>
    <x v="0"/>
    <x v="12"/>
    <x v="2"/>
    <x v="4915"/>
    <x v="4660"/>
    <x v="1"/>
    <x v="2"/>
  </r>
  <r>
    <s v="ORD04995"/>
    <x v="853"/>
    <x v="1"/>
    <x v="3"/>
    <x v="2"/>
    <x v="4916"/>
    <x v="4661"/>
    <x v="0"/>
    <x v="1"/>
  </r>
  <r>
    <s v="ORD04996"/>
    <x v="470"/>
    <x v="0"/>
    <x v="10"/>
    <x v="2"/>
    <x v="4917"/>
    <x v="4662"/>
    <x v="2"/>
    <x v="1"/>
  </r>
  <r>
    <s v="ORD04997"/>
    <x v="436"/>
    <x v="1"/>
    <x v="3"/>
    <x v="2"/>
    <x v="4918"/>
    <x v="4663"/>
    <x v="1"/>
    <x v="0"/>
  </r>
  <r>
    <s v="ORD04998"/>
    <x v="427"/>
    <x v="2"/>
    <x v="1"/>
    <x v="1"/>
    <x v="4919"/>
    <x v="3829"/>
    <x v="1"/>
    <x v="0"/>
  </r>
  <r>
    <s v="ORD04999"/>
    <x v="1016"/>
    <x v="2"/>
    <x v="13"/>
    <x v="1"/>
    <x v="4920"/>
    <x v="4664"/>
    <x v="2"/>
    <x v="2"/>
  </r>
  <r>
    <s v="ORD05000"/>
    <x v="108"/>
    <x v="2"/>
    <x v="0"/>
    <x v="0"/>
    <x v="4921"/>
    <x v="4665"/>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0C3794-4B1F-41DE-B26D-4E669568A48D}" name="ps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2:K8" firstHeaderRow="1" firstDataRow="1" firstDataCol="1"/>
  <pivotFields count="12">
    <pivotField showAll="0"/>
    <pivotField numFmtId="14" showAll="0">
      <items count="1081">
        <item x="646"/>
        <item x="340"/>
        <item x="229"/>
        <item x="740"/>
        <item x="832"/>
        <item x="715"/>
        <item x="586"/>
        <item x="963"/>
        <item x="166"/>
        <item x="345"/>
        <item x="223"/>
        <item x="527"/>
        <item x="463"/>
        <item x="1065"/>
        <item x="720"/>
        <item x="219"/>
        <item x="82"/>
        <item x="423"/>
        <item x="711"/>
        <item x="986"/>
        <item x="77"/>
        <item x="958"/>
        <item x="688"/>
        <item x="807"/>
        <item x="944"/>
        <item x="139"/>
        <item x="365"/>
        <item x="284"/>
        <item x="404"/>
        <item x="502"/>
        <item x="413"/>
        <item x="461"/>
        <item x="432"/>
        <item x="853"/>
        <item x="418"/>
        <item x="733"/>
        <item x="133"/>
        <item x="721"/>
        <item x="929"/>
        <item x="668"/>
        <item x="64"/>
        <item x="522"/>
        <item x="891"/>
        <item x="218"/>
        <item x="745"/>
        <item x="334"/>
        <item x="379"/>
        <item x="904"/>
        <item x="887"/>
        <item x="1058"/>
        <item x="347"/>
        <item x="725"/>
        <item x="176"/>
        <item x="299"/>
        <item x="251"/>
        <item x="122"/>
        <item x="861"/>
        <item x="857"/>
        <item x="591"/>
        <item x="790"/>
        <item x="537"/>
        <item x="652"/>
        <item x="520"/>
        <item x="549"/>
        <item x="698"/>
        <item x="318"/>
        <item x="73"/>
        <item x="548"/>
        <item x="990"/>
        <item x="391"/>
        <item x="686"/>
        <item x="239"/>
        <item x="425"/>
        <item x="361"/>
        <item x="862"/>
        <item x="890"/>
        <item x="506"/>
        <item x="592"/>
        <item x="273"/>
        <item x="66"/>
        <item x="523"/>
        <item x="1051"/>
        <item x="974"/>
        <item x="230"/>
        <item x="658"/>
        <item x="1061"/>
        <item x="746"/>
        <item x="786"/>
        <item x="71"/>
        <item x="125"/>
        <item x="417"/>
        <item x="298"/>
        <item x="738"/>
        <item x="17"/>
        <item x="493"/>
        <item x="859"/>
        <item x="165"/>
        <item x="534"/>
        <item x="544"/>
        <item x="110"/>
        <item x="255"/>
        <item x="962"/>
        <item x="695"/>
        <item x="1039"/>
        <item x="748"/>
        <item x="936"/>
        <item x="770"/>
        <item x="185"/>
        <item x="501"/>
        <item x="292"/>
        <item x="137"/>
        <item x="987"/>
        <item x="624"/>
        <item x="424"/>
        <item x="665"/>
        <item x="707"/>
        <item x="192"/>
        <item x="190"/>
        <item x="414"/>
        <item x="632"/>
        <item x="528"/>
        <item x="275"/>
        <item x="89"/>
        <item x="305"/>
        <item x="545"/>
        <item x="708"/>
        <item x="221"/>
        <item x="274"/>
        <item x="984"/>
        <item x="46"/>
        <item x="878"/>
        <item x="691"/>
        <item x="114"/>
        <item x="882"/>
        <item x="399"/>
        <item x="112"/>
        <item x="4"/>
        <item x="422"/>
        <item x="234"/>
        <item x="881"/>
        <item x="607"/>
        <item x="44"/>
        <item x="246"/>
        <item x="655"/>
        <item x="270"/>
        <item x="104"/>
        <item x="735"/>
        <item x="458"/>
        <item x="163"/>
        <item x="508"/>
        <item x="87"/>
        <item x="1074"/>
        <item x="885"/>
        <item x="1031"/>
        <item x="1043"/>
        <item x="496"/>
        <item x="344"/>
        <item x="750"/>
        <item x="749"/>
        <item x="1041"/>
        <item x="411"/>
        <item x="354"/>
        <item x="906"/>
        <item x="781"/>
        <item x="105"/>
        <item x="376"/>
        <item x="983"/>
        <item x="1013"/>
        <item x="0"/>
        <item x="338"/>
        <item x="769"/>
        <item x="268"/>
        <item x="964"/>
        <item x="813"/>
        <item x="416"/>
        <item x="265"/>
        <item x="573"/>
        <item x="916"/>
        <item x="307"/>
        <item x="587"/>
        <item x="1055"/>
        <item x="50"/>
        <item x="794"/>
        <item x="5"/>
        <item x="289"/>
        <item x="18"/>
        <item x="653"/>
        <item x="1045"/>
        <item x="315"/>
        <item x="968"/>
        <item x="477"/>
        <item x="758"/>
        <item x="863"/>
        <item x="462"/>
        <item x="957"/>
        <item x="198"/>
        <item x="931"/>
        <item x="62"/>
        <item x="629"/>
        <item x="840"/>
        <item x="161"/>
        <item x="430"/>
        <item x="123"/>
        <item x="21"/>
        <item x="162"/>
        <item x="893"/>
        <item x="756"/>
        <item x="1"/>
        <item x="744"/>
        <item x="179"/>
        <item x="638"/>
        <item x="352"/>
        <item x="535"/>
        <item x="208"/>
        <item x="466"/>
        <item x="635"/>
        <item x="504"/>
        <item x="703"/>
        <item x="366"/>
        <item x="555"/>
        <item x="676"/>
        <item x="818"/>
        <item x="778"/>
        <item x="53"/>
        <item x="742"/>
        <item x="817"/>
        <item x="509"/>
        <item x="1034"/>
        <item x="680"/>
        <item x="644"/>
        <item x="938"/>
        <item x="574"/>
        <item x="378"/>
        <item x="419"/>
        <item x="563"/>
        <item x="22"/>
        <item x="283"/>
        <item x="719"/>
        <item x="475"/>
        <item x="196"/>
        <item x="800"/>
        <item x="317"/>
        <item x="28"/>
        <item x="988"/>
        <item x="282"/>
        <item x="396"/>
        <item x="195"/>
        <item x="953"/>
        <item x="898"/>
        <item x="1000"/>
        <item x="932"/>
        <item x="420"/>
        <item x="142"/>
        <item x="304"/>
        <item x="741"/>
        <item x="699"/>
        <item x="97"/>
        <item x="636"/>
        <item x="765"/>
        <item x="253"/>
        <item x="1066"/>
        <item x="32"/>
        <item x="197"/>
        <item x="19"/>
        <item x="975"/>
        <item x="507"/>
        <item x="212"/>
        <item x="870"/>
        <item x="92"/>
        <item x="242"/>
        <item x="1062"/>
        <item x="474"/>
        <item x="512"/>
        <item x="736"/>
        <item x="14"/>
        <item x="277"/>
        <item x="588"/>
        <item x="917"/>
        <item x="569"/>
        <item x="747"/>
        <item x="532"/>
        <item x="903"/>
        <item x="1021"/>
        <item x="206"/>
        <item x="119"/>
        <item x="993"/>
        <item x="346"/>
        <item x="245"/>
        <item x="401"/>
        <item x="533"/>
        <item x="609"/>
        <item x="531"/>
        <item x="167"/>
        <item x="773"/>
        <item x="276"/>
        <item x="743"/>
        <item x="1052"/>
        <item x="737"/>
        <item x="996"/>
        <item x="150"/>
        <item x="626"/>
        <item x="860"/>
        <item x="594"/>
        <item x="459"/>
        <item x="74"/>
        <item x="1017"/>
        <item x="40"/>
        <item x="1009"/>
        <item x="704"/>
        <item x="547"/>
        <item x="203"/>
        <item x="308"/>
        <item x="681"/>
        <item x="833"/>
        <item x="844"/>
        <item x="561"/>
        <item x="222"/>
        <item x="999"/>
        <item x="945"/>
        <item x="469"/>
        <item x="472"/>
        <item x="772"/>
        <item x="1025"/>
        <item x="991"/>
        <item x="559"/>
        <item x="761"/>
        <item x="180"/>
        <item x="560"/>
        <item x="822"/>
        <item x="780"/>
        <item x="613"/>
        <item x="908"/>
        <item x="342"/>
        <item x="186"/>
        <item x="505"/>
        <item x="364"/>
        <item x="171"/>
        <item x="375"/>
        <item x="1057"/>
        <item x="443"/>
        <item x="468"/>
        <item x="11"/>
        <item x="30"/>
        <item x="1042"/>
        <item x="710"/>
        <item x="921"/>
        <item x="995"/>
        <item x="249"/>
        <item x="819"/>
        <item x="51"/>
        <item x="543"/>
        <item x="392"/>
        <item x="826"/>
        <item x="143"/>
        <item x="199"/>
        <item x="940"/>
        <item x="1033"/>
        <item x="473"/>
        <item x="263"/>
        <item x="943"/>
        <item x="78"/>
        <item x="339"/>
        <item x="766"/>
        <item x="301"/>
        <item x="630"/>
        <item x="672"/>
        <item x="814"/>
        <item x="138"/>
        <item x="262"/>
        <item x="565"/>
        <item x="796"/>
        <item x="869"/>
        <item x="151"/>
        <item x="164"/>
        <item x="101"/>
        <item x="611"/>
        <item x="377"/>
        <item x="382"/>
        <item x="830"/>
        <item x="697"/>
        <item x="595"/>
        <item x="926"/>
        <item x="954"/>
        <item x="316"/>
        <item x="431"/>
        <item x="174"/>
        <item x="645"/>
        <item x="836"/>
        <item x="518"/>
        <item x="621"/>
        <item x="499"/>
        <item x="583"/>
        <item x="1018"/>
        <item x="777"/>
        <item x="604"/>
        <item x="1059"/>
        <item x="582"/>
        <item x="590"/>
        <item x="1063"/>
        <item x="149"/>
        <item x="211"/>
        <item x="1075"/>
        <item x="491"/>
        <item x="978"/>
        <item x="319"/>
        <item x="181"/>
        <item x="471"/>
        <item x="1002"/>
        <item x="834"/>
        <item x="439"/>
        <item x="650"/>
        <item x="825"/>
        <item x="843"/>
        <item x="847"/>
        <item x="478"/>
        <item x="933"/>
        <item x="385"/>
        <item x="930"/>
        <item x="258"/>
        <item x="90"/>
        <item x="941"/>
        <item x="584"/>
        <item x="713"/>
        <item x="103"/>
        <item x="34"/>
        <item x="927"/>
        <item x="677"/>
        <item x="839"/>
        <item x="421"/>
        <item x="620"/>
        <item x="296"/>
        <item x="666"/>
        <item x="440"/>
        <item x="782"/>
        <item x="683"/>
        <item x="1028"/>
        <item x="671"/>
        <item x="409"/>
        <item x="100"/>
        <item x="43"/>
        <item x="961"/>
        <item x="821"/>
        <item x="873"/>
        <item x="838"/>
        <item x="1016"/>
        <item x="572"/>
        <item x="647"/>
        <item x="664"/>
        <item x="130"/>
        <item x="102"/>
        <item x="524"/>
        <item x="886"/>
        <item x="771"/>
        <item x="775"/>
        <item x="558"/>
        <item x="617"/>
        <item x="405"/>
        <item x="784"/>
        <item x="802"/>
        <item x="578"/>
        <item x="337"/>
        <item x="567"/>
        <item x="328"/>
        <item x="41"/>
        <item x="835"/>
        <item x="470"/>
        <item x="201"/>
        <item x="1069"/>
        <item x="194"/>
        <item x="562"/>
        <item x="225"/>
        <item x="244"/>
        <item x="597"/>
        <item x="902"/>
        <item x="264"/>
        <item x="774"/>
        <item x="714"/>
        <item x="372"/>
        <item x="183"/>
        <item x="901"/>
        <item x="27"/>
        <item x="227"/>
        <item x="985"/>
        <item x="402"/>
        <item x="842"/>
        <item x="1012"/>
        <item x="154"/>
        <item x="846"/>
        <item x="616"/>
        <item x="132"/>
        <item x="678"/>
        <item x="801"/>
        <item x="285"/>
        <item x="965"/>
        <item x="648"/>
        <item x="494"/>
        <item x="388"/>
        <item x="374"/>
        <item x="717"/>
        <item x="946"/>
        <item x="384"/>
        <item x="827"/>
        <item x="850"/>
        <item x="808"/>
        <item x="387"/>
        <item x="281"/>
        <item x="429"/>
        <item x="482"/>
        <item x="815"/>
        <item x="976"/>
        <item x="427"/>
        <item x="86"/>
        <item x="415"/>
        <item x="476"/>
        <item x="798"/>
        <item x="349"/>
        <item x="896"/>
        <item x="726"/>
        <item x="76"/>
        <item x="1076"/>
        <item x="300"/>
        <item x="397"/>
        <item x="625"/>
        <item x="864"/>
        <item x="693"/>
        <item x="937"/>
        <item x="128"/>
        <item x="935"/>
        <item x="805"/>
        <item x="57"/>
        <item x="108"/>
        <item x="682"/>
        <item x="1006"/>
        <item x="484"/>
        <item x="529"/>
        <item x="851"/>
        <item x="326"/>
        <item x="111"/>
        <item x="511"/>
        <item x="606"/>
        <item x="386"/>
        <item x="126"/>
        <item x="848"/>
        <item x="536"/>
        <item x="1011"/>
        <item x="934"/>
        <item x="348"/>
        <item x="979"/>
        <item x="601"/>
        <item x="214"/>
        <item x="121"/>
        <item x="841"/>
        <item x="998"/>
        <item x="969"/>
        <item x="124"/>
        <item x="649"/>
        <item x="257"/>
        <item x="888"/>
        <item x="240"/>
        <item x="7"/>
        <item x="69"/>
        <item x="731"/>
        <item x="674"/>
        <item x="992"/>
        <item x="514"/>
        <item x="1044"/>
        <item x="663"/>
        <item x="131"/>
        <item x="579"/>
        <item x="295"/>
        <item x="716"/>
        <item x="510"/>
        <item x="80"/>
        <item x="9"/>
        <item x="93"/>
        <item x="173"/>
        <item x="220"/>
        <item x="232"/>
        <item x="820"/>
        <item x="233"/>
        <item x="899"/>
        <item x="633"/>
        <item x="489"/>
        <item x="408"/>
        <item x="286"/>
        <item x="109"/>
        <item x="503"/>
        <item x="1072"/>
        <item x="577"/>
        <item x="755"/>
        <item x="216"/>
        <item x="1037"/>
        <item x="456"/>
        <item x="949"/>
        <item x="272"/>
        <item x="552"/>
        <item x="875"/>
        <item x="540"/>
        <item x="465"/>
        <item x="13"/>
        <item x="541"/>
        <item x="83"/>
        <item x="481"/>
        <item x="789"/>
        <item x="107"/>
        <item x="209"/>
        <item x="497"/>
        <item x="445"/>
        <item x="752"/>
        <item x="966"/>
        <item x="889"/>
        <item x="539"/>
        <item x="709"/>
        <item x="490"/>
        <item x="973"/>
        <item x="363"/>
        <item x="63"/>
        <item x="1015"/>
        <item x="622"/>
        <item x="689"/>
        <item x="811"/>
        <item x="85"/>
        <item x="148"/>
        <item x="530"/>
        <item x="312"/>
        <item x="971"/>
        <item x="297"/>
        <item x="182"/>
        <item x="168"/>
        <item x="876"/>
        <item x="1040"/>
        <item x="453"/>
        <item x="116"/>
        <item x="892"/>
        <item x="627"/>
        <item x="1027"/>
        <item x="854"/>
        <item x="1005"/>
        <item x="956"/>
        <item x="610"/>
        <item x="1001"/>
        <item x="823"/>
        <item x="1068"/>
        <item x="829"/>
        <item x="618"/>
        <item x="521"/>
        <item x="241"/>
        <item x="852"/>
        <item x="406"/>
        <item x="845"/>
        <item x="729"/>
        <item x="791"/>
        <item x="383"/>
        <item x="730"/>
        <item x="1079"/>
        <item x="997"/>
        <item x="140"/>
        <item x="141"/>
        <item x="373"/>
        <item x="260"/>
        <item x="37"/>
        <item x="500"/>
        <item x="728"/>
        <item x="236"/>
        <item x="113"/>
        <item x="959"/>
        <item x="250"/>
        <item x="673"/>
        <item x="897"/>
        <item x="6"/>
        <item x="353"/>
        <item x="700"/>
        <item x="1007"/>
        <item x="1077"/>
        <item x="1047"/>
        <item x="455"/>
        <item x="960"/>
        <item x="718"/>
        <item x="42"/>
        <item x="324"/>
        <item x="920"/>
        <item x="1070"/>
        <item x="10"/>
        <item x="910"/>
        <item x="925"/>
        <item x="231"/>
        <item x="883"/>
        <item x="589"/>
        <item x="989"/>
        <item x="380"/>
        <item x="360"/>
        <item x="701"/>
        <item x="1078"/>
        <item x="117"/>
        <item x="26"/>
        <item x="856"/>
        <item x="60"/>
        <item x="279"/>
        <item x="204"/>
        <item x="486"/>
        <item x="228"/>
        <item x="454"/>
        <item x="134"/>
        <item x="538"/>
        <item x="612"/>
        <item x="812"/>
        <item x="33"/>
        <item x="435"/>
        <item x="48"/>
        <item x="367"/>
        <item x="394"/>
        <item x="712"/>
        <item x="129"/>
        <item x="187"/>
        <item x="614"/>
        <item x="81"/>
        <item x="96"/>
        <item x="915"/>
        <item x="287"/>
        <item x="24"/>
        <item x="982"/>
        <item x="256"/>
        <item x="877"/>
        <item x="641"/>
        <item x="634"/>
        <item x="16"/>
        <item x="724"/>
        <item x="553"/>
        <item x="1073"/>
        <item x="880"/>
        <item x="980"/>
        <item x="184"/>
        <item x="939"/>
        <item x="15"/>
        <item x="1022"/>
        <item x="495"/>
        <item x="52"/>
        <item x="290"/>
        <item x="515"/>
        <item x="865"/>
        <item x="412"/>
        <item x="332"/>
        <item x="763"/>
        <item x="325"/>
        <item x="441"/>
        <item x="605"/>
        <item x="580"/>
        <item x="355"/>
        <item x="438"/>
        <item x="596"/>
        <item x="331"/>
        <item x="38"/>
        <item x="29"/>
        <item x="922"/>
        <item x="793"/>
        <item x="546"/>
        <item x="172"/>
        <item x="732"/>
        <item x="1026"/>
        <item x="1024"/>
        <item x="754"/>
        <item x="20"/>
        <item x="302"/>
        <item x="776"/>
        <item x="905"/>
        <item x="35"/>
        <item x="437"/>
        <item x="336"/>
        <item x="335"/>
        <item x="205"/>
        <item x="767"/>
        <item x="189"/>
        <item x="662"/>
        <item x="867"/>
        <item x="1019"/>
        <item x="291"/>
        <item x="434"/>
        <item x="810"/>
        <item x="751"/>
        <item x="858"/>
        <item x="519"/>
        <item x="55"/>
        <item x="526"/>
        <item x="460"/>
        <item x="568"/>
        <item x="977"/>
        <item x="895"/>
        <item x="1071"/>
        <item x="170"/>
        <item x="288"/>
        <item x="694"/>
        <item x="271"/>
        <item x="310"/>
        <item x="872"/>
        <item x="498"/>
        <item x="95"/>
        <item x="303"/>
        <item x="628"/>
        <item x="1060"/>
        <item x="68"/>
        <item x="67"/>
        <item x="643"/>
        <item x="696"/>
        <item x="952"/>
        <item x="675"/>
        <item x="320"/>
        <item x="371"/>
        <item x="309"/>
        <item x="426"/>
        <item x="1050"/>
        <item x="39"/>
        <item x="795"/>
        <item x="47"/>
        <item x="955"/>
        <item x="623"/>
        <item x="446"/>
        <item x="407"/>
        <item x="551"/>
        <item x="400"/>
        <item x="919"/>
        <item x="451"/>
        <item x="768"/>
        <item x="322"/>
        <item x="608"/>
        <item x="327"/>
        <item x="981"/>
        <item x="654"/>
        <item x="45"/>
        <item x="542"/>
        <item x="343"/>
        <item x="661"/>
        <item x="785"/>
        <item x="739"/>
        <item x="213"/>
        <item x="248"/>
        <item x="684"/>
        <item x="381"/>
        <item x="369"/>
        <item x="202"/>
        <item x="639"/>
        <item x="866"/>
        <item x="146"/>
        <item x="357"/>
        <item x="447"/>
        <item x="914"/>
        <item x="557"/>
        <item x="554"/>
        <item x="1054"/>
        <item x="1023"/>
        <item x="1008"/>
        <item x="403"/>
        <item x="224"/>
        <item x="118"/>
        <item x="670"/>
        <item x="967"/>
        <item x="72"/>
        <item x="152"/>
        <item x="259"/>
        <item x="849"/>
        <item x="657"/>
        <item x="280"/>
        <item x="1048"/>
        <item x="894"/>
        <item x="831"/>
        <item x="972"/>
        <item x="667"/>
        <item x="706"/>
        <item x="603"/>
        <item x="900"/>
        <item x="238"/>
        <item x="449"/>
        <item x="485"/>
        <item x="464"/>
        <item x="593"/>
        <item x="294"/>
        <item x="950"/>
        <item x="1030"/>
        <item x="911"/>
        <item x="779"/>
        <item x="247"/>
        <item x="467"/>
        <item x="215"/>
        <item x="56"/>
        <item x="909"/>
        <item x="75"/>
        <item x="200"/>
        <item x="705"/>
        <item x="136"/>
        <item x="619"/>
        <item x="398"/>
        <item x="267"/>
        <item x="410"/>
        <item x="602"/>
        <item x="269"/>
        <item x="237"/>
        <item x="23"/>
        <item x="321"/>
        <item x="266"/>
        <item x="31"/>
        <item x="942"/>
        <item x="313"/>
        <item x="757"/>
        <item x="1003"/>
        <item x="159"/>
        <item x="631"/>
        <item x="91"/>
        <item x="370"/>
        <item x="314"/>
        <item x="79"/>
        <item x="516"/>
        <item x="436"/>
        <item x="1064"/>
        <item x="359"/>
        <item x="2"/>
        <item x="651"/>
        <item x="188"/>
        <item x="685"/>
        <item x="157"/>
        <item x="824"/>
        <item x="1014"/>
        <item x="457"/>
        <item x="753"/>
        <item x="924"/>
        <item x="797"/>
        <item x="923"/>
        <item x="341"/>
        <item x="487"/>
        <item x="492"/>
        <item x="816"/>
        <item x="1046"/>
        <item x="907"/>
        <item x="804"/>
        <item x="517"/>
        <item x="702"/>
        <item x="571"/>
        <item x="120"/>
        <item x="98"/>
        <item x="788"/>
        <item x="1029"/>
        <item x="871"/>
        <item x="99"/>
        <item x="1067"/>
        <item x="762"/>
        <item x="193"/>
        <item x="368"/>
        <item x="261"/>
        <item x="155"/>
        <item x="144"/>
        <item x="65"/>
        <item x="217"/>
        <item x="483"/>
        <item x="928"/>
        <item x="525"/>
        <item x="884"/>
        <item x="70"/>
        <item x="115"/>
        <item x="84"/>
        <item x="306"/>
        <item x="1036"/>
        <item x="759"/>
        <item x="1035"/>
        <item x="362"/>
        <item x="874"/>
        <item x="550"/>
        <item x="687"/>
        <item x="564"/>
        <item x="226"/>
        <item x="1053"/>
        <item x="879"/>
        <item x="659"/>
        <item x="792"/>
        <item x="837"/>
        <item x="252"/>
        <item x="3"/>
        <item x="178"/>
        <item x="581"/>
        <item x="311"/>
        <item x="330"/>
        <item x="191"/>
        <item x="450"/>
        <item x="1056"/>
        <item x="175"/>
        <item x="156"/>
        <item x="358"/>
        <item x="210"/>
        <item x="153"/>
        <item x="637"/>
        <item x="448"/>
        <item x="207"/>
        <item x="918"/>
        <item x="1004"/>
        <item x="323"/>
        <item x="722"/>
        <item x="293"/>
        <item x="585"/>
        <item x="351"/>
        <item x="912"/>
        <item x="868"/>
        <item x="12"/>
        <item x="799"/>
        <item x="1049"/>
        <item x="576"/>
        <item x="642"/>
        <item x="660"/>
        <item x="442"/>
        <item x="1032"/>
        <item x="94"/>
        <item x="690"/>
        <item x="147"/>
        <item x="393"/>
        <item x="145"/>
        <item x="913"/>
        <item x="787"/>
        <item x="855"/>
        <item x="783"/>
        <item x="106"/>
        <item x="760"/>
        <item x="734"/>
        <item x="333"/>
        <item x="158"/>
        <item x="235"/>
        <item x="948"/>
        <item x="727"/>
        <item x="556"/>
        <item x="723"/>
        <item x="36"/>
        <item x="479"/>
        <item x="513"/>
        <item x="88"/>
        <item x="329"/>
        <item x="679"/>
        <item x="395"/>
        <item x="994"/>
        <item x="764"/>
        <item x="127"/>
        <item x="600"/>
        <item x="428"/>
        <item x="951"/>
        <item x="452"/>
        <item x="480"/>
        <item x="575"/>
        <item x="135"/>
        <item x="598"/>
        <item x="350"/>
        <item x="160"/>
        <item x="433"/>
        <item x="54"/>
        <item x="488"/>
        <item x="59"/>
        <item x="970"/>
        <item x="656"/>
        <item x="389"/>
        <item x="254"/>
        <item x="1020"/>
        <item x="8"/>
        <item x="640"/>
        <item x="828"/>
        <item x="58"/>
        <item x="169"/>
        <item x="809"/>
        <item x="669"/>
        <item x="599"/>
        <item x="570"/>
        <item x="243"/>
        <item x="947"/>
        <item x="692"/>
        <item x="615"/>
        <item x="390"/>
        <item x="444"/>
        <item x="806"/>
        <item x="356"/>
        <item x="177"/>
        <item x="25"/>
        <item x="566"/>
        <item x="278"/>
        <item x="49"/>
        <item x="1010"/>
        <item x="803"/>
        <item x="1038"/>
        <item x="61"/>
        <item t="default"/>
      </items>
    </pivotField>
    <pivotField showAll="0"/>
    <pivotField axis="axisRow" showAll="0" measureFilter="1" sortType="descending">
      <items count="16">
        <item x="14"/>
        <item x="3"/>
        <item x="10"/>
        <item x="12"/>
        <item x="13"/>
        <item x="0"/>
        <item x="4"/>
        <item x="9"/>
        <item x="7"/>
        <item x="2"/>
        <item x="1"/>
        <item x="8"/>
        <item x="6"/>
        <item x="5"/>
        <item x="11"/>
        <item t="default"/>
      </items>
      <autoSortScope>
        <pivotArea dataOnly="0" outline="0" fieldPosition="0">
          <references count="1">
            <reference field="4294967294" count="1" selected="0">
              <x v="0"/>
            </reference>
          </references>
        </pivotArea>
      </autoSortScope>
    </pivotField>
    <pivotField showAll="0"/>
    <pivotField dataField="1" showAll="0">
      <items count="4923">
        <item x="1997"/>
        <item x="4005"/>
        <item x="1347"/>
        <item x="941"/>
        <item x="2747"/>
        <item x="1104"/>
        <item x="3601"/>
        <item x="2525"/>
        <item x="745"/>
        <item x="2267"/>
        <item x="803"/>
        <item x="532"/>
        <item x="1699"/>
        <item x="2939"/>
        <item x="3564"/>
        <item x="217"/>
        <item x="1595"/>
        <item x="3635"/>
        <item x="1587"/>
        <item x="4405"/>
        <item x="1423"/>
        <item x="1155"/>
        <item x="1302"/>
        <item x="1952"/>
        <item x="757"/>
        <item x="1389"/>
        <item x="3620"/>
        <item x="1708"/>
        <item x="3166"/>
        <item x="2847"/>
        <item x="2935"/>
        <item x="3737"/>
        <item x="3247"/>
        <item x="1713"/>
        <item x="2809"/>
        <item x="4007"/>
        <item x="2249"/>
        <item x="915"/>
        <item x="2125"/>
        <item x="3829"/>
        <item x="2056"/>
        <item x="1717"/>
        <item x="3291"/>
        <item x="1340"/>
        <item x="1393"/>
        <item x="2981"/>
        <item x="4481"/>
        <item x="1496"/>
        <item x="4849"/>
        <item x="3415"/>
        <item x="675"/>
        <item x="3235"/>
        <item x="2017"/>
        <item x="1185"/>
        <item x="723"/>
        <item x="4513"/>
        <item x="1209"/>
        <item x="1562"/>
        <item x="1789"/>
        <item x="2395"/>
        <item x="3314"/>
        <item x="2037"/>
        <item x="2917"/>
        <item x="1233"/>
        <item x="3310"/>
        <item x="647"/>
        <item x="979"/>
        <item x="324"/>
        <item x="181"/>
        <item x="93"/>
        <item x="2418"/>
        <item x="838"/>
        <item x="3402"/>
        <item x="2562"/>
        <item x="955"/>
        <item x="105"/>
        <item x="4028"/>
        <item x="3677"/>
        <item x="3336"/>
        <item x="2605"/>
        <item x="4760"/>
        <item x="1888"/>
        <item x="909"/>
        <item x="939"/>
        <item x="111"/>
        <item x="3453"/>
        <item x="676"/>
        <item x="609"/>
        <item x="1392"/>
        <item x="3931"/>
        <item x="4459"/>
        <item x="442"/>
        <item x="1883"/>
        <item x="1226"/>
        <item x="1395"/>
        <item x="3113"/>
        <item x="4577"/>
        <item x="4280"/>
        <item x="3193"/>
        <item x="3755"/>
        <item x="1778"/>
        <item x="2785"/>
        <item x="3384"/>
        <item x="4838"/>
        <item x="2895"/>
        <item x="2826"/>
        <item x="4013"/>
        <item x="3951"/>
        <item x="1210"/>
        <item x="3367"/>
        <item x="2109"/>
        <item x="1615"/>
        <item x="3482"/>
        <item x="4372"/>
        <item x="3469"/>
        <item x="4111"/>
        <item x="3521"/>
        <item x="1344"/>
        <item x="1736"/>
        <item x="2285"/>
        <item x="865"/>
        <item x="128"/>
        <item x="4611"/>
        <item x="728"/>
        <item x="3952"/>
        <item x="4365"/>
        <item x="4046"/>
        <item x="770"/>
        <item x="2638"/>
        <item x="4776"/>
        <item x="432"/>
        <item x="3139"/>
        <item x="1762"/>
        <item x="4337"/>
        <item x="198"/>
        <item x="1172"/>
        <item x="139"/>
        <item x="1819"/>
        <item x="854"/>
        <item x="3599"/>
        <item x="4834"/>
        <item x="1756"/>
        <item x="2091"/>
        <item x="2319"/>
        <item x="1618"/>
        <item x="4886"/>
        <item x="2269"/>
        <item x="3074"/>
        <item x="517"/>
        <item x="3066"/>
        <item x="716"/>
        <item x="2318"/>
        <item x="4516"/>
        <item x="2906"/>
        <item x="1946"/>
        <item x="3833"/>
        <item x="3593"/>
        <item x="1244"/>
        <item x="1807"/>
        <item x="452"/>
        <item x="1704"/>
        <item x="2868"/>
        <item x="1150"/>
        <item x="3419"/>
        <item x="484"/>
        <item x="1221"/>
        <item x="3214"/>
        <item x="2738"/>
        <item x="4373"/>
        <item x="3701"/>
        <item x="495"/>
        <item x="2820"/>
        <item x="3574"/>
        <item x="1874"/>
        <item x="2713"/>
        <item x="4833"/>
        <item x="863"/>
        <item x="2941"/>
        <item x="632"/>
        <item x="846"/>
        <item x="4779"/>
        <item x="3958"/>
        <item x="1321"/>
        <item x="2381"/>
        <item x="2143"/>
        <item x="1271"/>
        <item x="4099"/>
        <item x="3605"/>
        <item x="1739"/>
        <item x="3711"/>
        <item x="2169"/>
        <item x="4216"/>
        <item x="1558"/>
        <item x="2907"/>
        <item x="4777"/>
        <item x="4077"/>
        <item x="4243"/>
        <item x="1492"/>
        <item x="2413"/>
        <item x="0"/>
        <item x="267"/>
        <item x="1505"/>
        <item x="3172"/>
        <item x="3396"/>
        <item x="4595"/>
        <item x="3153"/>
        <item x="4664"/>
        <item x="1644"/>
        <item x="836"/>
        <item x="3050"/>
        <item x="3141"/>
        <item x="4895"/>
        <item x="2996"/>
        <item x="1032"/>
        <item x="689"/>
        <item x="1259"/>
        <item x="687"/>
        <item x="257"/>
        <item x="4152"/>
        <item x="4773"/>
        <item x="4843"/>
        <item x="4309"/>
        <item x="3248"/>
        <item x="76"/>
        <item x="4134"/>
        <item x="1072"/>
        <item x="4335"/>
        <item x="3108"/>
        <item x="3788"/>
        <item x="2225"/>
        <item x="83"/>
        <item x="2733"/>
        <item x="2052"/>
        <item x="624"/>
        <item x="2599"/>
        <item x="1866"/>
        <item x="1485"/>
        <item x="546"/>
        <item x="4278"/>
        <item x="3004"/>
        <item x="1947"/>
        <item x="1581"/>
        <item x="3718"/>
        <item x="4036"/>
        <item x="1053"/>
        <item x="209"/>
        <item x="3026"/>
        <item x="995"/>
        <item x="4628"/>
        <item x="2641"/>
        <item x="2070"/>
        <item x="3308"/>
        <item x="1219"/>
        <item x="3844"/>
        <item x="2655"/>
        <item x="919"/>
        <item x="2516"/>
        <item x="2731"/>
        <item x="733"/>
        <item x="4191"/>
        <item x="867"/>
        <item x="3989"/>
        <item x="3019"/>
        <item x="4889"/>
        <item x="4547"/>
        <item x="1768"/>
        <item x="3754"/>
        <item x="3722"/>
        <item x="4657"/>
        <item x="3648"/>
        <item x="1613"/>
        <item x="4428"/>
        <item x="4888"/>
        <item x="1078"/>
        <item x="4758"/>
        <item x="2914"/>
        <item x="2423"/>
        <item x="706"/>
        <item x="2039"/>
        <item x="171"/>
        <item x="3986"/>
        <item x="3719"/>
        <item x="3016"/>
        <item x="1721"/>
        <item x="4675"/>
        <item x="2512"/>
        <item x="809"/>
        <item x="561"/>
        <item x="2434"/>
        <item x="4488"/>
        <item x="4906"/>
        <item x="2114"/>
        <item x="2811"/>
        <item x="3891"/>
        <item x="361"/>
        <item x="435"/>
        <item x="3433"/>
        <item x="3607"/>
        <item x="4868"/>
        <item x="3914"/>
        <item x="1437"/>
        <item x="2356"/>
        <item x="4025"/>
        <item x="275"/>
        <item x="416"/>
        <item x="2031"/>
        <item x="1267"/>
        <item x="2955"/>
        <item x="3151"/>
        <item x="1102"/>
        <item x="2619"/>
        <item x="49"/>
        <item x="3226"/>
        <item x="4213"/>
        <item x="1095"/>
        <item x="4559"/>
        <item x="3049"/>
        <item x="3848"/>
        <item x="462"/>
        <item x="4709"/>
        <item x="1885"/>
        <item x="165"/>
        <item x="414"/>
        <item x="334"/>
        <item x="4835"/>
        <item x="3385"/>
        <item x="4716"/>
        <item x="2807"/>
        <item x="1982"/>
        <item x="1658"/>
        <item x="3572"/>
        <item x="617"/>
        <item x="698"/>
        <item x="2903"/>
        <item x="3819"/>
        <item x="326"/>
        <item x="226"/>
        <item x="880"/>
        <item x="659"/>
        <item x="2915"/>
        <item x="4107"/>
        <item x="2830"/>
        <item x="2969"/>
        <item x="3030"/>
        <item x="1670"/>
        <item x="256"/>
        <item x="4331"/>
        <item x="2983"/>
        <item x="567"/>
        <item x="4361"/>
        <item x="1835"/>
        <item x="4691"/>
        <item x="1427"/>
        <item x="2081"/>
        <item x="3490"/>
        <item x="4789"/>
        <item x="2289"/>
        <item x="923"/>
        <item x="978"/>
        <item x="54"/>
        <item x="1693"/>
        <item x="4301"/>
        <item x="3994"/>
        <item x="1515"/>
        <item x="3267"/>
        <item x="200"/>
        <item x="3043"/>
        <item x="2628"/>
        <item x="3429"/>
        <item x="2045"/>
        <item x="1386"/>
        <item x="2740"/>
        <item x="2453"/>
        <item x="1125"/>
        <item x="2240"/>
        <item x="3063"/>
        <item x="934"/>
        <item x="2131"/>
        <item x="4808"/>
        <item x="1914"/>
        <item x="1563"/>
        <item x="3801"/>
        <item x="3569"/>
        <item x="4053"/>
        <item x="1703"/>
        <item x="3441"/>
        <item x="2138"/>
        <item x="3012"/>
        <item x="3227"/>
        <item x="2276"/>
        <item x="1842"/>
        <item x="1364"/>
        <item x="4472"/>
        <item x="3486"/>
        <item x="1664"/>
        <item x="4484"/>
        <item x="1727"/>
        <item x="201"/>
        <item x="196"/>
        <item x="2610"/>
        <item x="3934"/>
        <item x="3703"/>
        <item x="2170"/>
        <item x="671"/>
        <item x="1320"/>
        <item x="3358"/>
        <item x="2771"/>
        <item x="2827"/>
        <item x="1023"/>
        <item x="1872"/>
        <item x="2926"/>
        <item x="1224"/>
        <item x="322"/>
        <item x="777"/>
        <item x="3979"/>
        <item x="270"/>
        <item x="461"/>
        <item x="3852"/>
        <item x="2205"/>
        <item x="4034"/>
        <item x="2658"/>
        <item x="2268"/>
        <item x="1715"/>
        <item x="3552"/>
        <item x="3051"/>
        <item x="4726"/>
        <item x="936"/>
        <item x="2892"/>
        <item x="3515"/>
        <item x="2297"/>
        <item x="2053"/>
        <item x="4683"/>
        <item x="3059"/>
        <item x="2645"/>
        <item x="2087"/>
        <item x="3399"/>
        <item x="156"/>
        <item x="2463"/>
        <item x="1805"/>
        <item x="564"/>
        <item x="1463"/>
        <item x="4766"/>
        <item x="176"/>
        <item x="2139"/>
        <item x="255"/>
        <item x="3984"/>
        <item x="3933"/>
        <item x="1356"/>
        <item x="663"/>
        <item x="3980"/>
        <item x="4256"/>
        <item x="1206"/>
        <item x="4326"/>
        <item x="1935"/>
        <item x="1753"/>
        <item x="894"/>
        <item x="2992"/>
        <item x="250"/>
        <item x="469"/>
        <item x="4333"/>
        <item x="1091"/>
        <item x="1532"/>
        <item x="2647"/>
        <item x="10"/>
        <item x="2541"/>
        <item x="503"/>
        <item x="1460"/>
        <item x="1044"/>
        <item x="3437"/>
        <item x="329"/>
        <item x="1861"/>
        <item x="371"/>
        <item x="4822"/>
        <item x="1112"/>
        <item x="3587"/>
        <item x="2739"/>
        <item x="3520"/>
        <item x="1189"/>
        <item x="2873"/>
        <item x="2455"/>
        <item x="3624"/>
        <item x="4432"/>
        <item x="3432"/>
        <item x="3167"/>
        <item x="3805"/>
        <item x="195"/>
        <item x="3428"/>
        <item x="491"/>
        <item x="1199"/>
        <item x="3088"/>
        <item x="244"/>
        <item x="4537"/>
        <item x="3758"/>
        <item x="2191"/>
        <item x="3534"/>
        <item x="4616"/>
        <item x="1663"/>
        <item x="116"/>
        <item x="1358"/>
        <item x="3001"/>
        <item x="3452"/>
        <item x="3145"/>
        <item x="3876"/>
        <item x="3902"/>
        <item x="3928"/>
        <item x="940"/>
        <item x="314"/>
        <item x="486"/>
        <item x="1396"/>
        <item x="3417"/>
        <item x="2127"/>
        <item x="3899"/>
        <item x="4655"/>
        <item x="566"/>
        <item x="3091"/>
        <item x="1858"/>
        <item x="1414"/>
        <item x="1588"/>
        <item x="3942"/>
        <item x="3781"/>
        <item x="2551"/>
        <item x="823"/>
        <item x="4762"/>
        <item x="4813"/>
        <item x="4232"/>
        <item x="274"/>
        <item x="653"/>
        <item x="451"/>
        <item x="3413"/>
        <item x="2452"/>
        <item x="3184"/>
        <item x="1740"/>
        <item x="2542"/>
        <item x="2651"/>
        <item x="2404"/>
        <item x="878"/>
        <item x="2850"/>
        <item x="2330"/>
        <item x="185"/>
        <item x="3656"/>
        <item x="20"/>
        <item x="1608"/>
        <item x="4155"/>
        <item x="4449"/>
        <item x="4662"/>
        <item x="2676"/>
        <item x="2653"/>
        <item x="2228"/>
        <item x="3528"/>
        <item x="4010"/>
        <item x="4354"/>
        <item x="717"/>
        <item x="4084"/>
        <item x="4334"/>
        <item x="3967"/>
        <item x="3481"/>
        <item x="3993"/>
        <item x="4001"/>
        <item x="1318"/>
        <item x="4493"/>
        <item x="2858"/>
        <item x="959"/>
        <item x="3567"/>
        <item x="1648"/>
        <item x="4631"/>
        <item x="3916"/>
        <item x="15"/>
        <item x="2694"/>
        <item x="2572"/>
        <item x="4145"/>
        <item x="3760"/>
        <item x="3794"/>
        <item x="4801"/>
        <item x="673"/>
        <item x="3674"/>
        <item x="1433"/>
        <item x="4086"/>
        <item x="4188"/>
        <item x="4852"/>
        <item x="1446"/>
        <item x="869"/>
        <item x="4560"/>
        <item x="1577"/>
        <item x="1627"/>
        <item x="3991"/>
        <item x="1749"/>
        <item x="3610"/>
        <item x="2414"/>
        <item x="3295"/>
        <item x="2389"/>
        <item x="3112"/>
        <item x="4759"/>
        <item x="585"/>
        <item x="3222"/>
        <item x="1479"/>
        <item x="3046"/>
        <item x="1444"/>
        <item x="4575"/>
        <item x="2662"/>
        <item x="1654"/>
        <item x="3907"/>
        <item x="4645"/>
        <item x="4590"/>
        <item x="824"/>
        <item x="1441"/>
        <item x="571"/>
        <item x="313"/>
        <item x="3216"/>
        <item x="2117"/>
        <item x="4348"/>
        <item x="568"/>
        <item x="138"/>
        <item x="2538"/>
        <item x="768"/>
        <item x="2259"/>
        <item x="2894"/>
        <item x="1012"/>
        <item x="2480"/>
        <item x="3378"/>
        <item x="1313"/>
        <item x="3598"/>
        <item x="3268"/>
        <item x="2426"/>
        <item x="1818"/>
        <item x="4276"/>
        <item x="764"/>
        <item x="2723"/>
        <item x="4502"/>
        <item x="3180"/>
        <item x="4707"/>
        <item x="4652"/>
        <item x="1936"/>
        <item x="515"/>
        <item x="2005"/>
        <item x="412"/>
        <item x="2869"/>
        <item x="2930"/>
        <item x="455"/>
        <item x="851"/>
        <item x="877"/>
        <item x="4300"/>
        <item x="3474"/>
        <item x="321"/>
        <item x="2307"/>
        <item x="4717"/>
        <item x="3558"/>
        <item x="4518"/>
        <item x="1949"/>
        <item x="3568"/>
        <item x="4544"/>
        <item x="3710"/>
        <item x="4444"/>
        <item x="340"/>
        <item x="1003"/>
        <item x="154"/>
        <item x="2633"/>
        <item x="912"/>
        <item x="2471"/>
        <item x="3174"/>
        <item x="1041"/>
        <item x="3846"/>
        <item x="1498"/>
        <item x="4712"/>
        <item x="4222"/>
        <item x="575"/>
        <item x="2704"/>
        <item x="2292"/>
        <item x="3602"/>
        <item x="1372"/>
        <item x="2583"/>
        <item x="1529"/>
        <item x="4130"/>
        <item x="2822"/>
        <item x="4311"/>
        <item x="142"/>
        <item x="529"/>
        <item x="3212"/>
        <item x="1294"/>
        <item x="984"/>
        <item x="1544"/>
        <item x="445"/>
        <item x="2730"/>
        <item x="4008"/>
        <item x="4100"/>
        <item x="4790"/>
        <item x="1694"/>
        <item x="3507"/>
        <item x="487"/>
        <item x="346"/>
        <item x="3191"/>
        <item x="5"/>
        <item x="2468"/>
        <item x="4169"/>
        <item x="2499"/>
        <item x="4811"/>
        <item x="1122"/>
        <item x="1363"/>
        <item x="1310"/>
        <item x="1659"/>
        <item x="2624"/>
        <item x="3997"/>
        <item x="4249"/>
        <item x="450"/>
        <item x="656"/>
        <item x="2433"/>
        <item x="2883"/>
        <item x="4384"/>
        <item x="3968"/>
        <item x="1461"/>
        <item x="3114"/>
        <item x="1481"/>
        <item x="3800"/>
        <item x="952"/>
        <item x="3209"/>
        <item x="4225"/>
        <item x="3438"/>
        <item x="1938"/>
        <item x="4312"/>
        <item x="3955"/>
        <item x="3594"/>
        <item x="4346"/>
        <item x="3394"/>
        <item x="417"/>
        <item x="3375"/>
        <item x="3023"/>
        <item x="3695"/>
        <item x="269"/>
        <item x="4504"/>
        <item x="2893"/>
        <item x="2965"/>
        <item x="485"/>
        <item x="641"/>
        <item x="512"/>
        <item x="2750"/>
        <item x="234"/>
        <item x="2116"/>
        <item x="1955"/>
        <item x="3319"/>
        <item x="4850"/>
        <item x="4173"/>
        <item x="1225"/>
        <item x="358"/>
        <item x="2003"/>
        <item x="1059"/>
        <item x="3510"/>
        <item x="1791"/>
        <item x="1803"/>
        <item x="4220"/>
        <item x="2000"/>
        <item x="1157"/>
        <item x="1995"/>
        <item x="4735"/>
        <item x="207"/>
        <item x="2219"/>
        <item x="3860"/>
        <item x="4310"/>
        <item x="2014"/>
        <item x="1719"/>
        <item x="1523"/>
        <item x="2302"/>
        <item x="793"/>
        <item x="2278"/>
        <item x="1848"/>
        <item x="4424"/>
        <item x="2190"/>
        <item x="2982"/>
        <item x="2022"/>
        <item x="1893"/>
        <item x="2766"/>
        <item x="2101"/>
        <item x="411"/>
        <item x="1855"/>
        <item x="1959"/>
        <item x="4563"/>
        <item x="281"/>
        <item x="247"/>
        <item x="1570"/>
        <item x="2582"/>
        <item x="3504"/>
        <item x="315"/>
        <item x="468"/>
        <item x="3792"/>
        <item x="1489"/>
        <item x="682"/>
        <item x="2722"/>
        <item x="1352"/>
        <item x="4443"/>
        <item x="597"/>
        <item x="926"/>
        <item x="3070"/>
        <item x="2283"/>
        <item x="1325"/>
        <item x="2257"/>
        <item x="3565"/>
        <item x="680"/>
        <item x="370"/>
        <item x="2968"/>
        <item x="453"/>
        <item x="1339"/>
        <item x="2179"/>
        <item x="466"/>
        <item x="4287"/>
        <item x="4734"/>
        <item x="3194"/>
        <item x="4473"/>
        <item x="920"/>
        <item x="931"/>
        <item x="149"/>
        <item x="4044"/>
        <item x="2323"/>
        <item x="268"/>
        <item x="1590"/>
        <item x="791"/>
        <item x="32"/>
        <item x="4746"/>
        <item x="3124"/>
        <item x="1669"/>
        <item x="1520"/>
        <item x="4919"/>
        <item x="3119"/>
        <item x="4120"/>
        <item x="3444"/>
        <item x="2700"/>
        <item x="1567"/>
        <item x="2916"/>
        <item x="3753"/>
        <item x="1640"/>
        <item x="1370"/>
        <item x="1821"/>
        <item x="1963"/>
        <item x="2687"/>
        <item x="4314"/>
        <item x="3339"/>
        <item x="2024"/>
        <item x="3861"/>
        <item x="252"/>
        <item x="4159"/>
        <item x="4719"/>
        <item x="2210"/>
        <item x="2539"/>
        <item x="4321"/>
        <item x="2934"/>
        <item x="300"/>
        <item x="1388"/>
        <item x="1231"/>
        <item x="1342"/>
        <item x="2803"/>
        <item x="2445"/>
        <item x="4772"/>
        <item x="2424"/>
        <item x="1366"/>
        <item x="4618"/>
        <item x="2863"/>
        <item x="2412"/>
        <item x="4253"/>
        <item x="856"/>
        <item x="3996"/>
        <item x="396"/>
        <item x="2616"/>
        <item x="4483"/>
        <item x="1586"/>
        <item x="1878"/>
        <item x="3150"/>
        <item x="2229"/>
        <item x="4320"/>
        <item x="2824"/>
        <item x="1250"/>
        <item x="172"/>
        <item x="3223"/>
        <item x="933"/>
        <item x="3863"/>
        <item x="3411"/>
        <item x="1315"/>
        <item x="3516"/>
        <item x="4199"/>
        <item x="81"/>
        <item x="2113"/>
        <item x="2443"/>
        <item x="807"/>
        <item x="1786"/>
        <item x="3922"/>
        <item x="391"/>
        <item x="2805"/>
        <item x="3199"/>
        <item x="876"/>
        <item x="783"/>
        <item x="4803"/>
        <item x="4231"/>
        <item x="4842"/>
        <item x="4467"/>
        <item x="373"/>
        <item x="3426"/>
        <item x="4755"/>
        <item x="3799"/>
        <item x="4154"/>
        <item x="843"/>
        <item x="3826"/>
        <item x="273"/>
        <item x="2767"/>
        <item x="190"/>
        <item x="3715"/>
        <item x="790"/>
        <item x="2417"/>
        <item x="401"/>
        <item x="2753"/>
        <item x="1030"/>
        <item x="33"/>
        <item x="2373"/>
        <item x="4698"/>
        <item x="3915"/>
        <item x="1058"/>
        <item x="8"/>
        <item x="1282"/>
        <item x="921"/>
        <item x="4479"/>
        <item x="897"/>
        <item x="2055"/>
        <item x="2989"/>
        <item x="1238"/>
        <item x="1863"/>
        <item x="4455"/>
        <item x="1027"/>
        <item x="1073"/>
        <item x="3536"/>
        <item x="2879"/>
        <item x="2203"/>
        <item x="3256"/>
        <item x="829"/>
        <item x="4515"/>
        <item x="1161"/>
        <item x="2355"/>
        <item x="2429"/>
        <item x="467"/>
        <item x="3461"/>
        <item x="3756"/>
        <item x="2023"/>
        <item x="4441"/>
        <item x="3900"/>
        <item x="1202"/>
        <item x="3335"/>
        <item x="2068"/>
        <item x="1006"/>
        <item x="4055"/>
        <item x="3858"/>
        <item x="1880"/>
        <item x="350"/>
        <item x="1710"/>
        <item x="1831"/>
        <item x="3211"/>
        <item x="3609"/>
        <item x="2666"/>
        <item x="1823"/>
        <item x="2279"/>
        <item x="1702"/>
        <item x="1159"/>
        <item x="167"/>
        <item x="4601"/>
        <item x="2735"/>
        <item x="1381"/>
        <item x="771"/>
        <item x="1849"/>
        <item x="454"/>
        <item x="4292"/>
        <item x="4358"/>
        <item x="474"/>
        <item x="4463"/>
        <item x="2974"/>
        <item x="595"/>
        <item x="749"/>
        <item x="3095"/>
        <item x="2506"/>
        <item x="3851"/>
        <item x="4303"/>
        <item x="1402"/>
        <item x="4704"/>
        <item x="818"/>
        <item x="1656"/>
        <item x="2504"/>
        <item x="4602"/>
        <item x="1724"/>
        <item x="1109"/>
        <item x="811"/>
        <item x="2111"/>
        <item x="3940"/>
        <item x="2483"/>
        <item x="4696"/>
        <item x="4290"/>
        <item x="4651"/>
        <item x="1559"/>
        <item x="3036"/>
        <item x="2001"/>
        <item x="610"/>
        <item x="3054"/>
        <item x="3470"/>
        <item x="1507"/>
        <item x="4528"/>
        <item x="4211"/>
        <item x="3086"/>
        <item x="3450"/>
        <item x="1107"/>
        <item x="1792"/>
        <item x="4302"/>
        <item x="1040"/>
        <item x="1649"/>
        <item x="2184"/>
        <item x="2244"/>
        <item x="1709"/>
        <item x="3815"/>
        <item x="4241"/>
        <item x="550"/>
        <item x="1197"/>
        <item x="413"/>
        <item x="3905"/>
        <item x="3744"/>
        <item x="2507"/>
        <item x="4580"/>
        <item x="778"/>
        <item x="3651"/>
        <item x="794"/>
        <item x="261"/>
        <item x="309"/>
        <item x="630"/>
        <item x="2973"/>
        <item x="152"/>
        <item x="2234"/>
        <item x="57"/>
        <item x="3640"/>
        <item x="423"/>
        <item x="133"/>
        <item x="1475"/>
        <item x="4672"/>
        <item x="615"/>
        <item x="4815"/>
        <item x="4400"/>
        <item x="224"/>
        <item x="1815"/>
        <item x="759"/>
        <item x="862"/>
        <item x="3978"/>
        <item x="4298"/>
        <item x="4684"/>
        <item x="3644"/>
        <item x="4676"/>
        <item x="3508"/>
        <item x="2034"/>
        <item x="2374"/>
        <item x="482"/>
        <item x="1009"/>
        <item x="700"/>
        <item x="4556"/>
        <item x="719"/>
        <item x="1743"/>
        <item x="1833"/>
        <item x="4540"/>
        <item x="1253"/>
        <item x="4468"/>
        <item x="3724"/>
        <item x="2889"/>
        <item x="2668"/>
        <item x="1971"/>
        <item x="2020"/>
        <item x="527"/>
        <item x="1473"/>
        <item x="668"/>
        <item x="4617"/>
        <item x="436"/>
        <item x="3636"/>
        <item x="781"/>
        <item x="3038"/>
        <item x="3442"/>
        <item x="227"/>
        <item x="3034"/>
        <item x="840"/>
        <item x="640"/>
        <item x="3473"/>
        <item x="1794"/>
        <item x="3652"/>
        <item x="765"/>
        <item x="551"/>
        <item x="1729"/>
        <item x="4417"/>
        <item x="4327"/>
        <item x="1683"/>
        <item x="1248"/>
        <item x="4442"/>
        <item x="4907"/>
        <item x="2675"/>
        <item x="3031"/>
        <item x="587"/>
        <item x="472"/>
        <item x="4345"/>
        <item x="2726"/>
        <item x="730"/>
        <item x="1758"/>
        <item x="2422"/>
        <item x="3159"/>
        <item x="3908"/>
        <item x="1573"/>
        <item x="4908"/>
        <item x="4573"/>
        <item x="2636"/>
        <item x="3374"/>
        <item x="2361"/>
        <item x="708"/>
        <item x="471"/>
        <item x="4744"/>
        <item x="4089"/>
        <item x="1633"/>
        <item x="1114"/>
        <item x="4592"/>
        <item x="2149"/>
        <item x="752"/>
        <item x="3110"/>
        <item x="3370"/>
        <item x="3650"/>
        <item x="63"/>
        <item x="193"/>
        <item x="62"/>
        <item x="2925"/>
        <item x="548"/>
        <item x="4584"/>
        <item x="3882"/>
        <item x="4450"/>
        <item x="775"/>
        <item x="3561"/>
        <item x="2531"/>
        <item x="248"/>
        <item x="1661"/>
        <item x="4871"/>
        <item x="1322"/>
        <item x="4534"/>
        <item x="4261"/>
        <item x="2449"/>
        <item x="3326"/>
        <item x="1766"/>
        <item x="739"/>
        <item x="2469"/>
        <item x="2612"/>
        <item x="2255"/>
        <item x="832"/>
        <item x="4596"/>
        <item x="1429"/>
        <item x="479"/>
        <item x="4274"/>
        <item x="1685"/>
        <item x="4129"/>
        <item x="3496"/>
        <item x="3734"/>
        <item x="4288"/>
        <item x="2622"/>
        <item x="3455"/>
        <item x="2491"/>
        <item x="3299"/>
        <item x="3527"/>
        <item x="3768"/>
        <item x="3699"/>
        <item x="3389"/>
        <item x="3713"/>
        <item x="828"/>
        <item x="3271"/>
        <item x="1007"/>
        <item x="2580"/>
        <item x="3811"/>
        <item x="1726"/>
        <item x="4196"/>
        <item x="1163"/>
        <item x="3932"/>
        <item x="1179"/>
        <item x="870"/>
        <item x="2151"/>
        <item x="440"/>
        <item x="3783"/>
        <item x="2677"/>
        <item x="1245"/>
        <item x="3138"/>
        <item x="4613"/>
        <item x="3796"/>
        <item x="2679"/>
        <item x="4882"/>
        <item x="2498"/>
        <item x="4634"/>
        <item x="2947"/>
        <item x="3298"/>
        <item x="2487"/>
        <item x="3836"/>
        <item x="2196"/>
        <item x="2754"/>
        <item x="2800"/>
        <item x="3266"/>
        <item x="1028"/>
        <item x="1944"/>
        <item x="1459"/>
        <item x="3149"/>
        <item x="4814"/>
        <item x="3368"/>
        <item x="3786"/>
        <item x="4574"/>
        <item x="246"/>
        <item x="2502"/>
        <item x="3231"/>
        <item x="891"/>
        <item x="168"/>
        <item x="17"/>
        <item x="906"/>
        <item x="2559"/>
        <item x="208"/>
        <item x="1651"/>
        <item x="4069"/>
        <item x="970"/>
        <item x="3921"/>
        <item x="3037"/>
        <item x="2093"/>
        <item x="3072"/>
        <item x="996"/>
        <item x="3898"/>
        <item x="4440"/>
        <item x="3822"/>
        <item x="3393"/>
        <item x="2964"/>
        <item x="2103"/>
        <item x="685"/>
        <item x="2217"/>
        <item x="3761"/>
        <item x="4338"/>
        <item x="552"/>
        <item x="335"/>
        <item x="2135"/>
        <item x="4323"/>
        <item x="3659"/>
        <item x="2891"/>
        <item x="3847"/>
        <item x="4878"/>
        <item x="792"/>
        <item x="2011"/>
        <item x="1610"/>
        <item x="1217"/>
        <item x="3612"/>
        <item x="961"/>
        <item x="3856"/>
        <item x="2904"/>
        <item x="2325"/>
        <item x="2178"/>
        <item x="1967"/>
        <item x="348"/>
        <item x="3658"/>
        <item x="1761"/>
        <item x="2765"/>
        <item x="1799"/>
        <item x="1354"/>
        <item x="1508"/>
        <item x="2421"/>
        <item x="3667"/>
        <item x="3821"/>
        <item x="3714"/>
        <item x="592"/>
        <item x="4221"/>
        <item x="2719"/>
        <item x="3357"/>
        <item x="3643"/>
        <item x="2305"/>
        <item x="1905"/>
        <item x="1965"/>
        <item x="1329"/>
        <item x="2369"/>
        <item x="2435"/>
        <item x="3841"/>
        <item x="4501"/>
        <item x="3006"/>
        <item x="882"/>
        <item x="2015"/>
        <item x="2595"/>
        <item x="2168"/>
        <item x="1215"/>
        <item x="249"/>
        <item x="4299"/>
        <item x="1143"/>
        <item x="294"/>
        <item x="4407"/>
        <item x="1920"/>
        <item x="1432"/>
        <item x="1080"/>
        <item x="460"/>
        <item x="3909"/>
        <item x="637"/>
        <item x="74"/>
        <item x="4339"/>
        <item x="1336"/>
        <item x="3233"/>
        <item x="2579"/>
        <item x="2585"/>
        <item x="3346"/>
        <item x="1996"/>
        <item x="1912"/>
        <item x="351"/>
        <item x="855"/>
        <item x="2667"/>
        <item x="1759"/>
        <item x="2594"/>
        <item x="1249"/>
        <item x="539"/>
        <item x="1086"/>
        <item x="1474"/>
        <item x="4567"/>
        <item x="4360"/>
        <item x="3203"/>
        <item x="1186"/>
        <item x="963"/>
        <item x="2406"/>
        <item x="2732"/>
        <item x="2678"/>
        <item x="1671"/>
        <item x="2313"/>
        <item x="1400"/>
        <item x="4591"/>
        <item x="4329"/>
        <item x="4571"/>
        <item x="2741"/>
        <item x="2402"/>
        <item x="2118"/>
        <item x="3239"/>
        <item x="1870"/>
        <item x="2943"/>
        <item x="4738"/>
        <item x="1509"/>
        <item x="1269"/>
        <item x="2510"/>
        <item x="3416"/>
        <item x="1850"/>
        <item x="1968"/>
        <item x="1684"/>
        <item x="4648"/>
        <item x="3423"/>
        <item x="3"/>
        <item x="4108"/>
        <item x="536"/>
        <item x="488"/>
        <item x="1116"/>
        <item x="581"/>
        <item x="2036"/>
        <item x="3884"/>
        <item x="2098"/>
        <item x="3897"/>
        <item x="3161"/>
        <item x="2128"/>
        <item x="3198"/>
        <item x="4202"/>
        <item x="3363"/>
        <item x="4370"/>
        <item x="2686"/>
        <item x="2761"/>
        <item x="3509"/>
        <item x="4867"/>
        <item x="4913"/>
        <item x="1335"/>
        <item x="3874"/>
        <item x="1195"/>
        <item x="4048"/>
        <item x="4390"/>
        <item x="392"/>
        <item x="1017"/>
        <item x="3704"/>
        <item x="4622"/>
        <item x="3883"/>
        <item x="4627"/>
        <item x="3032"/>
        <item x="1090"/>
        <item x="1010"/>
        <item x="4859"/>
        <item x="1008"/>
        <item x="1029"/>
        <item x="4447"/>
        <item x="4056"/>
        <item x="577"/>
        <item x="2819"/>
        <item x="734"/>
        <item x="1374"/>
        <item x="3885"/>
        <item x="2788"/>
        <item x="885"/>
        <item x="3158"/>
        <item x="4369"/>
        <item x="3333"/>
        <item x="4539"/>
        <item x="1483"/>
        <item x="815"/>
        <item x="3296"/>
        <item x="2451"/>
        <item x="69"/>
        <item x="2094"/>
        <item x="2476"/>
        <item x="3881"/>
        <item x="4163"/>
        <item x="2085"/>
        <item x="1601"/>
        <item x="3048"/>
        <item x="3171"/>
        <item x="1154"/>
        <item x="805"/>
        <item x="2959"/>
        <item x="1991"/>
        <item x="2825"/>
        <item x="962"/>
        <item x="1468"/>
        <item x="3954"/>
        <item x="582"/>
        <item x="1141"/>
        <item x="4647"/>
        <item x="3297"/>
        <item x="4433"/>
        <item x="2096"/>
        <item x="2567"/>
        <item x="3210"/>
        <item x="2372"/>
        <item x="4239"/>
        <item x="1560"/>
        <item x="929"/>
        <item x="98"/>
        <item x="612"/>
        <item x="1369"/>
        <item x="3985"/>
        <item x="2260"/>
        <item x="2745"/>
        <item x="3586"/>
        <item x="4695"/>
        <item x="2160"/>
        <item x="4426"/>
        <item x="4252"/>
        <item x="616"/>
        <item x="3589"/>
        <item x="4223"/>
        <item x="4168"/>
        <item x="175"/>
        <item x="4250"/>
        <item x="3127"/>
        <item x="3746"/>
        <item x="219"/>
        <item x="3906"/>
        <item x="3773"/>
        <item x="319"/>
        <item x="4749"/>
        <item x="1196"/>
        <item x="1780"/>
        <item x="1164"/>
        <item x="3456"/>
        <item x="1738"/>
        <item x="784"/>
        <item x="2556"/>
        <item x="4656"/>
        <item x="1457"/>
        <item x="4742"/>
        <item x="1902"/>
        <item x="3627"/>
        <item x="950"/>
        <item x="4660"/>
        <item x="914"/>
        <item x="4398"/>
        <item x="1757"/>
        <item x="1722"/>
        <item x="2795"/>
        <item x="4104"/>
        <item x="692"/>
        <item x="4325"/>
        <item x="526"/>
        <item x="4262"/>
        <item x="4215"/>
        <item x="1379"/>
        <item x="2049"/>
        <item x="3784"/>
        <item x="2281"/>
        <item x="3025"/>
        <item x="4633"/>
        <item x="2688"/>
        <item x="3146"/>
        <item x="650"/>
        <item x="3312"/>
        <item x="1526"/>
        <item x="1527"/>
        <item x="2065"/>
        <item x="2493"/>
        <item x="731"/>
        <item x="3060"/>
        <item x="2948"/>
        <item x="2266"/>
        <item x="3738"/>
        <item x="3340"/>
        <item x="4896"/>
        <item x="1557"/>
        <item x="4827"/>
        <item x="3107"/>
        <item x="1398"/>
        <item x="4724"/>
        <item x="2038"/>
        <item x="86"/>
        <item x="1923"/>
        <item x="2472"/>
        <item x="3475"/>
        <item x="184"/>
        <item x="1535"/>
        <item x="163"/>
        <item x="2061"/>
        <item x="557"/>
        <item x="2327"/>
        <item x="4074"/>
        <item x="1934"/>
        <item x="4350"/>
        <item x="4470"/>
        <item x="4394"/>
        <item x="2689"/>
        <item x="91"/>
        <item x="1201"/>
        <item x="2553"/>
        <item x="1545"/>
        <item x="4620"/>
        <item x="3526"/>
        <item x="953"/>
        <item x="2193"/>
        <item x="525"/>
        <item x="344"/>
        <item x="2727"/>
        <item x="2698"/>
        <item x="2919"/>
        <item x="3634"/>
        <item x="1276"/>
        <item x="4685"/>
        <item x="3041"/>
        <item x="3017"/>
        <item x="2115"/>
        <item x="1514"/>
        <item x="2835"/>
        <item x="1257"/>
        <item x="1275"/>
        <item x="3116"/>
        <item x="2642"/>
        <item x="115"/>
        <item x="1373"/>
        <item x="2306"/>
        <item x="714"/>
        <item x="591"/>
        <item x="1416"/>
        <item x="943"/>
        <item x="303"/>
        <item x="96"/>
        <item x="4375"/>
        <item x="61"/>
        <item x="71"/>
        <item x="494"/>
        <item x="3741"/>
        <item x="150"/>
        <item x="3479"/>
        <item x="3726"/>
        <item x="1755"/>
        <item x="905"/>
        <item x="1300"/>
        <item x="2341"/>
        <item x="68"/>
        <item x="38"/>
        <item x="2885"/>
        <item x="1020"/>
        <item x="946"/>
        <item x="4636"/>
        <item x="1827"/>
        <item x="1980"/>
        <item x="4884"/>
        <item x="4149"/>
        <item x="4630"/>
        <item x="4153"/>
        <item x="2010"/>
        <item x="2804"/>
        <item x="2821"/>
        <item x="3027"/>
        <item x="3148"/>
        <item x="3274"/>
        <item x="3533"/>
        <item x="1645"/>
        <item x="4451"/>
        <item x="3390"/>
        <item x="4679"/>
        <item x="1844"/>
        <item x="606"/>
        <item x="1092"/>
        <item x="2508"/>
        <item x="1628"/>
        <item x="4399"/>
        <item x="605"/>
        <item x="2566"/>
        <item x="896"/>
        <item x="3522"/>
        <item x="3079"/>
        <item x="1317"/>
        <item x="3962"/>
        <item x="3641"/>
        <item x="3938"/>
        <item x="4374"/>
        <item x="363"/>
        <item x="23"/>
        <item x="631"/>
        <item x="4797"/>
        <item x="449"/>
        <item x="4788"/>
        <item x="3307"/>
        <item x="2912"/>
        <item x="654"/>
        <item x="4486"/>
        <item x="1954"/>
        <item x="3137"/>
        <item x="743"/>
        <item x="2574"/>
        <item x="1434"/>
        <item x="1668"/>
        <item x="2853"/>
        <item x="4535"/>
        <item x="1781"/>
        <item x="626"/>
        <item x="2462"/>
        <item x="817"/>
        <item x="3477"/>
        <item x="2086"/>
        <item x="4124"/>
        <item x="4702"/>
        <item x="3498"/>
        <item x="2533"/>
        <item x="4460"/>
        <item x="1255"/>
        <item x="2690"/>
        <item x="2233"/>
        <item x="864"/>
        <item x="2166"/>
        <item x="3838"/>
        <item x="1692"/>
        <item x="4049"/>
        <item x="4718"/>
        <item x="2513"/>
        <item x="3463"/>
        <item x="528"/>
        <item x="2062"/>
        <item x="2444"/>
        <item x="2282"/>
        <item x="1637"/>
        <item x="1139"/>
        <item x="237"/>
        <item x="1764"/>
        <item x="3975"/>
        <item x="1554"/>
        <item x="3020"/>
        <item x="4545"/>
        <item x="3420"/>
        <item x="1065"/>
        <item x="3272"/>
        <item x="2783"/>
        <item x="3347"/>
        <item x="3349"/>
        <item x="2836"/>
        <item x="1045"/>
        <item x="473"/>
        <item x="957"/>
        <item x="3101"/>
        <item x="151"/>
        <item x="2933"/>
        <item x="2419"/>
        <item x="2430"/>
        <item x="1565"/>
        <item x="1864"/>
        <item x="4037"/>
        <item x="4854"/>
        <item x="4900"/>
        <item x="4520"/>
        <item x="1216"/>
        <item x="1566"/>
        <item x="2870"/>
        <item x="1350"/>
        <item x="4581"/>
        <item x="3289"/>
        <item x="4641"/>
        <item x="2481"/>
        <item x="1376"/>
        <item x="4071"/>
        <item x="558"/>
        <item x="810"/>
        <item x="3008"/>
        <item x="3764"/>
        <item x="841"/>
        <item x="2464"/>
        <item x="651"/>
        <item x="2896"/>
        <item x="146"/>
        <item x="2256"/>
        <item x="2672"/>
        <item x="4259"/>
        <item x="3085"/>
        <item x="3344"/>
        <item x="3539"/>
        <item x="427"/>
        <item x="239"/>
        <item x="1900"/>
        <item x="2543"/>
        <item x="3343"/>
        <item x="1477"/>
        <item x="1367"/>
        <item x="4853"/>
        <item x="2630"/>
        <item x="1403"/>
        <item x="2886"/>
        <item x="693"/>
        <item x="288"/>
        <item x="800"/>
        <item x="799"/>
        <item x="4065"/>
        <item x="144"/>
        <item x="2239"/>
        <item x="4297"/>
        <item x="4017"/>
        <item x="4708"/>
        <item x="1933"/>
        <item x="4059"/>
        <item x="2104"/>
        <item x="2770"/>
        <item x="3622"/>
        <item x="1712"/>
        <item x="2162"/>
        <item x="2027"/>
        <item x="243"/>
        <item x="875"/>
        <item x="1895"/>
        <item x="538"/>
        <item x="1251"/>
        <item x="3176"/>
        <item x="2231"/>
        <item x="2167"/>
        <item x="3614"/>
        <item x="4897"/>
        <item x="429"/>
        <item x="1907"/>
        <item x="4359"/>
        <item x="705"/>
        <item x="1838"/>
        <item x="830"/>
        <item x="1018"/>
        <item x="339"/>
        <item x="4669"/>
        <item x="1631"/>
        <item x="3647"/>
        <item x="136"/>
        <item x="902"/>
        <item x="2304"/>
        <item x="3345"/>
        <item x="3189"/>
        <item x="3365"/>
        <item x="2353"/>
        <item x="1327"/>
        <item x="4892"/>
        <item x="1854"/>
        <item x="3732"/>
        <item x="780"/>
        <item x="4635"/>
        <item x="213"/>
        <item x="2837"/>
        <item x="786"/>
        <item x="4523"/>
        <item x="722"/>
        <item x="2957"/>
        <item x="2004"/>
        <item x="2706"/>
        <item x="458"/>
        <item x="323"/>
        <item x="3547"/>
        <item x="359"/>
        <item x="3675"/>
        <item x="4812"/>
        <item x="3309"/>
        <item x="3493"/>
        <item x="4344"/>
        <item x="1212"/>
        <item x="4388"/>
        <item x="2637"/>
        <item x="2987"/>
        <item x="4308"/>
        <item x="3044"/>
        <item x="155"/>
        <item x="1235"/>
        <item x="3666"/>
        <item x="2568"/>
        <item x="2703"/>
        <item x="1490"/>
        <item x="48"/>
        <item x="3096"/>
        <item x="2711"/>
        <item x="223"/>
        <item x="754"/>
        <item x="1288"/>
        <item x="1926"/>
        <item x="4557"/>
        <item x="4623"/>
        <item x="3621"/>
        <item x="4051"/>
        <item x="2683"/>
        <item x="3403"/>
        <item x="844"/>
        <item x="1455"/>
        <item x="1918"/>
        <item x="1754"/>
        <item x="1103"/>
        <item x="2549"/>
        <item x="3751"/>
        <item x="1176"/>
        <item x="2603"/>
        <item x="4901"/>
        <item x="2942"/>
        <item x="3287"/>
        <item x="1375"/>
        <item x="2442"/>
        <item x="3591"/>
        <item x="3849"/>
        <item x="2377"/>
        <item x="751"/>
        <item x="1151"/>
        <item x="4283"/>
        <item x="4594"/>
        <item x="1365"/>
        <item x="1016"/>
        <item x="2758"/>
        <item x="4353"/>
        <item x="738"/>
        <item x="1555"/>
        <item x="4423"/>
        <item x="1903"/>
        <item x="1687"/>
        <item x="4002"/>
        <item x="2565"/>
        <item x="3104"/>
        <item x="563"/>
        <item x="3285"/>
        <item x="2663"/>
        <item x="3681"/>
        <item x="535"/>
        <item x="4498"/>
        <item x="3253"/>
        <item x="944"/>
        <item x="520"/>
        <item x="3241"/>
        <item x="4341"/>
        <item x="3913"/>
        <item x="3421"/>
        <item x="1060"/>
        <item x="3960"/>
        <item x="1533"/>
        <item x="1349"/>
        <item x="2328"/>
        <item x="2748"/>
        <item x="3369"/>
        <item x="3590"/>
        <item x="744"/>
        <item x="4466"/>
        <item x="2254"/>
        <item x="1553"/>
        <item x="4728"/>
        <item x="1891"/>
        <item x="2742"/>
        <item x="956"/>
        <item x="3840"/>
        <item x="177"/>
        <item x="2165"/>
        <item x="212"/>
        <item x="4832"/>
        <item x="4178"/>
        <item x="2640"/>
        <item x="3843"/>
        <item x="874"/>
        <item x="3585"/>
        <item x="2728"/>
        <item x="1763"/>
        <item x="4035"/>
        <item x="667"/>
        <item x="600"/>
        <item x="658"/>
        <item x="1449"/>
        <item x="3930"/>
        <item x="1700"/>
        <item x="3424"/>
        <item x="4826"/>
        <item x="4227"/>
        <item x="4176"/>
        <item x="1779"/>
        <item x="831"/>
        <item x="3383"/>
        <item x="2901"/>
        <item x="4767"/>
        <item x="3816"/>
        <item x="2751"/>
        <item x="580"/>
        <item x="1074"/>
        <item x="399"/>
        <item x="64"/>
        <item x="2547"/>
        <item x="3957"/>
        <item x="2454"/>
        <item x="1909"/>
        <item x="1273"/>
        <item x="3279"/>
        <item x="756"/>
        <item x="2564"/>
        <item x="839"/>
        <item x="3573"/>
        <item x="1152"/>
        <item x="1916"/>
        <item x="3869"/>
        <item x="2592"/>
        <item x="422"/>
        <item x="3903"/>
        <item x="3716"/>
        <item x="3467"/>
        <item x="2908"/>
        <item x="4047"/>
        <item x="2831"/>
        <item x="1747"/>
        <item x="1464"/>
        <item x="3995"/>
        <item x="101"/>
        <item x="3007"/>
        <item x="4377"/>
        <item x="2774"/>
        <item x="3361"/>
        <item x="4347"/>
        <item x="4016"/>
        <item x="3401"/>
        <item x="1359"/>
        <item x="2410"/>
        <item x="1579"/>
        <item x="2106"/>
        <item x="4392"/>
        <item x="456"/>
        <item x="420"/>
        <item x="2335"/>
        <item x="4839"/>
        <item x="4266"/>
        <item x="887"/>
        <item x="4598"/>
        <item x="4689"/>
        <item x="443"/>
        <item x="3560"/>
        <item x="3398"/>
        <item x="1688"/>
        <item x="2375"/>
        <item x="325"/>
        <item x="4189"/>
        <item x="2832"/>
        <item x="3702"/>
        <item x="129"/>
        <item x="2189"/>
        <item x="4286"/>
        <item x="1401"/>
        <item x="1445"/>
        <item x="4193"/>
        <item x="3240"/>
        <item x="1167"/>
        <item x="88"/>
        <item x="2544"/>
        <item x="3354"/>
        <item x="3492"/>
        <item x="1431"/>
        <item x="1193"/>
        <item x="2057"/>
        <item x="4319"/>
        <item x="4201"/>
        <item x="1144"/>
        <item x="4371"/>
        <item x="3657"/>
        <item x="2555"/>
        <item x="747"/>
        <item x="3076"/>
        <item x="3282"/>
        <item x="3225"/>
        <item x="4530"/>
        <item x="1678"/>
        <item x="4653"/>
        <item x="2198"/>
        <item x="1860"/>
        <item x="2872"/>
        <item x="228"/>
        <item x="627"/>
        <item x="1390"/>
        <item x="113"/>
        <item x="2484"/>
        <item x="1465"/>
        <item x="3083"/>
        <item x="3937"/>
        <item x="2367"/>
        <item x="735"/>
        <item x="2554"/>
        <item x="2241"/>
        <item x="2815"/>
        <item x="713"/>
        <item x="1629"/>
        <item x="3752"/>
        <item x="1404"/>
        <item x="3619"/>
        <item x="1422"/>
        <item x="2794"/>
        <item x="3206"/>
        <item x="4597"/>
        <item x="701"/>
        <item x="3483"/>
        <item x="1068"/>
        <item x="6"/>
        <item x="40"/>
        <item x="317"/>
        <item x="4230"/>
        <item x="812"/>
        <item x="3243"/>
        <item x="4072"/>
        <item x="222"/>
        <item x="4681"/>
        <item x="4257"/>
        <item x="3062"/>
        <item x="3462"/>
        <item x="3683"/>
        <item x="2881"/>
        <item x="1647"/>
        <item x="1279"/>
        <item x="688"/>
        <item x="2194"/>
        <item x="106"/>
        <item x="1811"/>
        <item x="2288"/>
        <item x="2840"/>
        <item x="186"/>
        <item x="1630"/>
        <item x="3630"/>
        <item x="1748"/>
        <item x="3747"/>
        <item x="1892"/>
        <item x="1368"/>
        <item x="3894"/>
        <item x="44"/>
        <item x="2548"/>
        <item x="1140"/>
        <item x="178"/>
        <item x="3430"/>
        <item x="4687"/>
        <item x="1066"/>
        <item x="1543"/>
        <item x="210"/>
        <item x="191"/>
        <item x="3103"/>
        <item x="593"/>
        <item x="4793"/>
        <item x="126"/>
        <item x="4113"/>
        <item x="2230"/>
        <item x="2088"/>
        <item x="4151"/>
        <item x="2861"/>
        <item x="1015"/>
        <item x="3269"/>
        <item x="4115"/>
        <item x="2250"/>
        <item x="523"/>
        <item x="2018"/>
        <item x="511"/>
        <item x="1737"/>
        <item x="4643"/>
        <item x="1711"/>
        <item x="306"/>
        <item x="1100"/>
        <item x="620"/>
        <item x="4328"/>
        <item x="3782"/>
        <item x="2697"/>
        <item x="1782"/>
        <item x="299"/>
        <item x="1776"/>
        <item x="4661"/>
        <item x="2997"/>
        <item x="1751"/>
        <item x="1331"/>
        <item x="3542"/>
        <item x="2132"/>
        <item x="298"/>
        <item x="2852"/>
        <item x="2526"/>
        <item x="4247"/>
        <item x="4414"/>
        <item x="3617"/>
        <item x="2284"/>
        <item x="3642"/>
        <item x="4471"/>
        <item x="3014"/>
        <item x="3743"/>
        <item x="3759"/>
        <item x="4753"/>
        <item x="1270"/>
        <item x="4383"/>
        <item x="3278"/>
        <item x="2437"/>
        <item x="1385"/>
        <item x="4847"/>
        <item x="2882"/>
        <item x="2867"/>
        <item x="4165"/>
        <item x="3140"/>
        <item x="628"/>
        <item x="966"/>
        <item x="2929"/>
        <item x="607"/>
        <item x="884"/>
        <item x="2025"/>
        <item x="888"/>
        <item x="2182"/>
        <item x="379"/>
        <item x="3422"/>
        <item x="4774"/>
        <item x="1265"/>
        <item x="336"/>
        <item x="1612"/>
        <item x="410"/>
        <item x="3669"/>
        <item x="2352"/>
        <item x="1131"/>
        <item x="3551"/>
        <item x="3892"/>
        <item x="1129"/>
        <item x="3696"/>
        <item x="3616"/>
        <item x="2273"/>
        <item x="1409"/>
        <item x="1130"/>
        <item x="4118"/>
        <item x="52"/>
        <item x="1760"/>
        <item x="4551"/>
        <item x="3332"/>
        <item x="2921"/>
        <item x="2287"/>
        <item x="1879"/>
        <item x="3348"/>
        <item x="1530"/>
        <item x="4821"/>
        <item x="2460"/>
        <item x="3645"/>
        <item x="4870"/>
        <item x="1578"/>
        <item x="4291"/>
        <item x="1290"/>
        <item x="2450"/>
        <item x="1242"/>
        <item x="1466"/>
        <item x="3941"/>
        <item x="2817"/>
        <item x="110"/>
        <item x="1024"/>
        <item x="537"/>
        <item x="3092"/>
        <item x="2657"/>
        <item x="3414"/>
        <item x="4273"/>
        <item x="2294"/>
        <item x="188"/>
        <item x="4668"/>
        <item x="652"/>
        <item x="3600"/>
        <item x="384"/>
        <item x="141"/>
        <item x="2148"/>
        <item x="4376"/>
        <item x="3451"/>
        <item x="813"/>
        <item x="2631"/>
        <item x="2246"/>
        <item x="1898"/>
        <item x="3890"/>
        <item x="4810"/>
        <item x="2247"/>
        <item x="360"/>
        <item x="1054"/>
        <item x="2181"/>
        <item x="1187"/>
        <item x="2518"/>
        <item x="4861"/>
        <item x="1256"/>
        <item x="755"/>
        <item x="2066"/>
        <item x="3200"/>
        <item x="858"/>
        <item x="4697"/>
        <item x="4161"/>
        <item x="3555"/>
        <item x="3373"/>
        <item x="1718"/>
        <item x="2314"/>
        <item x="4612"/>
        <item x="271"/>
        <item x="428"/>
        <item x="3963"/>
        <item x="3052"/>
        <item x="3386"/>
        <item x="3118"/>
        <item x="357"/>
        <item x="1085"/>
        <item x="4692"/>
        <item x="3164"/>
        <item x="4604"/>
        <item x="4117"/>
        <item x="2787"/>
        <item x="1857"/>
        <item x="2522"/>
        <item x="3924"/>
        <item x="2457"/>
        <item x="240"/>
        <item x="1960"/>
        <item x="1985"/>
        <item x="4207"/>
        <item x="1536"/>
        <item x="1135"/>
        <item x="2016"/>
        <item x="3901"/>
        <item x="3115"/>
        <item x="4464"/>
        <item x="1862"/>
        <item x="4670"/>
        <item x="2299"/>
        <item x="508"/>
        <item x="367"/>
        <item x="3427"/>
        <item x="1611"/>
        <item x="2385"/>
        <item x="1752"/>
        <item x="545"/>
        <item x="1501"/>
        <item x="4332"/>
        <item x="3835"/>
        <item x="3331"/>
        <item x="173"/>
        <item x="2911"/>
        <item x="157"/>
        <item x="4439"/>
        <item x="2300"/>
        <item x="2398"/>
        <item x="4699"/>
        <item x="2932"/>
        <item x="2878"/>
        <item x="79"/>
        <item x="1493"/>
        <item x="4018"/>
        <item x="3355"/>
        <item x="2342"/>
        <item x="2126"/>
        <item x="2391"/>
        <item x="1868"/>
        <item x="4646"/>
        <item x="2509"/>
        <item x="4391"/>
        <item x="2660"/>
        <item x="2380"/>
        <item x="3608"/>
        <item x="4140"/>
        <item x="125"/>
        <item x="182"/>
        <item x="881"/>
        <item x="4157"/>
        <item x="3723"/>
        <item x="4765"/>
        <item x="1614"/>
        <item x="504"/>
        <item x="670"/>
        <item x="158"/>
        <item x="4000"/>
        <item x="1859"/>
        <item x="2810"/>
        <item x="2993"/>
        <item x="1984"/>
        <item x="1798"/>
        <item x="509"/>
        <item x="2364"/>
        <item x="388"/>
        <item x="3162"/>
        <item x="2080"/>
        <item x="2620"/>
        <item x="480"/>
        <item x="60"/>
        <item x="4379"/>
        <item x="3270"/>
        <item x="3557"/>
        <item x="724"/>
        <item x="408"/>
        <item x="893"/>
        <item x="218"/>
        <item x="3208"/>
        <item x="4508"/>
        <item x="3435"/>
        <item x="1639"/>
        <item x="2871"/>
        <item x="3689"/>
        <item x="4198"/>
        <item x="3447"/>
        <item x="2699"/>
        <item x="4454"/>
        <item x="204"/>
        <item x="463"/>
        <item x="2855"/>
        <item x="4295"/>
        <item x="4150"/>
        <item x="3418"/>
        <item x="3324"/>
        <item x="3259"/>
        <item x="3720"/>
        <item x="4238"/>
        <item x="1650"/>
        <item x="3939"/>
        <item x="4175"/>
        <item x="4228"/>
        <item x="513"/>
        <item x="3556"/>
        <item x="773"/>
        <item x="1869"/>
        <item x="2634"/>
        <item x="4846"/>
        <item x="4558"/>
        <item x="4122"/>
        <item x="2047"/>
        <item x="27"/>
        <item x="3947"/>
        <item x="3973"/>
        <item x="849"/>
        <item x="1690"/>
        <item x="1169"/>
        <item x="3003"/>
        <item x="1890"/>
        <item x="1622"/>
        <item x="4156"/>
        <item x="3232"/>
        <item x="1785"/>
        <item x="2185"/>
        <item x="758"/>
        <item x="3873"/>
        <item x="4680"/>
        <item x="2724"/>
        <item x="1924"/>
        <item x="3888"/>
        <item x="901"/>
        <item x="707"/>
        <item x="3325"/>
        <item x="221"/>
        <item x="3362"/>
        <item x="3188"/>
        <item x="1062"/>
        <item x="690"/>
        <item x="2075"/>
        <item x="3867"/>
        <item x="565"/>
        <item x="1698"/>
        <item x="622"/>
        <item x="407"/>
        <item x="2041"/>
        <item x="3727"/>
        <item x="4848"/>
        <item x="742"/>
        <item x="2077"/>
        <item x="572"/>
        <item x="3971"/>
        <item x="2420"/>
        <item x="3611"/>
        <item x="506"/>
        <item x="3169"/>
        <item x="997"/>
        <item x="2195"/>
        <item x="808"/>
        <item x="4903"/>
        <item x="3774"/>
        <item x="2251"/>
        <item x="4673"/>
        <item x="1665"/>
        <item x="2208"/>
        <item x="1978"/>
        <item x="1925"/>
        <item x="2524"/>
        <item x="2180"/>
        <item x="385"/>
        <item x="476"/>
        <item x="4820"/>
        <item x="2945"/>
        <item x="1314"/>
        <item x="2123"/>
        <item x="3679"/>
        <item x="2971"/>
        <item x="459"/>
        <item x="4158"/>
        <item x="3943"/>
        <item x="1438"/>
        <item x="3055"/>
        <item x="2360"/>
        <item x="1047"/>
        <item x="1788"/>
        <item x="82"/>
        <item x="4434"/>
        <item x="259"/>
        <item x="4482"/>
        <item x="4891"/>
        <item x="2702"/>
        <item x="1802"/>
        <item x="729"/>
        <item x="2448"/>
        <item x="3125"/>
        <item x="2220"/>
        <item x="3834"/>
        <item x="2425"/>
        <item x="1180"/>
        <item x="1652"/>
        <item x="762"/>
        <item x="123"/>
        <item x="1843"/>
        <item x="2486"/>
        <item x="39"/>
        <item x="3854"/>
        <item x="1450"/>
        <item x="2625"/>
        <item x="2473"/>
        <item x="2253"/>
        <item x="4550"/>
        <item x="1328"/>
        <item x="4079"/>
        <item x="1828"/>
        <item x="438"/>
        <item x="553"/>
        <item x="2611"/>
        <item x="393"/>
        <item x="3405"/>
        <item x="3972"/>
        <item x="1293"/>
        <item x="4224"/>
        <item x="2643"/>
        <item x="1964"/>
        <item x="1772"/>
        <item x="4917"/>
        <item x="586"/>
        <item x="1426"/>
        <item x="3649"/>
        <item x="1546"/>
        <item x="1497"/>
        <item x="4902"/>
        <item x="3919"/>
        <item x="1666"/>
        <item x="3548"/>
        <item x="430"/>
        <item x="4785"/>
        <item x="3408"/>
        <item x="835"/>
        <item x="1961"/>
        <item x="4840"/>
        <item x="2520"/>
        <item x="3251"/>
        <item x="684"/>
        <item x="4874"/>
        <item x="4103"/>
        <item x="514"/>
        <item x="1067"/>
        <item x="1055"/>
        <item x="1472"/>
        <item x="1705"/>
        <item x="3872"/>
        <item x="3855"/>
        <item x="1361"/>
        <item x="4875"/>
        <item x="779"/>
        <item x="2171"/>
        <item x="4921"/>
        <item x="50"/>
        <item x="3664"/>
        <item x="3770"/>
        <item x="533"/>
        <item x="3655"/>
        <item x="3238"/>
        <item x="3128"/>
        <item x="405"/>
        <item x="2490"/>
        <item x="555"/>
        <item x="4791"/>
        <item x="1636"/>
        <item x="4863"/>
        <item x="1922"/>
        <item x="3342"/>
        <item x="2102"/>
        <item x="421"/>
        <item x="804"/>
        <item x="763"/>
        <item x="3155"/>
        <item x="2035"/>
        <item x="1188"/>
        <item x="1"/>
        <item x="3105"/>
        <item x="3910"/>
        <item x="761"/>
        <item x="2909"/>
        <item x="1120"/>
        <item x="3729"/>
        <item x="286"/>
        <item x="2415"/>
        <item x="2271"/>
        <item x="2137"/>
        <item x="2130"/>
        <item x="976"/>
        <item x="3372"/>
        <item x="666"/>
        <item x="2505"/>
        <item x="490"/>
        <item x="3808"/>
        <item x="4898"/>
        <item x="3136"/>
        <item x="1089"/>
        <item x="3170"/>
        <item x="1767"/>
        <item x="873"/>
        <item x="2206"/>
        <item x="1326"/>
        <item x="542"/>
        <item x="3117"/>
        <item x="4422"/>
        <item x="3631"/>
        <item x="4893"/>
        <item x="1950"/>
        <item x="3571"/>
        <item x="4639"/>
        <item x="2465"/>
        <item x="4242"/>
        <item x="1262"/>
        <item x="1744"/>
        <item x="3220"/>
        <item x="489"/>
        <item x="3777"/>
        <item x="635"/>
        <item x="4208"/>
        <item x="3178"/>
        <item x="238"/>
        <item x="4828"/>
        <item x="3691"/>
        <item x="235"/>
        <item x="502"/>
        <item x="4529"/>
        <item x="911"/>
        <item x="4703"/>
        <item x="3785"/>
        <item x="174"/>
        <item x="2793"/>
        <item x="3778"/>
        <item x="2272"/>
        <item x="4080"/>
        <item x="2461"/>
        <item x="1970"/>
        <item x="657"/>
        <item x="4030"/>
        <item x="596"/>
        <item x="1634"/>
        <item x="3464"/>
        <item x="1616"/>
        <item x="948"/>
        <item x="1043"/>
        <item x="4183"/>
        <item x="31"/>
        <item x="2129"/>
        <item x="4578"/>
        <item x="4015"/>
        <item x="1728"/>
        <item x="1589"/>
        <item x="726"/>
        <item x="1638"/>
        <item x="4796"/>
        <item x="1304"/>
        <item x="137"/>
        <item x="2649"/>
        <item x="3668"/>
        <item x="3341"/>
        <item x="3577"/>
        <item x="2365"/>
        <item x="3581"/>
        <item x="4254"/>
        <item x="4576"/>
        <item x="215"/>
        <item x="354"/>
        <item x="677"/>
        <item x="760"/>
        <item x="2399"/>
        <item x="4761"/>
        <item x="4582"/>
        <item x="3877"/>
        <item x="372"/>
        <item x="2338"/>
        <item x="3294"/>
        <item x="4204"/>
        <item x="1137"/>
        <item x="1836"/>
        <item x="1930"/>
        <item x="1769"/>
        <item x="3646"/>
        <item x="2223"/>
        <item x="2874"/>
        <item x="1042"/>
        <item x="1499"/>
        <item x="2744"/>
        <item x="1246"/>
        <item x="664"/>
        <item x="560"/>
        <item x="2362"/>
        <item x="4"/>
        <item x="1158"/>
        <item x="2063"/>
        <item x="4705"/>
        <item x="4549"/>
        <item x="4446"/>
        <item x="2308"/>
        <item x="419"/>
        <item x="1338"/>
        <item x="365"/>
        <item x="3281"/>
        <item x="4754"/>
        <item x="395"/>
        <item x="4489"/>
        <item x="95"/>
        <item x="1962"/>
        <item x="4050"/>
        <item x="24"/>
        <item x="3541"/>
        <item x="2264"/>
        <item x="2791"/>
        <item x="954"/>
        <item x="2627"/>
        <item x="214"/>
        <item x="3329"/>
        <item x="1105"/>
        <item x="2656"/>
        <item x="1019"/>
        <item x="2405"/>
        <item x="589"/>
        <item x="3316"/>
        <item x="2529"/>
        <item x="686"/>
        <item x="3893"/>
        <item x="4555"/>
        <item x="4918"/>
        <item x="2156"/>
        <item x="2563"/>
        <item x="1299"/>
        <item x="166"/>
        <item x="406"/>
        <item x="1462"/>
        <item x="400"/>
        <item x="4562"/>
        <item x="3707"/>
        <item x="4362"/>
        <item x="3234"/>
        <item x="559"/>
        <item x="2976"/>
        <item x="4904"/>
        <item x="2856"/>
        <item x="562"/>
        <item x="3964"/>
        <item x="3661"/>
        <item x="1915"/>
        <item x="2187"/>
        <item x="1810"/>
        <item x="263"/>
        <item x="497"/>
        <item x="3029"/>
        <item x="4126"/>
        <item x="2145"/>
        <item x="3123"/>
        <item x="3397"/>
        <item x="4425"/>
        <item x="4052"/>
        <item x="4642"/>
        <item x="310"/>
        <item x="2838"/>
        <item x="3693"/>
        <item x="426"/>
        <item x="3495"/>
        <item x="352"/>
        <item x="4125"/>
        <item x="3966"/>
        <item x="4401"/>
        <item x="4638"/>
        <item x="4864"/>
        <item x="1928"/>
        <item x="1623"/>
        <item x="2382"/>
        <item x="478"/>
        <item x="1334"/>
        <item x="2714"/>
        <item x="2635"/>
        <item x="84"/>
        <item x="3078"/>
        <item x="2258"/>
        <item x="1617"/>
        <item x="4603"/>
        <item x="4682"/>
        <item x="1853"/>
        <item x="3739"/>
        <item x="1346"/>
        <item x="4783"/>
        <item x="4385"/>
        <item x="1957"/>
        <item x="3135"/>
        <item x="1148"/>
        <item x="1953"/>
        <item x="971"/>
        <item x="1605"/>
        <item x="1676"/>
        <item x="2949"/>
        <item x="3304"/>
        <item x="3090"/>
        <item x="4916"/>
        <item x="3767"/>
        <item x="4343"/>
        <item x="2550"/>
        <item x="2354"/>
        <item x="390"/>
        <item x="3024"/>
        <item x="3100"/>
        <item x="619"/>
        <item x="4554"/>
        <item x="3749"/>
        <item x="2841"/>
        <item x="1348"/>
        <item x="3283"/>
        <item x="1714"/>
        <item x="787"/>
        <item x="4751"/>
        <item x="4862"/>
        <item x="1308"/>
        <item x="3912"/>
        <item x="3977"/>
        <item x="4782"/>
        <item x="3780"/>
        <item x="2370"/>
        <item x="2161"/>
        <item x="13"/>
        <item x="521"/>
        <item x="991"/>
        <item x="3653"/>
        <item x="1241"/>
        <item x="4006"/>
        <item x="199"/>
        <item x="1274"/>
        <item x="2720"/>
        <item x="4747"/>
        <item x="2446"/>
        <item x="2347"/>
        <item x="320"/>
        <item x="4060"/>
        <item x="621"/>
        <item x="2200"/>
        <item x="3537"/>
        <item x="2263"/>
        <item x="3202"/>
        <item x="3583"/>
        <item x="1408"/>
        <item x="1528"/>
        <item x="3981"/>
        <item x="639"/>
        <item x="727"/>
        <item x="3213"/>
        <item x="1307"/>
        <item x="2202"/>
        <item x="1981"/>
        <item x="4713"/>
        <item x="1556"/>
        <item x="4568"/>
        <item x="3538"/>
        <item x="1377"/>
        <item x="1333"/>
        <item x="3787"/>
        <item x="2140"/>
        <item x="425"/>
        <item x="866"/>
        <item x="25"/>
        <item x="2428"/>
        <item x="4067"/>
        <item x="3056"/>
        <item x="1162"/>
        <item x="4087"/>
        <item x="578"/>
        <item x="2523"/>
        <item x="711"/>
        <item x="3261"/>
        <item x="3862"/>
        <item x="2349"/>
        <item x="2082"/>
        <item x="2032"/>
        <item x="2458"/>
        <item x="2844"/>
        <item x="2459"/>
        <item x="3371"/>
        <item x="1476"/>
        <item x="3360"/>
        <item x="4429"/>
        <item x="161"/>
        <item x="284"/>
        <item x="3687"/>
        <item x="1096"/>
        <item x="964"/>
        <item x="2043"/>
        <item x="2792"/>
        <item x="4546"/>
        <item x="2343"/>
        <item x="3944"/>
        <item x="2924"/>
        <item x="4566"/>
        <item x="1771"/>
        <item x="66"/>
        <item x="4750"/>
        <item x="3686"/>
        <item x="99"/>
        <item x="4769"/>
        <item x="378"/>
        <item x="1128"/>
        <item x="2876"/>
        <item x="4137"/>
        <item x="3302"/>
        <item x="3484"/>
        <item x="4720"/>
        <item x="2762"/>
        <item x="2204"/>
        <item x="4105"/>
        <item x="1239"/>
        <item x="853"/>
        <item x="2393"/>
        <item x="30"/>
        <item x="1108"/>
        <item x="4807"/>
        <item x="330"/>
        <item x="2475"/>
        <item x="4237"/>
        <item x="1887"/>
        <item x="3740"/>
        <item x="276"/>
        <item x="4511"/>
        <item x="2721"/>
        <item x="2177"/>
        <item x="4579"/>
        <item x="266"/>
        <item x="4041"/>
        <item x="232"/>
        <item x="3126"/>
        <item x="211"/>
        <item x="2615"/>
        <item x="3566"/>
        <item x="1716"/>
        <item x="2710"/>
        <item x="1846"/>
        <item x="3502"/>
        <item x="2571"/>
        <item x="3580"/>
        <item x="2192"/>
        <item x="1609"/>
        <item x="2368"/>
        <item x="1036"/>
        <item x="3524"/>
        <item x="3959"/>
        <item x="4181"/>
        <item x="1989"/>
        <item x="376"/>
        <item x="1097"/>
        <item x="3660"/>
        <item x="4366"/>
        <item x="4920"/>
        <item x="3356"/>
        <item x="311"/>
        <item x="1518"/>
        <item x="3546"/>
        <item x="2606"/>
        <item x="382"/>
        <item x="2252"/>
        <item x="3173"/>
        <item x="4269"/>
        <item x="2560"/>
        <item x="4180"/>
        <item x="92"/>
        <item x="1410"/>
        <item x="3950"/>
        <item x="816"/>
        <item x="1341"/>
        <item x="262"/>
        <item x="2146"/>
        <item x="236"/>
        <item x="2639"/>
        <item x="697"/>
        <item x="1941"/>
        <item x="4474"/>
        <item x="977"/>
        <item x="2920"/>
        <item x="570"/>
        <item x="3185"/>
        <item x="1592"/>
        <item x="3288"/>
        <item x="1287"/>
        <item x="362"/>
        <item x="4915"/>
        <item x="1824"/>
        <item x="4061"/>
        <item x="646"/>
        <item x="2051"/>
        <item x="981"/>
        <item x="4102"/>
        <item x="916"/>
        <item x="3969"/>
        <item x="80"/>
        <item x="2998"/>
        <item x="1075"/>
        <item x="1830"/>
        <item x="1033"/>
        <item x="4542"/>
        <item x="431"/>
        <item x="1000"/>
        <item x="3179"/>
        <item x="634"/>
        <item x="4255"/>
        <item x="1297"/>
        <item x="4029"/>
        <item x="1480"/>
        <item x="3377"/>
        <item x="611"/>
        <item x="2558"/>
        <item x="1793"/>
        <item x="2769"/>
        <item x="3895"/>
        <item x="1264"/>
        <item x="3425"/>
        <item x="3824"/>
        <item x="4336"/>
        <item x="3654"/>
        <item x="1840"/>
        <item x="2215"/>
        <item x="710"/>
        <item x="1646"/>
        <item x="2798"/>
        <item x="3075"/>
        <item x="4174"/>
        <item x="1604"/>
        <item x="3812"/>
        <item x="3887"/>
        <item x="845"/>
        <item x="135"/>
        <item x="53"/>
        <item x="721"/>
        <item x="3953"/>
        <item x="1988"/>
        <item x="119"/>
        <item x="1800"/>
        <item x="3459"/>
        <item x="4625"/>
        <item x="2008"/>
        <item x="3889"/>
        <item x="2614"/>
        <item x="2110"/>
        <item x="1417"/>
        <item x="2980"/>
        <item x="4741"/>
        <item x="2857"/>
        <item x="4445"/>
        <item x="3080"/>
        <item x="1121"/>
        <item x="318"/>
        <item x="4608"/>
        <item x="2133"/>
        <item x="2799"/>
        <item x="3676"/>
        <item x="4045"/>
        <item x="19"/>
        <item x="1345"/>
        <item x="4396"/>
        <item x="4667"/>
        <item x="2718"/>
        <item x="534"/>
        <item x="1725"/>
        <item x="245"/>
        <item x="2340"/>
        <item x="507"/>
        <item x="4711"/>
        <item x="1384"/>
        <item x="3857"/>
        <item x="753"/>
        <item x="169"/>
        <item x="2834"/>
        <item x="3945"/>
        <item x="67"/>
        <item x="11"/>
        <item x="4139"/>
        <item x="2207"/>
        <item x="1113"/>
        <item x="2995"/>
        <item x="4462"/>
        <item x="4715"/>
        <item x="3904"/>
        <item x="4110"/>
        <item x="669"/>
        <item x="3690"/>
        <item x="1945"/>
        <item x="4686"/>
        <item x="2213"/>
        <item x="3798"/>
        <item x="4004"/>
        <item x="343"/>
        <item x="3499"/>
        <item x="1298"/>
        <item x="741"/>
        <item x="3665"/>
        <item x="2172"/>
        <item x="2661"/>
        <item x="1621"/>
        <item x="3697"/>
        <item x="1211"/>
        <item x="4404"/>
        <item x="4778"/>
        <item x="4081"/>
        <item x="3765"/>
        <item x="1133"/>
        <item x="4304"/>
        <item x="4042"/>
        <item x="4817"/>
        <item x="945"/>
        <item x="1746"/>
        <item x="2013"/>
        <item x="3512"/>
        <item x="3685"/>
        <item x="2972"/>
        <item x="883"/>
        <item x="522"/>
        <item x="1025"/>
        <item x="3258"/>
        <item x="4219"/>
        <item x="293"/>
        <item x="34"/>
        <item x="3457"/>
        <item x="2441"/>
        <item x="4786"/>
        <item x="3491"/>
        <item x="1382"/>
        <item x="1439"/>
        <item x="1258"/>
        <item x="638"/>
        <item x="900"/>
        <item x="3196"/>
        <item x="94"/>
        <item x="1005"/>
        <item x="990"/>
        <item x="3330"/>
        <item x="3998"/>
        <item x="2816"/>
        <item x="3290"/>
        <item x="2147"/>
        <item x="1420"/>
        <item x="524"/>
        <item x="2897"/>
        <item x="2877"/>
        <item x="2650"/>
        <item x="4091"/>
        <item x="993"/>
        <item x="2725"/>
        <item x="279"/>
        <item x="4305"/>
        <item x="4233"/>
        <item x="2960"/>
        <item x="3237"/>
        <item x="2578"/>
        <item x="2613"/>
        <item x="2221"/>
        <item x="3187"/>
        <item x="4677"/>
        <item x="661"/>
        <item x="342"/>
        <item x="2485"/>
        <item x="4258"/>
        <item x="2938"/>
        <item x="3352"/>
        <item x="4740"/>
        <item x="1252"/>
        <item x="2141"/>
        <item x="4356"/>
        <item x="1205"/>
        <item x="75"/>
        <item x="4185"/>
        <item x="3578"/>
        <item x="4435"/>
        <item x="806"/>
        <item x="947"/>
        <item x="4164"/>
        <item x="967"/>
        <item x="3468"/>
        <item x="516"/>
        <item x="4564"/>
        <item x="4541"/>
        <item x="2120"/>
        <item x="1084"/>
        <item x="180"/>
        <item x="202"/>
        <item x="4607"/>
        <item x="3021"/>
        <item x="2517"/>
        <item x="3249"/>
        <item x="3252"/>
        <item x="2478"/>
        <item x="2296"/>
        <item x="2384"/>
        <item x="4671"/>
        <item x="1203"/>
        <item x="992"/>
        <item x="3404"/>
        <item x="4172"/>
        <item x="308"/>
        <item x="2626"/>
        <item x="21"/>
        <item x="1516"/>
        <item x="960"/>
        <item x="4148"/>
        <item x="2309"/>
        <item x="598"/>
        <item x="4039"/>
        <item x="389"/>
        <item x="483"/>
        <item x="4524"/>
        <item x="1877"/>
        <item x="4026"/>
        <item x="907"/>
        <item x="4184"/>
        <item x="3793"/>
        <item x="1115"/>
        <item x="1571"/>
        <item x="3725"/>
        <item x="1022"/>
        <item x="1484"/>
        <item x="1337"/>
        <item x="1549"/>
        <item x="4090"/>
        <item x="3613"/>
        <item x="1278"/>
        <item x="1852"/>
        <item x="1470"/>
        <item x="1939"/>
        <item x="3845"/>
        <item x="1657"/>
        <item x="117"/>
        <item x="4093"/>
        <item x="418"/>
        <item x="203"/>
        <item x="302"/>
        <item x="4465"/>
        <item x="1448"/>
        <item x="895"/>
        <item x="2163"/>
        <item x="3009"/>
        <item x="278"/>
        <item x="3775"/>
        <item x="2764"/>
        <item x="1281"/>
        <item x="145"/>
        <item x="1031"/>
        <item x="3084"/>
        <item x="1309"/>
        <item x="4693"/>
        <item x="3731"/>
        <item x="4764"/>
        <item x="4640"/>
        <item x="720"/>
        <item x="3254"/>
        <item x="4406"/>
        <item x="2880"/>
        <item x="633"/>
        <item x="2248"/>
        <item x="2866"/>
        <item x="531"/>
        <item x="1487"/>
        <item x="3705"/>
        <item x="2648"/>
        <item x="3535"/>
        <item x="1966"/>
        <item x="1851"/>
        <item x="2363"/>
        <item x="932"/>
        <item x="2134"/>
        <item x="3275"/>
        <item x="2898"/>
        <item x="2797"/>
        <item x="265"/>
        <item x="2716"/>
        <item x="2979"/>
        <item x="4027"/>
        <item x="2495"/>
        <item x="2664"/>
        <item x="394"/>
        <item x="4851"/>
        <item x="1913"/>
        <item x="1166"/>
        <item x="1672"/>
        <item x="2952"/>
        <item x="4795"/>
        <item x="1603"/>
        <item x="1643"/>
        <item x="3766"/>
        <item x="1076"/>
        <item x="1223"/>
        <item x="772"/>
        <item x="3936"/>
        <item x="1277"/>
        <item x="899"/>
        <item x="3769"/>
        <item x="3305"/>
        <item x="2044"/>
        <item x="2090"/>
        <item x="3831"/>
        <item x="3476"/>
        <item x="296"/>
        <item x="3134"/>
        <item x="2357"/>
        <item x="1901"/>
        <item x="97"/>
        <item x="2913"/>
        <item x="16"/>
        <item x="3165"/>
        <item x="2235"/>
        <item x="662"/>
        <item x="1881"/>
        <item x="4317"/>
        <item x="3639"/>
        <item x="4572"/>
        <item x="3440"/>
        <item x="3061"/>
        <item x="4721"/>
        <item x="3553"/>
        <item x="4748"/>
        <item x="917"/>
        <item x="821"/>
        <item x="2214"/>
        <item x="1039"/>
        <item x="3047"/>
        <item x="4265"/>
        <item x="4650"/>
        <item x="4492"/>
        <item x="3880"/>
        <item x="4845"/>
        <item x="1873"/>
        <item x="4665"/>
        <item x="4082"/>
        <item x="364"/>
        <item x="253"/>
        <item x="1452"/>
        <item x="1021"/>
        <item x="1371"/>
        <item x="974"/>
        <item x="4412"/>
        <item x="1280"/>
        <item x="3466"/>
        <item x="448"/>
        <item x="1419"/>
        <item x="3597"/>
        <item x="1795"/>
        <item x="3439"/>
        <item x="3990"/>
        <item x="398"/>
        <item x="623"/>
        <item x="4507"/>
        <item x="636"/>
        <item x="1453"/>
        <item x="2329"/>
        <item x="4206"/>
        <item x="2107"/>
        <item x="2780"/>
        <item x="2324"/>
        <item x="4043"/>
        <item x="1391"/>
        <item x="942"/>
        <item x="1177"/>
        <item x="1208"/>
        <item x="2576"/>
        <item x="2600"/>
        <item x="629"/>
        <item x="3156"/>
        <item x="2376"/>
        <item x="890"/>
        <item x="3301"/>
        <item x="3045"/>
        <item x="3506"/>
        <item x="35"/>
        <item x="4829"/>
        <item x="37"/>
        <item x="3879"/>
        <item x="852"/>
        <item x="3217"/>
        <item x="2884"/>
        <item x="4352"/>
        <item x="1119"/>
        <item x="4092"/>
        <item x="3625"/>
        <item x="2403"/>
        <item x="1378"/>
        <item x="519"/>
        <item x="1998"/>
        <item x="2682"/>
        <item x="1101"/>
        <item x="130"/>
        <item x="2078"/>
        <item x="834"/>
        <item x="1804"/>
        <item x="3264"/>
        <item x="2416"/>
        <item x="4271"/>
        <item x="12"/>
        <item x="2954"/>
        <item x="1332"/>
        <item x="1990"/>
        <item x="1134"/>
        <item x="848"/>
        <item x="1837"/>
        <item x="2387"/>
        <item x="510"/>
        <item x="4725"/>
        <item x="1600"/>
        <item x="2712"/>
        <item x="375"/>
        <item x="4014"/>
        <item x="2261"/>
        <item x="1660"/>
        <item x="2321"/>
        <item x="965"/>
        <item x="4756"/>
        <item x="4020"/>
        <item x="601"/>
        <item x="3830"/>
        <item x="3154"/>
        <item x="3067"/>
        <item x="2072"/>
        <item x="147"/>
        <item x="333"/>
        <item x="1773"/>
        <item x="2466"/>
        <item x="397"/>
        <item x="1624"/>
        <item x="1975"/>
        <item x="3865"/>
        <item x="2"/>
        <item x="968"/>
        <item x="2224"/>
        <item x="229"/>
        <item x="2211"/>
        <item x="3708"/>
        <item x="3471"/>
        <item x="347"/>
        <item x="842"/>
        <item x="2348"/>
        <item x="2006"/>
        <item x="644"/>
        <item x="2918"/>
        <item x="3033"/>
        <item x="4437"/>
        <item x="3042"/>
        <item x="796"/>
        <item x="3603"/>
        <item x="3273"/>
        <item x="345"/>
        <item x="3192"/>
        <item x="2659"/>
        <item x="2717"/>
        <item x="2157"/>
        <item x="3306"/>
        <item x="2326"/>
        <item x="3698"/>
        <item x="2033"/>
        <item x="2519"/>
        <item x="4085"/>
        <item x="258"/>
        <item x="3532"/>
        <item x="1456"/>
        <item x="2977"/>
        <item x="2752"/>
        <item x="4831"/>
        <item x="918"/>
        <item x="58"/>
        <item x="2705"/>
        <item x="702"/>
        <item x="4012"/>
        <item x="3488"/>
        <item x="2784"/>
        <item x="2030"/>
        <item x="4142"/>
        <item x="2760"/>
        <item x="2286"/>
        <item x="387"/>
        <item x="1976"/>
        <item x="1847"/>
        <item x="1806"/>
        <item x="4395"/>
        <item x="1525"/>
        <item x="1547"/>
        <item x="3626"/>
        <item x="1263"/>
        <item x="2521"/>
        <item x="4070"/>
        <item x="501"/>
        <item x="1230"/>
        <item x="889"/>
        <item x="4784"/>
        <item x="3850"/>
        <item x="579"/>
        <item x="2990"/>
        <item x="1056"/>
        <item x="4389"/>
        <item x="1117"/>
        <item x="3318"/>
        <item x="871"/>
        <item x="4499"/>
        <item x="4475"/>
        <item x="1674"/>
        <item x="4503"/>
        <item x="4899"/>
        <item x="2746"/>
        <item x="655"/>
        <item x="2503"/>
        <item x="3632"/>
        <item x="2322"/>
        <item x="3680"/>
        <item x="2311"/>
        <item x="4109"/>
        <item x="748"/>
        <item x="3322"/>
        <item x="1524"/>
        <item x="4856"/>
        <item x="3525"/>
        <item x="3392"/>
        <item x="3102"/>
        <item x="122"/>
        <item x="2099"/>
        <item x="505"/>
        <item x="2584"/>
        <item x="1787"/>
        <item x="2602"/>
        <item x="496"/>
        <item x="2009"/>
        <item x="3992"/>
        <item x="1626"/>
        <item x="847"/>
        <item x="2999"/>
        <item x="4876"/>
        <item x="2121"/>
        <item x="404"/>
        <item x="3382"/>
        <item x="1145"/>
        <item x="2100"/>
        <item x="1948"/>
        <item x="282"/>
        <item x="3803"/>
        <item x="4160"/>
        <item x="4040"/>
        <item x="1442"/>
        <item x="4251"/>
        <item x="4732"/>
        <item x="958"/>
        <item x="3983"/>
        <item x="4880"/>
        <item x="3837"/>
        <item x="9"/>
        <item x="3832"/>
        <item x="1013"/>
        <item x="937"/>
        <item x="1584"/>
        <item x="4583"/>
        <item x="3820"/>
        <item x="4674"/>
        <item x="1680"/>
        <item x="2828"/>
        <item x="132"/>
        <item x="3733"/>
        <item x="112"/>
        <item x="2144"/>
        <item x="3431"/>
        <item x="4872"/>
        <item x="4246"/>
        <item x="4066"/>
        <item x="3391"/>
        <item x="4318"/>
        <item x="3517"/>
        <item x="1343"/>
        <item x="1839"/>
        <item x="802"/>
        <item x="1488"/>
        <item x="1052"/>
        <item x="1286"/>
        <item x="100"/>
        <item x="3454"/>
        <item x="1081"/>
        <item x="2591"/>
        <item x="4135"/>
        <item x="2931"/>
        <item x="2275"/>
        <item x="3351"/>
        <item x="1632"/>
        <item x="1383"/>
        <item x="788"/>
        <item x="289"/>
        <item x="4146"/>
        <item x="3864"/>
        <item x="750"/>
        <item x="1899"/>
        <item x="1071"/>
        <item x="2680"/>
        <item x="1136"/>
        <item x="4057"/>
        <item x="4170"/>
        <item x="1832"/>
        <item x="2756"/>
        <item x="3163"/>
        <item x="1063"/>
        <item x="3160"/>
        <item x="2153"/>
        <item x="124"/>
        <item x="3961"/>
        <item x="3550"/>
        <item x="614"/>
        <item x="3395"/>
        <item x="4448"/>
        <item x="4543"/>
        <item x="3692"/>
        <item x="4019"/>
        <item x="1111"/>
        <item x="879"/>
        <item x="4114"/>
        <item x="1082"/>
        <item x="3670"/>
        <item x="4098"/>
        <item x="3688"/>
        <item x="3186"/>
        <item x="338"/>
        <item x="4632"/>
        <item x="746"/>
        <item x="679"/>
        <item x="725"/>
        <item x="3448"/>
        <item x="3750"/>
        <item x="4315"/>
        <item x="3563"/>
        <item x="2396"/>
        <item x="4136"/>
        <item x="3638"/>
        <item x="703"/>
        <item x="4284"/>
        <item x="2479"/>
        <item x="1697"/>
        <item x="4413"/>
        <item x="356"/>
        <item x="109"/>
        <item x="4538"/>
        <item x="4866"/>
        <item x="301"/>
        <item x="4865"/>
        <item x="3089"/>
        <item x="3878"/>
        <item x="4023"/>
        <item x="2546"/>
        <item x="4485"/>
        <item x="4780"/>
        <item x="1816"/>
        <item x="1829"/>
        <item x="1118"/>
        <item x="1582"/>
        <item x="231"/>
        <item x="349"/>
        <item x="2772"/>
        <item x="1301"/>
        <item x="3618"/>
        <item x="3596"/>
        <item x="4458"/>
        <item x="403"/>
        <item x="3818"/>
        <item x="3122"/>
        <item x="4234"/>
        <item x="4477"/>
        <item x="1478"/>
        <item x="2447"/>
        <item x="774"/>
        <item x="3772"/>
        <item x="439"/>
        <item x="1834"/>
        <item x="3742"/>
        <item x="2808"/>
        <item x="4858"/>
        <item x="1906"/>
        <item x="2737"/>
        <item x="975"/>
        <item x="4775"/>
        <item x="1357"/>
        <item x="4825"/>
        <item x="2337"/>
        <item x="3257"/>
        <item x="2940"/>
        <item x="1171"/>
        <item x="4289"/>
        <item x="3678"/>
        <item x="1517"/>
        <item x="3069"/>
        <item x="2201"/>
        <item x="148"/>
        <item x="2888"/>
        <item x="4739"/>
        <item x="1856"/>
        <item x="3684"/>
        <item x="1190"/>
        <item x="4357"/>
        <item x="500"/>
        <item x="2775"/>
        <item x="2570"/>
        <item x="3523"/>
        <item x="769"/>
        <item x="3505"/>
        <item x="2119"/>
        <item x="1132"/>
        <item x="2310"/>
        <item x="3277"/>
        <item x="2899"/>
        <item x="4844"/>
        <item x="85"/>
        <item x="2400"/>
        <item x="4855"/>
        <item x="2848"/>
        <item x="951"/>
        <item x="2358"/>
        <item x="699"/>
        <item x="28"/>
        <item x="857"/>
        <item x="2265"/>
        <item x="4123"/>
        <item x="1198"/>
        <item x="1817"/>
        <item x="2019"/>
        <item x="3810"/>
        <item x="1228"/>
        <item x="3529"/>
        <item x="826"/>
        <item x="2026"/>
        <item x="3087"/>
        <item x="2598"/>
        <item x="3303"/>
        <item x="1232"/>
        <item x="1825"/>
        <item x="2701"/>
        <item x="3058"/>
        <item x="2864"/>
        <item x="2763"/>
        <item x="4723"/>
        <item x="4245"/>
        <item x="383"/>
        <item x="801"/>
        <item x="709"/>
        <item x="2759"/>
        <item x="1521"/>
        <item x="4409"/>
        <item x="1986"/>
        <item x="2390"/>
        <item x="4397"/>
        <item x="2150"/>
        <item x="4260"/>
        <item x="4267"/>
        <item x="3501"/>
        <item x="983"/>
        <item x="3144"/>
        <item x="2438"/>
        <item x="904"/>
        <item x="4629"/>
        <item x="1564"/>
        <item x="2470"/>
        <item x="3376"/>
        <item x="465"/>
        <item x="4505"/>
        <item x="56"/>
        <item x="2298"/>
        <item x="1598"/>
        <item x="3244"/>
        <item x="4569"/>
        <item x="1937"/>
        <item x="197"/>
        <item x="2557"/>
        <item x="374"/>
        <item x="1165"/>
        <item x="4133"/>
        <item x="4322"/>
        <item x="47"/>
        <item x="2002"/>
        <item x="2386"/>
        <item x="4733"/>
        <item x="3168"/>
        <item x="1723"/>
        <item x="973"/>
        <item x="1653"/>
        <item x="4031"/>
        <item x="2806"/>
        <item x="3143"/>
        <item x="1733"/>
        <item x="3410"/>
        <item x="4009"/>
        <item x="3388"/>
        <item x="4792"/>
        <item x="3935"/>
        <item x="4408"/>
        <item x="980"/>
        <item x="1548"/>
        <item x="2371"/>
        <item x="3142"/>
        <item x="1406"/>
        <item x="45"/>
        <item x="162"/>
        <item x="2757"/>
        <item x="1083"/>
        <item x="108"/>
        <item x="46"/>
        <item x="1399"/>
        <item x="2978"/>
        <item x="457"/>
        <item x="369"/>
        <item x="316"/>
        <item x="3205"/>
        <item x="1591"/>
        <item x="4700"/>
        <item x="2069"/>
        <item x="1522"/>
        <item x="4666"/>
        <item x="2350"/>
        <item x="2351"/>
        <item x="1305"/>
        <item x="4644"/>
        <item x="1026"/>
        <item x="402"/>
        <item x="1360"/>
        <item x="1088"/>
        <item x="3099"/>
        <item x="2860"/>
        <item x="3559"/>
        <item x="822"/>
        <item x="4166"/>
        <item x="4621"/>
        <item x="1599"/>
        <item x="4658"/>
        <item x="4476"/>
        <item x="3094"/>
        <item x="1730"/>
        <item x="3201"/>
        <item x="3230"/>
        <item x="3582"/>
        <item x="3570"/>
        <item x="4106"/>
        <item x="2467"/>
        <item x="1979"/>
        <item x="1168"/>
        <item x="1732"/>
        <item x="4736"/>
        <item x="3595"/>
        <item x="4349"/>
        <item x="4190"/>
        <item x="90"/>
        <item x="4480"/>
        <item x="819"/>
        <item x="3518"/>
        <item x="2779"/>
        <item x="2408"/>
        <item x="1977"/>
        <item x="332"/>
        <item x="4722"/>
        <item x="380"/>
        <item x="2392"/>
        <item x="3364"/>
        <item x="1765"/>
        <item x="1471"/>
        <item x="1973"/>
        <item x="1897"/>
        <item x="1106"/>
        <item x="4096"/>
        <item x="1380"/>
        <item x="4771"/>
        <item x="1841"/>
        <item x="833"/>
        <item x="1323"/>
        <item x="3350"/>
        <item x="2497"/>
        <item x="3925"/>
        <item x="2112"/>
        <item x="3465"/>
        <item x="4281"/>
        <item x="1093"/>
        <item x="1001"/>
        <item x="1123"/>
        <item x="1502"/>
        <item x="2951"/>
        <item x="1882"/>
        <item x="2843"/>
        <item x="3409"/>
        <item x="2707"/>
        <item x="4187"/>
        <item x="4022"/>
        <item x="1451"/>
        <item x="910"/>
        <item x="903"/>
        <item x="42"/>
        <item x="2270"/>
        <item x="2789"/>
        <item x="1994"/>
        <item x="3948"/>
        <item x="230"/>
        <item x="4599"/>
        <item x="3379"/>
        <item x="4824"/>
        <item x="1182"/>
        <item x="2142"/>
        <item x="3637"/>
        <item x="4837"/>
        <item x="4416"/>
        <item x="1291"/>
        <item x="4097"/>
        <item x="434"/>
        <item x="643"/>
        <item x="935"/>
        <item x="4205"/>
        <item x="55"/>
        <item x="4218"/>
        <item x="2440"/>
        <item x="1911"/>
        <item x="2232"/>
        <item x="353"/>
        <item x="4293"/>
        <item x="1353"/>
        <item x="3842"/>
        <item x="648"/>
        <item x="3671"/>
        <item x="2237"/>
        <item x="1495"/>
        <item x="437"/>
        <item x="1675"/>
        <item x="1124"/>
        <item x="2818"/>
        <item x="3970"/>
        <item x="3974"/>
        <item x="65"/>
        <item x="4649"/>
        <item x="3530"/>
        <item x="3207"/>
        <item x="3412"/>
        <item x="859"/>
        <item x="4438"/>
        <item x="4275"/>
        <item x="4548"/>
        <item x="1972"/>
        <item x="1153"/>
        <item x="3485"/>
        <item x="312"/>
        <item x="2277"/>
        <item x="1750"/>
        <item x="4804"/>
        <item x="3497"/>
        <item x="2436"/>
        <item x="3022"/>
        <item x="4186"/>
        <item x="1330"/>
        <item x="2155"/>
        <item x="291"/>
        <item x="2164"/>
        <item x="4167"/>
        <item x="2262"/>
        <item x="3519"/>
        <item x="4663"/>
        <item x="2984"/>
        <item x="4678"/>
        <item x="1486"/>
        <item x="1227"/>
        <item x="4873"/>
        <item x="3064"/>
        <item x="1619"/>
        <item x="1917"/>
        <item x="1876"/>
        <item x="2991"/>
        <item x="1908"/>
        <item x="216"/>
        <item x="4393"/>
        <item x="789"/>
        <item x="3065"/>
        <item x="446"/>
        <item x="153"/>
        <item x="3870"/>
        <item x="3886"/>
        <item x="1311"/>
        <item x="1875"/>
        <item x="2401"/>
        <item x="3292"/>
        <item x="4282"/>
        <item x="3011"/>
        <item x="3242"/>
        <item x="4132"/>
        <item x="3721"/>
        <item x="908"/>
        <item x="1540"/>
        <item x="886"/>
        <item x="2136"/>
        <item x="543"/>
        <item x="1491"/>
        <item x="3514"/>
        <item x="625"/>
        <item x="2587"/>
        <item x="4869"/>
        <item x="2537"/>
        <item x="1607"/>
        <item x="1701"/>
        <item x="2749"/>
        <item x="3976"/>
        <item x="3081"/>
        <item x="2488"/>
        <item x="4497"/>
        <item x="2617"/>
        <item x="4688"/>
        <item x="1011"/>
        <item x="2500"/>
        <item x="4510"/>
        <item x="366"/>
        <item x="3606"/>
        <item x="1720"/>
        <item x="3098"/>
        <item x="2383"/>
        <item x="1099"/>
        <item x="2331"/>
        <item x="131"/>
        <item x="2923"/>
        <item x="107"/>
        <item x="4490"/>
        <item x="603"/>
        <item x="4730"/>
        <item x="608"/>
        <item x="2597"/>
        <item x="1312"/>
        <item x="2344"/>
        <item x="3068"/>
        <item x="4587"/>
        <item x="1127"/>
        <item x="4143"/>
        <item x="2159"/>
        <item x="2333"/>
        <item x="4179"/>
        <item x="998"/>
        <item x="1958"/>
        <item x="3147"/>
        <item x="36"/>
        <item x="2623"/>
        <item x="2552"/>
        <item x="4058"/>
        <item x="481"/>
        <item x="2596"/>
        <item x="2790"/>
        <item x="2768"/>
        <item x="3814"/>
        <item x="3956"/>
        <item x="498"/>
        <item x="3700"/>
        <item x="1430"/>
        <item x="1303"/>
        <item x="2652"/>
        <item x="2890"/>
        <item x="2540"/>
        <item x="3500"/>
        <item x="4452"/>
        <item x="1436"/>
        <item x="2975"/>
        <item x="2586"/>
        <item x="985"/>
        <item x="2315"/>
        <item x="2317"/>
        <item x="4823"/>
        <item x="3323"/>
        <item x="2665"/>
        <item x="2674"/>
        <item x="1272"/>
        <item x="1506"/>
        <item x="2849"/>
        <item x="1689"/>
        <item x="4609"/>
        <item x="4914"/>
        <item x="2946"/>
        <item x="1896"/>
        <item x="2067"/>
        <item x="678"/>
        <item x="2388"/>
        <item x="712"/>
        <item x="4088"/>
        <item x="3827"/>
        <item x="4731"/>
        <item x="4610"/>
        <item x="2242"/>
        <item x="285"/>
        <item x="3927"/>
        <item x="2646"/>
        <item x="2644"/>
        <item x="2527"/>
        <item x="1774"/>
        <item x="4570"/>
        <item x="2814"/>
        <item x="3779"/>
        <item x="2608"/>
        <item x="4340"/>
        <item x="2097"/>
        <item x="4063"/>
        <item x="220"/>
        <item x="549"/>
        <item x="949"/>
        <item x="999"/>
        <item x="2953"/>
        <item x="3762"/>
        <item x="1580"/>
        <item x="1574"/>
        <item x="569"/>
        <item x="4532"/>
        <item x="3728"/>
        <item x="3018"/>
        <item x="2963"/>
        <item x="2695"/>
        <item x="2743"/>
        <item x="424"/>
        <item x="4494"/>
        <item x="1094"/>
        <item x="1593"/>
        <item x="554"/>
        <item x="798"/>
        <item x="3434"/>
        <item x="3250"/>
        <item x="4277"/>
        <item x="194"/>
        <item x="694"/>
        <item x="464"/>
        <item x="2245"/>
        <item x="1904"/>
        <item x="4654"/>
        <item x="924"/>
        <item x="4162"/>
        <item x="4910"/>
        <item x="4119"/>
        <item x="2048"/>
        <item x="3443"/>
        <item x="3828"/>
        <item x="1576"/>
        <item x="499"/>
        <item x="4229"/>
        <item x="2910"/>
        <item x="26"/>
        <item x="4757"/>
        <item x="102"/>
        <item x="441"/>
        <item x="2197"/>
        <item x="3735"/>
        <item x="4453"/>
        <item x="4506"/>
        <item x="2046"/>
        <item x="292"/>
        <item x="3918"/>
        <item x="4011"/>
        <item x="3543"/>
        <item x="540"/>
        <item x="4197"/>
        <item x="1942"/>
        <item x="2216"/>
        <item x="2320"/>
        <item x="2173"/>
        <item x="4032"/>
        <item x="1822"/>
        <item x="1213"/>
        <item x="2833"/>
        <item x="1808"/>
        <item x="3260"/>
        <item x="2927"/>
        <item x="4745"/>
        <item x="3228"/>
        <item x="4003"/>
        <item x="3757"/>
        <item x="2397"/>
        <item x="1572"/>
        <item x="4306"/>
        <item x="1538"/>
        <item x="3771"/>
        <item x="820"/>
        <item x="715"/>
        <item x="642"/>
        <item x="2432"/>
        <item x="2862"/>
        <item x="1642"/>
        <item x="3157"/>
        <item x="1775"/>
        <item x="860"/>
        <item x="3673"/>
        <item x="3694"/>
        <item x="2218"/>
        <item x="337"/>
        <item x="328"/>
        <item x="2839"/>
        <item x="381"/>
        <item x="1174"/>
        <item x="3802"/>
        <item x="1191"/>
        <item x="3503"/>
        <item x="18"/>
        <item x="4768"/>
        <item x="3813"/>
        <item x="4075"/>
        <item x="3005"/>
        <item x="2905"/>
        <item x="1865"/>
        <item x="872"/>
        <item x="1034"/>
        <item x="4561"/>
        <item x="1184"/>
        <item x="2685"/>
        <item x="1218"/>
        <item x="3053"/>
        <item x="1561"/>
        <item x="649"/>
        <item x="4606"/>
        <item x="2411"/>
        <item x="4469"/>
        <item x="2301"/>
        <item x="927"/>
        <item x="4272"/>
        <item x="4427"/>
        <item x="3182"/>
        <item x="691"/>
        <item x="1707"/>
        <item x="4244"/>
        <item x="982"/>
        <item x="1801"/>
        <item x="2042"/>
        <item x="4101"/>
        <item x="4364"/>
        <item x="4182"/>
        <item x="2379"/>
        <item x="4857"/>
        <item x="3265"/>
        <item x="2012"/>
        <item x="3224"/>
        <item x="2773"/>
        <item x="2050"/>
        <item x="254"/>
        <item x="4487"/>
        <item x="4495"/>
        <item x="2494"/>
        <item x="4296"/>
        <item x="1247"/>
        <item x="4127"/>
        <item x="2887"/>
        <item x="4203"/>
        <item x="2071"/>
        <item x="4121"/>
        <item x="160"/>
        <item x="2530"/>
        <item x="1655"/>
        <item x="3562"/>
        <item x="3628"/>
        <item x="2083"/>
        <item x="2781"/>
        <item x="4830"/>
        <item x="3082"/>
        <item x="2345"/>
        <item x="2654"/>
        <item x="3109"/>
        <item x="2958"/>
        <item x="1454"/>
        <item x="1237"/>
        <item x="51"/>
        <item x="3077"/>
        <item x="3280"/>
        <item x="989"/>
        <item x="233"/>
        <item x="470"/>
        <item x="118"/>
        <item x="3629"/>
        <item x="3817"/>
        <item x="2492"/>
        <item x="2105"/>
        <item x="2534"/>
        <item x="368"/>
        <item x="1295"/>
        <item x="2535"/>
        <item x="3672"/>
        <item x="2988"/>
        <item x="3406"/>
        <item x="1585"/>
        <item x="2409"/>
        <item x="3776"/>
        <item x="4536"/>
        <item x="3039"/>
        <item x="674"/>
        <item x="1943"/>
        <item x="3183"/>
        <item x="1296"/>
        <item x="861"/>
        <item x="2186"/>
        <item x="2064"/>
        <item x="59"/>
        <item x="4593"/>
        <item x="1002"/>
        <item x="3204"/>
        <item x="2956"/>
        <item x="114"/>
        <item x="415"/>
        <item x="3057"/>
        <item x="2709"/>
        <item x="3002"/>
        <item x="4235"/>
        <item x="3797"/>
        <item x="2477"/>
        <item x="189"/>
        <item x="3575"/>
        <item x="4192"/>
        <item x="3458"/>
        <item x="695"/>
        <item x="3133"/>
        <item x="4894"/>
        <item x="618"/>
        <item x="4033"/>
        <item x="3748"/>
        <item x="2092"/>
        <item x="3035"/>
        <item x="1734"/>
        <item x="2950"/>
        <item x="4605"/>
        <item x="4763"/>
        <item x="121"/>
        <item x="2293"/>
        <item x="1447"/>
        <item x="3584"/>
        <item x="1539"/>
        <item x="3286"/>
        <item x="2577"/>
        <item x="4887"/>
        <item x="2601"/>
        <item x="187"/>
        <item x="4351"/>
        <item x="1413"/>
        <item x="4171"/>
        <item x="541"/>
        <item x="4819"/>
        <item x="2394"/>
        <item x="3911"/>
        <item x="2936"/>
        <item x="1285"/>
        <item x="1620"/>
        <item x="2152"/>
        <item x="986"/>
        <item x="4263"/>
        <item x="4531"/>
        <item x="4727"/>
        <item x="2236"/>
        <item x="2089"/>
        <item x="683"/>
        <item x="4410"/>
        <item x="2801"/>
        <item x="3511"/>
        <item x="3132"/>
        <item x="2059"/>
        <item x="868"/>
        <item x="295"/>
        <item x="1886"/>
        <item x="2243"/>
        <item x="1542"/>
        <item x="2900"/>
        <item x="766"/>
        <item x="3633"/>
        <item x="4419"/>
        <item x="1974"/>
        <item x="3381"/>
        <item x="4147"/>
        <item x="2734"/>
        <item x="645"/>
        <item x="1932"/>
        <item x="3276"/>
        <item x="665"/>
        <item x="588"/>
        <item x="2937"/>
        <item x="3545"/>
        <item x="2590"/>
        <item x="3236"/>
        <item x="4054"/>
        <item x="4743"/>
        <item x="2632"/>
        <item x="4519"/>
        <item x="3130"/>
        <item x="2407"/>
        <item x="277"/>
        <item x="4624"/>
        <item x="1405"/>
        <item x="1504"/>
        <item x="4210"/>
        <item x="3338"/>
        <item x="3946"/>
        <item x="2922"/>
        <item x="2692"/>
        <item x="1234"/>
        <item x="972"/>
        <item x="599"/>
        <item x="4626"/>
        <item x="1284"/>
        <item x="1889"/>
        <item x="3588"/>
        <item x="4214"/>
        <item x="1992"/>
        <item x="3197"/>
        <item x="3790"/>
        <item x="2994"/>
        <item x="1594"/>
        <item x="2084"/>
        <item x="1987"/>
        <item x="544"/>
        <item x="1070"/>
        <item x="736"/>
        <item x="1394"/>
        <item x="2226"/>
        <item x="3987"/>
        <item x="355"/>
        <item x="2854"/>
        <item x="2875"/>
        <item x="3868"/>
        <item x="331"/>
        <item x="3387"/>
        <item x="2378"/>
        <item x="1268"/>
        <item x="103"/>
        <item x="3730"/>
        <item x="4200"/>
        <item x="2174"/>
        <item x="1602"/>
        <item x="2669"/>
        <item x="2966"/>
        <item x="3489"/>
        <item x="718"/>
        <item x="4526"/>
        <item x="304"/>
        <item x="251"/>
        <item x="1355"/>
        <item x="2501"/>
        <item x="2575"/>
        <item x="3709"/>
        <item x="2095"/>
        <item x="4403"/>
        <item x="4226"/>
        <item x="988"/>
        <item x="4083"/>
        <item x="672"/>
        <item x="1407"/>
        <item x="1087"/>
        <item x="3736"/>
        <item x="1050"/>
        <item x="1681"/>
        <item x="3317"/>
        <item x="1500"/>
        <item x="2629"/>
        <item x="3120"/>
        <item x="1940"/>
        <item x="287"/>
        <item x="1534"/>
        <item x="2618"/>
        <item x="3920"/>
        <item x="1919"/>
        <item x="3896"/>
        <item x="4533"/>
        <item x="4500"/>
        <item x="1207"/>
        <item x="4418"/>
        <item x="2427"/>
        <item x="2593"/>
        <item x="3446"/>
        <item x="4799"/>
        <item x="1292"/>
        <item x="280"/>
        <item x="3472"/>
        <item x="297"/>
        <item x="3195"/>
        <item x="2961"/>
        <item x="2108"/>
        <item x="2928"/>
        <item x="1662"/>
        <item x="1421"/>
        <item x="4552"/>
        <item x="493"/>
        <item x="1051"/>
        <item x="3576"/>
        <item x="2684"/>
        <item x="4095"/>
        <item x="4860"/>
        <item x="2561"/>
        <item x="2985"/>
        <item x="2122"/>
        <item x="3623"/>
        <item x="1777"/>
        <item x="4805"/>
        <item x="785"/>
        <item x="4209"/>
        <item x="2175"/>
        <item x="4141"/>
        <item x="4316"/>
        <item x="192"/>
        <item x="4264"/>
        <item x="4240"/>
        <item x="4270"/>
        <item x="814"/>
        <item x="4076"/>
        <item x="2944"/>
        <item x="1138"/>
        <item x="4800"/>
        <item x="3229"/>
        <item x="4421"/>
        <item x="4614"/>
        <item x="444"/>
        <item x="41"/>
        <item x="4268"/>
        <item x="4386"/>
        <item x="2040"/>
        <item x="1929"/>
        <item x="3255"/>
        <item x="3982"/>
        <item x="2514"/>
        <item x="2588"/>
        <item x="3320"/>
        <item x="2280"/>
        <item x="3806"/>
        <item x="3875"/>
        <item x="4236"/>
        <item x="4064"/>
        <item x="3097"/>
        <item x="1510"/>
        <item x="1061"/>
        <item x="2079"/>
        <item x="1550"/>
        <item x="3334"/>
        <item x="283"/>
        <item x="1316"/>
        <item x="576"/>
        <item x="1635"/>
        <item x="3073"/>
        <item x="1415"/>
        <item x="1686"/>
        <item x="327"/>
        <item x="78"/>
        <item x="1596"/>
        <item x="2777"/>
        <item x="2346"/>
        <item x="4342"/>
        <item x="1797"/>
        <item x="1048"/>
        <item x="1469"/>
        <item x="4818"/>
        <item x="447"/>
        <item x="1222"/>
        <item x="2366"/>
        <item x="70"/>
        <item x="4217"/>
        <item x="3917"/>
        <item x="29"/>
        <item x="4514"/>
        <item x="3380"/>
        <item x="2058"/>
        <item x="4285"/>
        <item x="72"/>
        <item x="3717"/>
        <item x="2621"/>
        <item x="1969"/>
        <item x="1512"/>
        <item x="4517"/>
        <item x="4194"/>
        <item x="2609"/>
        <item x="795"/>
        <item x="2845"/>
        <item x="3513"/>
        <item x="4522"/>
        <item x="4527"/>
        <item x="1220"/>
        <item x="4367"/>
        <item x="4307"/>
        <item x="3487"/>
        <item x="4659"/>
        <item x="776"/>
        <item x="1552"/>
        <item x="574"/>
        <item x="22"/>
        <item x="4816"/>
        <item x="2290"/>
        <item x="1411"/>
        <item x="2589"/>
        <item x="4078"/>
        <item x="4068"/>
        <item x="2515"/>
        <item x="3218"/>
        <item x="2158"/>
        <item x="1181"/>
        <item x="1796"/>
        <item x="1362"/>
        <item x="4877"/>
        <item x="3028"/>
        <item x="2474"/>
        <item x="1037"/>
        <item x="2060"/>
        <item x="2708"/>
        <item x="4701"/>
        <item x="3175"/>
        <item x="4094"/>
        <item x="1038"/>
        <item x="4144"/>
        <item x="4324"/>
        <item x="3000"/>
        <item x="594"/>
        <item x="1531"/>
        <item x="1261"/>
        <item x="2802"/>
        <item x="3923"/>
        <item x="1735"/>
        <item x="4279"/>
        <item x="264"/>
        <item x="518"/>
        <item x="127"/>
        <item x="1813"/>
        <item x="3763"/>
        <item x="4368"/>
        <item x="409"/>
        <item x="3839"/>
        <item x="2021"/>
        <item x="3246"/>
        <item x="2532"/>
        <item x="3615"/>
        <item x="1079"/>
        <item x="2696"/>
        <item x="4402"/>
        <item x="3712"/>
        <item x="4881"/>
        <item x="2359"/>
        <item x="2489"/>
        <item x="797"/>
        <item x="4478"/>
        <item x="4381"/>
        <item x="825"/>
        <item x="2829"/>
        <item x="3093"/>
        <item x="183"/>
        <item x="4615"/>
        <item x="241"/>
        <item x="4038"/>
        <item x="3745"/>
        <item x="3311"/>
        <item x="3449"/>
        <item x="1541"/>
        <item x="2755"/>
        <item x="2813"/>
        <item x="922"/>
        <item x="2334"/>
        <item x="140"/>
        <item x="2183"/>
        <item x="4431"/>
        <item x="4128"/>
        <item x="4387"/>
        <item x="2295"/>
        <item x="4491"/>
        <item x="1175"/>
        <item x="1049"/>
        <item x="2786"/>
        <item x="3327"/>
        <item x="2339"/>
        <item x="43"/>
        <item x="1679"/>
        <item x="104"/>
        <item x="4600"/>
        <item x="732"/>
        <item x="4694"/>
        <item x="1625"/>
        <item x="2227"/>
        <item x="2865"/>
        <item x="1387"/>
        <item x="4802"/>
        <item x="3663"/>
        <item x="3795"/>
        <item x="1956"/>
        <item x="3407"/>
        <item x="3321"/>
        <item x="3662"/>
        <item x="4885"/>
        <item x="3926"/>
        <item x="477"/>
        <item x="89"/>
        <item x="2482"/>
        <item x="225"/>
        <item x="1149"/>
        <item x="307"/>
        <item x="134"/>
        <item x="2842"/>
        <item x="1871"/>
        <item x="2715"/>
        <item x="1931"/>
        <item x="3965"/>
        <item x="530"/>
        <item x="3400"/>
        <item x="1494"/>
        <item x="1412"/>
        <item x="2776"/>
        <item x="3219"/>
        <item x="2693"/>
        <item x="3804"/>
        <item x="1178"/>
        <item x="2456"/>
        <item x="2439"/>
        <item x="1513"/>
        <item x="1440"/>
        <item x="3328"/>
        <item x="492"/>
        <item x="4509"/>
        <item x="1236"/>
        <item x="4589"/>
        <item x="2823"/>
        <item x="3293"/>
        <item x="4378"/>
        <item x="2209"/>
        <item x="1731"/>
        <item x="3111"/>
        <item x="2986"/>
        <item x="2336"/>
        <item x="930"/>
        <item x="3988"/>
        <item x="1142"/>
        <item x="1194"/>
        <item x="4112"/>
        <item x="681"/>
        <item x="1110"/>
        <item x="1156"/>
        <item x="1741"/>
        <item x="3263"/>
        <item x="1126"/>
        <item x="1845"/>
        <item x="4411"/>
        <item x="3859"/>
        <item x="1064"/>
        <item x="3540"/>
        <item x="2199"/>
        <item x="4909"/>
        <item x="159"/>
        <item x="3152"/>
        <item x="3015"/>
        <item x="2312"/>
        <item x="260"/>
        <item x="77"/>
        <item x="1435"/>
        <item x="4841"/>
        <item x="3809"/>
        <item x="377"/>
        <item x="3706"/>
        <item x="143"/>
        <item x="4355"/>
        <item x="3181"/>
        <item x="4021"/>
        <item x="3866"/>
        <item x="2029"/>
        <item x="3284"/>
        <item x="1667"/>
        <item x="2028"/>
        <item x="4905"/>
        <item x="1147"/>
        <item x="3592"/>
        <item x="87"/>
        <item x="3190"/>
        <item x="4787"/>
        <item x="1910"/>
        <item x="1784"/>
        <item x="2222"/>
        <item x="3106"/>
        <item x="2796"/>
        <item x="4836"/>
        <item x="3010"/>
        <item x="1790"/>
        <item x="2303"/>
        <item x="1597"/>
        <item x="1999"/>
        <item x="2076"/>
        <item x="3807"/>
        <item x="2545"/>
        <item x="1575"/>
        <item x="1894"/>
        <item x="3825"/>
        <item x="1503"/>
        <item x="206"/>
        <item x="205"/>
        <item x="2670"/>
        <item x="1289"/>
        <item x="4806"/>
        <item x="3129"/>
        <item x="2581"/>
        <item x="1192"/>
        <item x="3579"/>
        <item x="3460"/>
        <item x="4912"/>
        <item x="3071"/>
        <item x="3823"/>
        <item x="1418"/>
        <item x="4553"/>
        <item x="4798"/>
        <item x="2729"/>
        <item x="179"/>
        <item x="767"/>
        <item x="4794"/>
        <item x="242"/>
        <item x="2528"/>
        <item x="2007"/>
        <item x="1884"/>
        <item x="4195"/>
        <item x="341"/>
        <item x="4313"/>
        <item x="4883"/>
        <item x="1673"/>
        <item x="4177"/>
        <item x="1397"/>
        <item x="4690"/>
        <item x="1004"/>
        <item x="1260"/>
        <item x="1569"/>
        <item x="4420"/>
        <item x="1173"/>
        <item x="1696"/>
        <item x="898"/>
        <item x="1820"/>
        <item x="987"/>
        <item x="827"/>
        <item x="4729"/>
        <item x="4382"/>
        <item x="2859"/>
        <item x="613"/>
        <item x="573"/>
        <item x="1691"/>
        <item x="1812"/>
        <item x="3929"/>
        <item x="3791"/>
        <item x="1160"/>
        <item x="3544"/>
        <item x="913"/>
        <item x="4619"/>
        <item x="3554"/>
        <item x="4781"/>
        <item x="892"/>
        <item x="3478"/>
        <item x="1229"/>
        <item x="120"/>
        <item x="3436"/>
        <item x="3445"/>
        <item x="2316"/>
        <item x="2962"/>
        <item x="2967"/>
        <item x="2681"/>
        <item x="73"/>
        <item x="2846"/>
        <item x="1324"/>
        <item x="1568"/>
        <item x="1826"/>
        <item x="3531"/>
        <item x="3604"/>
        <item x="4714"/>
        <item x="1424"/>
        <item x="4062"/>
        <item x="850"/>
        <item x="4436"/>
        <item x="3313"/>
        <item x="3040"/>
        <item x="928"/>
        <item x="7"/>
        <item x="3013"/>
        <item x="3300"/>
        <item x="2291"/>
        <item x="290"/>
        <item x="1993"/>
        <item x="4461"/>
        <item x="2604"/>
        <item x="2902"/>
        <item x="1183"/>
        <item x="3682"/>
        <item x="4496"/>
        <item x="4565"/>
        <item x="3215"/>
        <item x="3177"/>
        <item x="4737"/>
        <item x="4363"/>
        <item x="2188"/>
        <item x="1098"/>
        <item x="2176"/>
        <item x="1551"/>
        <item x="4706"/>
        <item x="1283"/>
        <item x="584"/>
        <item x="4248"/>
        <item x="782"/>
        <item x="1783"/>
        <item x="1927"/>
        <item x="3999"/>
        <item x="2607"/>
        <item x="4024"/>
        <item x="938"/>
        <item x="2212"/>
        <item x="4512"/>
        <item x="3353"/>
        <item x="3221"/>
        <item x="4457"/>
        <item x="164"/>
        <item x="2736"/>
        <item x="1204"/>
        <item x="1458"/>
        <item x="3315"/>
        <item x="1319"/>
        <item x="2154"/>
        <item x="1677"/>
        <item x="272"/>
        <item x="1482"/>
        <item x="1306"/>
        <item x="1014"/>
        <item x="1814"/>
        <item x="1443"/>
        <item x="1695"/>
        <item x="1425"/>
        <item x="2851"/>
        <item x="1511"/>
        <item x="1606"/>
        <item x="604"/>
        <item x="3245"/>
        <item x="969"/>
        <item x="2238"/>
        <item x="2970"/>
        <item x="4710"/>
        <item x="1921"/>
        <item x="1537"/>
        <item x="1682"/>
        <item x="1200"/>
        <item x="1770"/>
        <item x="1951"/>
        <item x="433"/>
        <item x="4521"/>
        <item x="2673"/>
        <item x="4637"/>
        <item x="4430"/>
        <item x="2536"/>
        <item x="170"/>
        <item x="4752"/>
        <item x="590"/>
        <item x="3359"/>
        <item x="1706"/>
        <item x="1057"/>
        <item x="602"/>
        <item x="3494"/>
        <item x="475"/>
        <item x="1214"/>
        <item x="4073"/>
        <item x="305"/>
        <item x="1035"/>
        <item x="2511"/>
        <item x="3853"/>
        <item x="3871"/>
        <item x="704"/>
        <item x="1745"/>
        <item x="1146"/>
        <item x="660"/>
        <item x="3337"/>
        <item x="4911"/>
        <item x="1983"/>
        <item x="547"/>
        <item x="2569"/>
        <item x="837"/>
        <item x="740"/>
        <item x="1069"/>
        <item x="2671"/>
        <item x="1351"/>
        <item x="3121"/>
        <item x="1266"/>
        <item x="4890"/>
        <item x="2074"/>
        <item x="1046"/>
        <item x="925"/>
        <item x="386"/>
        <item x="4294"/>
        <item x="2073"/>
        <item x="4116"/>
        <item x="4131"/>
        <item x="3366"/>
        <item x="2496"/>
        <item x="4415"/>
        <item x="2431"/>
        <item x="1583"/>
        <item x="2778"/>
        <item x="4588"/>
        <item x="3789"/>
        <item x="583"/>
        <item x="3480"/>
        <item x="1467"/>
        <item x="1742"/>
        <item x="4456"/>
        <item x="737"/>
        <item x="2332"/>
        <item x="1809"/>
        <item x="4586"/>
        <item x="4809"/>
        <item x="2274"/>
        <item x="2054"/>
        <item x="14"/>
        <item x="4330"/>
        <item x="4770"/>
        <item x="3131"/>
        <item x="1867"/>
        <item x="3262"/>
        <item x="1240"/>
        <item x="4380"/>
        <item x="1243"/>
        <item x="1519"/>
        <item x="3549"/>
        <item x="2812"/>
        <item x="2782"/>
        <item x="1254"/>
        <item x="1641"/>
        <item x="4212"/>
        <item x="994"/>
        <item x="4138"/>
        <item x="2691"/>
        <item x="2573"/>
        <item x="1077"/>
        <item x="1170"/>
        <item x="2124"/>
        <item x="3949"/>
        <item x="556"/>
        <item x="4585"/>
        <item x="696"/>
        <item x="4525"/>
        <item x="1428"/>
        <item x="4879"/>
        <item t="default"/>
      </items>
    </pivotField>
    <pivotField showAll="0">
      <items count="4667">
        <item x="1664"/>
        <item x="748"/>
        <item x="3590"/>
        <item x="3049"/>
        <item x="2833"/>
        <item x="1277"/>
        <item x="3827"/>
        <item x="3281"/>
        <item x="1086"/>
        <item x="3075"/>
        <item x="1947"/>
        <item x="4590"/>
        <item x="2053"/>
        <item x="3825"/>
        <item x="3094"/>
        <item x="1672"/>
        <item x="939"/>
        <item x="4534"/>
        <item x="926"/>
        <item x="3166"/>
        <item x="2839"/>
        <item x="2628"/>
        <item x="714"/>
        <item x="3111"/>
        <item x="2447"/>
        <item x="1986"/>
        <item x="1150"/>
        <item x="3425"/>
        <item x="1204"/>
        <item x="2203"/>
        <item x="2963"/>
        <item x="1838"/>
        <item x="3571"/>
        <item x="900"/>
        <item x="3458"/>
        <item x="2619"/>
        <item x="526"/>
        <item x="2910"/>
        <item x="128"/>
        <item x="170"/>
        <item x="624"/>
        <item x="1751"/>
        <item x="679"/>
        <item x="1562"/>
        <item x="2837"/>
        <item x="2552"/>
        <item x="1904"/>
        <item x="427"/>
        <item x="1980"/>
        <item x="3812"/>
        <item x="1199"/>
        <item x="2793"/>
        <item x="3853"/>
        <item x="4439"/>
        <item x="853"/>
        <item x="93"/>
        <item x="3269"/>
        <item x="2085"/>
        <item x="2877"/>
        <item x="736"/>
        <item x="3460"/>
        <item x="1740"/>
        <item x="4165"/>
        <item x="834"/>
        <item x="611"/>
        <item x="2652"/>
        <item x="4078"/>
        <item x="2348"/>
        <item x="2724"/>
        <item x="3477"/>
        <item x="1321"/>
        <item x="4100"/>
        <item x="437"/>
        <item x="4155"/>
        <item x="3000"/>
        <item x="1367"/>
        <item x="2815"/>
        <item x="3530"/>
        <item x="4546"/>
        <item x="1483"/>
        <item x="2187"/>
        <item x="3345"/>
        <item x="3831"/>
        <item x="2913"/>
        <item x="4108"/>
        <item x="2327"/>
        <item x="4640"/>
        <item x="4380"/>
        <item x="924"/>
        <item x="1610"/>
        <item x="792"/>
        <item x="0"/>
        <item x="3187"/>
        <item x="4166"/>
        <item x="2689"/>
        <item x="3662"/>
        <item x="2110"/>
        <item x="2524"/>
        <item x="3183"/>
        <item x="3025"/>
        <item x="2111"/>
        <item x="559"/>
        <item x="1820"/>
        <item x="2462"/>
        <item x="1689"/>
        <item x="1867"/>
        <item x="961"/>
        <item x="1094"/>
        <item x="1366"/>
        <item x="4286"/>
        <item x="4197"/>
        <item x="3676"/>
        <item x="215"/>
        <item x="3234"/>
        <item x="1222"/>
        <item x="3846"/>
        <item x="1677"/>
        <item x="322"/>
        <item x="242"/>
        <item x="1554"/>
        <item x="1360"/>
        <item x="3605"/>
        <item x="3551"/>
        <item x="668"/>
        <item x="850"/>
        <item x="2730"/>
        <item x="1966"/>
        <item x="1167"/>
        <item x="254"/>
        <item x="3737"/>
        <item x="1397"/>
        <item x="3649"/>
        <item x="2713"/>
        <item x="1005"/>
        <item x="1999"/>
        <item x="1363"/>
        <item x="3252"/>
        <item x="3027"/>
        <item x="3492"/>
        <item x="3713"/>
        <item x="490"/>
        <item x="1054"/>
        <item x="2804"/>
        <item x="4358"/>
        <item x="430"/>
        <item x="2750"/>
        <item x="4471"/>
        <item x="2941"/>
        <item x="138"/>
        <item x="2355"/>
        <item x="1840"/>
        <item x="3452"/>
        <item x="450"/>
        <item x="667"/>
        <item x="4518"/>
        <item x="155"/>
        <item x="3672"/>
        <item x="4024"/>
        <item x="4537"/>
        <item x="1629"/>
        <item x="2547"/>
        <item x="2561"/>
        <item x="464"/>
        <item x="4289"/>
        <item x="3038"/>
        <item x="2942"/>
        <item x="3225"/>
        <item x="4384"/>
        <item x="942"/>
        <item x="2314"/>
        <item x="2212"/>
        <item x="1249"/>
        <item x="4446"/>
        <item x="4257"/>
        <item x="2767"/>
        <item x="1842"/>
        <item x="3466"/>
        <item x="2887"/>
        <item x="1907"/>
        <item x="2715"/>
        <item x="4053"/>
        <item x="962"/>
        <item x="826"/>
        <item x="894"/>
        <item x="3122"/>
        <item x="3564"/>
        <item x="1580"/>
        <item x="1715"/>
        <item x="1338"/>
        <item x="2016"/>
        <item x="1808"/>
        <item x="2130"/>
        <item x="3251"/>
        <item x="447"/>
        <item x="1133"/>
        <item x="1313"/>
        <item x="4520"/>
        <item x="2003"/>
        <item x="1128"/>
        <item x="697"/>
        <item x="195"/>
        <item x="4635"/>
        <item x="1701"/>
        <item x="1583"/>
        <item x="368"/>
        <item x="4394"/>
        <item x="1452"/>
        <item x="3336"/>
        <item x="1466"/>
        <item x="2567"/>
        <item x="1724"/>
        <item x="4454"/>
        <item x="2726"/>
        <item x="2069"/>
        <item x="4344"/>
        <item x="1211"/>
        <item x="324"/>
        <item x="3464"/>
        <item x="4535"/>
        <item x="1186"/>
        <item x="2654"/>
        <item x="4291"/>
        <item x="3505"/>
        <item x="3641"/>
        <item x="3527"/>
        <item x="811"/>
        <item x="1932"/>
        <item x="4422"/>
        <item x="180"/>
        <item x="4030"/>
        <item x="2995"/>
        <item x="3805"/>
        <item x="3925"/>
        <item x="2803"/>
        <item x="4263"/>
        <item x="2709"/>
        <item x="1462"/>
        <item x="3378"/>
        <item x="2439"/>
        <item x="2555"/>
        <item x="1718"/>
        <item x="4159"/>
        <item x="2388"/>
        <item x="1668"/>
        <item x="1527"/>
        <item x="3426"/>
        <item x="3726"/>
        <item x="633"/>
        <item x="1318"/>
        <item x="3284"/>
        <item x="1163"/>
        <item x="539"/>
        <item x="3469"/>
        <item x="4524"/>
        <item x="2574"/>
        <item x="1679"/>
        <item x="1636"/>
        <item x="639"/>
        <item x="2352"/>
        <item x="3646"/>
        <item x="3913"/>
        <item x="672"/>
        <item x="2035"/>
        <item x="2917"/>
        <item x="708"/>
        <item x="406"/>
        <item x="3291"/>
        <item x="936"/>
        <item x="105"/>
        <item x="2518"/>
        <item x="3366"/>
        <item x="1013"/>
        <item x="4255"/>
        <item x="3997"/>
        <item x="369"/>
        <item x="2791"/>
        <item x="171"/>
        <item x="2640"/>
        <item x="273"/>
        <item x="3035"/>
        <item x="2865"/>
        <item x="4576"/>
        <item x="4386"/>
        <item x="3804"/>
        <item x="1794"/>
        <item x="1911"/>
        <item x="3645"/>
        <item x="4110"/>
        <item x="1035"/>
        <item x="740"/>
        <item x="3351"/>
        <item x="3786"/>
        <item x="842"/>
        <item x="4132"/>
        <item x="4080"/>
        <item x="3967"/>
        <item x="3851"/>
        <item x="1711"/>
        <item x="4397"/>
        <item x="3606"/>
        <item x="4021"/>
        <item x="1555"/>
        <item x="1537"/>
        <item x="268"/>
        <item x="4493"/>
        <item x="2481"/>
        <item x="3734"/>
        <item x="904"/>
        <item x="1435"/>
        <item x="3934"/>
        <item x="3076"/>
        <item x="207"/>
        <item x="3435"/>
        <item x="2612"/>
        <item x="205"/>
        <item x="111"/>
        <item x="603"/>
        <item x="3568"/>
        <item x="3703"/>
        <item x="3862"/>
        <item x="196"/>
        <item x="812"/>
        <item x="4586"/>
        <item x="1651"/>
        <item x="3921"/>
        <item x="1296"/>
        <item x="824"/>
        <item x="1187"/>
        <item x="2290"/>
        <item x="2811"/>
        <item x="1369"/>
        <item x="1202"/>
        <item x="49"/>
        <item x="175"/>
        <item x="1698"/>
        <item x="578"/>
        <item x="3413"/>
        <item x="3575"/>
        <item x="3870"/>
        <item x="995"/>
        <item x="2979"/>
        <item x="2604"/>
        <item x="760"/>
        <item x="2734"/>
        <item x="4130"/>
        <item x="1417"/>
        <item x="2638"/>
        <item x="4428"/>
        <item x="407"/>
        <item x="509"/>
        <item x="4530"/>
        <item x="1474"/>
        <item x="719"/>
        <item x="2645"/>
        <item x="3639"/>
        <item x="2159"/>
        <item x="3266"/>
        <item x="796"/>
        <item x="3749"/>
        <item x="839"/>
        <item x="265"/>
        <item x="449"/>
        <item x="2671"/>
        <item x="486"/>
        <item x="2080"/>
        <item x="164"/>
        <item x="2646"/>
        <item x="3957"/>
        <item x="3872"/>
        <item x="511"/>
        <item x="707"/>
        <item x="3331"/>
        <item x="3181"/>
        <item x="3816"/>
        <item x="409"/>
        <item x="1346"/>
        <item x="1295"/>
        <item x="4028"/>
        <item x="4492"/>
        <item x="2221"/>
        <item x="3689"/>
        <item x="4379"/>
        <item x="1606"/>
        <item x="3369"/>
        <item x="3370"/>
        <item x="3885"/>
        <item x="4477"/>
        <item x="3546"/>
        <item x="3900"/>
        <item x="4215"/>
        <item x="1898"/>
        <item x="4046"/>
        <item x="3803"/>
        <item x="3780"/>
        <item x="863"/>
        <item x="139"/>
        <item x="4382"/>
        <item x="3332"/>
        <item x="1534"/>
        <item x="2254"/>
        <item x="1778"/>
        <item x="2955"/>
        <item x="3607"/>
        <item x="4531"/>
        <item x="3828"/>
        <item x="4340"/>
        <item x="1330"/>
        <item x="2165"/>
        <item x="831"/>
        <item x="3794"/>
        <item x="244"/>
        <item x="2870"/>
        <item x="2000"/>
        <item x="4004"/>
        <item x="2255"/>
        <item x="1258"/>
        <item x="991"/>
        <item x="663"/>
        <item x="1899"/>
        <item x="4338"/>
        <item x="3172"/>
        <item x="978"/>
        <item x="2529"/>
        <item x="3055"/>
        <item x="1418"/>
        <item x="4587"/>
        <item x="1077"/>
        <item x="320"/>
        <item x="2852"/>
        <item x="1847"/>
        <item x="1620"/>
        <item x="2898"/>
        <item x="359"/>
        <item x="2205"/>
        <item x="4651"/>
        <item x="1573"/>
        <item x="1659"/>
        <item x="3105"/>
        <item x="3829"/>
        <item x="481"/>
        <item x="3468"/>
        <item x="2307"/>
        <item x="1060"/>
        <item x="3263"/>
        <item x="2861"/>
        <item x="3036"/>
        <item x="1312"/>
        <item x="2633"/>
        <item x="1691"/>
        <item x="1237"/>
        <item x="3493"/>
        <item x="665"/>
        <item x="3508"/>
        <item x="8"/>
        <item x="3764"/>
        <item x="2344"/>
        <item x="479"/>
        <item x="681"/>
        <item x="2864"/>
        <item x="167"/>
        <item x="561"/>
        <item x="412"/>
        <item x="1332"/>
        <item x="3082"/>
        <item x="4054"/>
        <item x="332"/>
        <item x="1557"/>
        <item x="3553"/>
        <item x="3375"/>
        <item x="2136"/>
        <item x="798"/>
        <item x="3686"/>
        <item x="617"/>
        <item x="2131"/>
        <item x="3635"/>
        <item x="4502"/>
        <item x="142"/>
        <item x="1971"/>
        <item x="3383"/>
        <item x="4058"/>
        <item x="4227"/>
        <item x="4602"/>
        <item x="4440"/>
        <item x="1624"/>
        <item x="2343"/>
        <item x="1614"/>
        <item x="3453"/>
        <item x="266"/>
        <item x="3766"/>
        <item x="710"/>
        <item x="1964"/>
        <item x="2559"/>
        <item x="1801"/>
        <item x="1887"/>
        <item x="3567"/>
        <item x="724"/>
        <item x="2047"/>
        <item x="2890"/>
        <item x="272"/>
        <item x="3964"/>
        <item x="184"/>
        <item x="3024"/>
        <item x="333"/>
        <item x="770"/>
        <item x="1495"/>
        <item x="4420"/>
        <item x="4364"/>
        <item x="953"/>
        <item x="371"/>
        <item x="568"/>
        <item x="2242"/>
        <item x="1197"/>
        <item x="1548"/>
        <item x="1195"/>
        <item x="1531"/>
        <item x="1173"/>
        <item x="4133"/>
        <item x="3842"/>
        <item x="2828"/>
        <item x="1482"/>
        <item x="2493"/>
        <item x="1026"/>
        <item x="3644"/>
        <item x="3817"/>
        <item x="1649"/>
        <item x="1446"/>
        <item x="1858"/>
        <item x="2393"/>
        <item x="1226"/>
        <item x="554"/>
        <item x="3066"/>
        <item x="5"/>
        <item x="805"/>
        <item x="3319"/>
        <item x="4327"/>
        <item x="235"/>
        <item x="1132"/>
        <item x="1825"/>
        <item x="656"/>
        <item x="921"/>
        <item x="3864"/>
        <item x="2771"/>
        <item x="76"/>
        <item x="2687"/>
        <item x="4426"/>
        <item x="3128"/>
        <item x="198"/>
        <item x="2074"/>
        <item x="3432"/>
        <item x="1456"/>
        <item x="1328"/>
        <item x="4516"/>
        <item x="2824"/>
        <item x="864"/>
        <item x="2431"/>
        <item x="253"/>
        <item x="2378"/>
        <item x="446"/>
        <item x="2598"/>
        <item x="255"/>
        <item x="4087"/>
        <item x="1432"/>
        <item x="3123"/>
        <item x="2711"/>
        <item x="2463"/>
        <item x="4213"/>
        <item x="4326"/>
        <item x="83"/>
        <item x="1683"/>
        <item x="2058"/>
        <item x="2976"/>
        <item x="560"/>
        <item x="772"/>
        <item x="1702"/>
        <item x="4111"/>
        <item x="4595"/>
        <item x="1073"/>
        <item x="1764"/>
        <item x="4153"/>
        <item x="3170"/>
        <item x="2515"/>
        <item x="2920"/>
        <item x="2478"/>
        <item x="2014"/>
        <item x="4591"/>
        <item x="3096"/>
        <item x="319"/>
        <item x="3428"/>
        <item x="2961"/>
        <item x="911"/>
        <item x="754"/>
        <item x="919"/>
        <item x="2363"/>
        <item x="3998"/>
        <item x="2878"/>
        <item x="677"/>
        <item x="4251"/>
        <item x="1501"/>
        <item x="3145"/>
        <item x="4275"/>
        <item x="1370"/>
        <item x="1918"/>
        <item x="755"/>
        <item x="4092"/>
        <item x="3865"/>
        <item x="879"/>
        <item x="1533"/>
        <item x="1504"/>
        <item x="1353"/>
        <item x="3299"/>
        <item x="3761"/>
        <item x="4598"/>
        <item x="456"/>
        <item x="3305"/>
        <item x="908"/>
        <item x="4246"/>
        <item x="224"/>
        <item x="881"/>
        <item x="3050"/>
        <item x="2145"/>
        <item x="2396"/>
        <item x="4212"/>
        <item x="3945"/>
        <item x="477"/>
        <item x="2204"/>
        <item x="3348"/>
        <item x="2027"/>
        <item x="1269"/>
        <item x="3658"/>
        <item x="4342"/>
        <item x="4417"/>
        <item x="3011"/>
        <item x="2397"/>
        <item x="2569"/>
        <item x="3795"/>
        <item x="1468"/>
        <item x="1922"/>
        <item x="3395"/>
        <item x="1050"/>
        <item x="2906"/>
        <item x="1667"/>
        <item x="3698"/>
        <item x="2585"/>
        <item x="690"/>
        <item x="116"/>
        <item x="2801"/>
        <item x="3809"/>
        <item x="4099"/>
        <item x="3720"/>
        <item x="1388"/>
        <item x="1797"/>
        <item x="54"/>
        <item x="2759"/>
        <item x="1988"/>
        <item x="3408"/>
        <item x="2780"/>
        <item x="1141"/>
        <item x="4620"/>
        <item x="1849"/>
        <item x="2404"/>
        <item x="2675"/>
        <item x="279"/>
        <item x="4317"/>
        <item x="1600"/>
        <item x="1960"/>
        <item x="1945"/>
        <item x="3771"/>
        <item x="1730"/>
        <item x="4228"/>
        <item x="4226"/>
        <item x="2008"/>
        <item x="2813"/>
        <item x="3237"/>
        <item x="1178"/>
        <item x="685"/>
        <item x="2841"/>
        <item x="758"/>
        <item x="1233"/>
        <item x="2435"/>
        <item x="2150"/>
        <item x="1650"/>
        <item x="3372"/>
        <item x="2999"/>
        <item x="411"/>
        <item x="3142"/>
        <item x="4176"/>
        <item x="3173"/>
        <item x="2536"/>
        <item x="3740"/>
        <item x="4029"/>
        <item x="1223"/>
        <item x="1285"/>
        <item x="2542"/>
        <item x="623"/>
        <item x="3572"/>
        <item x="3419"/>
        <item x="3110"/>
        <item x="3814"/>
        <item x="550"/>
        <item x="2650"/>
        <item x="600"/>
        <item x="327"/>
        <item x="3944"/>
        <item x="3974"/>
        <item x="743"/>
        <item x="1886"/>
        <item x="4460"/>
        <item x="3693"/>
        <item x="1130"/>
        <item x="3031"/>
        <item x="1544"/>
        <item x="4588"/>
        <item x="2927"/>
        <item x="1245"/>
        <item x="3287"/>
        <item x="2503"/>
        <item x="402"/>
        <item x="3800"/>
        <item x="3389"/>
        <item x="3418"/>
        <item x="2226"/>
        <item x="344"/>
        <item x="507"/>
        <item x="2706"/>
        <item x="1401"/>
        <item x="2081"/>
        <item x="2233"/>
        <item x="1074"/>
        <item x="3032"/>
        <item x="4307"/>
        <item x="1410"/>
        <item x="469"/>
        <item x="3721"/>
        <item x="2446"/>
        <item x="1055"/>
        <item x="652"/>
        <item x="1431"/>
        <item x="1630"/>
        <item x="574"/>
        <item x="2938"/>
        <item x="457"/>
        <item x="1575"/>
        <item x="3577"/>
        <item x="4288"/>
        <item x="2430"/>
        <item x="3059"/>
        <item x="3297"/>
        <item x="3528"/>
        <item x="1950"/>
        <item x="3261"/>
        <item x="2658"/>
        <item x="4284"/>
        <item x="3818"/>
        <item x="4484"/>
        <item x="3500"/>
        <item x="4470"/>
        <item x="1587"/>
        <item x="1171"/>
        <item x="564"/>
        <item x="3732"/>
        <item x="3272"/>
        <item x="3430"/>
        <item x="1084"/>
        <item x="4232"/>
        <item x="1916"/>
        <item x="2931"/>
        <item x="1680"/>
        <item x="225"/>
        <item x="2271"/>
        <item x="2595"/>
        <item x="4218"/>
        <item x="2045"/>
        <item x="2243"/>
        <item x="4647"/>
        <item x="3609"/>
        <item x="440"/>
        <item x="2138"/>
        <item x="4658"/>
        <item x="2322"/>
        <item x="2428"/>
        <item x="4127"/>
        <item x="4248"/>
        <item x="2596"/>
        <item x="3659"/>
        <item x="4260"/>
        <item x="2790"/>
        <item x="3682"/>
        <item x="3394"/>
        <item x="3765"/>
        <item x="2380"/>
        <item x="3006"/>
        <item x="866"/>
        <item x="2950"/>
        <item x="3143"/>
        <item x="3057"/>
        <item x="2179"/>
        <item x="1706"/>
        <item x="2924"/>
        <item x="1822"/>
        <item x="1433"/>
        <item x="2895"/>
        <item x="3102"/>
        <item x="4274"/>
        <item x="1613"/>
        <item x="1684"/>
        <item x="3783"/>
        <item x="918"/>
        <item x="783"/>
        <item x="1041"/>
        <item x="1183"/>
        <item x="1512"/>
        <item x="1635"/>
        <item x="2630"/>
        <item x="3709"/>
        <item x="2830"/>
        <item x="2124"/>
        <item x="4199"/>
        <item x="3117"/>
        <item x="2026"/>
        <item x="199"/>
        <item x="312"/>
        <item x="646"/>
        <item x="2777"/>
        <item x="3214"/>
        <item x="2725"/>
        <item x="4109"/>
        <item x="1010"/>
        <item x="1414"/>
        <item x="2351"/>
        <item x="355"/>
        <item x="1723"/>
        <item x="3089"/>
        <item x="705"/>
        <item x="1341"/>
        <item x="992"/>
        <item x="3558"/>
        <item x="3866"/>
        <item x="271"/>
        <item x="1323"/>
        <item x="2193"/>
        <item x="2387"/>
        <item x="2238"/>
        <item x="1347"/>
        <item x="669"/>
        <item x="3717"/>
        <item x="3514"/>
        <item x="3154"/>
        <item x="4083"/>
        <item x="4074"/>
        <item x="3979"/>
        <item x="4057"/>
        <item x="2782"/>
        <item x="1675"/>
        <item x="3836"/>
        <item x="860"/>
        <item x="3294"/>
        <item x="1634"/>
        <item x="3164"/>
        <item x="967"/>
        <item x="3748"/>
        <item x="2764"/>
        <item x="3293"/>
        <item x="248"/>
        <item x="1969"/>
        <item x="3714"/>
        <item x="2349"/>
        <item x="2037"/>
        <item x="2565"/>
        <item x="780"/>
        <item x="1953"/>
        <item x="1714"/>
        <item x="2556"/>
        <item x="20"/>
        <item x="4250"/>
        <item x="2739"/>
        <item x="801"/>
        <item x="4076"/>
        <item x="844"/>
        <item x="2201"/>
        <item x="3073"/>
        <item x="3755"/>
        <item x="2629"/>
        <item x="862"/>
        <item x="557"/>
        <item x="3918"/>
        <item x="2491"/>
        <item x="2984"/>
        <item x="887"/>
        <item x="2974"/>
        <item x="461"/>
        <item x="4156"/>
        <item x="1106"/>
        <item x="986"/>
        <item x="1901"/>
        <item x="3429"/>
        <item x="3652"/>
        <item x="4245"/>
        <item x="304"/>
        <item x="1766"/>
        <item x="1142"/>
        <item x="530"/>
        <item x="1777"/>
        <item x="3344"/>
        <item x="1830"/>
        <item x="1444"/>
        <item x="2728"/>
        <item x="4512"/>
        <item x="2846"/>
        <item x="4574"/>
        <item x="2731"/>
        <item x="3314"/>
        <item x="702"/>
        <item x="2884"/>
        <item x="4267"/>
        <item x="2971"/>
        <item x="2869"/>
        <item x="2168"/>
        <item x="1096"/>
        <item x="3171"/>
        <item x="2867"/>
        <item x="206"/>
        <item x="3317"/>
        <item x="2259"/>
        <item x="153"/>
        <item x="408"/>
        <item x="3887"/>
        <item x="1963"/>
        <item x="2655"/>
        <item x="3549"/>
        <item x="2266"/>
        <item x="1835"/>
        <item x="1089"/>
        <item x="2215"/>
        <item x="2471"/>
        <item x="3203"/>
        <item x="3461"/>
        <item x="133"/>
        <item x="3563"/>
        <item x="2551"/>
        <item x="389"/>
        <item x="2336"/>
        <item x="3478"/>
        <item x="2691"/>
        <item x="1954"/>
        <item x="4331"/>
        <item x="4369"/>
        <item x="4558"/>
        <item x="1406"/>
        <item x="2358"/>
        <item x="3197"/>
        <item x="194"/>
        <item x="349"/>
        <item x="3586"/>
        <item x="1405"/>
        <item x="2665"/>
        <item x="4568"/>
        <item x="4148"/>
        <item x="4482"/>
        <item x="420"/>
        <item x="4144"/>
        <item x="1823"/>
        <item x="189"/>
        <item x="1688"/>
        <item x="2071"/>
        <item x="241"/>
        <item x="3547"/>
        <item x="3757"/>
        <item x="4124"/>
        <item x="4088"/>
        <item x="587"/>
        <item x="4328"/>
        <item x="3282"/>
        <item x="4244"/>
        <item x="1126"/>
        <item x="2060"/>
        <item x="1755"/>
        <item x="2422"/>
        <item x="1256"/>
        <item x="3014"/>
        <item x="2209"/>
        <item x="4018"/>
        <item x="1983"/>
        <item x="3084"/>
        <item x="3159"/>
        <item x="3692"/>
        <item x="629"/>
        <item x="1974"/>
        <item x="3444"/>
        <item x="4123"/>
        <item x="3793"/>
        <item x="63"/>
        <item x="761"/>
        <item x="1799"/>
        <item x="4190"/>
        <item x="803"/>
        <item x="2967"/>
        <item x="767"/>
        <item x="3320"/>
        <item x="4359"/>
        <item x="3192"/>
        <item x="181"/>
        <item x="782"/>
        <item x="4547"/>
        <item x="177"/>
        <item x="4043"/>
        <item x="185"/>
        <item x="925"/>
        <item x="1374"/>
        <item x="4277"/>
        <item x="788"/>
        <item x="3379"/>
        <item x="692"/>
        <item x="1818"/>
        <item x="744"/>
        <item x="219"/>
        <item x="211"/>
        <item x="2133"/>
        <item x="3898"/>
        <item x="2157"/>
        <item x="1984"/>
        <item x="3743"/>
        <item x="3600"/>
        <item x="579"/>
        <item x="2068"/>
        <item x="3919"/>
        <item x="1593"/>
        <item x="1000"/>
        <item x="3695"/>
        <item x="3604"/>
        <item x="10"/>
        <item x="4513"/>
        <item x="2698"/>
        <item x="187"/>
        <item x="2195"/>
        <item x="1817"/>
        <item x="4313"/>
        <item x="2222"/>
        <item x="4517"/>
        <item x="3205"/>
        <item x="2061"/>
        <item x="3488"/>
        <item x="2570"/>
        <item x="33"/>
        <item x="2637"/>
        <item x="2959"/>
        <item x="4065"/>
        <item x="2946"/>
        <item x="2340"/>
        <item x="4152"/>
        <item x="71"/>
        <item x="2482"/>
        <item x="1810"/>
        <item x="4239"/>
        <item x="4220"/>
        <item x="3091"/>
        <item x="356"/>
        <item x="914"/>
        <item x="556"/>
        <item x="1293"/>
        <item x="1674"/>
        <item x="4141"/>
        <item x="2747"/>
        <item x="4203"/>
        <item x="1101"/>
        <item x="2103"/>
        <item x="348"/>
        <item x="3481"/>
        <item x="3384"/>
        <item x="551"/>
        <item x="1728"/>
        <item x="1489"/>
        <item x="3700"/>
        <item x="2994"/>
        <item x="1485"/>
        <item x="2997"/>
        <item x="4129"/>
        <item x="1447"/>
        <item x="247"/>
        <item x="1091"/>
        <item x="1112"/>
        <item x="2972"/>
        <item x="455"/>
        <item x="3503"/>
        <item x="944"/>
        <item x="38"/>
        <item x="856"/>
        <item x="765"/>
        <item x="17"/>
        <item x="4177"/>
        <item x="2626"/>
        <item x="3241"/>
        <item x="1890"/>
        <item x="4120"/>
        <item x="2411"/>
        <item x="1710"/>
        <item x="2817"/>
        <item x="529"/>
        <item x="3751"/>
        <item x="4389"/>
        <item x="4604"/>
        <item x="4231"/>
        <item x="3742"/>
        <item x="870"/>
        <item x="1821"/>
        <item x="1955"/>
        <item x="3539"/>
        <item x="3965"/>
        <item x="1592"/>
        <item x="3388"/>
        <item x="3416"/>
        <item x="1846"/>
        <item x="2354"/>
        <item x="855"/>
        <item x="98"/>
        <item x="238"/>
        <item x="3359"/>
        <item x="2200"/>
        <item x="4567"/>
        <item x="2144"/>
        <item x="3196"/>
        <item x="1780"/>
        <item x="3080"/>
        <item x="3498"/>
        <item x="3739"/>
        <item x="1403"/>
        <item x="3966"/>
        <item x="718"/>
        <item x="1231"/>
        <item x="1951"/>
        <item x="1014"/>
        <item x="2460"/>
        <item x="334"/>
        <item x="4242"/>
        <item x="1216"/>
        <item x="39"/>
        <item x="144"/>
        <item x="3515"/>
        <item x="2700"/>
        <item x="4415"/>
        <item x="4118"/>
        <item x="3245"/>
        <item x="3278"/>
        <item x="882"/>
        <item x="4182"/>
        <item x="482"/>
        <item x="4098"/>
        <item x="897"/>
        <item x="3796"/>
        <item x="4536"/>
        <item x="3053"/>
        <item x="4566"/>
        <item x="4447"/>
        <item x="2816"/>
        <item x="3308"/>
        <item x="2464"/>
        <item x="809"/>
        <item x="3109"/>
        <item x="609"/>
        <item x="1337"/>
        <item x="2502"/>
        <item x="4594"/>
        <item x="3396"/>
        <item x="2217"/>
        <item x="1813"/>
        <item x="3715"/>
        <item x="309"/>
        <item x="384"/>
        <item x="1946"/>
        <item x="1985"/>
        <item x="514"/>
        <item x="4532"/>
        <item x="3456"/>
        <item x="990"/>
        <item x="1316"/>
        <item x="28"/>
        <item x="1912"/>
        <item x="245"/>
        <item x="674"/>
        <item x="636"/>
        <item x="3092"/>
        <item x="4631"/>
        <item x="513"/>
        <item x="96"/>
        <item x="871"/>
        <item x="4279"/>
        <item x="806"/>
        <item x="571"/>
        <item x="4653"/>
        <item x="284"/>
        <item x="2207"/>
        <item x="32"/>
        <item x="3962"/>
        <item x="4449"/>
        <item x="2070"/>
        <item x="2386"/>
        <item x="2219"/>
        <item x="899"/>
        <item x="2066"/>
        <item x="2483"/>
        <item x="1027"/>
        <item x="1523"/>
        <item x="1273"/>
        <item x="2577"/>
        <item x="2674"/>
        <item x="2224"/>
        <item x="3256"/>
        <item x="2873"/>
        <item x="592"/>
        <item x="2487"/>
        <item x="3611"/>
        <item x="30"/>
        <item x="1085"/>
        <item x="3"/>
        <item x="2362"/>
        <item x="4023"/>
        <item x="2114"/>
        <item x="1734"/>
        <item x="2485"/>
        <item x="1242"/>
        <item x="3822"/>
        <item x="3140"/>
        <item x="2799"/>
        <item x="3669"/>
        <item x="3716"/>
        <item x="1497"/>
        <item x="1743"/>
        <item x="1804"/>
        <item x="584"/>
        <item x="2146"/>
        <item x="4548"/>
        <item x="4142"/>
        <item x="1941"/>
        <item x="4665"/>
        <item x="2591"/>
        <item x="174"/>
        <item x="4469"/>
        <item x="1888"/>
        <item x="3735"/>
        <item x="6"/>
        <item x="4473"/>
        <item x="341"/>
        <item x="2741"/>
        <item x="604"/>
        <item x="2389"/>
        <item x="4569"/>
        <item x="15"/>
        <item x="2135"/>
        <item x="1753"/>
        <item x="119"/>
        <item x="3201"/>
        <item x="575"/>
        <item x="1625"/>
        <item x="1300"/>
        <item x="3048"/>
        <item x="3202"/>
        <item x="323"/>
        <item x="1678"/>
        <item x="2792"/>
        <item x="2423"/>
        <item x="1203"/>
        <item x="232"/>
        <item x="448"/>
        <item x="2670"/>
        <item x="3286"/>
        <item x="781"/>
        <item x="1288"/>
        <item x="210"/>
        <item x="1681"/>
        <item x="840"/>
        <item x="916"/>
        <item x="2031"/>
        <item x="1087"/>
        <item x="3815"/>
        <item x="1873"/>
        <item x="434"/>
        <item x="764"/>
        <item x="3566"/>
        <item x="4265"/>
        <item x="3207"/>
        <item x="1445"/>
        <item x="3045"/>
        <item x="2614"/>
        <item x="1422"/>
        <item x="3696"/>
        <item x="2505"/>
        <item x="4421"/>
        <item x="108"/>
        <item x="1454"/>
        <item x="2353"/>
        <item x="891"/>
        <item x="1022"/>
        <item x="1179"/>
        <item x="1882"/>
        <item x="1227"/>
        <item x="3958"/>
        <item x="3665"/>
        <item x="4565"/>
        <item x="4306"/>
        <item x="635"/>
        <item x="4138"/>
        <item x="24"/>
        <item x="2046"/>
        <item x="1663"/>
        <item x="443"/>
        <item x="62"/>
        <item x="311"/>
        <item x="4136"/>
        <item x="243"/>
        <item x="828"/>
        <item x="4122"/>
        <item x="1297"/>
        <item x="4033"/>
        <item x="2554"/>
        <item x="1618"/>
        <item x="979"/>
        <item x="3198"/>
        <item x="1372"/>
        <item x="1513"/>
        <item x="1919"/>
        <item x="321"/>
        <item x="2651"/>
        <item x="1308"/>
        <item x="1787"/>
        <item x="4051"/>
        <item x="3785"/>
        <item x="267"/>
        <item x="4459"/>
        <item x="4233"/>
        <item x="2506"/>
        <item x="2228"/>
        <item x="338"/>
        <item x="1213"/>
        <item x="742"/>
        <item x="2409"/>
        <item x="1496"/>
        <item x="2586"/>
        <item x="721"/>
        <item x="2263"/>
        <item x="2475"/>
        <item x="297"/>
        <item x="2568"/>
        <item x="4009"/>
        <item x="4400"/>
        <item x="4395"/>
        <item x="3422"/>
        <item x="553"/>
        <item x="905"/>
        <item x="2261"/>
        <item x="3633"/>
        <item x="3161"/>
        <item x="4388"/>
        <item x="480"/>
        <item x="3591"/>
        <item x="523"/>
        <item x="1721"/>
        <item x="246"/>
        <item x="1157"/>
        <item x="3776"/>
        <item x="1957"/>
        <item x="2911"/>
        <item x="4167"/>
        <item x="1854"/>
        <item x="1992"/>
        <item x="1646"/>
        <item x="259"/>
        <item x="1350"/>
        <item x="3499"/>
        <item x="1725"/>
        <item x="2609"/>
        <item x="520"/>
        <item x="1331"/>
        <item x="2405"/>
        <item x="2394"/>
        <item x="726"/>
        <item x="4178"/>
        <item x="2752"/>
        <item x="3674"/>
        <item x="471"/>
        <item x="4211"/>
        <item x="57"/>
        <item x="1599"/>
        <item x="2520"/>
        <item x="3156"/>
        <item x="75"/>
        <item x="2241"/>
        <item x="3421"/>
        <item x="282"/>
        <item x="4006"/>
        <item x="1117"/>
        <item x="388"/>
        <item x="778"/>
        <item x="1103"/>
        <item x="649"/>
        <item x="896"/>
        <item x="3335"/>
        <item x="3242"/>
        <item x="2055"/>
        <item x="2484"/>
        <item x="1380"/>
        <item x="1494"/>
        <item x="2814"/>
        <item x="3718"/>
        <item x="846"/>
        <item x="492"/>
        <item x="1809"/>
        <item x="3931"/>
        <item x="1498"/>
        <item x="4090"/>
        <item x="3719"/>
        <item x="4545"/>
        <item x="3769"/>
        <item x="2983"/>
        <item x="2928"/>
        <item x="2002"/>
        <item x="1611"/>
        <item x="589"/>
        <item x="1791"/>
        <item x="277"/>
        <item x="1021"/>
        <item x="3655"/>
        <item x="3625"/>
        <item x="664"/>
        <item x="3856"/>
        <item x="2692"/>
        <item x="2581"/>
        <item x="3632"/>
        <item x="1253"/>
        <item x="2499"/>
        <item x="4300"/>
        <item x="4434"/>
        <item x="1029"/>
        <item x="4504"/>
        <item x="137"/>
        <item x="4494"/>
        <item x="2806"/>
        <item x="774"/>
        <item x="1284"/>
        <item x="84"/>
        <item x="2303"/>
        <item x="2436"/>
        <item x="2576"/>
        <item x="1248"/>
        <item x="431"/>
        <item x="3324"/>
        <item x="4436"/>
        <item x="3219"/>
        <item x="4131"/>
        <item x="1748"/>
        <item x="3449"/>
        <item x="2988"/>
        <item x="2930"/>
        <item x="1642"/>
        <item x="3634"/>
        <item x="3001"/>
        <item x="2214"/>
        <item x="3397"/>
        <item x="46"/>
        <item x="582"/>
        <item x="4192"/>
        <item x="313"/>
        <item x="2467"/>
        <item x="3265"/>
        <item x="2613"/>
        <item x="2832"/>
        <item x="422"/>
        <item x="2649"/>
        <item x="3217"/>
        <item x="3386"/>
        <item x="591"/>
        <item x="1390"/>
        <item x="2973"/>
        <item x="2500"/>
        <item x="463"/>
        <item x="4208"/>
        <item x="4056"/>
        <item x="2845"/>
        <item x="849"/>
        <item x="957"/>
        <item x="2952"/>
        <item x="16"/>
        <item x="1165"/>
        <item x="484"/>
        <item x="317"/>
        <item x="1972"/>
        <item x="4347"/>
        <item x="40"/>
        <item x="1135"/>
        <item x="3612"/>
        <item x="4448"/>
        <item x="660"/>
        <item x="2056"/>
        <item x="2822"/>
        <item x="4225"/>
        <item x="779"/>
        <item x="3114"/>
        <item x="4371"/>
        <item x="1068"/>
        <item x="1774"/>
        <item x="2544"/>
        <item x="1814"/>
        <item x="2407"/>
        <item x="4095"/>
        <item x="4466"/>
        <item x="445"/>
        <item x="2627"/>
        <item x="1492"/>
        <item x="3257"/>
        <item x="3403"/>
        <item x="565"/>
        <item x="3701"/>
        <item x="1290"/>
        <item x="2663"/>
        <item x="2886"/>
        <item x="3079"/>
        <item x="1342"/>
        <item x="3867"/>
        <item x="1795"/>
        <item x="3777"/>
        <item x="4480"/>
        <item x="2519"/>
        <item x="151"/>
        <item x="2925"/>
        <item x="580"/>
        <item x="462"/>
        <item x="2166"/>
        <item x="1049"/>
        <item x="3062"/>
        <item x="3487"/>
        <item x="3821"/>
        <item x="821"/>
        <item x="1556"/>
        <item x="1166"/>
        <item x="1612"/>
        <item x="3043"/>
        <item x="586"/>
        <item x="4168"/>
        <item x="1354"/>
        <item x="3298"/>
        <item x="1784"/>
        <item x="2642"/>
        <item x="3475"/>
        <item x="3994"/>
        <item x="21"/>
        <item x="512"/>
        <item x="2151"/>
        <item x="4321"/>
        <item x="3022"/>
        <item x="2688"/>
        <item x="208"/>
        <item x="1040"/>
        <item x="2371"/>
        <item x="222"/>
        <item x="4575"/>
        <item x="4645"/>
        <item x="3936"/>
        <item x="2415"/>
        <item x="1144"/>
        <item x="3212"/>
        <item x="506"/>
        <item x="4303"/>
        <item x="558"/>
        <item x="1856"/>
        <item x="1897"/>
        <item x="4527"/>
        <item x="3295"/>
        <item x="3601"/>
        <item x="1015"/>
        <item x="1304"/>
        <item x="4541"/>
        <item x="2410"/>
        <item x="2232"/>
        <item x="2531"/>
        <item x="2172"/>
        <item x="1648"/>
        <item x="4540"/>
        <item x="3802"/>
        <item x="4259"/>
        <item x="298"/>
        <item x="347"/>
        <item x="2936"/>
        <item x="4618"/>
        <item x="2538"/>
        <item x="1362"/>
        <item x="937"/>
        <item x="4399"/>
        <item x="1553"/>
        <item x="2787"/>
        <item x="4404"/>
        <item x="2901"/>
        <item x="2288"/>
        <item x="1905"/>
        <item x="3283"/>
        <item x="725"/>
        <item x="3270"/>
        <item x="3482"/>
        <item x="3675"/>
        <item x="1058"/>
        <item x="165"/>
        <item x="4396"/>
        <item x="1545"/>
        <item x="4393"/>
        <item x="3883"/>
        <item x="2648"/>
        <item x="3020"/>
        <item x="82"/>
        <item x="4496"/>
        <item x="2766"/>
        <item x="2119"/>
        <item x="2062"/>
        <item x="2469"/>
        <item x="81"/>
        <item x="2753"/>
        <item x="3927"/>
        <item x="913"/>
        <item x="2572"/>
        <item x="2452"/>
        <item x="4169"/>
        <item x="1726"/>
        <item x="1324"/>
        <item x="4633"/>
        <item x="4061"/>
        <item x="3687"/>
        <item x="2376"/>
        <item x="3667"/>
        <item x="1976"/>
        <item x="1351"/>
        <item x="4557"/>
        <item x="1208"/>
        <item x="444"/>
        <item x="2095"/>
        <item x="1502"/>
        <item x="601"/>
        <item x="1477"/>
        <item x="292"/>
        <item x="2309"/>
        <item x="2669"/>
        <item x="632"/>
        <item x="1705"/>
        <item x="1754"/>
        <item x="3070"/>
        <item x="3404"/>
        <item x="301"/>
        <item x="1340"/>
        <item x="3835"/>
        <item x="933"/>
        <item x="1169"/>
        <item x="1008"/>
        <item x="1836"/>
        <item x="1686"/>
        <item x="2240"/>
        <item x="2584"/>
        <item x="3988"/>
        <item x="417"/>
        <item x="2860"/>
        <item x="3615"/>
        <item x="1263"/>
        <item x="3750"/>
        <item x="3260"/>
        <item x="4370"/>
        <item x="1869"/>
        <item x="4204"/>
        <item x="3987"/>
        <item x="1326"/>
        <item x="817"/>
        <item x="3603"/>
        <item x="1616"/>
        <item x="2342"/>
        <item x="1973"/>
        <item x="1859"/>
        <item x="2347"/>
        <item x="1440"/>
        <item x="1889"/>
        <item x="4455"/>
        <item x="4189"/>
        <item x="2326"/>
        <item x="3357"/>
        <item x="699"/>
        <item x="1098"/>
        <item x="3745"/>
        <item x="432"/>
        <item x="316"/>
        <item x="1355"/>
        <item x="4038"/>
        <item x="2929"/>
        <item x="166"/>
        <item x="263"/>
        <item x="3222"/>
        <item x="1282"/>
        <item x="2188"/>
        <item x="172"/>
        <item x="935"/>
        <item x="149"/>
        <item x="307"/>
        <item x="3229"/>
        <item x="4339"/>
        <item x="3321"/>
        <item x="2549"/>
        <item x="966"/>
        <item x="544"/>
        <item x="1344"/>
        <item x="1209"/>
        <item x="2631"/>
        <item x="1228"/>
        <item x="4298"/>
        <item x="2057"/>
        <item x="4164"/>
        <item x="1516"/>
        <item x="607"/>
        <item x="1137"/>
        <item x="2330"/>
        <item x="1803"/>
        <item x="468"/>
        <item x="377"/>
        <item x="547"/>
        <item x="1129"/>
        <item x="3471"/>
        <item x="110"/>
        <item x="3433"/>
        <item x="3339"/>
        <item x="4362"/>
        <item x="3617"/>
        <item x="1412"/>
        <item x="1139"/>
        <item x="762"/>
        <item x="2723"/>
        <item x="483"/>
        <item x="2417"/>
        <item x="4507"/>
        <item x="250"/>
        <item x="610"/>
        <item x="3086"/>
        <item x="2588"/>
        <item x="396"/>
        <item x="3760"/>
        <item x="2945"/>
        <item x="2821"/>
        <item x="3479"/>
        <item x="2421"/>
        <item x="217"/>
        <item x="4045"/>
        <item x="527"/>
        <item x="2657"/>
        <item x="1383"/>
        <item x="2517"/>
        <item x="787"/>
        <item x="2317"/>
        <item x="1857"/>
        <item x="643"/>
        <item x="1987"/>
        <item x="3373"/>
        <item x="1522"/>
        <item x="684"/>
        <item x="3738"/>
        <item x="193"/>
        <item x="906"/>
        <item x="1519"/>
        <item x="4236"/>
        <item x="2178"/>
        <item x="4413"/>
        <item x="1627"/>
        <item x="3813"/>
        <item x="1615"/>
        <item x="4644"/>
        <item x="2023"/>
        <item x="518"/>
        <item x="220"/>
        <item x="43"/>
        <item x="1193"/>
        <item x="2011"/>
        <item x="2857"/>
        <item x="2900"/>
        <item x="843"/>
        <item x="3235"/>
        <item x="418"/>
        <item x="522"/>
        <item x="912"/>
        <item x="1090"/>
        <item x="2758"/>
        <item x="3131"/>
        <item x="4224"/>
        <item x="2113"/>
        <item x="202"/>
        <item x="1028"/>
        <item x="3322"/>
        <item x="886"/>
        <item x="654"/>
        <item x="3176"/>
        <item x="2578"/>
        <item x="3542"/>
        <item x="2155"/>
        <item x="552"/>
        <item x="728"/>
        <item x="3313"/>
        <item x="2024"/>
        <item x="68"/>
        <item x="4280"/>
        <item x="4642"/>
        <item x="1387"/>
        <item x="3552"/>
        <item x="2769"/>
        <item x="2919"/>
        <item x="4414"/>
        <item x="1175"/>
        <item x="4016"/>
        <item x="3337"/>
        <item x="1540"/>
        <item x="1024"/>
        <item x="2246"/>
        <item x="3573"/>
        <item x="3506"/>
        <item x="381"/>
        <item x="599"/>
        <item x="1567"/>
        <item x="1761"/>
        <item x="3501"/>
        <item x="3347"/>
        <item x="2918"/>
        <item x="3220"/>
        <item x="2737"/>
        <item x="3877"/>
        <item x="2262"/>
        <item x="1039"/>
        <item x="2143"/>
        <item x="1011"/>
        <item x="4206"/>
        <item x="3141"/>
        <item x="1309"/>
        <item x="3903"/>
        <item x="2707"/>
        <item x="358"/>
        <item x="4423"/>
        <item x="131"/>
        <item x="3139"/>
        <item x="989"/>
        <item x="1622"/>
        <item x="1623"/>
        <item x="3228"/>
        <item x="1120"/>
        <item x="3968"/>
        <item x="2863"/>
        <item x="3594"/>
        <item x="698"/>
        <item x="4573"/>
        <item x="890"/>
        <item x="517"/>
        <item x="3253"/>
        <item x="1745"/>
        <item x="4101"/>
        <item x="1790"/>
        <item x="2093"/>
        <item x="800"/>
        <item x="1343"/>
        <item x="433"/>
        <item x="4047"/>
        <item x="875"/>
        <item x="3762"/>
        <item x="1376"/>
        <item x="1574"/>
        <item x="403"/>
        <item x="4270"/>
        <item x="2449"/>
        <item x="750"/>
        <item x="538"/>
        <item x="112"/>
        <item x="993"/>
        <item x="3545"/>
        <item x="435"/>
        <item x="3592"/>
        <item x="867"/>
        <item x="2291"/>
        <item x="60"/>
        <item x="1594"/>
        <item x="162"/>
        <item x="1348"/>
        <item x="2089"/>
        <item x="3497"/>
        <item x="2167"/>
        <item x="873"/>
        <item x="2673"/>
        <item x="1529"/>
        <item x="1944"/>
        <item x="730"/>
        <item x="1247"/>
        <item x="2302"/>
        <item x="982"/>
        <item x="4580"/>
        <item x="546"/>
        <item x="1283"/>
        <item x="2295"/>
        <item x="2904"/>
        <item x="1851"/>
        <item x="2059"/>
        <item x="2379"/>
        <item x="362"/>
        <item x="2175"/>
        <item x="508"/>
        <item x="680"/>
        <item x="4606"/>
        <item x="4102"/>
        <item x="1113"/>
        <item x="4525"/>
        <item x="3300"/>
        <item x="4385"/>
        <item x="2539"/>
        <item x="4402"/>
        <item x="4360"/>
        <item x="2109"/>
        <item x="3230"/>
        <item x="531"/>
        <item x="1792"/>
        <item x="851"/>
        <item x="1782"/>
        <item x="2433"/>
        <item x="3670"/>
        <item x="3873"/>
        <item x="3916"/>
        <item x="1993"/>
        <item x="1174"/>
        <item x="2856"/>
        <item x="3799"/>
        <item x="1145"/>
        <item x="4157"/>
        <item x="789"/>
        <item x="1673"/>
        <item x="820"/>
        <item x="733"/>
        <item x="4425"/>
        <item x="3169"/>
        <item x="3144"/>
        <item x="3399"/>
        <item x="4325"/>
        <item x="1044"/>
        <item x="2940"/>
        <item x="3356"/>
        <item x="150"/>
        <item x="1364"/>
        <item x="2564"/>
        <item x="3346"/>
        <item x="963"/>
        <item x="3326"/>
        <item x="2112"/>
        <item x="3779"/>
        <item x="4634"/>
        <item x="3504"/>
        <item x="3728"/>
        <item x="2905"/>
        <item x="4465"/>
        <item x="1581"/>
        <item x="4652"/>
        <item x="715"/>
        <item x="1578"/>
        <item x="734"/>
        <item x="4357"/>
        <item x="1449"/>
        <item x="2676"/>
        <item x="2550"/>
        <item x="493"/>
        <item x="135"/>
        <item x="2703"/>
        <item x="4069"/>
        <item x="2333"/>
        <item x="4444"/>
        <item x="777"/>
        <item x="3844"/>
        <item x="4003"/>
        <item x="4081"/>
        <item x="3569"/>
        <item x="126"/>
        <item x="467"/>
        <item x="2249"/>
        <item x="1262"/>
        <item x="3233"/>
        <item x="4463"/>
        <item x="3474"/>
        <item x="2408"/>
        <item x="4249"/>
        <item x="2274"/>
        <item x="543"/>
        <item x="804"/>
        <item x="3409"/>
        <item x="983"/>
        <item x="3955"/>
        <item x="3733"/>
        <item x="4349"/>
        <item x="3628"/>
        <item x="548"/>
        <item x="2079"/>
        <item x="2173"/>
        <item x="3683"/>
        <item x="391"/>
        <item x="3023"/>
        <item x="4031"/>
        <item x="3956"/>
        <item x="2625"/>
        <item x="2180"/>
        <item x="1917"/>
        <item x="2091"/>
        <item x="545"/>
        <item x="3518"/>
        <item x="1742"/>
        <item x="2508"/>
        <item x="1119"/>
        <item x="346"/>
        <item x="466"/>
        <item x="2182"/>
        <item x="830"/>
        <item x="3125"/>
        <item x="3127"/>
        <item x="1528"/>
        <item x="474"/>
        <item x="192"/>
        <item x="31"/>
        <item x="459"/>
        <item x="141"/>
        <item x="23"/>
        <item x="4427"/>
        <item x="64"/>
        <item x="3004"/>
        <item x="4332"/>
        <item x="671"/>
        <item x="130"/>
        <item x="497"/>
        <item x="4508"/>
        <item x="4311"/>
        <item x="453"/>
        <item x="2438"/>
        <item x="1845"/>
        <item x="606"/>
        <item x="1598"/>
        <item x="2770"/>
        <item x="2783"/>
        <item x="4059"/>
        <item x="4351"/>
        <item x="1407"/>
        <item x="74"/>
        <item x="2329"/>
        <item x="2768"/>
        <item x="2090"/>
        <item x="3343"/>
        <item x="521"/>
        <item x="231"/>
        <item x="2206"/>
        <item x="3555"/>
        <item x="4627"/>
        <item x="861"/>
        <item x="4154"/>
        <item x="1617"/>
        <item x="2953"/>
        <item x="1579"/>
        <item x="4002"/>
        <item x="4283"/>
        <item x="4184"/>
        <item x="619"/>
        <item x="1850"/>
        <item x="289"/>
        <item x="773"/>
        <item x="4140"/>
        <item x="3306"/>
        <item x="3462"/>
        <item x="3949"/>
        <item x="3510"/>
        <item x="3688"/>
        <item x="3333"/>
        <item x="4458"/>
        <item x="2827"/>
        <item x="2512"/>
        <item x="233"/>
        <item x="3774"/>
        <item x="1700"/>
        <item x="360"/>
        <item x="594"/>
        <item x="4641"/>
        <item x="4554"/>
        <item x="2607"/>
        <item x="1720"/>
        <item x="125"/>
        <item x="3215"/>
        <item x="50"/>
        <item x="3115"/>
        <item x="3707"/>
        <item x="2021"/>
        <item x="1177"/>
        <item x="1896"/>
        <item x="4506"/>
        <item x="4341"/>
        <item x="190"/>
        <item x="1160"/>
        <item x="1336"/>
        <item x="1136"/>
        <item x="3512"/>
        <item x="1190"/>
        <item x="2441"/>
        <item x="1357"/>
        <item x="1906"/>
        <item x="2933"/>
        <item x="2308"/>
        <item x="2510"/>
        <item x="1595"/>
        <item x="3507"/>
        <item x="1006"/>
        <item x="1278"/>
        <item x="3486"/>
        <item x="3861"/>
        <item x="204"/>
        <item x="1275"/>
        <item x="4040"/>
        <item x="3304"/>
        <item x="2107"/>
        <item x="2030"/>
        <item x="2015"/>
        <item x="535"/>
        <item x="2902"/>
        <item x="3132"/>
        <item x="2486"/>
        <item x="2872"/>
        <item x="1411"/>
        <item x="1756"/>
        <item x="4322"/>
        <item x="3882"/>
        <item x="109"/>
        <item x="2714"/>
        <item x="4017"/>
        <item x="1717"/>
        <item x="3087"/>
        <item x="1586"/>
        <item x="4615"/>
        <item x="1110"/>
        <item x="3167"/>
        <item x="3922"/>
        <item x="1140"/>
        <item x="1738"/>
        <item x="3019"/>
        <item x="769"/>
        <item x="1072"/>
        <item x="3643"/>
        <item x="876"/>
        <item x="4499"/>
        <item x="2721"/>
        <item x="541"/>
        <item x="980"/>
        <item x="79"/>
        <item x="2029"/>
        <item x="2264"/>
        <item x="959"/>
        <item x="1786"/>
        <item x="2170"/>
        <item x="1088"/>
        <item x="1608"/>
        <item x="4201"/>
        <item x="4500"/>
        <item x="1270"/>
        <item x="2018"/>
        <item x="2915"/>
        <item x="315"/>
        <item x="3310"/>
        <item x="342"/>
        <item x="1641"/>
        <item x="823"/>
        <item x="4014"/>
        <item x="3521"/>
        <item x="4511"/>
        <item x="3078"/>
        <item x="2882"/>
        <item x="4617"/>
        <item x="500"/>
        <item x="3342"/>
        <item x="766"/>
        <item x="2934"/>
        <item x="3976"/>
        <item x="2338"/>
        <item x="653"/>
        <item x="115"/>
        <item x="489"/>
        <item x="94"/>
        <item x="214"/>
        <item x="4365"/>
        <item x="4025"/>
        <item x="236"/>
        <item x="878"/>
        <item x="2494"/>
        <item x="1828"/>
        <item x="4066"/>
        <item x="2656"/>
        <item x="1158"/>
        <item x="2191"/>
        <item x="816"/>
        <item x="738"/>
        <item x="2197"/>
        <item x="3529"/>
        <item x="2077"/>
        <item x="3845"/>
        <item x="3680"/>
        <item x="3983"/>
        <item x="4491"/>
        <item x="1476"/>
        <item x="2065"/>
        <item x="4550"/>
        <item x="1393"/>
        <item x="1009"/>
        <item x="2132"/>
        <item x="1320"/>
        <item x="2453"/>
        <item x="1281"/>
        <item x="2382"/>
        <item x="2736"/>
        <item x="945"/>
        <item x="3400"/>
        <item x="176"/>
        <item x="3371"/>
        <item x="1421"/>
        <item x="2185"/>
        <item x="3438"/>
        <item x="2840"/>
        <item x="666"/>
        <item x="1876"/>
        <item x="4032"/>
        <item x="818"/>
        <item x="1582"/>
        <item x="868"/>
        <item x="749"/>
        <item x="3285"/>
        <item x="2729"/>
        <item x="3893"/>
        <item x="1895"/>
        <item x="183"/>
        <item x="2048"/>
        <item x="3576"/>
        <item x="3018"/>
        <item x="2530"/>
        <item x="1508"/>
        <item x="4044"/>
        <item x="2306"/>
        <item x="4134"/>
        <item x="4578"/>
        <item x="3664"/>
        <item x="3152"/>
        <item x="3473"/>
        <item x="2653"/>
        <item x="2473"/>
        <item x="106"/>
        <item x="4376"/>
        <item x="1471"/>
        <item x="1597"/>
        <item x="1436"/>
        <item x="2514"/>
        <item x="3398"/>
        <item x="2444"/>
        <item x="415"/>
        <item x="2370"/>
        <item x="1653"/>
        <item x="397"/>
        <item x="3377"/>
        <item x="4001"/>
        <item x="3618"/>
        <item x="1862"/>
        <item x="2117"/>
        <item x="1365"/>
        <item x="3996"/>
        <item x="4254"/>
        <item x="1602"/>
        <item x="2120"/>
        <item x="3292"/>
        <item x="2479"/>
        <item x="3353"/>
        <item x="883"/>
        <item x="3090"/>
        <item x="1017"/>
        <item x="1082"/>
        <item x="2311"/>
        <item x="3513"/>
        <item x="1665"/>
        <item x="2587"/>
        <item x="4549"/>
        <item x="836"/>
        <item x="102"/>
        <item x="4592"/>
        <item x="1875"/>
        <item x="2364"/>
        <item x="532"/>
        <item x="2989"/>
        <item x="917"/>
        <item x="4252"/>
        <item x="573"/>
        <item x="1703"/>
        <item x="2522"/>
        <item x="3130"/>
        <item x="1427"/>
        <item x="4037"/>
        <item x="2466"/>
        <item x="4015"/>
        <item x="1339"/>
        <item x="3782"/>
        <item x="2250"/>
        <item x="4367"/>
        <item x="3039"/>
        <item x="4193"/>
        <item x="1541"/>
        <item x="2177"/>
        <item x="2871"/>
        <item x="3147"/>
        <item x="4607"/>
        <item x="704"/>
        <item x="4188"/>
        <item x="946"/>
        <item x="1102"/>
        <item x="549"/>
        <item x="1159"/>
        <item x="2779"/>
        <item x="3135"/>
        <item x="216"/>
        <item x="2042"/>
        <item x="1155"/>
        <item x="835"/>
        <item x="3863"/>
        <item x="4281"/>
        <item x="4296"/>
        <item x="647"/>
        <item x="1959"/>
        <item x="2947"/>
        <item x="4601"/>
        <item x="4616"/>
        <item x="4614"/>
        <item x="4443"/>
        <item x="620"/>
        <item x="4589"/>
        <item x="3993"/>
        <item x="746"/>
        <item x="1352"/>
        <item x="763"/>
        <item x="4409"/>
        <item x="3808"/>
        <item x="2426"/>
        <item x="3056"/>
        <item x="3517"/>
        <item x="1303"/>
        <item x="1062"/>
        <item x="2624"/>
        <item x="1934"/>
        <item x="1317"/>
        <item x="4478"/>
        <item x="3876"/>
        <item x="3541"/>
        <item x="4151"/>
        <item x="2680"/>
        <item x="3837"/>
        <item x="2943"/>
        <item x="977"/>
        <item x="3806"/>
        <item x="2820"/>
        <item x="3516"/>
        <item x="73"/>
        <item x="3405"/>
        <item x="1230"/>
        <item x="841"/>
        <item x="136"/>
        <item x="398"/>
        <item x="2402"/>
        <item x="339"/>
        <item x="2129"/>
        <item x="331"/>
        <item x="1658"/>
        <item x="1654"/>
        <item x="2442"/>
        <item x="1265"/>
        <item x="713"/>
        <item x="2548"/>
        <item x="2610"/>
        <item x="947"/>
        <item x="858"/>
        <item x="3690"/>
        <item x="3579"/>
        <item x="414"/>
        <item x="361"/>
        <item x="390"/>
        <item x="1967"/>
        <item x="941"/>
        <item x="1121"/>
        <item x="4062"/>
        <item x="1577"/>
        <item x="3685"/>
        <item x="852"/>
        <item x="1220"/>
        <item x="1381"/>
        <item x="2154"/>
        <item x="1547"/>
        <item x="3744"/>
        <item x="3362"/>
        <item x="1936"/>
        <item x="2975"/>
        <item x="3939"/>
        <item x="4093"/>
        <item x="1565"/>
        <item x="2189"/>
        <item x="2818"/>
        <item x="454"/>
        <item x="2805"/>
        <item x="2789"/>
        <item x="4433"/>
        <item x="3288"/>
        <item x="3250"/>
        <item x="4128"/>
        <item x="4450"/>
        <item x="2280"/>
        <item x="3610"/>
        <item x="949"/>
        <item x="2239"/>
        <item x="676"/>
        <item x="2893"/>
        <item x="2990"/>
        <item x="1775"/>
        <item x="775"/>
        <item x="1637"/>
        <item x="929"/>
        <item x="3937"/>
        <item x="1424"/>
        <item x="3548"/>
        <item x="2751"/>
        <item x="3741"/>
        <item x="2286"/>
        <item x="857"/>
        <item x="2634"/>
        <item x="3412"/>
        <item x="4629"/>
        <item x="3597"/>
        <item x="4060"/>
        <item x="364"/>
        <item x="1584"/>
        <item x="2202"/>
        <item x="1268"/>
        <item x="1866"/>
        <item x="3208"/>
        <item x="1116"/>
        <item x="2891"/>
        <item x="340"/>
        <item x="2774"/>
        <item x="61"/>
        <item x="2040"/>
        <item x="3211"/>
        <item x="720"/>
        <item x="4293"/>
        <item x="4416"/>
        <item x="2218"/>
        <item x="3970"/>
        <item x="3182"/>
        <item x="3631"/>
        <item x="1930"/>
        <item x="3986"/>
        <item x="1893"/>
        <item x="1292"/>
        <item x="1923"/>
        <item x="1066"/>
        <item x="3623"/>
        <item x="382"/>
        <item x="1546"/>
        <item x="934"/>
        <item x="2810"/>
        <item x="4551"/>
        <item x="2122"/>
        <item x="753"/>
        <item x="4160"/>
        <item x="3175"/>
        <item x="4599"/>
        <item x="1114"/>
        <item x="3491"/>
        <item x="2401"/>
        <item x="3589"/>
        <item x="1603"/>
        <item x="3933"/>
        <item x="3787"/>
        <item x="1831"/>
        <item x="2496"/>
        <item x="4315"/>
        <item x="4623"/>
        <item x="2038"/>
        <item x="657"/>
        <item x="1377"/>
        <item x="3224"/>
        <item x="4163"/>
        <item x="1229"/>
        <item x="386"/>
        <item x="1164"/>
        <item x="802"/>
        <item x="510"/>
        <item x="2635"/>
        <item x="627"/>
        <item x="502"/>
        <item x="41"/>
        <item x="819"/>
        <item x="3561"/>
        <item x="1509"/>
        <item x="4348"/>
        <item x="4106"/>
        <item x="465"/>
        <item x="337"/>
        <item x="154"/>
        <item x="1188"/>
        <item x="2740"/>
        <item x="2993"/>
        <item x="923"/>
        <item x="4073"/>
        <item x="209"/>
        <item x="89"/>
        <item x="4310"/>
        <item x="2639"/>
        <item x="3888"/>
        <item x="1865"/>
        <item x="3781"/>
        <item x="373"/>
        <item x="3034"/>
        <item x="1385"/>
        <item x="3619"/>
        <item x="2052"/>
        <item x="829"/>
        <item x="613"/>
        <item x="2161"/>
        <item x="813"/>
        <item x="2647"/>
        <item x="4205"/>
        <item x="3476"/>
        <item x="1048"/>
        <item x="1037"/>
        <item x="4247"/>
        <item x="4335"/>
        <item x="1194"/>
        <item x="3638"/>
        <item x="4390"/>
        <item x="148"/>
        <item x="3440"/>
        <item x="2597"/>
        <item x="1503"/>
        <item x="4125"/>
        <item x="3773"/>
        <item x="3584"/>
        <item x="218"/>
        <item x="1510"/>
        <item x="3448"/>
        <item x="648"/>
        <item x="2797"/>
        <item x="392"/>
        <item x="4086"/>
        <item x="2277"/>
        <item x="644"/>
        <item x="1384"/>
        <item x="2476"/>
        <item x="3148"/>
        <item x="48"/>
        <item x="2738"/>
        <item x="1246"/>
        <item x="2809"/>
        <item x="928"/>
        <item x="2312"/>
        <item x="2149"/>
        <item x="2980"/>
        <item x="3684"/>
        <item x="3613"/>
        <item x="3736"/>
        <item x="3071"/>
        <item x="1243"/>
        <item x="69"/>
        <item x="3054"/>
        <item x="2318"/>
        <item x="3819"/>
        <item x="4401"/>
        <item x="1154"/>
        <item x="1493"/>
        <item x="53"/>
        <item x="3978"/>
        <item x="156"/>
        <item x="2844"/>
        <item x="1460"/>
        <item x="2194"/>
        <item x="1063"/>
        <item x="393"/>
        <item x="47"/>
        <item x="3770"/>
        <item x="2632"/>
        <item x="3311"/>
        <item x="1115"/>
        <item x="3483"/>
        <item x="3582"/>
        <item x="1860"/>
        <item x="2546"/>
        <item x="3661"/>
        <item x="228"/>
        <item x="3072"/>
        <item x="3044"/>
        <item x="3341"/>
        <item x="4584"/>
        <item x="3763"/>
        <item x="2004"/>
        <item x="2571"/>
        <item x="3275"/>
        <item x="88"/>
        <item x="3042"/>
        <item x="3950"/>
        <item x="2448"/>
        <item x="3010"/>
        <item x="570"/>
        <item x="4637"/>
        <item x="981"/>
        <item x="2072"/>
        <item x="2785"/>
        <item x="1305"/>
        <item x="424"/>
        <item x="4505"/>
        <item x="3216"/>
        <item x="394"/>
        <item x="2012"/>
        <item x="2617"/>
        <item x="2373"/>
        <item x="287"/>
        <item x="1511"/>
        <item x="4407"/>
        <item x="3103"/>
        <item x="4509"/>
        <item x="1306"/>
        <item x="1894"/>
        <item x="286"/>
        <item x="2115"/>
        <item x="2346"/>
        <item x="3040"/>
        <item x="1235"/>
        <item x="1032"/>
        <item x="1378"/>
        <item x="3185"/>
        <item x="1036"/>
        <item x="95"/>
        <item x="696"/>
        <item x="400"/>
        <item x="3789"/>
        <item x="1002"/>
        <item x="1499"/>
        <item x="1469"/>
        <item x="729"/>
        <item x="737"/>
        <item x="2533"/>
        <item x="27"/>
        <item x="2985"/>
        <item x="910"/>
        <item x="2735"/>
        <item x="3984"/>
        <item x="2757"/>
        <item x="3574"/>
        <item x="1937"/>
        <item x="2778"/>
        <item x="1071"/>
        <item x="2183"/>
        <item x="3663"/>
        <item x="3330"/>
        <item x="2284"/>
        <item x="930"/>
        <item x="3729"/>
        <item x="722"/>
        <item x="291"/>
        <item x="3179"/>
        <item x="1488"/>
        <item x="1781"/>
        <item x="4336"/>
        <item x="590"/>
        <item x="146"/>
        <item x="3929"/>
        <item x="1760"/>
        <item x="3206"/>
        <item x="1095"/>
        <item x="2553"/>
        <item x="4418"/>
        <item x="794"/>
        <item x="2611"/>
        <item x="3005"/>
        <item x="4241"/>
        <item x="86"/>
        <item x="428"/>
        <item x="44"/>
        <item x="475"/>
        <item x="3926"/>
        <item x="4020"/>
        <item x="4624"/>
        <item x="1719"/>
        <item x="895"/>
        <item x="3028"/>
        <item x="2921"/>
        <item x="1083"/>
        <item x="3134"/>
        <item x="318"/>
        <item x="2372"/>
        <item x="2162"/>
        <item x="3168"/>
        <item x="3990"/>
        <item x="927"/>
        <item x="1530"/>
        <item x="1798"/>
        <item x="3906"/>
        <item x="1003"/>
        <item x="2192"/>
        <item x="3847"/>
        <item x="1569"/>
        <item x="3465"/>
        <item x="3119"/>
        <item x="1461"/>
        <item x="3232"/>
        <item x="226"/>
        <item x="2419"/>
        <item x="2403"/>
        <item x="2592"/>
        <item x="4292"/>
        <item x="2196"/>
        <item x="1001"/>
        <item x="4585"/>
        <item x="909"/>
        <item x="4147"/>
        <item x="3209"/>
        <item x="2118"/>
        <item x="2672"/>
        <item x="34"/>
        <item x="2874"/>
        <item x="3923"/>
        <item x="1690"/>
        <item x="3088"/>
        <item x="3446"/>
        <item x="969"/>
        <item x="3894"/>
        <item x="1429"/>
        <item x="123"/>
        <item x="452"/>
        <item x="3427"/>
        <item x="2892"/>
        <item x="1716"/>
        <item x="1526"/>
        <item x="3807"/>
        <item x="2468"/>
        <item x="3648"/>
        <item x="1532"/>
        <item x="519"/>
        <item x="505"/>
        <item x="2126"/>
        <item x="1189"/>
        <item x="756"/>
        <item x="1729"/>
        <item x="1201"/>
        <item x="2937"/>
        <item x="3985"/>
        <item x="3657"/>
        <item x="999"/>
        <item x="4064"/>
        <item x="1676"/>
        <item x="973"/>
        <item x="1419"/>
        <item x="91"/>
        <item x="1301"/>
        <item x="3624"/>
        <item x="4304"/>
        <item x="2455"/>
        <item x="1067"/>
        <item x="2392"/>
        <item x="65"/>
        <item x="1656"/>
        <item x="2521"/>
        <item x="3484"/>
        <item x="3264"/>
        <item x="3901"/>
        <item x="1473"/>
        <item x="2032"/>
        <item x="3502"/>
        <item x="614"/>
        <item x="4077"/>
        <item x="2001"/>
        <item x="4191"/>
        <item x="3002"/>
        <item x="1699"/>
        <item x="1640"/>
        <item x="2140"/>
        <item x="3289"/>
        <item x="1644"/>
        <item x="2034"/>
        <item x="1524"/>
        <item x="616"/>
        <item x="3354"/>
        <item x="3992"/>
        <item x="795"/>
        <item x="2923"/>
        <item x="4319"/>
        <item x="351"/>
        <item x="200"/>
        <item x="2903"/>
        <item x="3003"/>
        <item x="3100"/>
        <item x="2762"/>
        <item x="3236"/>
        <item x="3973"/>
        <item x="1122"/>
        <item x="3238"/>
        <item x="2282"/>
        <item x="249"/>
        <item x="2831"/>
        <item x="4135"/>
        <item x="1464"/>
        <item x="3296"/>
        <item x="4271"/>
        <item x="2381"/>
        <item x="1921"/>
        <item x="2033"/>
        <item x="4186"/>
        <item x="3904"/>
        <item x="2991"/>
        <item x="1871"/>
        <item x="383"/>
        <item x="2854"/>
        <item x="940"/>
        <item x="3935"/>
        <item x="3411"/>
        <item x="885"/>
        <item x="845"/>
        <item x="1329"/>
        <item x="2142"/>
        <item x="366"/>
        <item x="3239"/>
        <item x="948"/>
        <item x="353"/>
        <item x="3489"/>
        <item x="257"/>
        <item x="1770"/>
        <item x="1633"/>
        <item x="2914"/>
        <item x="3580"/>
        <item x="1487"/>
        <item x="1053"/>
        <item x="1783"/>
        <item x="395"/>
        <item x="3046"/>
        <item x="2474"/>
        <item x="1802"/>
        <item x="3387"/>
        <item x="1739"/>
        <item x="3975"/>
        <item x="2679"/>
        <item x="2965"/>
        <item x="2169"/>
        <item x="3213"/>
        <item x="2007"/>
        <item x="3537"/>
        <item x="4264"/>
        <item x="1878"/>
        <item x="1382"/>
        <item x="3852"/>
        <item x="2708"/>
        <item x="877"/>
        <item x="1251"/>
        <item x="1271"/>
        <item x="4207"/>
        <item x="1827"/>
        <item x="3009"/>
        <item x="504"/>
        <item x="2966"/>
        <item x="1359"/>
        <item x="2160"/>
        <item x="3895"/>
        <item x="2678"/>
        <item x="1762"/>
        <item x="2377"/>
        <item x="658"/>
        <item x="1252"/>
        <item x="3940"/>
        <item x="1056"/>
        <item x="4560"/>
        <item x="1241"/>
        <item x="1176"/>
        <item x="3598"/>
        <item x="13"/>
        <item x="1302"/>
        <item x="2602"/>
        <item x="1409"/>
        <item x="129"/>
        <item x="645"/>
        <item x="4489"/>
        <item x="799"/>
        <item x="2987"/>
        <item x="3881"/>
        <item x="3811"/>
        <item x="2108"/>
        <item x="237"/>
        <item x="4107"/>
        <item x="1925"/>
        <item x="2137"/>
        <item x="1525"/>
        <item x="625"/>
        <item x="2773"/>
        <item x="650"/>
        <item x="4474"/>
        <item x="1596"/>
        <item x="1844"/>
        <item x="3443"/>
        <item x="943"/>
        <item x="117"/>
        <item x="2375"/>
        <item x="2184"/>
        <item x="336"/>
        <item x="3656"/>
        <item x="2794"/>
        <item x="4097"/>
        <item x="1047"/>
        <item x="3457"/>
        <item x="4649"/>
        <item x="1023"/>
        <item x="3520"/>
        <item x="1631"/>
        <item x="4094"/>
        <item x="3963"/>
        <item x="4363"/>
        <item x="3596"/>
        <item x="147"/>
        <item x="3860"/>
        <item x="1205"/>
        <item x="2287"/>
        <item x="1434"/>
        <item x="2742"/>
        <item x="2028"/>
        <item x="1564"/>
        <item x="4570"/>
        <item x="103"/>
        <item x="1591"/>
        <item x="1391"/>
        <item x="1903"/>
        <item x="4039"/>
        <item x="902"/>
        <item x="501"/>
        <item x="2260"/>
        <item x="3907"/>
        <item x="1490"/>
        <item x="717"/>
        <item x="1750"/>
        <item x="1763"/>
        <item x="2390"/>
        <item x="3671"/>
        <item x="2516"/>
        <item x="2414"/>
        <item x="3535"/>
        <item x="2289"/>
        <item x="3334"/>
        <item x="581"/>
        <item x="3911"/>
        <item x="3116"/>
        <item x="357"/>
        <item x="4646"/>
        <item x="3083"/>
        <item x="3327"/>
        <item x="2345"/>
        <item x="1965"/>
        <item x="3150"/>
        <item x="3041"/>
        <item x="1349"/>
        <item x="2743"/>
        <item x="4638"/>
        <item x="3562"/>
        <item x="3533"/>
        <item x="2755"/>
        <item x="2359"/>
        <item x="2244"/>
        <item x="1722"/>
        <item x="2847"/>
        <item x="1669"/>
        <item x="1118"/>
        <item x="1877"/>
        <item x="4096"/>
        <item x="25"/>
        <item x="2763"/>
        <item x="4408"/>
        <item x="2693"/>
        <item x="4294"/>
        <item x="1127"/>
        <item x="2106"/>
        <item x="3531"/>
        <item x="1880"/>
        <item x="3753"/>
        <item x="1404"/>
        <item x="569"/>
        <item x="4605"/>
        <item x="4183"/>
        <item x="2105"/>
        <item x="4010"/>
        <item x="4050"/>
        <item x="4366"/>
        <item x="4276"/>
        <item x="1741"/>
        <item x="2599"/>
        <item x="1891"/>
        <item x="4350"/>
        <item x="2489"/>
        <item x="3708"/>
        <item x="3593"/>
        <item x="3085"/>
        <item x="2541"/>
        <item x="2498"/>
        <item x="1843"/>
        <item x="2754"/>
        <item x="370"/>
        <item x="4179"/>
        <item x="70"/>
        <item x="2231"/>
        <item x="1274"/>
        <item x="113"/>
        <item x="997"/>
        <item x="2579"/>
        <item x="747"/>
        <item x="101"/>
        <item x="4302"/>
        <item x="1345"/>
        <item x="595"/>
        <item x="880"/>
        <item x="3731"/>
        <item x="2908"/>
        <item x="4172"/>
        <item x="2443"/>
        <item x="4464"/>
        <item x="4411"/>
        <item x="659"/>
        <item x="3436"/>
        <item x="2365"/>
        <item x="4174"/>
        <item x="3678"/>
        <item x="451"/>
        <item x="1272"/>
        <item x="1400"/>
        <item x="1396"/>
        <item x="1033"/>
        <item x="1727"/>
        <item x="3854"/>
        <item x="3151"/>
        <item x="922"/>
        <item x="1437"/>
        <item x="2681"/>
        <item x="2836"/>
        <item x="1064"/>
        <item x="827"/>
        <item x="4581"/>
        <item x="2366"/>
        <item x="2540"/>
        <item x="3451"/>
        <item x="2477"/>
        <item x="1885"/>
        <item x="1538"/>
        <item x="3184"/>
        <item x="745"/>
        <item x="4301"/>
        <item x="458"/>
        <item x="3267"/>
        <item x="3467"/>
        <item x="4170"/>
        <item x="2583"/>
        <item x="4456"/>
        <item x="3543"/>
        <item x="4139"/>
        <item x="3932"/>
        <item x="3472"/>
        <item x="2719"/>
        <item x="4483"/>
        <item x="3097"/>
        <item x="1572"/>
        <item x="4479"/>
        <item x="3697"/>
        <item x="2310"/>
        <item x="3051"/>
        <item x="618"/>
        <item x="498"/>
        <item x="4552"/>
        <item x="2677"/>
        <item x="4219"/>
        <item x="4330"/>
        <item x="3522"/>
        <item x="1439"/>
        <item x="2134"/>
        <item x="2643"/>
        <item x="1025"/>
        <item x="1244"/>
        <item x="3244"/>
        <item x="3227"/>
        <item x="2885"/>
        <item x="3839"/>
        <item x="1224"/>
        <item x="4200"/>
        <item x="2853"/>
        <item x="1463"/>
        <item x="201"/>
        <item x="485"/>
        <item x="2589"/>
        <item x="380"/>
        <item x="1968"/>
        <item x="2470"/>
        <item x="285"/>
        <item x="3556"/>
        <item x="405"/>
        <item x="325"/>
        <item x="631"/>
        <item x="1459"/>
        <item x="3711"/>
        <item x="735"/>
        <item x="3240"/>
        <item x="689"/>
        <item x="2296"/>
        <item x="2557"/>
        <item x="1515"/>
        <item x="230"/>
        <item x="3146"/>
        <item x="3223"/>
        <item x="1180"/>
        <item x="1335"/>
        <item x="534"/>
        <item x="874"/>
        <item x="3410"/>
        <item x="3358"/>
        <item x="4180"/>
        <item x="3058"/>
        <item x="572"/>
        <item x="221"/>
        <item x="1789"/>
        <item x="3602"/>
        <item x="438"/>
        <item x="4320"/>
        <item x="2076"/>
        <item x="2086"/>
        <item x="4079"/>
        <item x="3980"/>
        <item x="7"/>
        <item x="892"/>
        <item x="114"/>
        <item x="1333"/>
        <item x="3585"/>
        <item x="4295"/>
        <item x="387"/>
        <item x="562"/>
        <item x="4452"/>
        <item x="3450"/>
        <item x="4273"/>
        <item x="596"/>
        <item x="3047"/>
        <item x="2781"/>
        <item x="3588"/>
        <item x="741"/>
        <item x="3268"/>
        <item x="4521"/>
        <item x="1191"/>
        <item x="350"/>
        <item x="12"/>
        <item x="1771"/>
        <item x="19"/>
        <item x="2662"/>
        <item x="296"/>
        <item x="807"/>
        <item x="1982"/>
        <item x="2432"/>
        <item x="1819"/>
        <item x="1514"/>
        <item x="1425"/>
        <item x="4013"/>
        <item x="1517"/>
        <item x="832"/>
        <item x="2615"/>
        <item x="3727"/>
        <item x="651"/>
        <item x="2525"/>
        <item x="701"/>
        <item x="695"/>
        <item x="2147"/>
        <item x="608"/>
        <item x="305"/>
        <item x="2156"/>
        <item x="628"/>
        <item x="3021"/>
        <item x="872"/>
        <item x="4435"/>
        <item x="4035"/>
        <item x="2575"/>
        <item x="161"/>
        <item x="3775"/>
        <item x="2563"/>
        <item x="621"/>
        <item x="2399"/>
        <item x="1298"/>
        <item x="3459"/>
        <item x="2528"/>
        <item x="3402"/>
        <item x="1566"/>
        <item x="2251"/>
        <item x="1375"/>
        <item x="998"/>
        <item x="3391"/>
        <item x="2849"/>
        <item x="1998"/>
        <item x="2225"/>
        <item x="4117"/>
        <item x="4403"/>
        <item x="4346"/>
        <item x="1713"/>
        <item x="1042"/>
        <item x="3124"/>
        <item x="3772"/>
        <item x="4210"/>
        <item x="971"/>
        <item x="2328"/>
        <item x="682"/>
        <item x="4314"/>
        <item x="4091"/>
        <item x="640"/>
        <item x="2292"/>
        <item x="3367"/>
        <item x="127"/>
        <item x="3189"/>
        <item x="2866"/>
        <item x="1933"/>
        <item x="1266"/>
        <item x="1744"/>
        <item x="4619"/>
        <item x="413"/>
        <item x="1995"/>
        <item x="2017"/>
        <item x="1079"/>
        <item x="423"/>
        <item x="2220"/>
        <item x="4486"/>
        <item x="2819"/>
        <item x="376"/>
        <item x="299"/>
        <item x="3365"/>
        <item x="1"/>
        <item x="470"/>
        <item x="3544"/>
        <item x="2932"/>
        <item x="1507"/>
        <item x="2912"/>
        <item x="691"/>
        <item x="11"/>
        <item x="2513"/>
        <item x="3599"/>
        <item x="3026"/>
        <item x="3112"/>
        <item x="3798"/>
        <item x="3194"/>
        <item x="3364"/>
        <item x="2535"/>
        <item x="3677"/>
        <item x="2092"/>
        <item x="3702"/>
        <item x="3441"/>
        <item x="4498"/>
        <item x="3218"/>
        <item x="1709"/>
        <item x="2234"/>
        <item x="4119"/>
        <item x="3834"/>
        <item x="1816"/>
        <item x="3767"/>
        <item x="2712"/>
        <item x="2661"/>
        <item x="416"/>
        <item x="3325"/>
        <item x="686"/>
        <item x="515"/>
        <item x="2075"/>
        <item x="4377"/>
        <item x="3340"/>
        <item x="2121"/>
        <item x="378"/>
        <item x="2808"/>
        <item x="3204"/>
        <item x="1075"/>
        <item x="3067"/>
        <item x="4067"/>
        <item x="2319"/>
        <item x="2605"/>
        <item x="3896"/>
        <item x="308"/>
        <item x="2437"/>
        <item x="3104"/>
        <item x="3355"/>
        <item x="4262"/>
        <item x="3953"/>
        <item x="3848"/>
        <item x="2357"/>
        <item x="2190"/>
        <item x="1147"/>
        <item x="2227"/>
        <item x="4648"/>
        <item x="931"/>
        <item x="3277"/>
        <item x="1752"/>
        <item x="365"/>
        <item x="938"/>
        <item x="4008"/>
        <item x="833"/>
        <item x="4381"/>
        <item x="503"/>
        <item x="4639"/>
        <item x="3329"/>
        <item x="2321"/>
        <item x="1443"/>
        <item x="1767"/>
        <item x="2772"/>
        <item x="2492"/>
        <item x="2324"/>
        <item x="3262"/>
        <item x="35"/>
        <item x="473"/>
        <item x="3509"/>
        <item x="2050"/>
        <item x="4523"/>
        <item x="2802"/>
        <item x="2977"/>
        <item x="4269"/>
        <item x="932"/>
        <item x="1322"/>
        <item x="3730"/>
        <item x="2573"/>
        <item x="157"/>
        <item x="3869"/>
        <item x="1812"/>
        <item x="739"/>
        <item x="3063"/>
        <item x="3231"/>
        <item x="1609"/>
        <item x="3210"/>
        <item x="3554"/>
        <item x="2956"/>
        <item x="2968"/>
        <item x="4345"/>
        <item x="1747"/>
        <item x="2664"/>
        <item x="4611"/>
        <item x="2412"/>
        <item x="4559"/>
        <item x="3959"/>
        <item x="1279"/>
        <item x="525"/>
        <item x="4579"/>
        <item x="2297"/>
        <item x="3915"/>
        <item x="3826"/>
        <item x="3960"/>
        <item x="1045"/>
        <item x="1327"/>
        <item x="2301"/>
        <item x="2545"/>
        <item x="869"/>
        <item x="4318"/>
        <item x="2582"/>
        <item x="4230"/>
        <item x="1185"/>
        <item x="2523"/>
        <item x="1758"/>
        <item x="2331"/>
        <item x="2125"/>
        <item x="793"/>
        <item x="2897"/>
        <item x="2230"/>
        <item x="593"/>
        <item x="2926"/>
        <item x="711"/>
        <item x="4429"/>
        <item x="3972"/>
        <item x="615"/>
        <item x="1605"/>
        <item x="3891"/>
        <item x="2153"/>
        <item x="3790"/>
        <item x="425"/>
        <item x="3791"/>
        <item x="2697"/>
        <item x="2532"/>
        <item x="2298"/>
        <item x="1852"/>
        <item x="1234"/>
        <item x="1500"/>
        <item x="3969"/>
        <item x="4223"/>
        <item x="2838"/>
        <item x="1105"/>
        <item x="1236"/>
        <item x="797"/>
        <item x="4600"/>
        <item x="516"/>
        <item x="790"/>
        <item x="1319"/>
        <item x="893"/>
        <item x="3390"/>
        <item x="1307"/>
        <item x="2236"/>
        <item x="4114"/>
        <item x="2258"/>
        <item x="3174"/>
        <item x="2383"/>
        <item x="3470"/>
        <item x="3917"/>
        <item x="4372"/>
        <item x="1479"/>
        <item x="4613"/>
        <item x="4643"/>
        <item x="2294"/>
        <item x="1200"/>
        <item x="4515"/>
        <item x="3431"/>
        <item x="1451"/>
        <item x="496"/>
        <item x="4323"/>
        <item x="1643"/>
        <item x="3868"/>
        <item x="2283"/>
        <item x="2843"/>
        <item x="4437"/>
        <item x="2398"/>
        <item x="1505"/>
        <item x="3360"/>
        <item x="2148"/>
        <item x="661"/>
        <item x="2051"/>
        <item x="3841"/>
        <item x="3559"/>
        <item x="3417"/>
        <item x="2350"/>
        <item x="4258"/>
        <item x="4441"/>
        <item x="2429"/>
        <item x="1589"/>
        <item x="2268"/>
        <item x="3942"/>
        <item x="4158"/>
        <item x="2013"/>
        <item x="45"/>
        <item x="4612"/>
        <item x="2208"/>
        <item x="954"/>
        <item x="952"/>
        <item x="3884"/>
        <item x="3382"/>
        <item x="1108"/>
        <item x="261"/>
        <item x="52"/>
        <item x="1948"/>
        <item x="1239"/>
        <item x="3098"/>
        <item x="3991"/>
        <item x="421"/>
        <item x="3778"/>
        <item x="3849"/>
        <item x="1935"/>
        <item x="4194"/>
        <item x="4583"/>
        <item x="1467"/>
        <item x="2776"/>
        <item x="3352"/>
        <item x="2335"/>
        <item x="2213"/>
        <item x="295"/>
        <item x="1104"/>
        <item x="4661"/>
        <item x="1217"/>
        <item x="1255"/>
        <item x="3280"/>
        <item x="588"/>
        <item x="92"/>
        <item x="4419"/>
        <item x="3126"/>
        <item x="1438"/>
        <item x="269"/>
        <item x="1759"/>
        <item x="859"/>
        <item x="662"/>
        <item x="1276"/>
        <item x="3532"/>
        <item x="278"/>
        <item x="2385"/>
        <item x="476"/>
        <item x="1184"/>
        <item x="252"/>
        <item x="2235"/>
        <item x="1733"/>
        <item x="4622"/>
        <item x="2608"/>
        <item x="4011"/>
        <item x="367"/>
        <item x="1240"/>
        <item x="791"/>
        <item x="363"/>
        <item x="2276"/>
        <item x="2139"/>
        <item x="555"/>
        <item x="4650"/>
        <item x="3653"/>
        <item x="2339"/>
        <item x="3301"/>
        <item x="385"/>
        <item x="4603"/>
        <item x="3316"/>
        <item x="375"/>
        <item x="1666"/>
        <item x="4432"/>
        <item x="3673"/>
        <item x="2823"/>
        <item x="1805"/>
        <item x="1928"/>
        <item x="638"/>
        <item x="3565"/>
        <item x="4334"/>
        <item x="179"/>
        <item x="3424"/>
        <item x="3093"/>
        <item x="2164"/>
        <item x="752"/>
        <item x="3797"/>
        <item x="1749"/>
        <item x="4375"/>
        <item x="2323"/>
        <item x="2073"/>
        <item x="1800"/>
        <item x="988"/>
        <item x="634"/>
        <item x="2337"/>
        <item x="1034"/>
        <item x="3385"/>
        <item x="4150"/>
        <item x="1931"/>
        <item x="4596"/>
        <item x="1576"/>
        <item x="160"/>
        <item x="2992"/>
        <item x="326"/>
        <item x="4387"/>
        <item x="4461"/>
        <item x="2304"/>
        <item x="2509"/>
        <item x="4115"/>
        <item x="2082"/>
        <item x="3858"/>
        <item x="3620"/>
        <item x="1448"/>
        <item x="889"/>
        <item x="1455"/>
        <item x="3724"/>
        <item x="1939"/>
        <item x="2998"/>
        <item x="1693"/>
        <item x="274"/>
        <item x="1737"/>
        <item x="2272"/>
        <item x="1979"/>
        <item x="4636"/>
        <item x="2702"/>
        <item x="2835"/>
        <item x="2163"/>
        <item x="1078"/>
        <item x="4490"/>
        <item x="1990"/>
        <item x="1219"/>
        <item x="3303"/>
        <item x="1134"/>
        <item x="1442"/>
        <item x="964"/>
        <item x="3226"/>
        <item x="1892"/>
        <item x="1811"/>
        <item x="673"/>
        <item x="1475"/>
        <item x="3879"/>
        <item x="2761"/>
        <item x="2278"/>
        <item x="4405"/>
        <item x="2960"/>
        <item x="2537"/>
        <item x="1559"/>
        <item x="3407"/>
        <item x="727"/>
        <item x="212"/>
        <item x="1915"/>
        <item x="626"/>
        <item x="3832"/>
        <item x="4663"/>
        <item x="426"/>
        <item x="1619"/>
        <item x="2247"/>
        <item x="566"/>
        <item x="4256"/>
        <item x="837"/>
        <item x="3374"/>
        <item x="693"/>
        <item x="3361"/>
        <item x="1913"/>
        <item x="234"/>
        <item x="4495"/>
        <item x="3081"/>
        <item x="1881"/>
        <item x="4542"/>
        <item x="4297"/>
        <item x="2257"/>
        <item x="1109"/>
        <item x="4655"/>
        <item x="4343"/>
        <item x="2434"/>
        <item x="3012"/>
        <item x="2039"/>
        <item x="2098"/>
        <item x="2273"/>
        <item x="4662"/>
        <item x="1604"/>
        <item x="2116"/>
        <item x="1031"/>
        <item x="1441"/>
        <item x="1909"/>
        <item x="3823"/>
        <item x="2087"/>
        <item x="1081"/>
        <item x="2696"/>
        <item x="3855"/>
        <item x="2211"/>
        <item x="3706"/>
        <item x="3830"/>
        <item x="4229"/>
        <item x="1607"/>
        <item x="1046"/>
        <item x="59"/>
        <item x="2088"/>
        <item x="1012"/>
        <item x="683"/>
        <item x="1043"/>
        <item x="4430"/>
        <item x="3137"/>
        <item x="178"/>
        <item x="2848"/>
        <item x="275"/>
        <item x="4309"/>
        <item x="2198"/>
        <item x="4563"/>
        <item x="3052"/>
        <item x="2025"/>
        <item x="3581"/>
        <item x="3307"/>
        <item x="1111"/>
        <item x="4146"/>
        <item x="1196"/>
        <item x="1131"/>
        <item x="1549"/>
        <item x="4410"/>
        <item x="901"/>
        <item x="1004"/>
        <item x="1151"/>
        <item x="300"/>
        <item x="1601"/>
        <item x="2558"/>
        <item x="2391"/>
        <item x="3630"/>
        <item x="2534"/>
        <item x="920"/>
        <item x="1796"/>
        <item x="1402"/>
        <item x="3961"/>
        <item x="1310"/>
        <item x="1299"/>
        <item x="563"/>
        <item x="4630"/>
        <item x="4042"/>
        <item x="3654"/>
        <item x="951"/>
        <item x="1250"/>
        <item x="488"/>
        <item x="1731"/>
        <item x="2504"/>
        <item x="1149"/>
        <item x="1853"/>
        <item x="2710"/>
        <item x="1543"/>
        <item x="3704"/>
        <item x="213"/>
        <item x="2374"/>
        <item x="1902"/>
        <item x="1914"/>
        <item x="1746"/>
        <item x="1428"/>
        <item x="3524"/>
        <item x="1287"/>
        <item x="1570"/>
        <item x="1961"/>
        <item x="3255"/>
        <item x="768"/>
        <item x="4610"/>
        <item x="3824"/>
        <item x="3557"/>
        <item x="401"/>
        <item x="1807"/>
        <item x="1289"/>
        <item x="4324"/>
        <item x="2744"/>
        <item x="3454"/>
        <item x="3578"/>
        <item x="950"/>
        <item x="4305"/>
        <item x="1016"/>
        <item x="3118"/>
        <item x="3393"/>
        <item x="121"/>
        <item x="4609"/>
        <item x="2367"/>
        <item x="2010"/>
        <item x="2701"/>
        <item x="3954"/>
        <item x="3941"/>
        <item x="478"/>
        <item x="2368"/>
        <item x="2384"/>
        <item x="2695"/>
        <item x="51"/>
        <item x="472"/>
        <item x="2784"/>
        <item x="4026"/>
        <item x="3833"/>
        <item x="4187"/>
        <item x="2760"/>
        <item x="2507"/>
        <item x="4285"/>
        <item x="1647"/>
        <item x="785"/>
        <item x="3536"/>
        <item x="3068"/>
        <item x="1996"/>
        <item x="1632"/>
        <item x="335"/>
        <item x="3178"/>
        <item x="1291"/>
        <item x="4438"/>
        <item x="3746"/>
        <item x="3259"/>
        <item x="281"/>
        <item x="1019"/>
        <item x="345"/>
        <item x="3723"/>
        <item x="3971"/>
        <item x="2958"/>
        <item x="2694"/>
        <item x="1943"/>
        <item x="2127"/>
        <item x="4476"/>
        <item x="533"/>
        <item x="264"/>
        <item x="1311"/>
        <item x="2400"/>
        <item x="3511"/>
        <item x="352"/>
        <item x="2101"/>
        <item x="2299"/>
        <item x="3878"/>
        <item x="4268"/>
        <item x="3323"/>
        <item x="2102"/>
        <item x="2054"/>
        <item x="1371"/>
        <item x="1929"/>
        <item x="2944"/>
        <item x="4287"/>
        <item x="1626"/>
        <item x="66"/>
        <item x="1645"/>
        <item x="302"/>
        <item x="3338"/>
        <item x="1257"/>
        <item x="2128"/>
        <item x="1415"/>
        <item x="104"/>
        <item x="2620"/>
        <item x="3061"/>
        <item x="4497"/>
        <item x="1423"/>
        <item x="4533"/>
        <item x="1267"/>
        <item x="3951"/>
        <item x="1358"/>
        <item x="2009"/>
        <item x="4"/>
        <item x="865"/>
        <item x="173"/>
        <item x="4361"/>
        <item x="3627"/>
        <item x="1057"/>
        <item x="3712"/>
        <item x="2986"/>
        <item x="3705"/>
        <item x="2099"/>
        <item x="1286"/>
        <item x="293"/>
        <item x="4597"/>
        <item x="2623"/>
        <item x="3136"/>
        <item x="1638"/>
        <item x="80"/>
        <item x="1697"/>
        <item x="1765"/>
        <item x="100"/>
        <item x="3349"/>
        <item x="3064"/>
        <item x="1639"/>
        <item x="3108"/>
        <item x="757"/>
        <item x="4034"/>
        <item x="1518"/>
        <item x="429"/>
        <item x="276"/>
        <item x="3153"/>
        <item x="1769"/>
        <item x="1768"/>
        <item x="2445"/>
        <item x="2720"/>
        <item x="4105"/>
        <item x="4522"/>
        <item x="3843"/>
        <item x="1694"/>
        <item x="197"/>
        <item x="1030"/>
        <item x="585"/>
        <item x="706"/>
        <item x="751"/>
        <item x="399"/>
        <item x="2465"/>
        <item x="4519"/>
        <item x="960"/>
        <item x="2171"/>
        <item x="372"/>
        <item x="1238"/>
        <item x="3758"/>
        <item x="343"/>
        <item x="2951"/>
        <item x="2622"/>
        <item x="188"/>
        <item x="1052"/>
        <item x="1182"/>
        <item x="3037"/>
        <item x="822"/>
        <item x="3423"/>
        <item x="1181"/>
        <item x="4553"/>
        <item x="3880"/>
        <item x="1069"/>
        <item x="4488"/>
        <item x="9"/>
        <item x="3414"/>
        <item x="2427"/>
        <item x="2472"/>
        <item x="854"/>
        <item x="4472"/>
        <item x="4654"/>
        <item x="2210"/>
        <item x="2084"/>
        <item x="1833"/>
        <item x="2100"/>
        <item x="888"/>
        <item x="630"/>
        <item x="915"/>
        <item x="2267"/>
        <item x="3113"/>
        <item x="1254"/>
        <item x="3200"/>
        <item x="2616"/>
        <item x="3595"/>
        <item x="1458"/>
        <item x="1736"/>
        <item x="1020"/>
        <item x="1834"/>
        <item x="536"/>
        <item x="3668"/>
        <item x="3784"/>
        <item x="2888"/>
        <item x="2395"/>
        <item x="2315"/>
        <item x="2457"/>
        <item x="2451"/>
        <item x="3013"/>
        <item x="3647"/>
        <item x="1481"/>
        <item x="2006"/>
        <item x="143"/>
        <item x="1661"/>
        <item x="2668"/>
        <item x="776"/>
        <item x="2686"/>
        <item x="1099"/>
        <item x="3157"/>
        <item x="655"/>
        <item x="3077"/>
        <item x="670"/>
        <item x="1260"/>
        <item x="1660"/>
        <item x="4626"/>
        <item x="2825"/>
        <item x="419"/>
        <item x="4290"/>
        <item x="2889"/>
        <item x="678"/>
        <item x="3271"/>
        <item x="3908"/>
        <item x="1107"/>
        <item x="1848"/>
        <item x="3480"/>
        <item x="3368"/>
        <item x="2666"/>
        <item x="1588"/>
        <item x="379"/>
        <item x="907"/>
        <item x="2440"/>
        <item x="3747"/>
        <item x="1855"/>
        <item x="974"/>
        <item x="4355"/>
        <item x="2964"/>
        <item x="4027"/>
        <item x="4374"/>
        <item x="2826"/>
        <item x="1480"/>
        <item x="528"/>
        <item x="4398"/>
        <item x="1198"/>
        <item x="1314"/>
        <item x="2667"/>
        <item x="1325"/>
        <item x="1757"/>
        <item x="1373"/>
        <item x="3616"/>
        <item x="2798"/>
        <item x="2786"/>
        <item x="328"/>
        <item x="3160"/>
        <item x="3069"/>
        <item x="1420"/>
        <item x="1940"/>
        <item x="1453"/>
        <item x="1408"/>
        <item x="4528"/>
        <item x="4445"/>
        <item x="2223"/>
        <item x="4243"/>
        <item x="4272"/>
        <item x="168"/>
        <item x="495"/>
        <item x="2176"/>
        <item x="4373"/>
        <item x="605"/>
        <item x="4481"/>
        <item x="1687"/>
        <item x="2996"/>
        <item x="4660"/>
        <item x="1093"/>
        <item x="1097"/>
        <item x="2876"/>
        <item x="1315"/>
        <item x="3946"/>
        <item x="4175"/>
        <item x="4406"/>
        <item x="2922"/>
        <item x="4571"/>
        <item x="3725"/>
        <item x="280"/>
        <item x="1868"/>
        <item x="1018"/>
        <item x="2416"/>
        <item x="87"/>
        <item x="2497"/>
        <item x="2186"/>
        <item x="2601"/>
        <item x="4657"/>
        <item x="1997"/>
        <item x="1962"/>
        <item x="2237"/>
        <item x="4113"/>
        <item x="2590"/>
        <item x="499"/>
        <item x="4116"/>
        <item x="3694"/>
        <item x="2939"/>
        <item x="3029"/>
        <item x="1394"/>
        <item x="1806"/>
        <item x="1938"/>
        <item x="2560"/>
        <item x="26"/>
        <item x="3445"/>
        <item x="2949"/>
        <item x="3977"/>
        <item x="2275"/>
        <item x="2868"/>
        <item x="99"/>
        <item x="903"/>
        <item x="2978"/>
        <item x="3290"/>
        <item x="4143"/>
        <item x="712"/>
        <item x="2896"/>
        <item x="3309"/>
        <item x="3999"/>
        <item x="3163"/>
        <item x="3538"/>
        <item x="4221"/>
        <item x="1506"/>
        <item x="4089"/>
        <item x="2954"/>
        <item x="22"/>
        <item x="3982"/>
        <item x="1926"/>
        <item x="3133"/>
        <item x="1520"/>
        <item x="3938"/>
        <item x="1486"/>
        <item x="1981"/>
        <item x="3754"/>
        <item x="4055"/>
        <item x="3165"/>
        <item x="1883"/>
        <item x="4391"/>
        <item x="1707"/>
        <item x="4664"/>
        <item x="3952"/>
        <item x="4195"/>
        <item x="4308"/>
        <item x="36"/>
        <item x="374"/>
        <item x="1280"/>
        <item x="2"/>
        <item x="687"/>
        <item x="2527"/>
        <item x="848"/>
        <item x="2316"/>
        <item x="1772"/>
        <item x="2775"/>
        <item x="3279"/>
        <item x="4510"/>
        <item x="4544"/>
        <item x="2320"/>
        <item x="3191"/>
        <item x="2450"/>
        <item x="2490"/>
        <item x="118"/>
        <item x="37"/>
        <item x="1007"/>
        <item x="3989"/>
        <item x="3752"/>
        <item x="3434"/>
        <item x="1484"/>
        <item x="2935"/>
        <item x="996"/>
        <item x="67"/>
        <item x="2104"/>
        <item x="2083"/>
        <item x="4104"/>
        <item x="294"/>
        <item x="1793"/>
        <item x="2732"/>
        <item x="970"/>
        <item x="3892"/>
        <item x="1398"/>
        <item x="2807"/>
        <item x="3560"/>
        <item x="3392"/>
        <item x="976"/>
        <item x="4196"/>
        <item x="256"/>
        <item x="1259"/>
        <item x="4356"/>
        <item x="4181"/>
        <item x="4316"/>
        <item x="260"/>
        <item x="2020"/>
        <item x="3924"/>
        <item x="441"/>
        <item x="3442"/>
        <item x="4012"/>
        <item x="2593"/>
        <item x="1900"/>
        <item x="956"/>
        <item x="1168"/>
        <item x="3496"/>
        <item x="4084"/>
        <item x="290"/>
        <item x="2334"/>
        <item x="4543"/>
        <item x="1426"/>
        <item x="77"/>
        <item x="975"/>
        <item x="1920"/>
        <item x="4072"/>
        <item x="1585"/>
        <item x="4048"/>
        <item x="97"/>
        <item x="2158"/>
        <item x="152"/>
        <item x="3756"/>
        <item x="2685"/>
        <item x="3540"/>
        <item x="1450"/>
        <item x="1910"/>
        <item x="1708"/>
        <item x="3008"/>
        <item x="1334"/>
        <item x="2795"/>
        <item x="3525"/>
        <item x="2562"/>
        <item x="1478"/>
        <item x="732"/>
        <item x="1123"/>
        <item x="884"/>
        <item x="1682"/>
        <item x="3155"/>
        <item x="1065"/>
        <item x="2044"/>
        <item x="491"/>
        <item x="4368"/>
        <item x="2796"/>
        <item x="1143"/>
        <item x="107"/>
        <item x="2063"/>
        <item x="186"/>
        <item x="1994"/>
        <item x="716"/>
        <item x="3248"/>
        <item x="3523"/>
        <item x="2019"/>
        <item x="2660"/>
        <item x="1170"/>
        <item x="3587"/>
        <item x="72"/>
        <item x="2851"/>
        <item x="1958"/>
        <item x="3439"/>
        <item x="2281"/>
        <item x="3640"/>
        <item x="3859"/>
        <item x="3274"/>
        <item x="3138"/>
        <item x="583"/>
        <item x="3177"/>
        <item x="1952"/>
        <item x="1356"/>
        <item x="1368"/>
        <item x="598"/>
        <item x="3622"/>
        <item x="1550"/>
        <item x="1942"/>
        <item x="2265"/>
        <item x="3768"/>
        <item x="251"/>
        <item x="1491"/>
        <item x="3660"/>
        <item x="1655"/>
        <item x="3905"/>
        <item x="759"/>
        <item x="700"/>
        <item x="1146"/>
        <item x="1815"/>
        <item x="3519"/>
        <item x="2174"/>
        <item x="688"/>
        <item x="3363"/>
        <item x="641"/>
        <item x="283"/>
        <item x="1552"/>
        <item x="3030"/>
        <item x="191"/>
        <item x="2097"/>
        <item x="2459"/>
        <item x="2123"/>
        <item x="2341"/>
        <item x="1153"/>
        <item x="4282"/>
        <item x="1695"/>
        <item x="3850"/>
        <item x="3899"/>
        <item x="3162"/>
        <item x="2245"/>
        <item x="2325"/>
        <item x="4103"/>
        <item x="3463"/>
        <item x="2699"/>
        <item x="3857"/>
        <item x="2305"/>
        <item x="3897"/>
        <item x="1776"/>
        <item x="1215"/>
        <item x="1832"/>
        <item x="4126"/>
        <item x="4198"/>
        <item x="958"/>
        <item x="2875"/>
        <item x="2862"/>
        <item x="1558"/>
        <item x="675"/>
        <item x="1379"/>
        <item x="240"/>
        <item x="3840"/>
        <item x="1225"/>
        <item x="2957"/>
        <item x="4085"/>
        <item x="3912"/>
        <item x="1470"/>
        <item x="1100"/>
        <item x="814"/>
        <item x="4582"/>
        <item x="1908"/>
        <item x="784"/>
        <item x="3583"/>
        <item x="145"/>
        <item x="3129"/>
        <item x="2829"/>
        <item x="2970"/>
        <item x="4312"/>
        <item x="4467"/>
        <item x="703"/>
        <item x="637"/>
        <item x="612"/>
        <item x="1264"/>
        <item x="3614"/>
        <item x="2765"/>
        <item x="3074"/>
        <item x="56"/>
        <item x="4007"/>
        <item x="3710"/>
        <item x="3149"/>
        <item x="2141"/>
        <item x="537"/>
        <item x="2253"/>
        <item x="306"/>
        <item x="2332"/>
        <item x="4383"/>
        <item x="1457"/>
        <item x="3875"/>
        <item x="1884"/>
        <item x="4145"/>
        <item x="4036"/>
        <item x="1156"/>
        <item x="4659"/>
        <item x="354"/>
        <item x="2043"/>
        <item x="2420"/>
        <item x="2049"/>
        <item x="3193"/>
        <item x="460"/>
        <item x="1125"/>
        <item x="2603"/>
        <item x="1560"/>
        <item x="2511"/>
        <item x="4475"/>
        <item x="2690"/>
        <item x="4457"/>
        <item x="3948"/>
        <item x="4487"/>
        <item x="2618"/>
        <item x="2495"/>
        <item x="2859"/>
        <item x="4608"/>
        <item x="2425"/>
        <item x="1826"/>
        <item x="1261"/>
        <item x="4185"/>
        <item x="2834"/>
        <item x="810"/>
        <item x="4442"/>
        <item x="2600"/>
        <item x="227"/>
        <item x="169"/>
        <item x="3494"/>
        <item x="132"/>
        <item x="2064"/>
        <item x="3016"/>
        <item x="1824"/>
        <item x="55"/>
        <item x="4485"/>
        <item x="602"/>
        <item x="3871"/>
        <item x="3065"/>
        <item x="3420"/>
        <item x="2293"/>
        <item x="3447"/>
        <item x="3629"/>
        <item x="3490"/>
        <item x="4577"/>
        <item x="3886"/>
        <item x="2229"/>
        <item x="542"/>
        <item x="4005"/>
        <item x="622"/>
        <item x="3889"/>
        <item x="1539"/>
        <item x="4071"/>
        <item x="3495"/>
        <item x="4412"/>
        <item x="3928"/>
        <item x="955"/>
        <item x="2313"/>
        <item x="410"/>
        <item x="2684"/>
        <item x="3679"/>
        <item x="3099"/>
        <item x="3380"/>
        <item x="3415"/>
        <item x="4235"/>
        <item x="2036"/>
        <item x="4253"/>
        <item x="2480"/>
        <item x="994"/>
        <item x="3180"/>
        <item x="3947"/>
        <item x="577"/>
        <item x="1662"/>
        <item x="3376"/>
        <item x="2717"/>
        <item x="4514"/>
        <item x="1051"/>
        <item x="3820"/>
        <item x="494"/>
        <item x="3246"/>
        <item x="1361"/>
        <item x="4572"/>
        <item x="3995"/>
        <item x="3107"/>
        <item x="4214"/>
        <item x="1773"/>
        <item x="3249"/>
        <item x="4171"/>
        <item x="1735"/>
        <item x="4526"/>
        <item x="4075"/>
        <item x="3608"/>
        <item x="2748"/>
        <item x="58"/>
        <item x="229"/>
        <item x="3312"/>
        <item x="1038"/>
        <item x="329"/>
        <item x="1232"/>
        <item x="2285"/>
        <item x="2078"/>
        <item x="3381"/>
        <item x="1732"/>
        <item x="1652"/>
        <item x="4621"/>
        <item x="3406"/>
        <item x="825"/>
        <item x="1975"/>
        <item x="3017"/>
        <item x="3691"/>
        <item x="1685"/>
        <item x="2683"/>
        <item x="4237"/>
        <item x="694"/>
        <item x="120"/>
        <item x="2181"/>
        <item x="2644"/>
        <item x="4625"/>
        <item x="2883"/>
        <item x="1214"/>
        <item x="124"/>
        <item x="2842"/>
        <item x="4299"/>
        <item x="3455"/>
        <item x="2361"/>
        <item x="3095"/>
        <item x="2879"/>
        <item x="3981"/>
        <item x="122"/>
        <item x="4202"/>
        <item x="1924"/>
        <item x="4238"/>
        <item x="1465"/>
        <item x="270"/>
        <item x="1670"/>
        <item x="4049"/>
        <item x="2881"/>
        <item x="2461"/>
        <item x="1551"/>
        <item x="1956"/>
        <item x="3902"/>
        <item x="3874"/>
        <item x="1788"/>
        <item x="1162"/>
        <item x="2005"/>
        <item x="3328"/>
        <item x="4538"/>
        <item x="2096"/>
        <item x="786"/>
        <item x="2256"/>
        <item x="972"/>
        <item x="1210"/>
        <item x="808"/>
        <item x="3258"/>
        <item x="3437"/>
        <item x="1206"/>
        <item x="771"/>
        <item x="3158"/>
        <item x="2733"/>
        <item x="4378"/>
        <item x="140"/>
        <item x="3318"/>
        <item x="2300"/>
        <item x="984"/>
        <item x="2279"/>
        <item x="14"/>
        <item x="3247"/>
        <item x="1172"/>
        <item x="1861"/>
        <item x="2982"/>
        <item x="1839"/>
        <item x="330"/>
        <item x="3920"/>
        <item x="3788"/>
        <item x="85"/>
        <item x="847"/>
        <item x="567"/>
        <item x="3120"/>
        <item x="1535"/>
        <item x="2418"/>
        <item x="2369"/>
        <item x="2594"/>
        <item x="1076"/>
        <item x="4261"/>
        <item x="1991"/>
        <item x="4501"/>
        <item x="1841"/>
        <item x="3910"/>
        <item x="2248"/>
        <item x="3243"/>
        <item x="1070"/>
        <item x="2880"/>
        <item x="1978"/>
        <item x="3722"/>
        <item x="3637"/>
        <item x="1989"/>
        <item x="2152"/>
        <item x="2969"/>
        <item x="2907"/>
        <item x="4022"/>
        <item x="2456"/>
        <item x="1152"/>
        <item x="3190"/>
        <item x="42"/>
        <item x="4333"/>
        <item x="3621"/>
        <item x="2899"/>
        <item x="4539"/>
        <item x="3943"/>
        <item x="1148"/>
        <item x="3106"/>
        <item x="965"/>
        <item x="2424"/>
        <item x="1870"/>
        <item x="4529"/>
        <item x="2526"/>
        <item x="3699"/>
        <item x="2566"/>
        <item x="1785"/>
        <item x="2727"/>
        <item x="4337"/>
        <item x="3810"/>
        <item x="4354"/>
        <item x="2199"/>
        <item x="1628"/>
        <item x="597"/>
        <item x="90"/>
        <item x="3626"/>
        <item x="2850"/>
        <item x="1712"/>
        <item x="314"/>
        <item x="1392"/>
        <item x="442"/>
        <item x="3350"/>
        <item x="4222"/>
        <item x="1692"/>
        <item x="1207"/>
        <item x="1779"/>
        <item x="4392"/>
        <item x="1059"/>
        <item x="2746"/>
        <item x="2406"/>
        <item x="1864"/>
        <item x="4082"/>
        <item x="4628"/>
        <item x="2682"/>
        <item x="1571"/>
        <item x="3801"/>
        <item x="1416"/>
        <item x="3186"/>
        <item x="3485"/>
        <item x="576"/>
        <item x="3195"/>
        <item x="2788"/>
        <item x="1837"/>
        <item x="4329"/>
        <item x="3273"/>
        <item x="2041"/>
        <item x="2981"/>
        <item x="968"/>
        <item x="1874"/>
        <item x="2705"/>
        <item x="1561"/>
        <item x="4431"/>
        <item x="1927"/>
        <item x="2659"/>
        <item x="4352"/>
        <item x="2716"/>
        <item x="3101"/>
        <item x="310"/>
        <item x="3276"/>
        <item x="182"/>
        <item x="2704"/>
        <item x="3570"/>
        <item x="3642"/>
        <item x="2360"/>
        <item x="838"/>
        <item x="2722"/>
        <item x="4503"/>
        <item x="1863"/>
        <item x="4234"/>
        <item x="239"/>
        <item x="1389"/>
        <item x="4121"/>
        <item x="4462"/>
        <item x="2269"/>
        <item x="2916"/>
        <item x="4451"/>
        <item x="3890"/>
        <item x="731"/>
        <item x="1386"/>
        <item x="2356"/>
        <item x="2948"/>
        <item x="1621"/>
        <item x="3015"/>
        <item x="3914"/>
        <item x="1829"/>
        <item x="2855"/>
        <item x="1977"/>
        <item x="1696"/>
        <item x="487"/>
        <item x="1521"/>
        <item x="2621"/>
        <item x="18"/>
        <item x="262"/>
        <item x="3550"/>
        <item x="3315"/>
        <item x="29"/>
        <item x="4173"/>
        <item x="642"/>
        <item x="985"/>
        <item x="3666"/>
        <item x="2718"/>
        <item x="3033"/>
        <item x="2022"/>
        <item x="436"/>
        <item x="4278"/>
        <item x="2962"/>
        <item x="1092"/>
        <item x="3651"/>
        <item x="2094"/>
        <item x="4000"/>
        <item x="1080"/>
        <item x="4632"/>
        <item x="4137"/>
        <item x="1161"/>
        <item x="3121"/>
        <item x="4063"/>
        <item x="2756"/>
        <item x="1395"/>
        <item x="2543"/>
        <item x="2636"/>
        <item x="3526"/>
        <item x="3534"/>
        <item x="2216"/>
        <item x="4161"/>
        <item x="4240"/>
        <item x="2501"/>
        <item x="1872"/>
        <item x="1568"/>
        <item x="2745"/>
        <item x="1413"/>
        <item x="2641"/>
        <item x="1970"/>
        <item x="159"/>
        <item x="1212"/>
        <item x="709"/>
        <item x="3909"/>
        <item x="2270"/>
        <item x="3302"/>
        <item x="134"/>
        <item x="4266"/>
        <item x="3636"/>
        <item x="1879"/>
        <item x="78"/>
        <item x="3401"/>
        <item x="1061"/>
        <item x="1671"/>
        <item x="303"/>
        <item x="439"/>
        <item x="3007"/>
        <item x="4209"/>
        <item x="404"/>
        <item x="4041"/>
        <item x="2454"/>
        <item x="723"/>
        <item x="3199"/>
        <item x="4424"/>
        <item x="1563"/>
        <item x="3221"/>
        <item x="4453"/>
        <item x="3254"/>
        <item x="4068"/>
        <item x="4070"/>
        <item x="4562"/>
        <item x="1218"/>
        <item x="3188"/>
        <item x="2067"/>
        <item x="3759"/>
        <item x="288"/>
        <item x="4556"/>
        <item x="4656"/>
        <item x="4593"/>
        <item x="1536"/>
        <item x="540"/>
        <item x="4217"/>
        <item x="1430"/>
        <item x="2252"/>
        <item x="4561"/>
        <item x="4052"/>
        <item x="3650"/>
        <item x="2909"/>
        <item x="2606"/>
        <item x="1399"/>
        <item x="3792"/>
        <item x="3681"/>
        <item x="1221"/>
        <item x="4162"/>
        <item x="2858"/>
        <item x="3060"/>
        <item x="4555"/>
        <item x="524"/>
        <item x="1657"/>
        <item x="2800"/>
        <item x="2413"/>
        <item x="4149"/>
        <item x="4019"/>
        <item x="2894"/>
        <item x="1542"/>
        <item x="1590"/>
        <item x="2749"/>
        <item x="2580"/>
        <item x="2488"/>
        <item x="158"/>
        <item x="4112"/>
        <item x="203"/>
        <item x="4216"/>
        <item x="223"/>
        <item x="1294"/>
        <item x="1704"/>
        <item x="898"/>
        <item x="258"/>
        <item x="3838"/>
        <item x="163"/>
        <item x="987"/>
        <item x="4564"/>
        <item x="1472"/>
        <item x="1949"/>
        <item x="2458"/>
        <item x="1124"/>
        <item x="1138"/>
        <item x="2812"/>
        <item x="815"/>
        <item x="4468"/>
        <item x="4353"/>
        <item x="1192"/>
        <item x="393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6"/>
    </i>
    <i>
      <x v="12"/>
    </i>
    <i>
      <x v="3"/>
    </i>
    <i>
      <x v="4"/>
    </i>
    <i t="grand">
      <x/>
    </i>
  </rowItems>
  <colItems count="1">
    <i/>
  </colItems>
  <dataFields count="1">
    <dataField name="Sum of Sales" fld="5"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273798-7C1D-4206-BB80-30F764875E7C}" name="ps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H6" firstHeaderRow="0" firstDataRow="1" firstDataCol="1"/>
  <pivotFields count="12">
    <pivotField showAll="0"/>
    <pivotField numFmtId="14" showAll="0">
      <items count="1081">
        <item x="646"/>
        <item x="340"/>
        <item x="229"/>
        <item x="740"/>
        <item x="832"/>
        <item x="715"/>
        <item x="586"/>
        <item x="963"/>
        <item x="166"/>
        <item x="345"/>
        <item x="223"/>
        <item x="527"/>
        <item x="463"/>
        <item x="1065"/>
        <item x="720"/>
        <item x="219"/>
        <item x="82"/>
        <item x="423"/>
        <item x="711"/>
        <item x="986"/>
        <item x="77"/>
        <item x="958"/>
        <item x="688"/>
        <item x="807"/>
        <item x="944"/>
        <item x="139"/>
        <item x="365"/>
        <item x="284"/>
        <item x="404"/>
        <item x="502"/>
        <item x="413"/>
        <item x="461"/>
        <item x="432"/>
        <item x="853"/>
        <item x="418"/>
        <item x="733"/>
        <item x="133"/>
        <item x="721"/>
        <item x="929"/>
        <item x="668"/>
        <item x="64"/>
        <item x="522"/>
        <item x="891"/>
        <item x="218"/>
        <item x="745"/>
        <item x="334"/>
        <item x="379"/>
        <item x="904"/>
        <item x="887"/>
        <item x="1058"/>
        <item x="347"/>
        <item x="725"/>
        <item x="176"/>
        <item x="299"/>
        <item x="251"/>
        <item x="122"/>
        <item x="861"/>
        <item x="857"/>
        <item x="591"/>
        <item x="790"/>
        <item x="537"/>
        <item x="652"/>
        <item x="520"/>
        <item x="549"/>
        <item x="698"/>
        <item x="318"/>
        <item x="73"/>
        <item x="548"/>
        <item x="990"/>
        <item x="391"/>
        <item x="686"/>
        <item x="239"/>
        <item x="425"/>
        <item x="361"/>
        <item x="862"/>
        <item x="890"/>
        <item x="506"/>
        <item x="592"/>
        <item x="273"/>
        <item x="66"/>
        <item x="523"/>
        <item x="1051"/>
        <item x="974"/>
        <item x="230"/>
        <item x="658"/>
        <item x="1061"/>
        <item x="746"/>
        <item x="786"/>
        <item x="71"/>
        <item x="125"/>
        <item x="417"/>
        <item x="298"/>
        <item x="738"/>
        <item x="17"/>
        <item x="493"/>
        <item x="859"/>
        <item x="165"/>
        <item x="534"/>
        <item x="544"/>
        <item x="110"/>
        <item x="255"/>
        <item x="962"/>
        <item x="695"/>
        <item x="1039"/>
        <item x="748"/>
        <item x="936"/>
        <item x="770"/>
        <item x="185"/>
        <item x="501"/>
        <item x="292"/>
        <item x="137"/>
        <item x="987"/>
        <item x="624"/>
        <item x="424"/>
        <item x="665"/>
        <item x="707"/>
        <item x="192"/>
        <item x="190"/>
        <item x="414"/>
        <item x="632"/>
        <item x="528"/>
        <item x="275"/>
        <item x="89"/>
        <item x="305"/>
        <item x="545"/>
        <item x="708"/>
        <item x="221"/>
        <item x="274"/>
        <item x="984"/>
        <item x="46"/>
        <item x="878"/>
        <item x="691"/>
        <item x="114"/>
        <item x="882"/>
        <item x="399"/>
        <item x="112"/>
        <item x="4"/>
        <item x="422"/>
        <item x="234"/>
        <item x="881"/>
        <item x="607"/>
        <item x="44"/>
        <item x="246"/>
        <item x="655"/>
        <item x="270"/>
        <item x="104"/>
        <item x="735"/>
        <item x="458"/>
        <item x="163"/>
        <item x="508"/>
        <item x="87"/>
        <item x="1074"/>
        <item x="885"/>
        <item x="1031"/>
        <item x="1043"/>
        <item x="496"/>
        <item x="344"/>
        <item x="750"/>
        <item x="749"/>
        <item x="1041"/>
        <item x="411"/>
        <item x="354"/>
        <item x="906"/>
        <item x="781"/>
        <item x="105"/>
        <item x="376"/>
        <item x="983"/>
        <item x="1013"/>
        <item x="0"/>
        <item x="338"/>
        <item x="769"/>
        <item x="268"/>
        <item x="964"/>
        <item x="813"/>
        <item x="416"/>
        <item x="265"/>
        <item x="573"/>
        <item x="916"/>
        <item x="307"/>
        <item x="587"/>
        <item x="1055"/>
        <item x="50"/>
        <item x="794"/>
        <item x="5"/>
        <item x="289"/>
        <item x="18"/>
        <item x="653"/>
        <item x="1045"/>
        <item x="315"/>
        <item x="968"/>
        <item x="477"/>
        <item x="758"/>
        <item x="863"/>
        <item x="462"/>
        <item x="957"/>
        <item x="198"/>
        <item x="931"/>
        <item x="62"/>
        <item x="629"/>
        <item x="840"/>
        <item x="161"/>
        <item x="430"/>
        <item x="123"/>
        <item x="21"/>
        <item x="162"/>
        <item x="893"/>
        <item x="756"/>
        <item x="1"/>
        <item x="744"/>
        <item x="179"/>
        <item x="638"/>
        <item x="352"/>
        <item x="535"/>
        <item x="208"/>
        <item x="466"/>
        <item x="635"/>
        <item x="504"/>
        <item x="703"/>
        <item x="366"/>
        <item x="555"/>
        <item x="676"/>
        <item x="818"/>
        <item x="778"/>
        <item x="53"/>
        <item x="742"/>
        <item x="817"/>
        <item x="509"/>
        <item x="1034"/>
        <item x="680"/>
        <item x="644"/>
        <item x="938"/>
        <item x="574"/>
        <item x="378"/>
        <item x="419"/>
        <item x="563"/>
        <item x="22"/>
        <item x="283"/>
        <item x="719"/>
        <item x="475"/>
        <item x="196"/>
        <item x="800"/>
        <item x="317"/>
        <item x="28"/>
        <item x="988"/>
        <item x="282"/>
        <item x="396"/>
        <item x="195"/>
        <item x="953"/>
        <item x="898"/>
        <item x="1000"/>
        <item x="932"/>
        <item x="420"/>
        <item x="142"/>
        <item x="304"/>
        <item x="741"/>
        <item x="699"/>
        <item x="97"/>
        <item x="636"/>
        <item x="765"/>
        <item x="253"/>
        <item x="1066"/>
        <item x="32"/>
        <item x="197"/>
        <item x="19"/>
        <item x="975"/>
        <item x="507"/>
        <item x="212"/>
        <item x="870"/>
        <item x="92"/>
        <item x="242"/>
        <item x="1062"/>
        <item x="474"/>
        <item x="512"/>
        <item x="736"/>
        <item x="14"/>
        <item x="277"/>
        <item x="588"/>
        <item x="917"/>
        <item x="569"/>
        <item x="747"/>
        <item x="532"/>
        <item x="903"/>
        <item x="1021"/>
        <item x="206"/>
        <item x="119"/>
        <item x="993"/>
        <item x="346"/>
        <item x="245"/>
        <item x="401"/>
        <item x="533"/>
        <item x="609"/>
        <item x="531"/>
        <item x="167"/>
        <item x="773"/>
        <item x="276"/>
        <item x="743"/>
        <item x="1052"/>
        <item x="737"/>
        <item x="996"/>
        <item x="150"/>
        <item x="626"/>
        <item x="860"/>
        <item x="594"/>
        <item x="459"/>
        <item x="74"/>
        <item x="1017"/>
        <item x="40"/>
        <item x="1009"/>
        <item x="704"/>
        <item x="547"/>
        <item x="203"/>
        <item x="308"/>
        <item x="681"/>
        <item x="833"/>
        <item x="844"/>
        <item x="561"/>
        <item x="222"/>
        <item x="999"/>
        <item x="945"/>
        <item x="469"/>
        <item x="472"/>
        <item x="772"/>
        <item x="1025"/>
        <item x="991"/>
        <item x="559"/>
        <item x="761"/>
        <item x="180"/>
        <item x="560"/>
        <item x="822"/>
        <item x="780"/>
        <item x="613"/>
        <item x="908"/>
        <item x="342"/>
        <item x="186"/>
        <item x="505"/>
        <item x="364"/>
        <item x="171"/>
        <item x="375"/>
        <item x="1057"/>
        <item x="443"/>
        <item x="468"/>
        <item x="11"/>
        <item x="30"/>
        <item x="1042"/>
        <item x="710"/>
        <item x="921"/>
        <item x="995"/>
        <item x="249"/>
        <item x="819"/>
        <item x="51"/>
        <item x="543"/>
        <item x="392"/>
        <item x="826"/>
        <item x="143"/>
        <item x="199"/>
        <item x="940"/>
        <item x="1033"/>
        <item x="473"/>
        <item x="263"/>
        <item x="943"/>
        <item x="78"/>
        <item x="339"/>
        <item x="766"/>
        <item x="301"/>
        <item x="630"/>
        <item x="672"/>
        <item x="814"/>
        <item x="138"/>
        <item x="262"/>
        <item x="565"/>
        <item x="796"/>
        <item x="869"/>
        <item x="151"/>
        <item x="164"/>
        <item x="101"/>
        <item x="611"/>
        <item x="377"/>
        <item x="382"/>
        <item x="830"/>
        <item x="697"/>
        <item x="595"/>
        <item x="926"/>
        <item x="954"/>
        <item x="316"/>
        <item x="431"/>
        <item x="174"/>
        <item x="645"/>
        <item x="836"/>
        <item x="518"/>
        <item x="621"/>
        <item x="499"/>
        <item x="583"/>
        <item x="1018"/>
        <item x="777"/>
        <item x="604"/>
        <item x="1059"/>
        <item x="582"/>
        <item x="590"/>
        <item x="1063"/>
        <item x="149"/>
        <item x="211"/>
        <item x="1075"/>
        <item x="491"/>
        <item x="978"/>
        <item x="319"/>
        <item x="181"/>
        <item x="471"/>
        <item x="1002"/>
        <item x="834"/>
        <item x="439"/>
        <item x="650"/>
        <item x="825"/>
        <item x="843"/>
        <item x="847"/>
        <item x="478"/>
        <item x="933"/>
        <item x="385"/>
        <item x="930"/>
        <item x="258"/>
        <item x="90"/>
        <item x="941"/>
        <item x="584"/>
        <item x="713"/>
        <item x="103"/>
        <item x="34"/>
        <item x="927"/>
        <item x="677"/>
        <item x="839"/>
        <item x="421"/>
        <item x="620"/>
        <item x="296"/>
        <item x="666"/>
        <item x="440"/>
        <item x="782"/>
        <item x="683"/>
        <item x="1028"/>
        <item x="671"/>
        <item x="409"/>
        <item x="100"/>
        <item x="43"/>
        <item x="961"/>
        <item x="821"/>
        <item x="873"/>
        <item x="838"/>
        <item x="1016"/>
        <item x="572"/>
        <item x="647"/>
        <item x="664"/>
        <item x="130"/>
        <item x="102"/>
        <item x="524"/>
        <item x="886"/>
        <item x="771"/>
        <item x="775"/>
        <item x="558"/>
        <item x="617"/>
        <item x="405"/>
        <item x="784"/>
        <item x="802"/>
        <item x="578"/>
        <item x="337"/>
        <item x="567"/>
        <item x="328"/>
        <item x="41"/>
        <item x="835"/>
        <item x="470"/>
        <item x="201"/>
        <item x="1069"/>
        <item x="194"/>
        <item x="562"/>
        <item x="225"/>
        <item x="244"/>
        <item x="597"/>
        <item x="902"/>
        <item x="264"/>
        <item x="774"/>
        <item x="714"/>
        <item x="372"/>
        <item x="183"/>
        <item x="901"/>
        <item x="27"/>
        <item x="227"/>
        <item x="985"/>
        <item x="402"/>
        <item x="842"/>
        <item x="1012"/>
        <item x="154"/>
        <item x="846"/>
        <item x="616"/>
        <item x="132"/>
        <item x="678"/>
        <item x="801"/>
        <item x="285"/>
        <item x="965"/>
        <item x="648"/>
        <item x="494"/>
        <item x="388"/>
        <item x="374"/>
        <item x="717"/>
        <item x="946"/>
        <item x="384"/>
        <item x="827"/>
        <item x="850"/>
        <item x="808"/>
        <item x="387"/>
        <item x="281"/>
        <item x="429"/>
        <item x="482"/>
        <item x="815"/>
        <item x="976"/>
        <item x="427"/>
        <item x="86"/>
        <item x="415"/>
        <item x="476"/>
        <item x="798"/>
        <item x="349"/>
        <item x="896"/>
        <item x="726"/>
        <item x="76"/>
        <item x="1076"/>
        <item x="300"/>
        <item x="397"/>
        <item x="625"/>
        <item x="864"/>
        <item x="693"/>
        <item x="937"/>
        <item x="128"/>
        <item x="935"/>
        <item x="805"/>
        <item x="57"/>
        <item x="108"/>
        <item x="682"/>
        <item x="1006"/>
        <item x="484"/>
        <item x="529"/>
        <item x="851"/>
        <item x="326"/>
        <item x="111"/>
        <item x="511"/>
        <item x="606"/>
        <item x="386"/>
        <item x="126"/>
        <item x="848"/>
        <item x="536"/>
        <item x="1011"/>
        <item x="934"/>
        <item x="348"/>
        <item x="979"/>
        <item x="601"/>
        <item x="214"/>
        <item x="121"/>
        <item x="841"/>
        <item x="998"/>
        <item x="969"/>
        <item x="124"/>
        <item x="649"/>
        <item x="257"/>
        <item x="888"/>
        <item x="240"/>
        <item x="7"/>
        <item x="69"/>
        <item x="731"/>
        <item x="674"/>
        <item x="992"/>
        <item x="514"/>
        <item x="1044"/>
        <item x="663"/>
        <item x="131"/>
        <item x="579"/>
        <item x="295"/>
        <item x="716"/>
        <item x="510"/>
        <item x="80"/>
        <item x="9"/>
        <item x="93"/>
        <item x="173"/>
        <item x="220"/>
        <item x="232"/>
        <item x="820"/>
        <item x="233"/>
        <item x="899"/>
        <item x="633"/>
        <item x="489"/>
        <item x="408"/>
        <item x="286"/>
        <item x="109"/>
        <item x="503"/>
        <item x="1072"/>
        <item x="577"/>
        <item x="755"/>
        <item x="216"/>
        <item x="1037"/>
        <item x="456"/>
        <item x="949"/>
        <item x="272"/>
        <item x="552"/>
        <item x="875"/>
        <item x="540"/>
        <item x="465"/>
        <item x="13"/>
        <item x="541"/>
        <item x="83"/>
        <item x="481"/>
        <item x="789"/>
        <item x="107"/>
        <item x="209"/>
        <item x="497"/>
        <item x="445"/>
        <item x="752"/>
        <item x="966"/>
        <item x="889"/>
        <item x="539"/>
        <item x="709"/>
        <item x="490"/>
        <item x="973"/>
        <item x="363"/>
        <item x="63"/>
        <item x="1015"/>
        <item x="622"/>
        <item x="689"/>
        <item x="811"/>
        <item x="85"/>
        <item x="148"/>
        <item x="530"/>
        <item x="312"/>
        <item x="971"/>
        <item x="297"/>
        <item x="182"/>
        <item x="168"/>
        <item x="876"/>
        <item x="1040"/>
        <item x="453"/>
        <item x="116"/>
        <item x="892"/>
        <item x="627"/>
        <item x="1027"/>
        <item x="854"/>
        <item x="1005"/>
        <item x="956"/>
        <item x="610"/>
        <item x="1001"/>
        <item x="823"/>
        <item x="1068"/>
        <item x="829"/>
        <item x="618"/>
        <item x="521"/>
        <item x="241"/>
        <item x="852"/>
        <item x="406"/>
        <item x="845"/>
        <item x="729"/>
        <item x="791"/>
        <item x="383"/>
        <item x="730"/>
        <item x="1079"/>
        <item x="997"/>
        <item x="140"/>
        <item x="141"/>
        <item x="373"/>
        <item x="260"/>
        <item x="37"/>
        <item x="500"/>
        <item x="728"/>
        <item x="236"/>
        <item x="113"/>
        <item x="959"/>
        <item x="250"/>
        <item x="673"/>
        <item x="897"/>
        <item x="6"/>
        <item x="353"/>
        <item x="700"/>
        <item x="1007"/>
        <item x="1077"/>
        <item x="1047"/>
        <item x="455"/>
        <item x="960"/>
        <item x="718"/>
        <item x="42"/>
        <item x="324"/>
        <item x="920"/>
        <item x="1070"/>
        <item x="10"/>
        <item x="910"/>
        <item x="925"/>
        <item x="231"/>
        <item x="883"/>
        <item x="589"/>
        <item x="989"/>
        <item x="380"/>
        <item x="360"/>
        <item x="701"/>
        <item x="1078"/>
        <item x="117"/>
        <item x="26"/>
        <item x="856"/>
        <item x="60"/>
        <item x="279"/>
        <item x="204"/>
        <item x="486"/>
        <item x="228"/>
        <item x="454"/>
        <item x="134"/>
        <item x="538"/>
        <item x="612"/>
        <item x="812"/>
        <item x="33"/>
        <item x="435"/>
        <item x="48"/>
        <item x="367"/>
        <item x="394"/>
        <item x="712"/>
        <item x="129"/>
        <item x="187"/>
        <item x="614"/>
        <item x="81"/>
        <item x="96"/>
        <item x="915"/>
        <item x="287"/>
        <item x="24"/>
        <item x="982"/>
        <item x="256"/>
        <item x="877"/>
        <item x="641"/>
        <item x="634"/>
        <item x="16"/>
        <item x="724"/>
        <item x="553"/>
        <item x="1073"/>
        <item x="880"/>
        <item x="980"/>
        <item x="184"/>
        <item x="939"/>
        <item x="15"/>
        <item x="1022"/>
        <item x="495"/>
        <item x="52"/>
        <item x="290"/>
        <item x="515"/>
        <item x="865"/>
        <item x="412"/>
        <item x="332"/>
        <item x="763"/>
        <item x="325"/>
        <item x="441"/>
        <item x="605"/>
        <item x="580"/>
        <item x="355"/>
        <item x="438"/>
        <item x="596"/>
        <item x="331"/>
        <item x="38"/>
        <item x="29"/>
        <item x="922"/>
        <item x="793"/>
        <item x="546"/>
        <item x="172"/>
        <item x="732"/>
        <item x="1026"/>
        <item x="1024"/>
        <item x="754"/>
        <item x="20"/>
        <item x="302"/>
        <item x="776"/>
        <item x="905"/>
        <item x="35"/>
        <item x="437"/>
        <item x="336"/>
        <item x="335"/>
        <item x="205"/>
        <item x="767"/>
        <item x="189"/>
        <item x="662"/>
        <item x="867"/>
        <item x="1019"/>
        <item x="291"/>
        <item x="434"/>
        <item x="810"/>
        <item x="751"/>
        <item x="858"/>
        <item x="519"/>
        <item x="55"/>
        <item x="526"/>
        <item x="460"/>
        <item x="568"/>
        <item x="977"/>
        <item x="895"/>
        <item x="1071"/>
        <item x="170"/>
        <item x="288"/>
        <item x="694"/>
        <item x="271"/>
        <item x="310"/>
        <item x="872"/>
        <item x="498"/>
        <item x="95"/>
        <item x="303"/>
        <item x="628"/>
        <item x="1060"/>
        <item x="68"/>
        <item x="67"/>
        <item x="643"/>
        <item x="696"/>
        <item x="952"/>
        <item x="675"/>
        <item x="320"/>
        <item x="371"/>
        <item x="309"/>
        <item x="426"/>
        <item x="1050"/>
        <item x="39"/>
        <item x="795"/>
        <item x="47"/>
        <item x="955"/>
        <item x="623"/>
        <item x="446"/>
        <item x="407"/>
        <item x="551"/>
        <item x="400"/>
        <item x="919"/>
        <item x="451"/>
        <item x="768"/>
        <item x="322"/>
        <item x="608"/>
        <item x="327"/>
        <item x="981"/>
        <item x="654"/>
        <item x="45"/>
        <item x="542"/>
        <item x="343"/>
        <item x="661"/>
        <item x="785"/>
        <item x="739"/>
        <item x="213"/>
        <item x="248"/>
        <item x="684"/>
        <item x="381"/>
        <item x="369"/>
        <item x="202"/>
        <item x="639"/>
        <item x="866"/>
        <item x="146"/>
        <item x="357"/>
        <item x="447"/>
        <item x="914"/>
        <item x="557"/>
        <item x="554"/>
        <item x="1054"/>
        <item x="1023"/>
        <item x="1008"/>
        <item x="403"/>
        <item x="224"/>
        <item x="118"/>
        <item x="670"/>
        <item x="967"/>
        <item x="72"/>
        <item x="152"/>
        <item x="259"/>
        <item x="849"/>
        <item x="657"/>
        <item x="280"/>
        <item x="1048"/>
        <item x="894"/>
        <item x="831"/>
        <item x="972"/>
        <item x="667"/>
        <item x="706"/>
        <item x="603"/>
        <item x="900"/>
        <item x="238"/>
        <item x="449"/>
        <item x="485"/>
        <item x="464"/>
        <item x="593"/>
        <item x="294"/>
        <item x="950"/>
        <item x="1030"/>
        <item x="911"/>
        <item x="779"/>
        <item x="247"/>
        <item x="467"/>
        <item x="215"/>
        <item x="56"/>
        <item x="909"/>
        <item x="75"/>
        <item x="200"/>
        <item x="705"/>
        <item x="136"/>
        <item x="619"/>
        <item x="398"/>
        <item x="267"/>
        <item x="410"/>
        <item x="602"/>
        <item x="269"/>
        <item x="237"/>
        <item x="23"/>
        <item x="321"/>
        <item x="266"/>
        <item x="31"/>
        <item x="942"/>
        <item x="313"/>
        <item x="757"/>
        <item x="1003"/>
        <item x="159"/>
        <item x="631"/>
        <item x="91"/>
        <item x="370"/>
        <item x="314"/>
        <item x="79"/>
        <item x="516"/>
        <item x="436"/>
        <item x="1064"/>
        <item x="359"/>
        <item x="2"/>
        <item x="651"/>
        <item x="188"/>
        <item x="685"/>
        <item x="157"/>
        <item x="824"/>
        <item x="1014"/>
        <item x="457"/>
        <item x="753"/>
        <item x="924"/>
        <item x="797"/>
        <item x="923"/>
        <item x="341"/>
        <item x="487"/>
        <item x="492"/>
        <item x="816"/>
        <item x="1046"/>
        <item x="907"/>
        <item x="804"/>
        <item x="517"/>
        <item x="702"/>
        <item x="571"/>
        <item x="120"/>
        <item x="98"/>
        <item x="788"/>
        <item x="1029"/>
        <item x="871"/>
        <item x="99"/>
        <item x="1067"/>
        <item x="762"/>
        <item x="193"/>
        <item x="368"/>
        <item x="261"/>
        <item x="155"/>
        <item x="144"/>
        <item x="65"/>
        <item x="217"/>
        <item x="483"/>
        <item x="928"/>
        <item x="525"/>
        <item x="884"/>
        <item x="70"/>
        <item x="115"/>
        <item x="84"/>
        <item x="306"/>
        <item x="1036"/>
        <item x="759"/>
        <item x="1035"/>
        <item x="362"/>
        <item x="874"/>
        <item x="550"/>
        <item x="687"/>
        <item x="564"/>
        <item x="226"/>
        <item x="1053"/>
        <item x="879"/>
        <item x="659"/>
        <item x="792"/>
        <item x="837"/>
        <item x="252"/>
        <item x="3"/>
        <item x="178"/>
        <item x="581"/>
        <item x="311"/>
        <item x="330"/>
        <item x="191"/>
        <item x="450"/>
        <item x="1056"/>
        <item x="175"/>
        <item x="156"/>
        <item x="358"/>
        <item x="210"/>
        <item x="153"/>
        <item x="637"/>
        <item x="448"/>
        <item x="207"/>
        <item x="918"/>
        <item x="1004"/>
        <item x="323"/>
        <item x="722"/>
        <item x="293"/>
        <item x="585"/>
        <item x="351"/>
        <item x="912"/>
        <item x="868"/>
        <item x="12"/>
        <item x="799"/>
        <item x="1049"/>
        <item x="576"/>
        <item x="642"/>
        <item x="660"/>
        <item x="442"/>
        <item x="1032"/>
        <item x="94"/>
        <item x="690"/>
        <item x="147"/>
        <item x="393"/>
        <item x="145"/>
        <item x="913"/>
        <item x="787"/>
        <item x="855"/>
        <item x="783"/>
        <item x="106"/>
        <item x="760"/>
        <item x="734"/>
        <item x="333"/>
        <item x="158"/>
        <item x="235"/>
        <item x="948"/>
        <item x="727"/>
        <item x="556"/>
        <item x="723"/>
        <item x="36"/>
        <item x="479"/>
        <item x="513"/>
        <item x="88"/>
        <item x="329"/>
        <item x="679"/>
        <item x="395"/>
        <item x="994"/>
        <item x="764"/>
        <item x="127"/>
        <item x="600"/>
        <item x="428"/>
        <item x="951"/>
        <item x="452"/>
        <item x="480"/>
        <item x="575"/>
        <item x="135"/>
        <item x="598"/>
        <item x="350"/>
        <item x="160"/>
        <item x="433"/>
        <item x="54"/>
        <item x="488"/>
        <item x="59"/>
        <item x="970"/>
        <item x="656"/>
        <item x="389"/>
        <item x="254"/>
        <item x="1020"/>
        <item x="8"/>
        <item x="640"/>
        <item x="828"/>
        <item x="58"/>
        <item x="169"/>
        <item x="809"/>
        <item x="669"/>
        <item x="599"/>
        <item x="570"/>
        <item x="243"/>
        <item x="947"/>
        <item x="692"/>
        <item x="615"/>
        <item x="390"/>
        <item x="444"/>
        <item x="806"/>
        <item x="356"/>
        <item x="177"/>
        <item x="25"/>
        <item x="566"/>
        <item x="278"/>
        <item x="49"/>
        <item x="1010"/>
        <item x="803"/>
        <item x="1038"/>
        <item x="61"/>
        <item t="default"/>
      </items>
    </pivotField>
    <pivotField showAll="0"/>
    <pivotField showAll="0"/>
    <pivotField axis="axisRow" showAll="0">
      <items count="4">
        <item x="2"/>
        <item x="1"/>
        <item x="0"/>
        <item t="default"/>
      </items>
    </pivotField>
    <pivotField dataField="1" showAll="0">
      <items count="4923">
        <item x="1997"/>
        <item x="4005"/>
        <item x="1347"/>
        <item x="941"/>
        <item x="2747"/>
        <item x="1104"/>
        <item x="3601"/>
        <item x="2525"/>
        <item x="745"/>
        <item x="2267"/>
        <item x="803"/>
        <item x="532"/>
        <item x="1699"/>
        <item x="2939"/>
        <item x="3564"/>
        <item x="217"/>
        <item x="1595"/>
        <item x="3635"/>
        <item x="1587"/>
        <item x="4405"/>
        <item x="1423"/>
        <item x="1155"/>
        <item x="1302"/>
        <item x="1952"/>
        <item x="757"/>
        <item x="1389"/>
        <item x="3620"/>
        <item x="1708"/>
        <item x="3166"/>
        <item x="2847"/>
        <item x="2935"/>
        <item x="3737"/>
        <item x="3247"/>
        <item x="1713"/>
        <item x="2809"/>
        <item x="4007"/>
        <item x="2249"/>
        <item x="915"/>
        <item x="2125"/>
        <item x="3829"/>
        <item x="2056"/>
        <item x="1717"/>
        <item x="3291"/>
        <item x="1340"/>
        <item x="1393"/>
        <item x="2981"/>
        <item x="4481"/>
        <item x="1496"/>
        <item x="4849"/>
        <item x="3415"/>
        <item x="675"/>
        <item x="3235"/>
        <item x="2017"/>
        <item x="1185"/>
        <item x="723"/>
        <item x="4513"/>
        <item x="1209"/>
        <item x="1562"/>
        <item x="1789"/>
        <item x="2395"/>
        <item x="3314"/>
        <item x="2037"/>
        <item x="2917"/>
        <item x="1233"/>
        <item x="3310"/>
        <item x="647"/>
        <item x="979"/>
        <item x="324"/>
        <item x="181"/>
        <item x="93"/>
        <item x="2418"/>
        <item x="838"/>
        <item x="3402"/>
        <item x="2562"/>
        <item x="955"/>
        <item x="105"/>
        <item x="4028"/>
        <item x="3677"/>
        <item x="3336"/>
        <item x="2605"/>
        <item x="4760"/>
        <item x="1888"/>
        <item x="909"/>
        <item x="939"/>
        <item x="111"/>
        <item x="3453"/>
        <item x="676"/>
        <item x="609"/>
        <item x="1392"/>
        <item x="3931"/>
        <item x="4459"/>
        <item x="442"/>
        <item x="1883"/>
        <item x="1226"/>
        <item x="1395"/>
        <item x="3113"/>
        <item x="4577"/>
        <item x="4280"/>
        <item x="3193"/>
        <item x="3755"/>
        <item x="1778"/>
        <item x="2785"/>
        <item x="3384"/>
        <item x="4838"/>
        <item x="2895"/>
        <item x="2826"/>
        <item x="4013"/>
        <item x="3951"/>
        <item x="1210"/>
        <item x="3367"/>
        <item x="2109"/>
        <item x="1615"/>
        <item x="3482"/>
        <item x="4372"/>
        <item x="3469"/>
        <item x="4111"/>
        <item x="3521"/>
        <item x="1344"/>
        <item x="1736"/>
        <item x="2285"/>
        <item x="865"/>
        <item x="128"/>
        <item x="4611"/>
        <item x="728"/>
        <item x="3952"/>
        <item x="4365"/>
        <item x="4046"/>
        <item x="770"/>
        <item x="2638"/>
        <item x="4776"/>
        <item x="432"/>
        <item x="3139"/>
        <item x="1762"/>
        <item x="4337"/>
        <item x="198"/>
        <item x="1172"/>
        <item x="139"/>
        <item x="1819"/>
        <item x="854"/>
        <item x="3599"/>
        <item x="4834"/>
        <item x="1756"/>
        <item x="2091"/>
        <item x="2319"/>
        <item x="1618"/>
        <item x="4886"/>
        <item x="2269"/>
        <item x="3074"/>
        <item x="517"/>
        <item x="3066"/>
        <item x="716"/>
        <item x="2318"/>
        <item x="4516"/>
        <item x="2906"/>
        <item x="1946"/>
        <item x="3833"/>
        <item x="3593"/>
        <item x="1244"/>
        <item x="1807"/>
        <item x="452"/>
        <item x="1704"/>
        <item x="2868"/>
        <item x="1150"/>
        <item x="3419"/>
        <item x="484"/>
        <item x="1221"/>
        <item x="3214"/>
        <item x="2738"/>
        <item x="4373"/>
        <item x="3701"/>
        <item x="495"/>
        <item x="2820"/>
        <item x="3574"/>
        <item x="1874"/>
        <item x="2713"/>
        <item x="4833"/>
        <item x="863"/>
        <item x="2941"/>
        <item x="632"/>
        <item x="846"/>
        <item x="4779"/>
        <item x="3958"/>
        <item x="1321"/>
        <item x="2381"/>
        <item x="2143"/>
        <item x="1271"/>
        <item x="4099"/>
        <item x="3605"/>
        <item x="1739"/>
        <item x="3711"/>
        <item x="2169"/>
        <item x="4216"/>
        <item x="1558"/>
        <item x="2907"/>
        <item x="4777"/>
        <item x="4077"/>
        <item x="4243"/>
        <item x="1492"/>
        <item x="2413"/>
        <item x="0"/>
        <item x="267"/>
        <item x="1505"/>
        <item x="3172"/>
        <item x="3396"/>
        <item x="4595"/>
        <item x="3153"/>
        <item x="4664"/>
        <item x="1644"/>
        <item x="836"/>
        <item x="3050"/>
        <item x="3141"/>
        <item x="4895"/>
        <item x="2996"/>
        <item x="1032"/>
        <item x="689"/>
        <item x="1259"/>
        <item x="687"/>
        <item x="257"/>
        <item x="4152"/>
        <item x="4773"/>
        <item x="4843"/>
        <item x="4309"/>
        <item x="3248"/>
        <item x="76"/>
        <item x="4134"/>
        <item x="1072"/>
        <item x="4335"/>
        <item x="3108"/>
        <item x="3788"/>
        <item x="2225"/>
        <item x="83"/>
        <item x="2733"/>
        <item x="2052"/>
        <item x="624"/>
        <item x="2599"/>
        <item x="1866"/>
        <item x="1485"/>
        <item x="546"/>
        <item x="4278"/>
        <item x="3004"/>
        <item x="1947"/>
        <item x="1581"/>
        <item x="3718"/>
        <item x="4036"/>
        <item x="1053"/>
        <item x="209"/>
        <item x="3026"/>
        <item x="995"/>
        <item x="4628"/>
        <item x="2641"/>
        <item x="2070"/>
        <item x="3308"/>
        <item x="1219"/>
        <item x="3844"/>
        <item x="2655"/>
        <item x="919"/>
        <item x="2516"/>
        <item x="2731"/>
        <item x="733"/>
        <item x="4191"/>
        <item x="867"/>
        <item x="3989"/>
        <item x="3019"/>
        <item x="4889"/>
        <item x="4547"/>
        <item x="1768"/>
        <item x="3754"/>
        <item x="3722"/>
        <item x="4657"/>
        <item x="3648"/>
        <item x="1613"/>
        <item x="4428"/>
        <item x="4888"/>
        <item x="1078"/>
        <item x="4758"/>
        <item x="2914"/>
        <item x="2423"/>
        <item x="706"/>
        <item x="2039"/>
        <item x="171"/>
        <item x="3986"/>
        <item x="3719"/>
        <item x="3016"/>
        <item x="1721"/>
        <item x="4675"/>
        <item x="2512"/>
        <item x="809"/>
        <item x="561"/>
        <item x="2434"/>
        <item x="4488"/>
        <item x="4906"/>
        <item x="2114"/>
        <item x="2811"/>
        <item x="3891"/>
        <item x="361"/>
        <item x="435"/>
        <item x="3433"/>
        <item x="3607"/>
        <item x="4868"/>
        <item x="3914"/>
        <item x="1437"/>
        <item x="2356"/>
        <item x="4025"/>
        <item x="275"/>
        <item x="416"/>
        <item x="2031"/>
        <item x="1267"/>
        <item x="2955"/>
        <item x="3151"/>
        <item x="1102"/>
        <item x="2619"/>
        <item x="49"/>
        <item x="3226"/>
        <item x="4213"/>
        <item x="1095"/>
        <item x="4559"/>
        <item x="3049"/>
        <item x="3848"/>
        <item x="462"/>
        <item x="4709"/>
        <item x="1885"/>
        <item x="165"/>
        <item x="414"/>
        <item x="334"/>
        <item x="4835"/>
        <item x="3385"/>
        <item x="4716"/>
        <item x="2807"/>
        <item x="1982"/>
        <item x="1658"/>
        <item x="3572"/>
        <item x="617"/>
        <item x="698"/>
        <item x="2903"/>
        <item x="3819"/>
        <item x="326"/>
        <item x="226"/>
        <item x="880"/>
        <item x="659"/>
        <item x="2915"/>
        <item x="4107"/>
        <item x="2830"/>
        <item x="2969"/>
        <item x="3030"/>
        <item x="1670"/>
        <item x="256"/>
        <item x="4331"/>
        <item x="2983"/>
        <item x="567"/>
        <item x="4361"/>
        <item x="1835"/>
        <item x="4691"/>
        <item x="1427"/>
        <item x="2081"/>
        <item x="3490"/>
        <item x="4789"/>
        <item x="2289"/>
        <item x="923"/>
        <item x="978"/>
        <item x="54"/>
        <item x="1693"/>
        <item x="4301"/>
        <item x="3994"/>
        <item x="1515"/>
        <item x="3267"/>
        <item x="200"/>
        <item x="3043"/>
        <item x="2628"/>
        <item x="3429"/>
        <item x="2045"/>
        <item x="1386"/>
        <item x="2740"/>
        <item x="2453"/>
        <item x="1125"/>
        <item x="2240"/>
        <item x="3063"/>
        <item x="934"/>
        <item x="2131"/>
        <item x="4808"/>
        <item x="1914"/>
        <item x="1563"/>
        <item x="3801"/>
        <item x="3569"/>
        <item x="4053"/>
        <item x="1703"/>
        <item x="3441"/>
        <item x="2138"/>
        <item x="3012"/>
        <item x="3227"/>
        <item x="2276"/>
        <item x="1842"/>
        <item x="1364"/>
        <item x="4472"/>
        <item x="3486"/>
        <item x="1664"/>
        <item x="4484"/>
        <item x="1727"/>
        <item x="201"/>
        <item x="196"/>
        <item x="2610"/>
        <item x="3934"/>
        <item x="3703"/>
        <item x="2170"/>
        <item x="671"/>
        <item x="1320"/>
        <item x="3358"/>
        <item x="2771"/>
        <item x="2827"/>
        <item x="1023"/>
        <item x="1872"/>
        <item x="2926"/>
        <item x="1224"/>
        <item x="322"/>
        <item x="777"/>
        <item x="3979"/>
        <item x="270"/>
        <item x="461"/>
        <item x="3852"/>
        <item x="2205"/>
        <item x="4034"/>
        <item x="2658"/>
        <item x="2268"/>
        <item x="1715"/>
        <item x="3552"/>
        <item x="3051"/>
        <item x="4726"/>
        <item x="936"/>
        <item x="2892"/>
        <item x="3515"/>
        <item x="2297"/>
        <item x="2053"/>
        <item x="4683"/>
        <item x="3059"/>
        <item x="2645"/>
        <item x="2087"/>
        <item x="3399"/>
        <item x="156"/>
        <item x="2463"/>
        <item x="1805"/>
        <item x="564"/>
        <item x="1463"/>
        <item x="4766"/>
        <item x="176"/>
        <item x="2139"/>
        <item x="255"/>
        <item x="3984"/>
        <item x="3933"/>
        <item x="1356"/>
        <item x="663"/>
        <item x="3980"/>
        <item x="4256"/>
        <item x="1206"/>
        <item x="4326"/>
        <item x="1935"/>
        <item x="1753"/>
        <item x="894"/>
        <item x="2992"/>
        <item x="250"/>
        <item x="469"/>
        <item x="4333"/>
        <item x="1091"/>
        <item x="1532"/>
        <item x="2647"/>
        <item x="10"/>
        <item x="2541"/>
        <item x="503"/>
        <item x="1460"/>
        <item x="1044"/>
        <item x="3437"/>
        <item x="329"/>
        <item x="1861"/>
        <item x="371"/>
        <item x="4822"/>
        <item x="1112"/>
        <item x="3587"/>
        <item x="2739"/>
        <item x="3520"/>
        <item x="1189"/>
        <item x="2873"/>
        <item x="2455"/>
        <item x="3624"/>
        <item x="4432"/>
        <item x="3432"/>
        <item x="3167"/>
        <item x="3805"/>
        <item x="195"/>
        <item x="3428"/>
        <item x="491"/>
        <item x="1199"/>
        <item x="3088"/>
        <item x="244"/>
        <item x="4537"/>
        <item x="3758"/>
        <item x="2191"/>
        <item x="3534"/>
        <item x="4616"/>
        <item x="1663"/>
        <item x="116"/>
        <item x="1358"/>
        <item x="3001"/>
        <item x="3452"/>
        <item x="3145"/>
        <item x="3876"/>
        <item x="3902"/>
        <item x="3928"/>
        <item x="940"/>
        <item x="314"/>
        <item x="486"/>
        <item x="1396"/>
        <item x="3417"/>
        <item x="2127"/>
        <item x="3899"/>
        <item x="4655"/>
        <item x="566"/>
        <item x="3091"/>
        <item x="1858"/>
        <item x="1414"/>
        <item x="1588"/>
        <item x="3942"/>
        <item x="3781"/>
        <item x="2551"/>
        <item x="823"/>
        <item x="4762"/>
        <item x="4813"/>
        <item x="4232"/>
        <item x="274"/>
        <item x="653"/>
        <item x="451"/>
        <item x="3413"/>
        <item x="2452"/>
        <item x="3184"/>
        <item x="1740"/>
        <item x="2542"/>
        <item x="2651"/>
        <item x="2404"/>
        <item x="878"/>
        <item x="2850"/>
        <item x="2330"/>
        <item x="185"/>
        <item x="3656"/>
        <item x="20"/>
        <item x="1608"/>
        <item x="4155"/>
        <item x="4449"/>
        <item x="4662"/>
        <item x="2676"/>
        <item x="2653"/>
        <item x="2228"/>
        <item x="3528"/>
        <item x="4010"/>
        <item x="4354"/>
        <item x="717"/>
        <item x="4084"/>
        <item x="4334"/>
        <item x="3967"/>
        <item x="3481"/>
        <item x="3993"/>
        <item x="4001"/>
        <item x="1318"/>
        <item x="4493"/>
        <item x="2858"/>
        <item x="959"/>
        <item x="3567"/>
        <item x="1648"/>
        <item x="4631"/>
        <item x="3916"/>
        <item x="15"/>
        <item x="2694"/>
        <item x="2572"/>
        <item x="4145"/>
        <item x="3760"/>
        <item x="3794"/>
        <item x="4801"/>
        <item x="673"/>
        <item x="3674"/>
        <item x="1433"/>
        <item x="4086"/>
        <item x="4188"/>
        <item x="4852"/>
        <item x="1446"/>
        <item x="869"/>
        <item x="4560"/>
        <item x="1577"/>
        <item x="1627"/>
        <item x="3991"/>
        <item x="1749"/>
        <item x="3610"/>
        <item x="2414"/>
        <item x="3295"/>
        <item x="2389"/>
        <item x="3112"/>
        <item x="4759"/>
        <item x="585"/>
        <item x="3222"/>
        <item x="1479"/>
        <item x="3046"/>
        <item x="1444"/>
        <item x="4575"/>
        <item x="2662"/>
        <item x="1654"/>
        <item x="3907"/>
        <item x="4645"/>
        <item x="4590"/>
        <item x="824"/>
        <item x="1441"/>
        <item x="571"/>
        <item x="313"/>
        <item x="3216"/>
        <item x="2117"/>
        <item x="4348"/>
        <item x="568"/>
        <item x="138"/>
        <item x="2538"/>
        <item x="768"/>
        <item x="2259"/>
        <item x="2894"/>
        <item x="1012"/>
        <item x="2480"/>
        <item x="3378"/>
        <item x="1313"/>
        <item x="3598"/>
        <item x="3268"/>
        <item x="2426"/>
        <item x="1818"/>
        <item x="4276"/>
        <item x="764"/>
        <item x="2723"/>
        <item x="4502"/>
        <item x="3180"/>
        <item x="4707"/>
        <item x="4652"/>
        <item x="1936"/>
        <item x="515"/>
        <item x="2005"/>
        <item x="412"/>
        <item x="2869"/>
        <item x="2930"/>
        <item x="455"/>
        <item x="851"/>
        <item x="877"/>
        <item x="4300"/>
        <item x="3474"/>
        <item x="321"/>
        <item x="2307"/>
        <item x="4717"/>
        <item x="3558"/>
        <item x="4518"/>
        <item x="1949"/>
        <item x="3568"/>
        <item x="4544"/>
        <item x="3710"/>
        <item x="4444"/>
        <item x="340"/>
        <item x="1003"/>
        <item x="154"/>
        <item x="2633"/>
        <item x="912"/>
        <item x="2471"/>
        <item x="3174"/>
        <item x="1041"/>
        <item x="3846"/>
        <item x="1498"/>
        <item x="4712"/>
        <item x="4222"/>
        <item x="575"/>
        <item x="2704"/>
        <item x="2292"/>
        <item x="3602"/>
        <item x="1372"/>
        <item x="2583"/>
        <item x="1529"/>
        <item x="4130"/>
        <item x="2822"/>
        <item x="4311"/>
        <item x="142"/>
        <item x="529"/>
        <item x="3212"/>
        <item x="1294"/>
        <item x="984"/>
        <item x="1544"/>
        <item x="445"/>
        <item x="2730"/>
        <item x="4008"/>
        <item x="4100"/>
        <item x="4790"/>
        <item x="1694"/>
        <item x="3507"/>
        <item x="487"/>
        <item x="346"/>
        <item x="3191"/>
        <item x="5"/>
        <item x="2468"/>
        <item x="4169"/>
        <item x="2499"/>
        <item x="4811"/>
        <item x="1122"/>
        <item x="1363"/>
        <item x="1310"/>
        <item x="1659"/>
        <item x="2624"/>
        <item x="3997"/>
        <item x="4249"/>
        <item x="450"/>
        <item x="656"/>
        <item x="2433"/>
        <item x="2883"/>
        <item x="4384"/>
        <item x="3968"/>
        <item x="1461"/>
        <item x="3114"/>
        <item x="1481"/>
        <item x="3800"/>
        <item x="952"/>
        <item x="3209"/>
        <item x="4225"/>
        <item x="3438"/>
        <item x="1938"/>
        <item x="4312"/>
        <item x="3955"/>
        <item x="3594"/>
        <item x="4346"/>
        <item x="3394"/>
        <item x="417"/>
        <item x="3375"/>
        <item x="3023"/>
        <item x="3695"/>
        <item x="269"/>
        <item x="4504"/>
        <item x="2893"/>
        <item x="2965"/>
        <item x="485"/>
        <item x="641"/>
        <item x="512"/>
        <item x="2750"/>
        <item x="234"/>
        <item x="2116"/>
        <item x="1955"/>
        <item x="3319"/>
        <item x="4850"/>
        <item x="4173"/>
        <item x="1225"/>
        <item x="358"/>
        <item x="2003"/>
        <item x="1059"/>
        <item x="3510"/>
        <item x="1791"/>
        <item x="1803"/>
        <item x="4220"/>
        <item x="2000"/>
        <item x="1157"/>
        <item x="1995"/>
        <item x="4735"/>
        <item x="207"/>
        <item x="2219"/>
        <item x="3860"/>
        <item x="4310"/>
        <item x="2014"/>
        <item x="1719"/>
        <item x="1523"/>
        <item x="2302"/>
        <item x="793"/>
        <item x="2278"/>
        <item x="1848"/>
        <item x="4424"/>
        <item x="2190"/>
        <item x="2982"/>
        <item x="2022"/>
        <item x="1893"/>
        <item x="2766"/>
        <item x="2101"/>
        <item x="411"/>
        <item x="1855"/>
        <item x="1959"/>
        <item x="4563"/>
        <item x="281"/>
        <item x="247"/>
        <item x="1570"/>
        <item x="2582"/>
        <item x="3504"/>
        <item x="315"/>
        <item x="468"/>
        <item x="3792"/>
        <item x="1489"/>
        <item x="682"/>
        <item x="2722"/>
        <item x="1352"/>
        <item x="4443"/>
        <item x="597"/>
        <item x="926"/>
        <item x="3070"/>
        <item x="2283"/>
        <item x="1325"/>
        <item x="2257"/>
        <item x="3565"/>
        <item x="680"/>
        <item x="370"/>
        <item x="2968"/>
        <item x="453"/>
        <item x="1339"/>
        <item x="2179"/>
        <item x="466"/>
        <item x="4287"/>
        <item x="4734"/>
        <item x="3194"/>
        <item x="4473"/>
        <item x="920"/>
        <item x="931"/>
        <item x="149"/>
        <item x="4044"/>
        <item x="2323"/>
        <item x="268"/>
        <item x="1590"/>
        <item x="791"/>
        <item x="32"/>
        <item x="4746"/>
        <item x="3124"/>
        <item x="1669"/>
        <item x="1520"/>
        <item x="4919"/>
        <item x="3119"/>
        <item x="4120"/>
        <item x="3444"/>
        <item x="2700"/>
        <item x="1567"/>
        <item x="2916"/>
        <item x="3753"/>
        <item x="1640"/>
        <item x="1370"/>
        <item x="1821"/>
        <item x="1963"/>
        <item x="2687"/>
        <item x="4314"/>
        <item x="3339"/>
        <item x="2024"/>
        <item x="3861"/>
        <item x="252"/>
        <item x="4159"/>
        <item x="4719"/>
        <item x="2210"/>
        <item x="2539"/>
        <item x="4321"/>
        <item x="2934"/>
        <item x="300"/>
        <item x="1388"/>
        <item x="1231"/>
        <item x="1342"/>
        <item x="2803"/>
        <item x="2445"/>
        <item x="4772"/>
        <item x="2424"/>
        <item x="1366"/>
        <item x="4618"/>
        <item x="2863"/>
        <item x="2412"/>
        <item x="4253"/>
        <item x="856"/>
        <item x="3996"/>
        <item x="396"/>
        <item x="2616"/>
        <item x="4483"/>
        <item x="1586"/>
        <item x="1878"/>
        <item x="3150"/>
        <item x="2229"/>
        <item x="4320"/>
        <item x="2824"/>
        <item x="1250"/>
        <item x="172"/>
        <item x="3223"/>
        <item x="933"/>
        <item x="3863"/>
        <item x="3411"/>
        <item x="1315"/>
        <item x="3516"/>
        <item x="4199"/>
        <item x="81"/>
        <item x="2113"/>
        <item x="2443"/>
        <item x="807"/>
        <item x="1786"/>
        <item x="3922"/>
        <item x="391"/>
        <item x="2805"/>
        <item x="3199"/>
        <item x="876"/>
        <item x="783"/>
        <item x="4803"/>
        <item x="4231"/>
        <item x="4842"/>
        <item x="4467"/>
        <item x="373"/>
        <item x="3426"/>
        <item x="4755"/>
        <item x="3799"/>
        <item x="4154"/>
        <item x="843"/>
        <item x="3826"/>
        <item x="273"/>
        <item x="2767"/>
        <item x="190"/>
        <item x="3715"/>
        <item x="790"/>
        <item x="2417"/>
        <item x="401"/>
        <item x="2753"/>
        <item x="1030"/>
        <item x="33"/>
        <item x="2373"/>
        <item x="4698"/>
        <item x="3915"/>
        <item x="1058"/>
        <item x="8"/>
        <item x="1282"/>
        <item x="921"/>
        <item x="4479"/>
        <item x="897"/>
        <item x="2055"/>
        <item x="2989"/>
        <item x="1238"/>
        <item x="1863"/>
        <item x="4455"/>
        <item x="1027"/>
        <item x="1073"/>
        <item x="3536"/>
        <item x="2879"/>
        <item x="2203"/>
        <item x="3256"/>
        <item x="829"/>
        <item x="4515"/>
        <item x="1161"/>
        <item x="2355"/>
        <item x="2429"/>
        <item x="467"/>
        <item x="3461"/>
        <item x="3756"/>
        <item x="2023"/>
        <item x="4441"/>
        <item x="3900"/>
        <item x="1202"/>
        <item x="3335"/>
        <item x="2068"/>
        <item x="1006"/>
        <item x="4055"/>
        <item x="3858"/>
        <item x="1880"/>
        <item x="350"/>
        <item x="1710"/>
        <item x="1831"/>
        <item x="3211"/>
        <item x="3609"/>
        <item x="2666"/>
        <item x="1823"/>
        <item x="2279"/>
        <item x="1702"/>
        <item x="1159"/>
        <item x="167"/>
        <item x="4601"/>
        <item x="2735"/>
        <item x="1381"/>
        <item x="771"/>
        <item x="1849"/>
        <item x="454"/>
        <item x="4292"/>
        <item x="4358"/>
        <item x="474"/>
        <item x="4463"/>
        <item x="2974"/>
        <item x="595"/>
        <item x="749"/>
        <item x="3095"/>
        <item x="2506"/>
        <item x="3851"/>
        <item x="4303"/>
        <item x="1402"/>
        <item x="4704"/>
        <item x="818"/>
        <item x="1656"/>
        <item x="2504"/>
        <item x="4602"/>
        <item x="1724"/>
        <item x="1109"/>
        <item x="811"/>
        <item x="2111"/>
        <item x="3940"/>
        <item x="2483"/>
        <item x="4696"/>
        <item x="4290"/>
        <item x="4651"/>
        <item x="1559"/>
        <item x="3036"/>
        <item x="2001"/>
        <item x="610"/>
        <item x="3054"/>
        <item x="3470"/>
        <item x="1507"/>
        <item x="4528"/>
        <item x="4211"/>
        <item x="3086"/>
        <item x="3450"/>
        <item x="1107"/>
        <item x="1792"/>
        <item x="4302"/>
        <item x="1040"/>
        <item x="1649"/>
        <item x="2184"/>
        <item x="2244"/>
        <item x="1709"/>
        <item x="3815"/>
        <item x="4241"/>
        <item x="550"/>
        <item x="1197"/>
        <item x="413"/>
        <item x="3905"/>
        <item x="3744"/>
        <item x="2507"/>
        <item x="4580"/>
        <item x="778"/>
        <item x="3651"/>
        <item x="794"/>
        <item x="261"/>
        <item x="309"/>
        <item x="630"/>
        <item x="2973"/>
        <item x="152"/>
        <item x="2234"/>
        <item x="57"/>
        <item x="3640"/>
        <item x="423"/>
        <item x="133"/>
        <item x="1475"/>
        <item x="4672"/>
        <item x="615"/>
        <item x="4815"/>
        <item x="4400"/>
        <item x="224"/>
        <item x="1815"/>
        <item x="759"/>
        <item x="862"/>
        <item x="3978"/>
        <item x="4298"/>
        <item x="4684"/>
        <item x="3644"/>
        <item x="4676"/>
        <item x="3508"/>
        <item x="2034"/>
        <item x="2374"/>
        <item x="482"/>
        <item x="1009"/>
        <item x="700"/>
        <item x="4556"/>
        <item x="719"/>
        <item x="1743"/>
        <item x="1833"/>
        <item x="4540"/>
        <item x="1253"/>
        <item x="4468"/>
        <item x="3724"/>
        <item x="2889"/>
        <item x="2668"/>
        <item x="1971"/>
        <item x="2020"/>
        <item x="527"/>
        <item x="1473"/>
        <item x="668"/>
        <item x="4617"/>
        <item x="436"/>
        <item x="3636"/>
        <item x="781"/>
        <item x="3038"/>
        <item x="3442"/>
        <item x="227"/>
        <item x="3034"/>
        <item x="840"/>
        <item x="640"/>
        <item x="3473"/>
        <item x="1794"/>
        <item x="3652"/>
        <item x="765"/>
        <item x="551"/>
        <item x="1729"/>
        <item x="4417"/>
        <item x="4327"/>
        <item x="1683"/>
        <item x="1248"/>
        <item x="4442"/>
        <item x="4907"/>
        <item x="2675"/>
        <item x="3031"/>
        <item x="587"/>
        <item x="472"/>
        <item x="4345"/>
        <item x="2726"/>
        <item x="730"/>
        <item x="1758"/>
        <item x="2422"/>
        <item x="3159"/>
        <item x="3908"/>
        <item x="1573"/>
        <item x="4908"/>
        <item x="4573"/>
        <item x="2636"/>
        <item x="3374"/>
        <item x="2361"/>
        <item x="708"/>
        <item x="471"/>
        <item x="4744"/>
        <item x="4089"/>
        <item x="1633"/>
        <item x="1114"/>
        <item x="4592"/>
        <item x="2149"/>
        <item x="752"/>
        <item x="3110"/>
        <item x="3370"/>
        <item x="3650"/>
        <item x="63"/>
        <item x="193"/>
        <item x="62"/>
        <item x="2925"/>
        <item x="548"/>
        <item x="4584"/>
        <item x="3882"/>
        <item x="4450"/>
        <item x="775"/>
        <item x="3561"/>
        <item x="2531"/>
        <item x="248"/>
        <item x="1661"/>
        <item x="4871"/>
        <item x="1322"/>
        <item x="4534"/>
        <item x="4261"/>
        <item x="2449"/>
        <item x="3326"/>
        <item x="1766"/>
        <item x="739"/>
        <item x="2469"/>
        <item x="2612"/>
        <item x="2255"/>
        <item x="832"/>
        <item x="4596"/>
        <item x="1429"/>
        <item x="479"/>
        <item x="4274"/>
        <item x="1685"/>
        <item x="4129"/>
        <item x="3496"/>
        <item x="3734"/>
        <item x="4288"/>
        <item x="2622"/>
        <item x="3455"/>
        <item x="2491"/>
        <item x="3299"/>
        <item x="3527"/>
        <item x="3768"/>
        <item x="3699"/>
        <item x="3389"/>
        <item x="3713"/>
        <item x="828"/>
        <item x="3271"/>
        <item x="1007"/>
        <item x="2580"/>
        <item x="3811"/>
        <item x="1726"/>
        <item x="4196"/>
        <item x="1163"/>
        <item x="3932"/>
        <item x="1179"/>
        <item x="870"/>
        <item x="2151"/>
        <item x="440"/>
        <item x="3783"/>
        <item x="2677"/>
        <item x="1245"/>
        <item x="3138"/>
        <item x="4613"/>
        <item x="3796"/>
        <item x="2679"/>
        <item x="4882"/>
        <item x="2498"/>
        <item x="4634"/>
        <item x="2947"/>
        <item x="3298"/>
        <item x="2487"/>
        <item x="3836"/>
        <item x="2196"/>
        <item x="2754"/>
        <item x="2800"/>
        <item x="3266"/>
        <item x="1028"/>
        <item x="1944"/>
        <item x="1459"/>
        <item x="3149"/>
        <item x="4814"/>
        <item x="3368"/>
        <item x="3786"/>
        <item x="4574"/>
        <item x="246"/>
        <item x="2502"/>
        <item x="3231"/>
        <item x="891"/>
        <item x="168"/>
        <item x="17"/>
        <item x="906"/>
        <item x="2559"/>
        <item x="208"/>
        <item x="1651"/>
        <item x="4069"/>
        <item x="970"/>
        <item x="3921"/>
        <item x="3037"/>
        <item x="2093"/>
        <item x="3072"/>
        <item x="996"/>
        <item x="3898"/>
        <item x="4440"/>
        <item x="3822"/>
        <item x="3393"/>
        <item x="2964"/>
        <item x="2103"/>
        <item x="685"/>
        <item x="2217"/>
        <item x="3761"/>
        <item x="4338"/>
        <item x="552"/>
        <item x="335"/>
        <item x="2135"/>
        <item x="4323"/>
        <item x="3659"/>
        <item x="2891"/>
        <item x="3847"/>
        <item x="4878"/>
        <item x="792"/>
        <item x="2011"/>
        <item x="1610"/>
        <item x="1217"/>
        <item x="3612"/>
        <item x="961"/>
        <item x="3856"/>
        <item x="2904"/>
        <item x="2325"/>
        <item x="2178"/>
        <item x="1967"/>
        <item x="348"/>
        <item x="3658"/>
        <item x="1761"/>
        <item x="2765"/>
        <item x="1799"/>
        <item x="1354"/>
        <item x="1508"/>
        <item x="2421"/>
        <item x="3667"/>
        <item x="3821"/>
        <item x="3714"/>
        <item x="592"/>
        <item x="4221"/>
        <item x="2719"/>
        <item x="3357"/>
        <item x="3643"/>
        <item x="2305"/>
        <item x="1905"/>
        <item x="1965"/>
        <item x="1329"/>
        <item x="2369"/>
        <item x="2435"/>
        <item x="3841"/>
        <item x="4501"/>
        <item x="3006"/>
        <item x="882"/>
        <item x="2015"/>
        <item x="2595"/>
        <item x="2168"/>
        <item x="1215"/>
        <item x="249"/>
        <item x="4299"/>
        <item x="1143"/>
        <item x="294"/>
        <item x="4407"/>
        <item x="1920"/>
        <item x="1432"/>
        <item x="1080"/>
        <item x="460"/>
        <item x="3909"/>
        <item x="637"/>
        <item x="74"/>
        <item x="4339"/>
        <item x="1336"/>
        <item x="3233"/>
        <item x="2579"/>
        <item x="2585"/>
        <item x="3346"/>
        <item x="1996"/>
        <item x="1912"/>
        <item x="351"/>
        <item x="855"/>
        <item x="2667"/>
        <item x="1759"/>
        <item x="2594"/>
        <item x="1249"/>
        <item x="539"/>
        <item x="1086"/>
        <item x="1474"/>
        <item x="4567"/>
        <item x="4360"/>
        <item x="3203"/>
        <item x="1186"/>
        <item x="963"/>
        <item x="2406"/>
        <item x="2732"/>
        <item x="2678"/>
        <item x="1671"/>
        <item x="2313"/>
        <item x="1400"/>
        <item x="4591"/>
        <item x="4329"/>
        <item x="4571"/>
        <item x="2741"/>
        <item x="2402"/>
        <item x="2118"/>
        <item x="3239"/>
        <item x="1870"/>
        <item x="2943"/>
        <item x="4738"/>
        <item x="1509"/>
        <item x="1269"/>
        <item x="2510"/>
        <item x="3416"/>
        <item x="1850"/>
        <item x="1968"/>
        <item x="1684"/>
        <item x="4648"/>
        <item x="3423"/>
        <item x="3"/>
        <item x="4108"/>
        <item x="536"/>
        <item x="488"/>
        <item x="1116"/>
        <item x="581"/>
        <item x="2036"/>
        <item x="3884"/>
        <item x="2098"/>
        <item x="3897"/>
        <item x="3161"/>
        <item x="2128"/>
        <item x="3198"/>
        <item x="4202"/>
        <item x="3363"/>
        <item x="4370"/>
        <item x="2686"/>
        <item x="2761"/>
        <item x="3509"/>
        <item x="4867"/>
        <item x="4913"/>
        <item x="1335"/>
        <item x="3874"/>
        <item x="1195"/>
        <item x="4048"/>
        <item x="4390"/>
        <item x="392"/>
        <item x="1017"/>
        <item x="3704"/>
        <item x="4622"/>
        <item x="3883"/>
        <item x="4627"/>
        <item x="3032"/>
        <item x="1090"/>
        <item x="1010"/>
        <item x="4859"/>
        <item x="1008"/>
        <item x="1029"/>
        <item x="4447"/>
        <item x="4056"/>
        <item x="577"/>
        <item x="2819"/>
        <item x="734"/>
        <item x="1374"/>
        <item x="3885"/>
        <item x="2788"/>
        <item x="885"/>
        <item x="3158"/>
        <item x="4369"/>
        <item x="3333"/>
        <item x="4539"/>
        <item x="1483"/>
        <item x="815"/>
        <item x="3296"/>
        <item x="2451"/>
        <item x="69"/>
        <item x="2094"/>
        <item x="2476"/>
        <item x="3881"/>
        <item x="4163"/>
        <item x="2085"/>
        <item x="1601"/>
        <item x="3048"/>
        <item x="3171"/>
        <item x="1154"/>
        <item x="805"/>
        <item x="2959"/>
        <item x="1991"/>
        <item x="2825"/>
        <item x="962"/>
        <item x="1468"/>
        <item x="3954"/>
        <item x="582"/>
        <item x="1141"/>
        <item x="4647"/>
        <item x="3297"/>
        <item x="4433"/>
        <item x="2096"/>
        <item x="2567"/>
        <item x="3210"/>
        <item x="2372"/>
        <item x="4239"/>
        <item x="1560"/>
        <item x="929"/>
        <item x="98"/>
        <item x="612"/>
        <item x="1369"/>
        <item x="3985"/>
        <item x="2260"/>
        <item x="2745"/>
        <item x="3586"/>
        <item x="4695"/>
        <item x="2160"/>
        <item x="4426"/>
        <item x="4252"/>
        <item x="616"/>
        <item x="3589"/>
        <item x="4223"/>
        <item x="4168"/>
        <item x="175"/>
        <item x="4250"/>
        <item x="3127"/>
        <item x="3746"/>
        <item x="219"/>
        <item x="3906"/>
        <item x="3773"/>
        <item x="319"/>
        <item x="4749"/>
        <item x="1196"/>
        <item x="1780"/>
        <item x="1164"/>
        <item x="3456"/>
        <item x="1738"/>
        <item x="784"/>
        <item x="2556"/>
        <item x="4656"/>
        <item x="1457"/>
        <item x="4742"/>
        <item x="1902"/>
        <item x="3627"/>
        <item x="950"/>
        <item x="4660"/>
        <item x="914"/>
        <item x="4398"/>
        <item x="1757"/>
        <item x="1722"/>
        <item x="2795"/>
        <item x="4104"/>
        <item x="692"/>
        <item x="4325"/>
        <item x="526"/>
        <item x="4262"/>
        <item x="4215"/>
        <item x="1379"/>
        <item x="2049"/>
        <item x="3784"/>
        <item x="2281"/>
        <item x="3025"/>
        <item x="4633"/>
        <item x="2688"/>
        <item x="3146"/>
        <item x="650"/>
        <item x="3312"/>
        <item x="1526"/>
        <item x="1527"/>
        <item x="2065"/>
        <item x="2493"/>
        <item x="731"/>
        <item x="3060"/>
        <item x="2948"/>
        <item x="2266"/>
        <item x="3738"/>
        <item x="3340"/>
        <item x="4896"/>
        <item x="1557"/>
        <item x="4827"/>
        <item x="3107"/>
        <item x="1398"/>
        <item x="4724"/>
        <item x="2038"/>
        <item x="86"/>
        <item x="1923"/>
        <item x="2472"/>
        <item x="3475"/>
        <item x="184"/>
        <item x="1535"/>
        <item x="163"/>
        <item x="2061"/>
        <item x="557"/>
        <item x="2327"/>
        <item x="4074"/>
        <item x="1934"/>
        <item x="4350"/>
        <item x="4470"/>
        <item x="4394"/>
        <item x="2689"/>
        <item x="91"/>
        <item x="1201"/>
        <item x="2553"/>
        <item x="1545"/>
        <item x="4620"/>
        <item x="3526"/>
        <item x="953"/>
        <item x="2193"/>
        <item x="525"/>
        <item x="344"/>
        <item x="2727"/>
        <item x="2698"/>
        <item x="2919"/>
        <item x="3634"/>
        <item x="1276"/>
        <item x="4685"/>
        <item x="3041"/>
        <item x="3017"/>
        <item x="2115"/>
        <item x="1514"/>
        <item x="2835"/>
        <item x="1257"/>
        <item x="1275"/>
        <item x="3116"/>
        <item x="2642"/>
        <item x="115"/>
        <item x="1373"/>
        <item x="2306"/>
        <item x="714"/>
        <item x="591"/>
        <item x="1416"/>
        <item x="943"/>
        <item x="303"/>
        <item x="96"/>
        <item x="4375"/>
        <item x="61"/>
        <item x="71"/>
        <item x="494"/>
        <item x="3741"/>
        <item x="150"/>
        <item x="3479"/>
        <item x="3726"/>
        <item x="1755"/>
        <item x="905"/>
        <item x="1300"/>
        <item x="2341"/>
        <item x="68"/>
        <item x="38"/>
        <item x="2885"/>
        <item x="1020"/>
        <item x="946"/>
        <item x="4636"/>
        <item x="1827"/>
        <item x="1980"/>
        <item x="4884"/>
        <item x="4149"/>
        <item x="4630"/>
        <item x="4153"/>
        <item x="2010"/>
        <item x="2804"/>
        <item x="2821"/>
        <item x="3027"/>
        <item x="3148"/>
        <item x="3274"/>
        <item x="3533"/>
        <item x="1645"/>
        <item x="4451"/>
        <item x="3390"/>
        <item x="4679"/>
        <item x="1844"/>
        <item x="606"/>
        <item x="1092"/>
        <item x="2508"/>
        <item x="1628"/>
        <item x="4399"/>
        <item x="605"/>
        <item x="2566"/>
        <item x="896"/>
        <item x="3522"/>
        <item x="3079"/>
        <item x="1317"/>
        <item x="3962"/>
        <item x="3641"/>
        <item x="3938"/>
        <item x="4374"/>
        <item x="363"/>
        <item x="23"/>
        <item x="631"/>
        <item x="4797"/>
        <item x="449"/>
        <item x="4788"/>
        <item x="3307"/>
        <item x="2912"/>
        <item x="654"/>
        <item x="4486"/>
        <item x="1954"/>
        <item x="3137"/>
        <item x="743"/>
        <item x="2574"/>
        <item x="1434"/>
        <item x="1668"/>
        <item x="2853"/>
        <item x="4535"/>
        <item x="1781"/>
        <item x="626"/>
        <item x="2462"/>
        <item x="817"/>
        <item x="3477"/>
        <item x="2086"/>
        <item x="4124"/>
        <item x="4702"/>
        <item x="3498"/>
        <item x="2533"/>
        <item x="4460"/>
        <item x="1255"/>
        <item x="2690"/>
        <item x="2233"/>
        <item x="864"/>
        <item x="2166"/>
        <item x="3838"/>
        <item x="1692"/>
        <item x="4049"/>
        <item x="4718"/>
        <item x="2513"/>
        <item x="3463"/>
        <item x="528"/>
        <item x="2062"/>
        <item x="2444"/>
        <item x="2282"/>
        <item x="1637"/>
        <item x="1139"/>
        <item x="237"/>
        <item x="1764"/>
        <item x="3975"/>
        <item x="1554"/>
        <item x="3020"/>
        <item x="4545"/>
        <item x="3420"/>
        <item x="1065"/>
        <item x="3272"/>
        <item x="2783"/>
        <item x="3347"/>
        <item x="3349"/>
        <item x="2836"/>
        <item x="1045"/>
        <item x="473"/>
        <item x="957"/>
        <item x="3101"/>
        <item x="151"/>
        <item x="2933"/>
        <item x="2419"/>
        <item x="2430"/>
        <item x="1565"/>
        <item x="1864"/>
        <item x="4037"/>
        <item x="4854"/>
        <item x="4900"/>
        <item x="4520"/>
        <item x="1216"/>
        <item x="1566"/>
        <item x="2870"/>
        <item x="1350"/>
        <item x="4581"/>
        <item x="3289"/>
        <item x="4641"/>
        <item x="2481"/>
        <item x="1376"/>
        <item x="4071"/>
        <item x="558"/>
        <item x="810"/>
        <item x="3008"/>
        <item x="3764"/>
        <item x="841"/>
        <item x="2464"/>
        <item x="651"/>
        <item x="2896"/>
        <item x="146"/>
        <item x="2256"/>
        <item x="2672"/>
        <item x="4259"/>
        <item x="3085"/>
        <item x="3344"/>
        <item x="3539"/>
        <item x="427"/>
        <item x="239"/>
        <item x="1900"/>
        <item x="2543"/>
        <item x="3343"/>
        <item x="1477"/>
        <item x="1367"/>
        <item x="4853"/>
        <item x="2630"/>
        <item x="1403"/>
        <item x="2886"/>
        <item x="693"/>
        <item x="288"/>
        <item x="800"/>
        <item x="799"/>
        <item x="4065"/>
        <item x="144"/>
        <item x="2239"/>
        <item x="4297"/>
        <item x="4017"/>
        <item x="4708"/>
        <item x="1933"/>
        <item x="4059"/>
        <item x="2104"/>
        <item x="2770"/>
        <item x="3622"/>
        <item x="1712"/>
        <item x="2162"/>
        <item x="2027"/>
        <item x="243"/>
        <item x="875"/>
        <item x="1895"/>
        <item x="538"/>
        <item x="1251"/>
        <item x="3176"/>
        <item x="2231"/>
        <item x="2167"/>
        <item x="3614"/>
        <item x="4897"/>
        <item x="429"/>
        <item x="1907"/>
        <item x="4359"/>
        <item x="705"/>
        <item x="1838"/>
        <item x="830"/>
        <item x="1018"/>
        <item x="339"/>
        <item x="4669"/>
        <item x="1631"/>
        <item x="3647"/>
        <item x="136"/>
        <item x="902"/>
        <item x="2304"/>
        <item x="3345"/>
        <item x="3189"/>
        <item x="3365"/>
        <item x="2353"/>
        <item x="1327"/>
        <item x="4892"/>
        <item x="1854"/>
        <item x="3732"/>
        <item x="780"/>
        <item x="4635"/>
        <item x="213"/>
        <item x="2837"/>
        <item x="786"/>
        <item x="4523"/>
        <item x="722"/>
        <item x="2957"/>
        <item x="2004"/>
        <item x="2706"/>
        <item x="458"/>
        <item x="323"/>
        <item x="3547"/>
        <item x="359"/>
        <item x="3675"/>
        <item x="4812"/>
        <item x="3309"/>
        <item x="3493"/>
        <item x="4344"/>
        <item x="1212"/>
        <item x="4388"/>
        <item x="2637"/>
        <item x="2987"/>
        <item x="4308"/>
        <item x="3044"/>
        <item x="155"/>
        <item x="1235"/>
        <item x="3666"/>
        <item x="2568"/>
        <item x="2703"/>
        <item x="1490"/>
        <item x="48"/>
        <item x="3096"/>
        <item x="2711"/>
        <item x="223"/>
        <item x="754"/>
        <item x="1288"/>
        <item x="1926"/>
        <item x="4557"/>
        <item x="4623"/>
        <item x="3621"/>
        <item x="4051"/>
        <item x="2683"/>
        <item x="3403"/>
        <item x="844"/>
        <item x="1455"/>
        <item x="1918"/>
        <item x="1754"/>
        <item x="1103"/>
        <item x="2549"/>
        <item x="3751"/>
        <item x="1176"/>
        <item x="2603"/>
        <item x="4901"/>
        <item x="2942"/>
        <item x="3287"/>
        <item x="1375"/>
        <item x="2442"/>
        <item x="3591"/>
        <item x="3849"/>
        <item x="2377"/>
        <item x="751"/>
        <item x="1151"/>
        <item x="4283"/>
        <item x="4594"/>
        <item x="1365"/>
        <item x="1016"/>
        <item x="2758"/>
        <item x="4353"/>
        <item x="738"/>
        <item x="1555"/>
        <item x="4423"/>
        <item x="1903"/>
        <item x="1687"/>
        <item x="4002"/>
        <item x="2565"/>
        <item x="3104"/>
        <item x="563"/>
        <item x="3285"/>
        <item x="2663"/>
        <item x="3681"/>
        <item x="535"/>
        <item x="4498"/>
        <item x="3253"/>
        <item x="944"/>
        <item x="520"/>
        <item x="3241"/>
        <item x="4341"/>
        <item x="3913"/>
        <item x="3421"/>
        <item x="1060"/>
        <item x="3960"/>
        <item x="1533"/>
        <item x="1349"/>
        <item x="2328"/>
        <item x="2748"/>
        <item x="3369"/>
        <item x="3590"/>
        <item x="744"/>
        <item x="4466"/>
        <item x="2254"/>
        <item x="1553"/>
        <item x="4728"/>
        <item x="1891"/>
        <item x="2742"/>
        <item x="956"/>
        <item x="3840"/>
        <item x="177"/>
        <item x="2165"/>
        <item x="212"/>
        <item x="4832"/>
        <item x="4178"/>
        <item x="2640"/>
        <item x="3843"/>
        <item x="874"/>
        <item x="3585"/>
        <item x="2728"/>
        <item x="1763"/>
        <item x="4035"/>
        <item x="667"/>
        <item x="600"/>
        <item x="658"/>
        <item x="1449"/>
        <item x="3930"/>
        <item x="1700"/>
        <item x="3424"/>
        <item x="4826"/>
        <item x="4227"/>
        <item x="4176"/>
        <item x="1779"/>
        <item x="831"/>
        <item x="3383"/>
        <item x="2901"/>
        <item x="4767"/>
        <item x="3816"/>
        <item x="2751"/>
        <item x="580"/>
        <item x="1074"/>
        <item x="399"/>
        <item x="64"/>
        <item x="2547"/>
        <item x="3957"/>
        <item x="2454"/>
        <item x="1909"/>
        <item x="1273"/>
        <item x="3279"/>
        <item x="756"/>
        <item x="2564"/>
        <item x="839"/>
        <item x="3573"/>
        <item x="1152"/>
        <item x="1916"/>
        <item x="3869"/>
        <item x="2592"/>
        <item x="422"/>
        <item x="3903"/>
        <item x="3716"/>
        <item x="3467"/>
        <item x="2908"/>
        <item x="4047"/>
        <item x="2831"/>
        <item x="1747"/>
        <item x="1464"/>
        <item x="3995"/>
        <item x="101"/>
        <item x="3007"/>
        <item x="4377"/>
        <item x="2774"/>
        <item x="3361"/>
        <item x="4347"/>
        <item x="4016"/>
        <item x="3401"/>
        <item x="1359"/>
        <item x="2410"/>
        <item x="1579"/>
        <item x="2106"/>
        <item x="4392"/>
        <item x="456"/>
        <item x="420"/>
        <item x="2335"/>
        <item x="4839"/>
        <item x="4266"/>
        <item x="887"/>
        <item x="4598"/>
        <item x="4689"/>
        <item x="443"/>
        <item x="3560"/>
        <item x="3398"/>
        <item x="1688"/>
        <item x="2375"/>
        <item x="325"/>
        <item x="4189"/>
        <item x="2832"/>
        <item x="3702"/>
        <item x="129"/>
        <item x="2189"/>
        <item x="4286"/>
        <item x="1401"/>
        <item x="1445"/>
        <item x="4193"/>
        <item x="3240"/>
        <item x="1167"/>
        <item x="88"/>
        <item x="2544"/>
        <item x="3354"/>
        <item x="3492"/>
        <item x="1431"/>
        <item x="1193"/>
        <item x="2057"/>
        <item x="4319"/>
        <item x="4201"/>
        <item x="1144"/>
        <item x="4371"/>
        <item x="3657"/>
        <item x="2555"/>
        <item x="747"/>
        <item x="3076"/>
        <item x="3282"/>
        <item x="3225"/>
        <item x="4530"/>
        <item x="1678"/>
        <item x="4653"/>
        <item x="2198"/>
        <item x="1860"/>
        <item x="2872"/>
        <item x="228"/>
        <item x="627"/>
        <item x="1390"/>
        <item x="113"/>
        <item x="2484"/>
        <item x="1465"/>
        <item x="3083"/>
        <item x="3937"/>
        <item x="2367"/>
        <item x="735"/>
        <item x="2554"/>
        <item x="2241"/>
        <item x="2815"/>
        <item x="713"/>
        <item x="1629"/>
        <item x="3752"/>
        <item x="1404"/>
        <item x="3619"/>
        <item x="1422"/>
        <item x="2794"/>
        <item x="3206"/>
        <item x="4597"/>
        <item x="701"/>
        <item x="3483"/>
        <item x="1068"/>
        <item x="6"/>
        <item x="40"/>
        <item x="317"/>
        <item x="4230"/>
        <item x="812"/>
        <item x="3243"/>
        <item x="4072"/>
        <item x="222"/>
        <item x="4681"/>
        <item x="4257"/>
        <item x="3062"/>
        <item x="3462"/>
        <item x="3683"/>
        <item x="2881"/>
        <item x="1647"/>
        <item x="1279"/>
        <item x="688"/>
        <item x="2194"/>
        <item x="106"/>
        <item x="1811"/>
        <item x="2288"/>
        <item x="2840"/>
        <item x="186"/>
        <item x="1630"/>
        <item x="3630"/>
        <item x="1748"/>
        <item x="3747"/>
        <item x="1892"/>
        <item x="1368"/>
        <item x="3894"/>
        <item x="44"/>
        <item x="2548"/>
        <item x="1140"/>
        <item x="178"/>
        <item x="3430"/>
        <item x="4687"/>
        <item x="1066"/>
        <item x="1543"/>
        <item x="210"/>
        <item x="191"/>
        <item x="3103"/>
        <item x="593"/>
        <item x="4793"/>
        <item x="126"/>
        <item x="4113"/>
        <item x="2230"/>
        <item x="2088"/>
        <item x="4151"/>
        <item x="2861"/>
        <item x="1015"/>
        <item x="3269"/>
        <item x="4115"/>
        <item x="2250"/>
        <item x="523"/>
        <item x="2018"/>
        <item x="511"/>
        <item x="1737"/>
        <item x="4643"/>
        <item x="1711"/>
        <item x="306"/>
        <item x="1100"/>
        <item x="620"/>
        <item x="4328"/>
        <item x="3782"/>
        <item x="2697"/>
        <item x="1782"/>
        <item x="299"/>
        <item x="1776"/>
        <item x="4661"/>
        <item x="2997"/>
        <item x="1751"/>
        <item x="1331"/>
        <item x="3542"/>
        <item x="2132"/>
        <item x="298"/>
        <item x="2852"/>
        <item x="2526"/>
        <item x="4247"/>
        <item x="4414"/>
        <item x="3617"/>
        <item x="2284"/>
        <item x="3642"/>
        <item x="4471"/>
        <item x="3014"/>
        <item x="3743"/>
        <item x="3759"/>
        <item x="4753"/>
        <item x="1270"/>
        <item x="4383"/>
        <item x="3278"/>
        <item x="2437"/>
        <item x="1385"/>
        <item x="4847"/>
        <item x="2882"/>
        <item x="2867"/>
        <item x="4165"/>
        <item x="3140"/>
        <item x="628"/>
        <item x="966"/>
        <item x="2929"/>
        <item x="607"/>
        <item x="884"/>
        <item x="2025"/>
        <item x="888"/>
        <item x="2182"/>
        <item x="379"/>
        <item x="3422"/>
        <item x="4774"/>
        <item x="1265"/>
        <item x="336"/>
        <item x="1612"/>
        <item x="410"/>
        <item x="3669"/>
        <item x="2352"/>
        <item x="1131"/>
        <item x="3551"/>
        <item x="3892"/>
        <item x="1129"/>
        <item x="3696"/>
        <item x="3616"/>
        <item x="2273"/>
        <item x="1409"/>
        <item x="1130"/>
        <item x="4118"/>
        <item x="52"/>
        <item x="1760"/>
        <item x="4551"/>
        <item x="3332"/>
        <item x="2921"/>
        <item x="2287"/>
        <item x="1879"/>
        <item x="3348"/>
        <item x="1530"/>
        <item x="4821"/>
        <item x="2460"/>
        <item x="3645"/>
        <item x="4870"/>
        <item x="1578"/>
        <item x="4291"/>
        <item x="1290"/>
        <item x="2450"/>
        <item x="1242"/>
        <item x="1466"/>
        <item x="3941"/>
        <item x="2817"/>
        <item x="110"/>
        <item x="1024"/>
        <item x="537"/>
        <item x="3092"/>
        <item x="2657"/>
        <item x="3414"/>
        <item x="4273"/>
        <item x="2294"/>
        <item x="188"/>
        <item x="4668"/>
        <item x="652"/>
        <item x="3600"/>
        <item x="384"/>
        <item x="141"/>
        <item x="2148"/>
        <item x="4376"/>
        <item x="3451"/>
        <item x="813"/>
        <item x="2631"/>
        <item x="2246"/>
        <item x="1898"/>
        <item x="3890"/>
        <item x="4810"/>
        <item x="2247"/>
        <item x="360"/>
        <item x="1054"/>
        <item x="2181"/>
        <item x="1187"/>
        <item x="2518"/>
        <item x="4861"/>
        <item x="1256"/>
        <item x="755"/>
        <item x="2066"/>
        <item x="3200"/>
        <item x="858"/>
        <item x="4697"/>
        <item x="4161"/>
        <item x="3555"/>
        <item x="3373"/>
        <item x="1718"/>
        <item x="2314"/>
        <item x="4612"/>
        <item x="271"/>
        <item x="428"/>
        <item x="3963"/>
        <item x="3052"/>
        <item x="3386"/>
        <item x="3118"/>
        <item x="357"/>
        <item x="1085"/>
        <item x="4692"/>
        <item x="3164"/>
        <item x="4604"/>
        <item x="4117"/>
        <item x="2787"/>
        <item x="1857"/>
        <item x="2522"/>
        <item x="3924"/>
        <item x="2457"/>
        <item x="240"/>
        <item x="1960"/>
        <item x="1985"/>
        <item x="4207"/>
        <item x="1536"/>
        <item x="1135"/>
        <item x="2016"/>
        <item x="3901"/>
        <item x="3115"/>
        <item x="4464"/>
        <item x="1862"/>
        <item x="4670"/>
        <item x="2299"/>
        <item x="508"/>
        <item x="367"/>
        <item x="3427"/>
        <item x="1611"/>
        <item x="2385"/>
        <item x="1752"/>
        <item x="545"/>
        <item x="1501"/>
        <item x="4332"/>
        <item x="3835"/>
        <item x="3331"/>
        <item x="173"/>
        <item x="2911"/>
        <item x="157"/>
        <item x="4439"/>
        <item x="2300"/>
        <item x="2398"/>
        <item x="4699"/>
        <item x="2932"/>
        <item x="2878"/>
        <item x="79"/>
        <item x="1493"/>
        <item x="4018"/>
        <item x="3355"/>
        <item x="2342"/>
        <item x="2126"/>
        <item x="2391"/>
        <item x="1868"/>
        <item x="4646"/>
        <item x="2509"/>
        <item x="4391"/>
        <item x="2660"/>
        <item x="2380"/>
        <item x="3608"/>
        <item x="4140"/>
        <item x="125"/>
        <item x="182"/>
        <item x="881"/>
        <item x="4157"/>
        <item x="3723"/>
        <item x="4765"/>
        <item x="1614"/>
        <item x="504"/>
        <item x="670"/>
        <item x="158"/>
        <item x="4000"/>
        <item x="1859"/>
        <item x="2810"/>
        <item x="2993"/>
        <item x="1984"/>
        <item x="1798"/>
        <item x="509"/>
        <item x="2364"/>
        <item x="388"/>
        <item x="3162"/>
        <item x="2080"/>
        <item x="2620"/>
        <item x="480"/>
        <item x="60"/>
        <item x="4379"/>
        <item x="3270"/>
        <item x="3557"/>
        <item x="724"/>
        <item x="408"/>
        <item x="893"/>
        <item x="218"/>
        <item x="3208"/>
        <item x="4508"/>
        <item x="3435"/>
        <item x="1639"/>
        <item x="2871"/>
        <item x="3689"/>
        <item x="4198"/>
        <item x="3447"/>
        <item x="2699"/>
        <item x="4454"/>
        <item x="204"/>
        <item x="463"/>
        <item x="2855"/>
        <item x="4295"/>
        <item x="4150"/>
        <item x="3418"/>
        <item x="3324"/>
        <item x="3259"/>
        <item x="3720"/>
        <item x="4238"/>
        <item x="1650"/>
        <item x="3939"/>
        <item x="4175"/>
        <item x="4228"/>
        <item x="513"/>
        <item x="3556"/>
        <item x="773"/>
        <item x="1869"/>
        <item x="2634"/>
        <item x="4846"/>
        <item x="4558"/>
        <item x="4122"/>
        <item x="2047"/>
        <item x="27"/>
        <item x="3947"/>
        <item x="3973"/>
        <item x="849"/>
        <item x="1690"/>
        <item x="1169"/>
        <item x="3003"/>
        <item x="1890"/>
        <item x="1622"/>
        <item x="4156"/>
        <item x="3232"/>
        <item x="1785"/>
        <item x="2185"/>
        <item x="758"/>
        <item x="3873"/>
        <item x="4680"/>
        <item x="2724"/>
        <item x="1924"/>
        <item x="3888"/>
        <item x="901"/>
        <item x="707"/>
        <item x="3325"/>
        <item x="221"/>
        <item x="3362"/>
        <item x="3188"/>
        <item x="1062"/>
        <item x="690"/>
        <item x="2075"/>
        <item x="3867"/>
        <item x="565"/>
        <item x="1698"/>
        <item x="622"/>
        <item x="407"/>
        <item x="2041"/>
        <item x="3727"/>
        <item x="4848"/>
        <item x="742"/>
        <item x="2077"/>
        <item x="572"/>
        <item x="3971"/>
        <item x="2420"/>
        <item x="3611"/>
        <item x="506"/>
        <item x="3169"/>
        <item x="997"/>
        <item x="2195"/>
        <item x="808"/>
        <item x="4903"/>
        <item x="3774"/>
        <item x="2251"/>
        <item x="4673"/>
        <item x="1665"/>
        <item x="2208"/>
        <item x="1978"/>
        <item x="1925"/>
        <item x="2524"/>
        <item x="2180"/>
        <item x="385"/>
        <item x="476"/>
        <item x="4820"/>
        <item x="2945"/>
        <item x="1314"/>
        <item x="2123"/>
        <item x="3679"/>
        <item x="2971"/>
        <item x="459"/>
        <item x="4158"/>
        <item x="3943"/>
        <item x="1438"/>
        <item x="3055"/>
        <item x="2360"/>
        <item x="1047"/>
        <item x="1788"/>
        <item x="82"/>
        <item x="4434"/>
        <item x="259"/>
        <item x="4482"/>
        <item x="4891"/>
        <item x="2702"/>
        <item x="1802"/>
        <item x="729"/>
        <item x="2448"/>
        <item x="3125"/>
        <item x="2220"/>
        <item x="3834"/>
        <item x="2425"/>
        <item x="1180"/>
        <item x="1652"/>
        <item x="762"/>
        <item x="123"/>
        <item x="1843"/>
        <item x="2486"/>
        <item x="39"/>
        <item x="3854"/>
        <item x="1450"/>
        <item x="2625"/>
        <item x="2473"/>
        <item x="2253"/>
        <item x="4550"/>
        <item x="1328"/>
        <item x="4079"/>
        <item x="1828"/>
        <item x="438"/>
        <item x="553"/>
        <item x="2611"/>
        <item x="393"/>
        <item x="3405"/>
        <item x="3972"/>
        <item x="1293"/>
        <item x="4224"/>
        <item x="2643"/>
        <item x="1964"/>
        <item x="1772"/>
        <item x="4917"/>
        <item x="586"/>
        <item x="1426"/>
        <item x="3649"/>
        <item x="1546"/>
        <item x="1497"/>
        <item x="4902"/>
        <item x="3919"/>
        <item x="1666"/>
        <item x="3548"/>
        <item x="430"/>
        <item x="4785"/>
        <item x="3408"/>
        <item x="835"/>
        <item x="1961"/>
        <item x="4840"/>
        <item x="2520"/>
        <item x="3251"/>
        <item x="684"/>
        <item x="4874"/>
        <item x="4103"/>
        <item x="514"/>
        <item x="1067"/>
        <item x="1055"/>
        <item x="1472"/>
        <item x="1705"/>
        <item x="3872"/>
        <item x="3855"/>
        <item x="1361"/>
        <item x="4875"/>
        <item x="779"/>
        <item x="2171"/>
        <item x="4921"/>
        <item x="50"/>
        <item x="3664"/>
        <item x="3770"/>
        <item x="533"/>
        <item x="3655"/>
        <item x="3238"/>
        <item x="3128"/>
        <item x="405"/>
        <item x="2490"/>
        <item x="555"/>
        <item x="4791"/>
        <item x="1636"/>
        <item x="4863"/>
        <item x="1922"/>
        <item x="3342"/>
        <item x="2102"/>
        <item x="421"/>
        <item x="804"/>
        <item x="763"/>
        <item x="3155"/>
        <item x="2035"/>
        <item x="1188"/>
        <item x="1"/>
        <item x="3105"/>
        <item x="3910"/>
        <item x="761"/>
        <item x="2909"/>
        <item x="1120"/>
        <item x="3729"/>
        <item x="286"/>
        <item x="2415"/>
        <item x="2271"/>
        <item x="2137"/>
        <item x="2130"/>
        <item x="976"/>
        <item x="3372"/>
        <item x="666"/>
        <item x="2505"/>
        <item x="490"/>
        <item x="3808"/>
        <item x="4898"/>
        <item x="3136"/>
        <item x="1089"/>
        <item x="3170"/>
        <item x="1767"/>
        <item x="873"/>
        <item x="2206"/>
        <item x="1326"/>
        <item x="542"/>
        <item x="3117"/>
        <item x="4422"/>
        <item x="3631"/>
        <item x="4893"/>
        <item x="1950"/>
        <item x="3571"/>
        <item x="4639"/>
        <item x="2465"/>
        <item x="4242"/>
        <item x="1262"/>
        <item x="1744"/>
        <item x="3220"/>
        <item x="489"/>
        <item x="3777"/>
        <item x="635"/>
        <item x="4208"/>
        <item x="3178"/>
        <item x="238"/>
        <item x="4828"/>
        <item x="3691"/>
        <item x="235"/>
        <item x="502"/>
        <item x="4529"/>
        <item x="911"/>
        <item x="4703"/>
        <item x="3785"/>
        <item x="174"/>
        <item x="2793"/>
        <item x="3778"/>
        <item x="2272"/>
        <item x="4080"/>
        <item x="2461"/>
        <item x="1970"/>
        <item x="657"/>
        <item x="4030"/>
        <item x="596"/>
        <item x="1634"/>
        <item x="3464"/>
        <item x="1616"/>
        <item x="948"/>
        <item x="1043"/>
        <item x="4183"/>
        <item x="31"/>
        <item x="2129"/>
        <item x="4578"/>
        <item x="4015"/>
        <item x="1728"/>
        <item x="1589"/>
        <item x="726"/>
        <item x="1638"/>
        <item x="4796"/>
        <item x="1304"/>
        <item x="137"/>
        <item x="2649"/>
        <item x="3668"/>
        <item x="3341"/>
        <item x="3577"/>
        <item x="2365"/>
        <item x="3581"/>
        <item x="4254"/>
        <item x="4576"/>
        <item x="215"/>
        <item x="354"/>
        <item x="677"/>
        <item x="760"/>
        <item x="2399"/>
        <item x="4761"/>
        <item x="4582"/>
        <item x="3877"/>
        <item x="372"/>
        <item x="2338"/>
        <item x="3294"/>
        <item x="4204"/>
        <item x="1137"/>
        <item x="1836"/>
        <item x="1930"/>
        <item x="1769"/>
        <item x="3646"/>
        <item x="2223"/>
        <item x="2874"/>
        <item x="1042"/>
        <item x="1499"/>
        <item x="2744"/>
        <item x="1246"/>
        <item x="664"/>
        <item x="560"/>
        <item x="2362"/>
        <item x="4"/>
        <item x="1158"/>
        <item x="2063"/>
        <item x="4705"/>
        <item x="4549"/>
        <item x="4446"/>
        <item x="2308"/>
        <item x="419"/>
        <item x="1338"/>
        <item x="365"/>
        <item x="3281"/>
        <item x="4754"/>
        <item x="395"/>
        <item x="4489"/>
        <item x="95"/>
        <item x="1962"/>
        <item x="4050"/>
        <item x="24"/>
        <item x="3541"/>
        <item x="2264"/>
        <item x="2791"/>
        <item x="954"/>
        <item x="2627"/>
        <item x="214"/>
        <item x="3329"/>
        <item x="1105"/>
        <item x="2656"/>
        <item x="1019"/>
        <item x="2405"/>
        <item x="589"/>
        <item x="3316"/>
        <item x="2529"/>
        <item x="686"/>
        <item x="3893"/>
        <item x="4555"/>
        <item x="4918"/>
        <item x="2156"/>
        <item x="2563"/>
        <item x="1299"/>
        <item x="166"/>
        <item x="406"/>
        <item x="1462"/>
        <item x="400"/>
        <item x="4562"/>
        <item x="3707"/>
        <item x="4362"/>
        <item x="3234"/>
        <item x="559"/>
        <item x="2976"/>
        <item x="4904"/>
        <item x="2856"/>
        <item x="562"/>
        <item x="3964"/>
        <item x="3661"/>
        <item x="1915"/>
        <item x="2187"/>
        <item x="1810"/>
        <item x="263"/>
        <item x="497"/>
        <item x="3029"/>
        <item x="4126"/>
        <item x="2145"/>
        <item x="3123"/>
        <item x="3397"/>
        <item x="4425"/>
        <item x="4052"/>
        <item x="4642"/>
        <item x="310"/>
        <item x="2838"/>
        <item x="3693"/>
        <item x="426"/>
        <item x="3495"/>
        <item x="352"/>
        <item x="4125"/>
        <item x="3966"/>
        <item x="4401"/>
        <item x="4638"/>
        <item x="4864"/>
        <item x="1928"/>
        <item x="1623"/>
        <item x="2382"/>
        <item x="478"/>
        <item x="1334"/>
        <item x="2714"/>
        <item x="2635"/>
        <item x="84"/>
        <item x="3078"/>
        <item x="2258"/>
        <item x="1617"/>
        <item x="4603"/>
        <item x="4682"/>
        <item x="1853"/>
        <item x="3739"/>
        <item x="1346"/>
        <item x="4783"/>
        <item x="4385"/>
        <item x="1957"/>
        <item x="3135"/>
        <item x="1148"/>
        <item x="1953"/>
        <item x="971"/>
        <item x="1605"/>
        <item x="1676"/>
        <item x="2949"/>
        <item x="3304"/>
        <item x="3090"/>
        <item x="4916"/>
        <item x="3767"/>
        <item x="4343"/>
        <item x="2550"/>
        <item x="2354"/>
        <item x="390"/>
        <item x="3024"/>
        <item x="3100"/>
        <item x="619"/>
        <item x="4554"/>
        <item x="3749"/>
        <item x="2841"/>
        <item x="1348"/>
        <item x="3283"/>
        <item x="1714"/>
        <item x="787"/>
        <item x="4751"/>
        <item x="4862"/>
        <item x="1308"/>
        <item x="3912"/>
        <item x="3977"/>
        <item x="4782"/>
        <item x="3780"/>
        <item x="2370"/>
        <item x="2161"/>
        <item x="13"/>
        <item x="521"/>
        <item x="991"/>
        <item x="3653"/>
        <item x="1241"/>
        <item x="4006"/>
        <item x="199"/>
        <item x="1274"/>
        <item x="2720"/>
        <item x="4747"/>
        <item x="2446"/>
        <item x="2347"/>
        <item x="320"/>
        <item x="4060"/>
        <item x="621"/>
        <item x="2200"/>
        <item x="3537"/>
        <item x="2263"/>
        <item x="3202"/>
        <item x="3583"/>
        <item x="1408"/>
        <item x="1528"/>
        <item x="3981"/>
        <item x="639"/>
        <item x="727"/>
        <item x="3213"/>
        <item x="1307"/>
        <item x="2202"/>
        <item x="1981"/>
        <item x="4713"/>
        <item x="1556"/>
        <item x="4568"/>
        <item x="3538"/>
        <item x="1377"/>
        <item x="1333"/>
        <item x="3787"/>
        <item x="2140"/>
        <item x="425"/>
        <item x="866"/>
        <item x="25"/>
        <item x="2428"/>
        <item x="4067"/>
        <item x="3056"/>
        <item x="1162"/>
        <item x="4087"/>
        <item x="578"/>
        <item x="2523"/>
        <item x="711"/>
        <item x="3261"/>
        <item x="3862"/>
        <item x="2349"/>
        <item x="2082"/>
        <item x="2032"/>
        <item x="2458"/>
        <item x="2844"/>
        <item x="2459"/>
        <item x="3371"/>
        <item x="1476"/>
        <item x="3360"/>
        <item x="4429"/>
        <item x="161"/>
        <item x="284"/>
        <item x="3687"/>
        <item x="1096"/>
        <item x="964"/>
        <item x="2043"/>
        <item x="2792"/>
        <item x="4546"/>
        <item x="2343"/>
        <item x="3944"/>
        <item x="2924"/>
        <item x="4566"/>
        <item x="1771"/>
        <item x="66"/>
        <item x="4750"/>
        <item x="3686"/>
        <item x="99"/>
        <item x="4769"/>
        <item x="378"/>
        <item x="1128"/>
        <item x="2876"/>
        <item x="4137"/>
        <item x="3302"/>
        <item x="3484"/>
        <item x="4720"/>
        <item x="2762"/>
        <item x="2204"/>
        <item x="4105"/>
        <item x="1239"/>
        <item x="853"/>
        <item x="2393"/>
        <item x="30"/>
        <item x="1108"/>
        <item x="4807"/>
        <item x="330"/>
        <item x="2475"/>
        <item x="4237"/>
        <item x="1887"/>
        <item x="3740"/>
        <item x="276"/>
        <item x="4511"/>
        <item x="2721"/>
        <item x="2177"/>
        <item x="4579"/>
        <item x="266"/>
        <item x="4041"/>
        <item x="232"/>
        <item x="3126"/>
        <item x="211"/>
        <item x="2615"/>
        <item x="3566"/>
        <item x="1716"/>
        <item x="2710"/>
        <item x="1846"/>
        <item x="3502"/>
        <item x="2571"/>
        <item x="3580"/>
        <item x="2192"/>
        <item x="1609"/>
        <item x="2368"/>
        <item x="1036"/>
        <item x="3524"/>
        <item x="3959"/>
        <item x="4181"/>
        <item x="1989"/>
        <item x="376"/>
        <item x="1097"/>
        <item x="3660"/>
        <item x="4366"/>
        <item x="4920"/>
        <item x="3356"/>
        <item x="311"/>
        <item x="1518"/>
        <item x="3546"/>
        <item x="2606"/>
        <item x="382"/>
        <item x="2252"/>
        <item x="3173"/>
        <item x="4269"/>
        <item x="2560"/>
        <item x="4180"/>
        <item x="92"/>
        <item x="1410"/>
        <item x="3950"/>
        <item x="816"/>
        <item x="1341"/>
        <item x="262"/>
        <item x="2146"/>
        <item x="236"/>
        <item x="2639"/>
        <item x="697"/>
        <item x="1941"/>
        <item x="4474"/>
        <item x="977"/>
        <item x="2920"/>
        <item x="570"/>
        <item x="3185"/>
        <item x="1592"/>
        <item x="3288"/>
        <item x="1287"/>
        <item x="362"/>
        <item x="4915"/>
        <item x="1824"/>
        <item x="4061"/>
        <item x="646"/>
        <item x="2051"/>
        <item x="981"/>
        <item x="4102"/>
        <item x="916"/>
        <item x="3969"/>
        <item x="80"/>
        <item x="2998"/>
        <item x="1075"/>
        <item x="1830"/>
        <item x="1033"/>
        <item x="4542"/>
        <item x="431"/>
        <item x="1000"/>
        <item x="3179"/>
        <item x="634"/>
        <item x="4255"/>
        <item x="1297"/>
        <item x="4029"/>
        <item x="1480"/>
        <item x="3377"/>
        <item x="611"/>
        <item x="2558"/>
        <item x="1793"/>
        <item x="2769"/>
        <item x="3895"/>
        <item x="1264"/>
        <item x="3425"/>
        <item x="3824"/>
        <item x="4336"/>
        <item x="3654"/>
        <item x="1840"/>
        <item x="2215"/>
        <item x="710"/>
        <item x="1646"/>
        <item x="2798"/>
        <item x="3075"/>
        <item x="4174"/>
        <item x="1604"/>
        <item x="3812"/>
        <item x="3887"/>
        <item x="845"/>
        <item x="135"/>
        <item x="53"/>
        <item x="721"/>
        <item x="3953"/>
        <item x="1988"/>
        <item x="119"/>
        <item x="1800"/>
        <item x="3459"/>
        <item x="4625"/>
        <item x="2008"/>
        <item x="3889"/>
        <item x="2614"/>
        <item x="2110"/>
        <item x="1417"/>
        <item x="2980"/>
        <item x="4741"/>
        <item x="2857"/>
        <item x="4445"/>
        <item x="3080"/>
        <item x="1121"/>
        <item x="318"/>
        <item x="4608"/>
        <item x="2133"/>
        <item x="2799"/>
        <item x="3676"/>
        <item x="4045"/>
        <item x="19"/>
        <item x="1345"/>
        <item x="4396"/>
        <item x="4667"/>
        <item x="2718"/>
        <item x="534"/>
        <item x="1725"/>
        <item x="245"/>
        <item x="2340"/>
        <item x="507"/>
        <item x="4711"/>
        <item x="1384"/>
        <item x="3857"/>
        <item x="753"/>
        <item x="169"/>
        <item x="2834"/>
        <item x="3945"/>
        <item x="67"/>
        <item x="11"/>
        <item x="4139"/>
        <item x="2207"/>
        <item x="1113"/>
        <item x="2995"/>
        <item x="4462"/>
        <item x="4715"/>
        <item x="3904"/>
        <item x="4110"/>
        <item x="669"/>
        <item x="3690"/>
        <item x="1945"/>
        <item x="4686"/>
        <item x="2213"/>
        <item x="3798"/>
        <item x="4004"/>
        <item x="343"/>
        <item x="3499"/>
        <item x="1298"/>
        <item x="741"/>
        <item x="3665"/>
        <item x="2172"/>
        <item x="2661"/>
        <item x="1621"/>
        <item x="3697"/>
        <item x="1211"/>
        <item x="4404"/>
        <item x="4778"/>
        <item x="4081"/>
        <item x="3765"/>
        <item x="1133"/>
        <item x="4304"/>
        <item x="4042"/>
        <item x="4817"/>
        <item x="945"/>
        <item x="1746"/>
        <item x="2013"/>
        <item x="3512"/>
        <item x="3685"/>
        <item x="2972"/>
        <item x="883"/>
        <item x="522"/>
        <item x="1025"/>
        <item x="3258"/>
        <item x="4219"/>
        <item x="293"/>
        <item x="34"/>
        <item x="3457"/>
        <item x="2441"/>
        <item x="4786"/>
        <item x="3491"/>
        <item x="1382"/>
        <item x="1439"/>
        <item x="1258"/>
        <item x="638"/>
        <item x="900"/>
        <item x="3196"/>
        <item x="94"/>
        <item x="1005"/>
        <item x="990"/>
        <item x="3330"/>
        <item x="3998"/>
        <item x="2816"/>
        <item x="3290"/>
        <item x="2147"/>
        <item x="1420"/>
        <item x="524"/>
        <item x="2897"/>
        <item x="2877"/>
        <item x="2650"/>
        <item x="4091"/>
        <item x="993"/>
        <item x="2725"/>
        <item x="279"/>
        <item x="4305"/>
        <item x="4233"/>
        <item x="2960"/>
        <item x="3237"/>
        <item x="2578"/>
        <item x="2613"/>
        <item x="2221"/>
        <item x="3187"/>
        <item x="4677"/>
        <item x="661"/>
        <item x="342"/>
        <item x="2485"/>
        <item x="4258"/>
        <item x="2938"/>
        <item x="3352"/>
        <item x="4740"/>
        <item x="1252"/>
        <item x="2141"/>
        <item x="4356"/>
        <item x="1205"/>
        <item x="75"/>
        <item x="4185"/>
        <item x="3578"/>
        <item x="4435"/>
        <item x="806"/>
        <item x="947"/>
        <item x="4164"/>
        <item x="967"/>
        <item x="3468"/>
        <item x="516"/>
        <item x="4564"/>
        <item x="4541"/>
        <item x="2120"/>
        <item x="1084"/>
        <item x="180"/>
        <item x="202"/>
        <item x="4607"/>
        <item x="3021"/>
        <item x="2517"/>
        <item x="3249"/>
        <item x="3252"/>
        <item x="2478"/>
        <item x="2296"/>
        <item x="2384"/>
        <item x="4671"/>
        <item x="1203"/>
        <item x="992"/>
        <item x="3404"/>
        <item x="4172"/>
        <item x="308"/>
        <item x="2626"/>
        <item x="21"/>
        <item x="1516"/>
        <item x="960"/>
        <item x="4148"/>
        <item x="2309"/>
        <item x="598"/>
        <item x="4039"/>
        <item x="389"/>
        <item x="483"/>
        <item x="4524"/>
        <item x="1877"/>
        <item x="4026"/>
        <item x="907"/>
        <item x="4184"/>
        <item x="3793"/>
        <item x="1115"/>
        <item x="1571"/>
        <item x="3725"/>
        <item x="1022"/>
        <item x="1484"/>
        <item x="1337"/>
        <item x="1549"/>
        <item x="4090"/>
        <item x="3613"/>
        <item x="1278"/>
        <item x="1852"/>
        <item x="1470"/>
        <item x="1939"/>
        <item x="3845"/>
        <item x="1657"/>
        <item x="117"/>
        <item x="4093"/>
        <item x="418"/>
        <item x="203"/>
        <item x="302"/>
        <item x="4465"/>
        <item x="1448"/>
        <item x="895"/>
        <item x="2163"/>
        <item x="3009"/>
        <item x="278"/>
        <item x="3775"/>
        <item x="2764"/>
        <item x="1281"/>
        <item x="145"/>
        <item x="1031"/>
        <item x="3084"/>
        <item x="1309"/>
        <item x="4693"/>
        <item x="3731"/>
        <item x="4764"/>
        <item x="4640"/>
        <item x="720"/>
        <item x="3254"/>
        <item x="4406"/>
        <item x="2880"/>
        <item x="633"/>
        <item x="2248"/>
        <item x="2866"/>
        <item x="531"/>
        <item x="1487"/>
        <item x="3705"/>
        <item x="2648"/>
        <item x="3535"/>
        <item x="1966"/>
        <item x="1851"/>
        <item x="2363"/>
        <item x="932"/>
        <item x="2134"/>
        <item x="3275"/>
        <item x="2898"/>
        <item x="2797"/>
        <item x="265"/>
        <item x="2716"/>
        <item x="2979"/>
        <item x="4027"/>
        <item x="2495"/>
        <item x="2664"/>
        <item x="394"/>
        <item x="4851"/>
        <item x="1913"/>
        <item x="1166"/>
        <item x="1672"/>
        <item x="2952"/>
        <item x="4795"/>
        <item x="1603"/>
        <item x="1643"/>
        <item x="3766"/>
        <item x="1076"/>
        <item x="1223"/>
        <item x="772"/>
        <item x="3936"/>
        <item x="1277"/>
        <item x="899"/>
        <item x="3769"/>
        <item x="3305"/>
        <item x="2044"/>
        <item x="2090"/>
        <item x="3831"/>
        <item x="3476"/>
        <item x="296"/>
        <item x="3134"/>
        <item x="2357"/>
        <item x="1901"/>
        <item x="97"/>
        <item x="2913"/>
        <item x="16"/>
        <item x="3165"/>
        <item x="2235"/>
        <item x="662"/>
        <item x="1881"/>
        <item x="4317"/>
        <item x="3639"/>
        <item x="4572"/>
        <item x="3440"/>
        <item x="3061"/>
        <item x="4721"/>
        <item x="3553"/>
        <item x="4748"/>
        <item x="917"/>
        <item x="821"/>
        <item x="2214"/>
        <item x="1039"/>
        <item x="3047"/>
        <item x="4265"/>
        <item x="4650"/>
        <item x="4492"/>
        <item x="3880"/>
        <item x="4845"/>
        <item x="1873"/>
        <item x="4665"/>
        <item x="4082"/>
        <item x="364"/>
        <item x="253"/>
        <item x="1452"/>
        <item x="1021"/>
        <item x="1371"/>
        <item x="974"/>
        <item x="4412"/>
        <item x="1280"/>
        <item x="3466"/>
        <item x="448"/>
        <item x="1419"/>
        <item x="3597"/>
        <item x="1795"/>
        <item x="3439"/>
        <item x="3990"/>
        <item x="398"/>
        <item x="623"/>
        <item x="4507"/>
        <item x="636"/>
        <item x="1453"/>
        <item x="2329"/>
        <item x="4206"/>
        <item x="2107"/>
        <item x="2780"/>
        <item x="2324"/>
        <item x="4043"/>
        <item x="1391"/>
        <item x="942"/>
        <item x="1177"/>
        <item x="1208"/>
        <item x="2576"/>
        <item x="2600"/>
        <item x="629"/>
        <item x="3156"/>
        <item x="2376"/>
        <item x="890"/>
        <item x="3301"/>
        <item x="3045"/>
        <item x="3506"/>
        <item x="35"/>
        <item x="4829"/>
        <item x="37"/>
        <item x="3879"/>
        <item x="852"/>
        <item x="3217"/>
        <item x="2884"/>
        <item x="4352"/>
        <item x="1119"/>
        <item x="4092"/>
        <item x="3625"/>
        <item x="2403"/>
        <item x="1378"/>
        <item x="519"/>
        <item x="1998"/>
        <item x="2682"/>
        <item x="1101"/>
        <item x="130"/>
        <item x="2078"/>
        <item x="834"/>
        <item x="1804"/>
        <item x="3264"/>
        <item x="2416"/>
        <item x="4271"/>
        <item x="12"/>
        <item x="2954"/>
        <item x="1332"/>
        <item x="1990"/>
        <item x="1134"/>
        <item x="848"/>
        <item x="1837"/>
        <item x="2387"/>
        <item x="510"/>
        <item x="4725"/>
        <item x="1600"/>
        <item x="2712"/>
        <item x="375"/>
        <item x="4014"/>
        <item x="2261"/>
        <item x="1660"/>
        <item x="2321"/>
        <item x="965"/>
        <item x="4756"/>
        <item x="4020"/>
        <item x="601"/>
        <item x="3830"/>
        <item x="3154"/>
        <item x="3067"/>
        <item x="2072"/>
        <item x="147"/>
        <item x="333"/>
        <item x="1773"/>
        <item x="2466"/>
        <item x="397"/>
        <item x="1624"/>
        <item x="1975"/>
        <item x="3865"/>
        <item x="2"/>
        <item x="968"/>
        <item x="2224"/>
        <item x="229"/>
        <item x="2211"/>
        <item x="3708"/>
        <item x="3471"/>
        <item x="347"/>
        <item x="842"/>
        <item x="2348"/>
        <item x="2006"/>
        <item x="644"/>
        <item x="2918"/>
        <item x="3033"/>
        <item x="4437"/>
        <item x="3042"/>
        <item x="796"/>
        <item x="3603"/>
        <item x="3273"/>
        <item x="345"/>
        <item x="3192"/>
        <item x="2659"/>
        <item x="2717"/>
        <item x="2157"/>
        <item x="3306"/>
        <item x="2326"/>
        <item x="3698"/>
        <item x="2033"/>
        <item x="2519"/>
        <item x="4085"/>
        <item x="258"/>
        <item x="3532"/>
        <item x="1456"/>
        <item x="2977"/>
        <item x="2752"/>
        <item x="4831"/>
        <item x="918"/>
        <item x="58"/>
        <item x="2705"/>
        <item x="702"/>
        <item x="4012"/>
        <item x="3488"/>
        <item x="2784"/>
        <item x="2030"/>
        <item x="4142"/>
        <item x="2760"/>
        <item x="2286"/>
        <item x="387"/>
        <item x="1976"/>
        <item x="1847"/>
        <item x="1806"/>
        <item x="4395"/>
        <item x="1525"/>
        <item x="1547"/>
        <item x="3626"/>
        <item x="1263"/>
        <item x="2521"/>
        <item x="4070"/>
        <item x="501"/>
        <item x="1230"/>
        <item x="889"/>
        <item x="4784"/>
        <item x="3850"/>
        <item x="579"/>
        <item x="2990"/>
        <item x="1056"/>
        <item x="4389"/>
        <item x="1117"/>
        <item x="3318"/>
        <item x="871"/>
        <item x="4499"/>
        <item x="4475"/>
        <item x="1674"/>
        <item x="4503"/>
        <item x="4899"/>
        <item x="2746"/>
        <item x="655"/>
        <item x="2503"/>
        <item x="3632"/>
        <item x="2322"/>
        <item x="3680"/>
        <item x="2311"/>
        <item x="4109"/>
        <item x="748"/>
        <item x="3322"/>
        <item x="1524"/>
        <item x="4856"/>
        <item x="3525"/>
        <item x="3392"/>
        <item x="3102"/>
        <item x="122"/>
        <item x="2099"/>
        <item x="505"/>
        <item x="2584"/>
        <item x="1787"/>
        <item x="2602"/>
        <item x="496"/>
        <item x="2009"/>
        <item x="3992"/>
        <item x="1626"/>
        <item x="847"/>
        <item x="2999"/>
        <item x="4876"/>
        <item x="2121"/>
        <item x="404"/>
        <item x="3382"/>
        <item x="1145"/>
        <item x="2100"/>
        <item x="1948"/>
        <item x="282"/>
        <item x="3803"/>
        <item x="4160"/>
        <item x="4040"/>
        <item x="1442"/>
        <item x="4251"/>
        <item x="4732"/>
        <item x="958"/>
        <item x="3983"/>
        <item x="4880"/>
        <item x="3837"/>
        <item x="9"/>
        <item x="3832"/>
        <item x="1013"/>
        <item x="937"/>
        <item x="1584"/>
        <item x="4583"/>
        <item x="3820"/>
        <item x="4674"/>
        <item x="1680"/>
        <item x="2828"/>
        <item x="132"/>
        <item x="3733"/>
        <item x="112"/>
        <item x="2144"/>
        <item x="3431"/>
        <item x="4872"/>
        <item x="4246"/>
        <item x="4066"/>
        <item x="3391"/>
        <item x="4318"/>
        <item x="3517"/>
        <item x="1343"/>
        <item x="1839"/>
        <item x="802"/>
        <item x="1488"/>
        <item x="1052"/>
        <item x="1286"/>
        <item x="100"/>
        <item x="3454"/>
        <item x="1081"/>
        <item x="2591"/>
        <item x="4135"/>
        <item x="2931"/>
        <item x="2275"/>
        <item x="3351"/>
        <item x="1632"/>
        <item x="1383"/>
        <item x="788"/>
        <item x="289"/>
        <item x="4146"/>
        <item x="3864"/>
        <item x="750"/>
        <item x="1899"/>
        <item x="1071"/>
        <item x="2680"/>
        <item x="1136"/>
        <item x="4057"/>
        <item x="4170"/>
        <item x="1832"/>
        <item x="2756"/>
        <item x="3163"/>
        <item x="1063"/>
        <item x="3160"/>
        <item x="2153"/>
        <item x="124"/>
        <item x="3961"/>
        <item x="3550"/>
        <item x="614"/>
        <item x="3395"/>
        <item x="4448"/>
        <item x="4543"/>
        <item x="3692"/>
        <item x="4019"/>
        <item x="1111"/>
        <item x="879"/>
        <item x="4114"/>
        <item x="1082"/>
        <item x="3670"/>
        <item x="4098"/>
        <item x="3688"/>
        <item x="3186"/>
        <item x="338"/>
        <item x="4632"/>
        <item x="746"/>
        <item x="679"/>
        <item x="725"/>
        <item x="3448"/>
        <item x="3750"/>
        <item x="4315"/>
        <item x="3563"/>
        <item x="2396"/>
        <item x="4136"/>
        <item x="3638"/>
        <item x="703"/>
        <item x="4284"/>
        <item x="2479"/>
        <item x="1697"/>
        <item x="4413"/>
        <item x="356"/>
        <item x="109"/>
        <item x="4538"/>
        <item x="4866"/>
        <item x="301"/>
        <item x="4865"/>
        <item x="3089"/>
        <item x="3878"/>
        <item x="4023"/>
        <item x="2546"/>
        <item x="4485"/>
        <item x="4780"/>
        <item x="1816"/>
        <item x="1829"/>
        <item x="1118"/>
        <item x="1582"/>
        <item x="231"/>
        <item x="349"/>
        <item x="2772"/>
        <item x="1301"/>
        <item x="3618"/>
        <item x="3596"/>
        <item x="4458"/>
        <item x="403"/>
        <item x="3818"/>
        <item x="3122"/>
        <item x="4234"/>
        <item x="4477"/>
        <item x="1478"/>
        <item x="2447"/>
        <item x="774"/>
        <item x="3772"/>
        <item x="439"/>
        <item x="1834"/>
        <item x="3742"/>
        <item x="2808"/>
        <item x="4858"/>
        <item x="1906"/>
        <item x="2737"/>
        <item x="975"/>
        <item x="4775"/>
        <item x="1357"/>
        <item x="4825"/>
        <item x="2337"/>
        <item x="3257"/>
        <item x="2940"/>
        <item x="1171"/>
        <item x="4289"/>
        <item x="3678"/>
        <item x="1517"/>
        <item x="3069"/>
        <item x="2201"/>
        <item x="148"/>
        <item x="2888"/>
        <item x="4739"/>
        <item x="1856"/>
        <item x="3684"/>
        <item x="1190"/>
        <item x="4357"/>
        <item x="500"/>
        <item x="2775"/>
        <item x="2570"/>
        <item x="3523"/>
        <item x="769"/>
        <item x="3505"/>
        <item x="2119"/>
        <item x="1132"/>
        <item x="2310"/>
        <item x="3277"/>
        <item x="2899"/>
        <item x="4844"/>
        <item x="85"/>
        <item x="2400"/>
        <item x="4855"/>
        <item x="2848"/>
        <item x="951"/>
        <item x="2358"/>
        <item x="699"/>
        <item x="28"/>
        <item x="857"/>
        <item x="2265"/>
        <item x="4123"/>
        <item x="1198"/>
        <item x="1817"/>
        <item x="2019"/>
        <item x="3810"/>
        <item x="1228"/>
        <item x="3529"/>
        <item x="826"/>
        <item x="2026"/>
        <item x="3087"/>
        <item x="2598"/>
        <item x="3303"/>
        <item x="1232"/>
        <item x="1825"/>
        <item x="2701"/>
        <item x="3058"/>
        <item x="2864"/>
        <item x="2763"/>
        <item x="4723"/>
        <item x="4245"/>
        <item x="383"/>
        <item x="801"/>
        <item x="709"/>
        <item x="2759"/>
        <item x="1521"/>
        <item x="4409"/>
        <item x="1986"/>
        <item x="2390"/>
        <item x="4397"/>
        <item x="2150"/>
        <item x="4260"/>
        <item x="4267"/>
        <item x="3501"/>
        <item x="983"/>
        <item x="3144"/>
        <item x="2438"/>
        <item x="904"/>
        <item x="4629"/>
        <item x="1564"/>
        <item x="2470"/>
        <item x="3376"/>
        <item x="465"/>
        <item x="4505"/>
        <item x="56"/>
        <item x="2298"/>
        <item x="1598"/>
        <item x="3244"/>
        <item x="4569"/>
        <item x="1937"/>
        <item x="197"/>
        <item x="2557"/>
        <item x="374"/>
        <item x="1165"/>
        <item x="4133"/>
        <item x="4322"/>
        <item x="47"/>
        <item x="2002"/>
        <item x="2386"/>
        <item x="4733"/>
        <item x="3168"/>
        <item x="1723"/>
        <item x="973"/>
        <item x="1653"/>
        <item x="4031"/>
        <item x="2806"/>
        <item x="3143"/>
        <item x="1733"/>
        <item x="3410"/>
        <item x="4009"/>
        <item x="3388"/>
        <item x="4792"/>
        <item x="3935"/>
        <item x="4408"/>
        <item x="980"/>
        <item x="1548"/>
        <item x="2371"/>
        <item x="3142"/>
        <item x="1406"/>
        <item x="45"/>
        <item x="162"/>
        <item x="2757"/>
        <item x="1083"/>
        <item x="108"/>
        <item x="46"/>
        <item x="1399"/>
        <item x="2978"/>
        <item x="457"/>
        <item x="369"/>
        <item x="316"/>
        <item x="3205"/>
        <item x="1591"/>
        <item x="4700"/>
        <item x="2069"/>
        <item x="1522"/>
        <item x="4666"/>
        <item x="2350"/>
        <item x="2351"/>
        <item x="1305"/>
        <item x="4644"/>
        <item x="1026"/>
        <item x="402"/>
        <item x="1360"/>
        <item x="1088"/>
        <item x="3099"/>
        <item x="2860"/>
        <item x="3559"/>
        <item x="822"/>
        <item x="4166"/>
        <item x="4621"/>
        <item x="1599"/>
        <item x="4658"/>
        <item x="4476"/>
        <item x="3094"/>
        <item x="1730"/>
        <item x="3201"/>
        <item x="3230"/>
        <item x="3582"/>
        <item x="3570"/>
        <item x="4106"/>
        <item x="2467"/>
        <item x="1979"/>
        <item x="1168"/>
        <item x="1732"/>
        <item x="4736"/>
        <item x="3595"/>
        <item x="4349"/>
        <item x="4190"/>
        <item x="90"/>
        <item x="4480"/>
        <item x="819"/>
        <item x="3518"/>
        <item x="2779"/>
        <item x="2408"/>
        <item x="1977"/>
        <item x="332"/>
        <item x="4722"/>
        <item x="380"/>
        <item x="2392"/>
        <item x="3364"/>
        <item x="1765"/>
        <item x="1471"/>
        <item x="1973"/>
        <item x="1897"/>
        <item x="1106"/>
        <item x="4096"/>
        <item x="1380"/>
        <item x="4771"/>
        <item x="1841"/>
        <item x="833"/>
        <item x="1323"/>
        <item x="3350"/>
        <item x="2497"/>
        <item x="3925"/>
        <item x="2112"/>
        <item x="3465"/>
        <item x="4281"/>
        <item x="1093"/>
        <item x="1001"/>
        <item x="1123"/>
        <item x="1502"/>
        <item x="2951"/>
        <item x="1882"/>
        <item x="2843"/>
        <item x="3409"/>
        <item x="2707"/>
        <item x="4187"/>
        <item x="4022"/>
        <item x="1451"/>
        <item x="910"/>
        <item x="903"/>
        <item x="42"/>
        <item x="2270"/>
        <item x="2789"/>
        <item x="1994"/>
        <item x="3948"/>
        <item x="230"/>
        <item x="4599"/>
        <item x="3379"/>
        <item x="4824"/>
        <item x="1182"/>
        <item x="2142"/>
        <item x="3637"/>
        <item x="4837"/>
        <item x="4416"/>
        <item x="1291"/>
        <item x="4097"/>
        <item x="434"/>
        <item x="643"/>
        <item x="935"/>
        <item x="4205"/>
        <item x="55"/>
        <item x="4218"/>
        <item x="2440"/>
        <item x="1911"/>
        <item x="2232"/>
        <item x="353"/>
        <item x="4293"/>
        <item x="1353"/>
        <item x="3842"/>
        <item x="648"/>
        <item x="3671"/>
        <item x="2237"/>
        <item x="1495"/>
        <item x="437"/>
        <item x="1675"/>
        <item x="1124"/>
        <item x="2818"/>
        <item x="3970"/>
        <item x="3974"/>
        <item x="65"/>
        <item x="4649"/>
        <item x="3530"/>
        <item x="3207"/>
        <item x="3412"/>
        <item x="859"/>
        <item x="4438"/>
        <item x="4275"/>
        <item x="4548"/>
        <item x="1972"/>
        <item x="1153"/>
        <item x="3485"/>
        <item x="312"/>
        <item x="2277"/>
        <item x="1750"/>
        <item x="4804"/>
        <item x="3497"/>
        <item x="2436"/>
        <item x="3022"/>
        <item x="4186"/>
        <item x="1330"/>
        <item x="2155"/>
        <item x="291"/>
        <item x="2164"/>
        <item x="4167"/>
        <item x="2262"/>
        <item x="3519"/>
        <item x="4663"/>
        <item x="2984"/>
        <item x="4678"/>
        <item x="1486"/>
        <item x="1227"/>
        <item x="4873"/>
        <item x="3064"/>
        <item x="1619"/>
        <item x="1917"/>
        <item x="1876"/>
        <item x="2991"/>
        <item x="1908"/>
        <item x="216"/>
        <item x="4393"/>
        <item x="789"/>
        <item x="3065"/>
        <item x="446"/>
        <item x="153"/>
        <item x="3870"/>
        <item x="3886"/>
        <item x="1311"/>
        <item x="1875"/>
        <item x="2401"/>
        <item x="3292"/>
        <item x="4282"/>
        <item x="3011"/>
        <item x="3242"/>
        <item x="4132"/>
        <item x="3721"/>
        <item x="908"/>
        <item x="1540"/>
        <item x="886"/>
        <item x="2136"/>
        <item x="543"/>
        <item x="1491"/>
        <item x="3514"/>
        <item x="625"/>
        <item x="2587"/>
        <item x="4869"/>
        <item x="2537"/>
        <item x="1607"/>
        <item x="1701"/>
        <item x="2749"/>
        <item x="3976"/>
        <item x="3081"/>
        <item x="2488"/>
        <item x="4497"/>
        <item x="2617"/>
        <item x="4688"/>
        <item x="1011"/>
        <item x="2500"/>
        <item x="4510"/>
        <item x="366"/>
        <item x="3606"/>
        <item x="1720"/>
        <item x="3098"/>
        <item x="2383"/>
        <item x="1099"/>
        <item x="2331"/>
        <item x="131"/>
        <item x="2923"/>
        <item x="107"/>
        <item x="4490"/>
        <item x="603"/>
        <item x="4730"/>
        <item x="608"/>
        <item x="2597"/>
        <item x="1312"/>
        <item x="2344"/>
        <item x="3068"/>
        <item x="4587"/>
        <item x="1127"/>
        <item x="4143"/>
        <item x="2159"/>
        <item x="2333"/>
        <item x="4179"/>
        <item x="998"/>
        <item x="1958"/>
        <item x="3147"/>
        <item x="36"/>
        <item x="2623"/>
        <item x="2552"/>
        <item x="4058"/>
        <item x="481"/>
        <item x="2596"/>
        <item x="2790"/>
        <item x="2768"/>
        <item x="3814"/>
        <item x="3956"/>
        <item x="498"/>
        <item x="3700"/>
        <item x="1430"/>
        <item x="1303"/>
        <item x="2652"/>
        <item x="2890"/>
        <item x="2540"/>
        <item x="3500"/>
        <item x="4452"/>
        <item x="1436"/>
        <item x="2975"/>
        <item x="2586"/>
        <item x="985"/>
        <item x="2315"/>
        <item x="2317"/>
        <item x="4823"/>
        <item x="3323"/>
        <item x="2665"/>
        <item x="2674"/>
        <item x="1272"/>
        <item x="1506"/>
        <item x="2849"/>
        <item x="1689"/>
        <item x="4609"/>
        <item x="4914"/>
        <item x="2946"/>
        <item x="1896"/>
        <item x="2067"/>
        <item x="678"/>
        <item x="2388"/>
        <item x="712"/>
        <item x="4088"/>
        <item x="3827"/>
        <item x="4731"/>
        <item x="4610"/>
        <item x="2242"/>
        <item x="285"/>
        <item x="3927"/>
        <item x="2646"/>
        <item x="2644"/>
        <item x="2527"/>
        <item x="1774"/>
        <item x="4570"/>
        <item x="2814"/>
        <item x="3779"/>
        <item x="2608"/>
        <item x="4340"/>
        <item x="2097"/>
        <item x="4063"/>
        <item x="220"/>
        <item x="549"/>
        <item x="949"/>
        <item x="999"/>
        <item x="2953"/>
        <item x="3762"/>
        <item x="1580"/>
        <item x="1574"/>
        <item x="569"/>
        <item x="4532"/>
        <item x="3728"/>
        <item x="3018"/>
        <item x="2963"/>
        <item x="2695"/>
        <item x="2743"/>
        <item x="424"/>
        <item x="4494"/>
        <item x="1094"/>
        <item x="1593"/>
        <item x="554"/>
        <item x="798"/>
        <item x="3434"/>
        <item x="3250"/>
        <item x="4277"/>
        <item x="194"/>
        <item x="694"/>
        <item x="464"/>
        <item x="2245"/>
        <item x="1904"/>
        <item x="4654"/>
        <item x="924"/>
        <item x="4162"/>
        <item x="4910"/>
        <item x="4119"/>
        <item x="2048"/>
        <item x="3443"/>
        <item x="3828"/>
        <item x="1576"/>
        <item x="499"/>
        <item x="4229"/>
        <item x="2910"/>
        <item x="26"/>
        <item x="4757"/>
        <item x="102"/>
        <item x="441"/>
        <item x="2197"/>
        <item x="3735"/>
        <item x="4453"/>
        <item x="4506"/>
        <item x="2046"/>
        <item x="292"/>
        <item x="3918"/>
        <item x="4011"/>
        <item x="3543"/>
        <item x="540"/>
        <item x="4197"/>
        <item x="1942"/>
        <item x="2216"/>
        <item x="2320"/>
        <item x="2173"/>
        <item x="4032"/>
        <item x="1822"/>
        <item x="1213"/>
        <item x="2833"/>
        <item x="1808"/>
        <item x="3260"/>
        <item x="2927"/>
        <item x="4745"/>
        <item x="3228"/>
        <item x="4003"/>
        <item x="3757"/>
        <item x="2397"/>
        <item x="1572"/>
        <item x="4306"/>
        <item x="1538"/>
        <item x="3771"/>
        <item x="820"/>
        <item x="715"/>
        <item x="642"/>
        <item x="2432"/>
        <item x="2862"/>
        <item x="1642"/>
        <item x="3157"/>
        <item x="1775"/>
        <item x="860"/>
        <item x="3673"/>
        <item x="3694"/>
        <item x="2218"/>
        <item x="337"/>
        <item x="328"/>
        <item x="2839"/>
        <item x="381"/>
        <item x="1174"/>
        <item x="3802"/>
        <item x="1191"/>
        <item x="3503"/>
        <item x="18"/>
        <item x="4768"/>
        <item x="3813"/>
        <item x="4075"/>
        <item x="3005"/>
        <item x="2905"/>
        <item x="1865"/>
        <item x="872"/>
        <item x="1034"/>
        <item x="4561"/>
        <item x="1184"/>
        <item x="2685"/>
        <item x="1218"/>
        <item x="3053"/>
        <item x="1561"/>
        <item x="649"/>
        <item x="4606"/>
        <item x="2411"/>
        <item x="4469"/>
        <item x="2301"/>
        <item x="927"/>
        <item x="4272"/>
        <item x="4427"/>
        <item x="3182"/>
        <item x="691"/>
        <item x="1707"/>
        <item x="4244"/>
        <item x="982"/>
        <item x="1801"/>
        <item x="2042"/>
        <item x="4101"/>
        <item x="4364"/>
        <item x="4182"/>
        <item x="2379"/>
        <item x="4857"/>
        <item x="3265"/>
        <item x="2012"/>
        <item x="3224"/>
        <item x="2773"/>
        <item x="2050"/>
        <item x="254"/>
        <item x="4487"/>
        <item x="4495"/>
        <item x="2494"/>
        <item x="4296"/>
        <item x="1247"/>
        <item x="4127"/>
        <item x="2887"/>
        <item x="4203"/>
        <item x="2071"/>
        <item x="4121"/>
        <item x="160"/>
        <item x="2530"/>
        <item x="1655"/>
        <item x="3562"/>
        <item x="3628"/>
        <item x="2083"/>
        <item x="2781"/>
        <item x="4830"/>
        <item x="3082"/>
        <item x="2345"/>
        <item x="2654"/>
        <item x="3109"/>
        <item x="2958"/>
        <item x="1454"/>
        <item x="1237"/>
        <item x="51"/>
        <item x="3077"/>
        <item x="3280"/>
        <item x="989"/>
        <item x="233"/>
        <item x="470"/>
        <item x="118"/>
        <item x="3629"/>
        <item x="3817"/>
        <item x="2492"/>
        <item x="2105"/>
        <item x="2534"/>
        <item x="368"/>
        <item x="1295"/>
        <item x="2535"/>
        <item x="3672"/>
        <item x="2988"/>
        <item x="3406"/>
        <item x="1585"/>
        <item x="2409"/>
        <item x="3776"/>
        <item x="4536"/>
        <item x="3039"/>
        <item x="674"/>
        <item x="1943"/>
        <item x="3183"/>
        <item x="1296"/>
        <item x="861"/>
        <item x="2186"/>
        <item x="2064"/>
        <item x="59"/>
        <item x="4593"/>
        <item x="1002"/>
        <item x="3204"/>
        <item x="2956"/>
        <item x="114"/>
        <item x="415"/>
        <item x="3057"/>
        <item x="2709"/>
        <item x="3002"/>
        <item x="4235"/>
        <item x="3797"/>
        <item x="2477"/>
        <item x="189"/>
        <item x="3575"/>
        <item x="4192"/>
        <item x="3458"/>
        <item x="695"/>
        <item x="3133"/>
        <item x="4894"/>
        <item x="618"/>
        <item x="4033"/>
        <item x="3748"/>
        <item x="2092"/>
        <item x="3035"/>
        <item x="1734"/>
        <item x="2950"/>
        <item x="4605"/>
        <item x="4763"/>
        <item x="121"/>
        <item x="2293"/>
        <item x="1447"/>
        <item x="3584"/>
        <item x="1539"/>
        <item x="3286"/>
        <item x="2577"/>
        <item x="4887"/>
        <item x="2601"/>
        <item x="187"/>
        <item x="4351"/>
        <item x="1413"/>
        <item x="4171"/>
        <item x="541"/>
        <item x="4819"/>
        <item x="2394"/>
        <item x="3911"/>
        <item x="2936"/>
        <item x="1285"/>
        <item x="1620"/>
        <item x="2152"/>
        <item x="986"/>
        <item x="4263"/>
        <item x="4531"/>
        <item x="4727"/>
        <item x="2236"/>
        <item x="2089"/>
        <item x="683"/>
        <item x="4410"/>
        <item x="2801"/>
        <item x="3511"/>
        <item x="3132"/>
        <item x="2059"/>
        <item x="868"/>
        <item x="295"/>
        <item x="1886"/>
        <item x="2243"/>
        <item x="1542"/>
        <item x="2900"/>
        <item x="766"/>
        <item x="3633"/>
        <item x="4419"/>
        <item x="1974"/>
        <item x="3381"/>
        <item x="4147"/>
        <item x="2734"/>
        <item x="645"/>
        <item x="1932"/>
        <item x="3276"/>
        <item x="665"/>
        <item x="588"/>
        <item x="2937"/>
        <item x="3545"/>
        <item x="2590"/>
        <item x="3236"/>
        <item x="4054"/>
        <item x="4743"/>
        <item x="2632"/>
        <item x="4519"/>
        <item x="3130"/>
        <item x="2407"/>
        <item x="277"/>
        <item x="4624"/>
        <item x="1405"/>
        <item x="1504"/>
        <item x="4210"/>
        <item x="3338"/>
        <item x="3946"/>
        <item x="2922"/>
        <item x="2692"/>
        <item x="1234"/>
        <item x="972"/>
        <item x="599"/>
        <item x="4626"/>
        <item x="1284"/>
        <item x="1889"/>
        <item x="3588"/>
        <item x="4214"/>
        <item x="1992"/>
        <item x="3197"/>
        <item x="3790"/>
        <item x="2994"/>
        <item x="1594"/>
        <item x="2084"/>
        <item x="1987"/>
        <item x="544"/>
        <item x="1070"/>
        <item x="736"/>
        <item x="1394"/>
        <item x="2226"/>
        <item x="3987"/>
        <item x="355"/>
        <item x="2854"/>
        <item x="2875"/>
        <item x="3868"/>
        <item x="331"/>
        <item x="3387"/>
        <item x="2378"/>
        <item x="1268"/>
        <item x="103"/>
        <item x="3730"/>
        <item x="4200"/>
        <item x="2174"/>
        <item x="1602"/>
        <item x="2669"/>
        <item x="2966"/>
        <item x="3489"/>
        <item x="718"/>
        <item x="4526"/>
        <item x="304"/>
        <item x="251"/>
        <item x="1355"/>
        <item x="2501"/>
        <item x="2575"/>
        <item x="3709"/>
        <item x="2095"/>
        <item x="4403"/>
        <item x="4226"/>
        <item x="988"/>
        <item x="4083"/>
        <item x="672"/>
        <item x="1407"/>
        <item x="1087"/>
        <item x="3736"/>
        <item x="1050"/>
        <item x="1681"/>
        <item x="3317"/>
        <item x="1500"/>
        <item x="2629"/>
        <item x="3120"/>
        <item x="1940"/>
        <item x="287"/>
        <item x="1534"/>
        <item x="2618"/>
        <item x="3920"/>
        <item x="1919"/>
        <item x="3896"/>
        <item x="4533"/>
        <item x="4500"/>
        <item x="1207"/>
        <item x="4418"/>
        <item x="2427"/>
        <item x="2593"/>
        <item x="3446"/>
        <item x="4799"/>
        <item x="1292"/>
        <item x="280"/>
        <item x="3472"/>
        <item x="297"/>
        <item x="3195"/>
        <item x="2961"/>
        <item x="2108"/>
        <item x="2928"/>
        <item x="1662"/>
        <item x="1421"/>
        <item x="4552"/>
        <item x="493"/>
        <item x="1051"/>
        <item x="3576"/>
        <item x="2684"/>
        <item x="4095"/>
        <item x="4860"/>
        <item x="2561"/>
        <item x="2985"/>
        <item x="2122"/>
        <item x="3623"/>
        <item x="1777"/>
        <item x="4805"/>
        <item x="785"/>
        <item x="4209"/>
        <item x="2175"/>
        <item x="4141"/>
        <item x="4316"/>
        <item x="192"/>
        <item x="4264"/>
        <item x="4240"/>
        <item x="4270"/>
        <item x="814"/>
        <item x="4076"/>
        <item x="2944"/>
        <item x="1138"/>
        <item x="4800"/>
        <item x="3229"/>
        <item x="4421"/>
        <item x="4614"/>
        <item x="444"/>
        <item x="41"/>
        <item x="4268"/>
        <item x="4386"/>
        <item x="2040"/>
        <item x="1929"/>
        <item x="3255"/>
        <item x="3982"/>
        <item x="2514"/>
        <item x="2588"/>
        <item x="3320"/>
        <item x="2280"/>
        <item x="3806"/>
        <item x="3875"/>
        <item x="4236"/>
        <item x="4064"/>
        <item x="3097"/>
        <item x="1510"/>
        <item x="1061"/>
        <item x="2079"/>
        <item x="1550"/>
        <item x="3334"/>
        <item x="283"/>
        <item x="1316"/>
        <item x="576"/>
        <item x="1635"/>
        <item x="3073"/>
        <item x="1415"/>
        <item x="1686"/>
        <item x="327"/>
        <item x="78"/>
        <item x="1596"/>
        <item x="2777"/>
        <item x="2346"/>
        <item x="4342"/>
        <item x="1797"/>
        <item x="1048"/>
        <item x="1469"/>
        <item x="4818"/>
        <item x="447"/>
        <item x="1222"/>
        <item x="2366"/>
        <item x="70"/>
        <item x="4217"/>
        <item x="3917"/>
        <item x="29"/>
        <item x="4514"/>
        <item x="3380"/>
        <item x="2058"/>
        <item x="4285"/>
        <item x="72"/>
        <item x="3717"/>
        <item x="2621"/>
        <item x="1969"/>
        <item x="1512"/>
        <item x="4517"/>
        <item x="4194"/>
        <item x="2609"/>
        <item x="795"/>
        <item x="2845"/>
        <item x="3513"/>
        <item x="4522"/>
        <item x="4527"/>
        <item x="1220"/>
        <item x="4367"/>
        <item x="4307"/>
        <item x="3487"/>
        <item x="4659"/>
        <item x="776"/>
        <item x="1552"/>
        <item x="574"/>
        <item x="22"/>
        <item x="4816"/>
        <item x="2290"/>
        <item x="1411"/>
        <item x="2589"/>
        <item x="4078"/>
        <item x="4068"/>
        <item x="2515"/>
        <item x="3218"/>
        <item x="2158"/>
        <item x="1181"/>
        <item x="1796"/>
        <item x="1362"/>
        <item x="4877"/>
        <item x="3028"/>
        <item x="2474"/>
        <item x="1037"/>
        <item x="2060"/>
        <item x="2708"/>
        <item x="4701"/>
        <item x="3175"/>
        <item x="4094"/>
        <item x="1038"/>
        <item x="4144"/>
        <item x="4324"/>
        <item x="3000"/>
        <item x="594"/>
        <item x="1531"/>
        <item x="1261"/>
        <item x="2802"/>
        <item x="3923"/>
        <item x="1735"/>
        <item x="4279"/>
        <item x="264"/>
        <item x="518"/>
        <item x="127"/>
        <item x="1813"/>
        <item x="3763"/>
        <item x="4368"/>
        <item x="409"/>
        <item x="3839"/>
        <item x="2021"/>
        <item x="3246"/>
        <item x="2532"/>
        <item x="3615"/>
        <item x="1079"/>
        <item x="2696"/>
        <item x="4402"/>
        <item x="3712"/>
        <item x="4881"/>
        <item x="2359"/>
        <item x="2489"/>
        <item x="797"/>
        <item x="4478"/>
        <item x="4381"/>
        <item x="825"/>
        <item x="2829"/>
        <item x="3093"/>
        <item x="183"/>
        <item x="4615"/>
        <item x="241"/>
        <item x="4038"/>
        <item x="3745"/>
        <item x="3311"/>
        <item x="3449"/>
        <item x="1541"/>
        <item x="2755"/>
        <item x="2813"/>
        <item x="922"/>
        <item x="2334"/>
        <item x="140"/>
        <item x="2183"/>
        <item x="4431"/>
        <item x="4128"/>
        <item x="4387"/>
        <item x="2295"/>
        <item x="4491"/>
        <item x="1175"/>
        <item x="1049"/>
        <item x="2786"/>
        <item x="3327"/>
        <item x="2339"/>
        <item x="43"/>
        <item x="1679"/>
        <item x="104"/>
        <item x="4600"/>
        <item x="732"/>
        <item x="4694"/>
        <item x="1625"/>
        <item x="2227"/>
        <item x="2865"/>
        <item x="1387"/>
        <item x="4802"/>
        <item x="3663"/>
        <item x="3795"/>
        <item x="1956"/>
        <item x="3407"/>
        <item x="3321"/>
        <item x="3662"/>
        <item x="4885"/>
        <item x="3926"/>
        <item x="477"/>
        <item x="89"/>
        <item x="2482"/>
        <item x="225"/>
        <item x="1149"/>
        <item x="307"/>
        <item x="134"/>
        <item x="2842"/>
        <item x="1871"/>
        <item x="2715"/>
        <item x="1931"/>
        <item x="3965"/>
        <item x="530"/>
        <item x="3400"/>
        <item x="1494"/>
        <item x="1412"/>
        <item x="2776"/>
        <item x="3219"/>
        <item x="2693"/>
        <item x="3804"/>
        <item x="1178"/>
        <item x="2456"/>
        <item x="2439"/>
        <item x="1513"/>
        <item x="1440"/>
        <item x="3328"/>
        <item x="492"/>
        <item x="4509"/>
        <item x="1236"/>
        <item x="4589"/>
        <item x="2823"/>
        <item x="3293"/>
        <item x="4378"/>
        <item x="2209"/>
        <item x="1731"/>
        <item x="3111"/>
        <item x="2986"/>
        <item x="2336"/>
        <item x="930"/>
        <item x="3988"/>
        <item x="1142"/>
        <item x="1194"/>
        <item x="4112"/>
        <item x="681"/>
        <item x="1110"/>
        <item x="1156"/>
        <item x="1741"/>
        <item x="3263"/>
        <item x="1126"/>
        <item x="1845"/>
        <item x="4411"/>
        <item x="3859"/>
        <item x="1064"/>
        <item x="3540"/>
        <item x="2199"/>
        <item x="4909"/>
        <item x="159"/>
        <item x="3152"/>
        <item x="3015"/>
        <item x="2312"/>
        <item x="260"/>
        <item x="77"/>
        <item x="1435"/>
        <item x="4841"/>
        <item x="3809"/>
        <item x="377"/>
        <item x="3706"/>
        <item x="143"/>
        <item x="4355"/>
        <item x="3181"/>
        <item x="4021"/>
        <item x="3866"/>
        <item x="2029"/>
        <item x="3284"/>
        <item x="1667"/>
        <item x="2028"/>
        <item x="4905"/>
        <item x="1147"/>
        <item x="3592"/>
        <item x="87"/>
        <item x="3190"/>
        <item x="4787"/>
        <item x="1910"/>
        <item x="1784"/>
        <item x="2222"/>
        <item x="3106"/>
        <item x="2796"/>
        <item x="4836"/>
        <item x="3010"/>
        <item x="1790"/>
        <item x="2303"/>
        <item x="1597"/>
        <item x="1999"/>
        <item x="2076"/>
        <item x="3807"/>
        <item x="2545"/>
        <item x="1575"/>
        <item x="1894"/>
        <item x="3825"/>
        <item x="1503"/>
        <item x="206"/>
        <item x="205"/>
        <item x="2670"/>
        <item x="1289"/>
        <item x="4806"/>
        <item x="3129"/>
        <item x="2581"/>
        <item x="1192"/>
        <item x="3579"/>
        <item x="3460"/>
        <item x="4912"/>
        <item x="3071"/>
        <item x="3823"/>
        <item x="1418"/>
        <item x="4553"/>
        <item x="4798"/>
        <item x="2729"/>
        <item x="179"/>
        <item x="767"/>
        <item x="4794"/>
        <item x="242"/>
        <item x="2528"/>
        <item x="2007"/>
        <item x="1884"/>
        <item x="4195"/>
        <item x="341"/>
        <item x="4313"/>
        <item x="4883"/>
        <item x="1673"/>
        <item x="4177"/>
        <item x="1397"/>
        <item x="4690"/>
        <item x="1004"/>
        <item x="1260"/>
        <item x="1569"/>
        <item x="4420"/>
        <item x="1173"/>
        <item x="1696"/>
        <item x="898"/>
        <item x="1820"/>
        <item x="987"/>
        <item x="827"/>
        <item x="4729"/>
        <item x="4382"/>
        <item x="2859"/>
        <item x="613"/>
        <item x="573"/>
        <item x="1691"/>
        <item x="1812"/>
        <item x="3929"/>
        <item x="3791"/>
        <item x="1160"/>
        <item x="3544"/>
        <item x="913"/>
        <item x="4619"/>
        <item x="3554"/>
        <item x="4781"/>
        <item x="892"/>
        <item x="3478"/>
        <item x="1229"/>
        <item x="120"/>
        <item x="3436"/>
        <item x="3445"/>
        <item x="2316"/>
        <item x="2962"/>
        <item x="2967"/>
        <item x="2681"/>
        <item x="73"/>
        <item x="2846"/>
        <item x="1324"/>
        <item x="1568"/>
        <item x="1826"/>
        <item x="3531"/>
        <item x="3604"/>
        <item x="4714"/>
        <item x="1424"/>
        <item x="4062"/>
        <item x="850"/>
        <item x="4436"/>
        <item x="3313"/>
        <item x="3040"/>
        <item x="928"/>
        <item x="7"/>
        <item x="3013"/>
        <item x="3300"/>
        <item x="2291"/>
        <item x="290"/>
        <item x="1993"/>
        <item x="4461"/>
        <item x="2604"/>
        <item x="2902"/>
        <item x="1183"/>
        <item x="3682"/>
        <item x="4496"/>
        <item x="4565"/>
        <item x="3215"/>
        <item x="3177"/>
        <item x="4737"/>
        <item x="4363"/>
        <item x="2188"/>
        <item x="1098"/>
        <item x="2176"/>
        <item x="1551"/>
        <item x="4706"/>
        <item x="1283"/>
        <item x="584"/>
        <item x="4248"/>
        <item x="782"/>
        <item x="1783"/>
        <item x="1927"/>
        <item x="3999"/>
        <item x="2607"/>
        <item x="4024"/>
        <item x="938"/>
        <item x="2212"/>
        <item x="4512"/>
        <item x="3353"/>
        <item x="3221"/>
        <item x="4457"/>
        <item x="164"/>
        <item x="2736"/>
        <item x="1204"/>
        <item x="1458"/>
        <item x="3315"/>
        <item x="1319"/>
        <item x="2154"/>
        <item x="1677"/>
        <item x="272"/>
        <item x="1482"/>
        <item x="1306"/>
        <item x="1014"/>
        <item x="1814"/>
        <item x="1443"/>
        <item x="1695"/>
        <item x="1425"/>
        <item x="2851"/>
        <item x="1511"/>
        <item x="1606"/>
        <item x="604"/>
        <item x="3245"/>
        <item x="969"/>
        <item x="2238"/>
        <item x="2970"/>
        <item x="4710"/>
        <item x="1921"/>
        <item x="1537"/>
        <item x="1682"/>
        <item x="1200"/>
        <item x="1770"/>
        <item x="1951"/>
        <item x="433"/>
        <item x="4521"/>
        <item x="2673"/>
        <item x="4637"/>
        <item x="4430"/>
        <item x="2536"/>
        <item x="170"/>
        <item x="4752"/>
        <item x="590"/>
        <item x="3359"/>
        <item x="1706"/>
        <item x="1057"/>
        <item x="602"/>
        <item x="3494"/>
        <item x="475"/>
        <item x="1214"/>
        <item x="4073"/>
        <item x="305"/>
        <item x="1035"/>
        <item x="2511"/>
        <item x="3853"/>
        <item x="3871"/>
        <item x="704"/>
        <item x="1745"/>
        <item x="1146"/>
        <item x="660"/>
        <item x="3337"/>
        <item x="4911"/>
        <item x="1983"/>
        <item x="547"/>
        <item x="2569"/>
        <item x="837"/>
        <item x="740"/>
        <item x="1069"/>
        <item x="2671"/>
        <item x="1351"/>
        <item x="3121"/>
        <item x="1266"/>
        <item x="4890"/>
        <item x="2074"/>
        <item x="1046"/>
        <item x="925"/>
        <item x="386"/>
        <item x="4294"/>
        <item x="2073"/>
        <item x="4116"/>
        <item x="4131"/>
        <item x="3366"/>
        <item x="2496"/>
        <item x="4415"/>
        <item x="2431"/>
        <item x="1583"/>
        <item x="2778"/>
        <item x="4588"/>
        <item x="3789"/>
        <item x="583"/>
        <item x="3480"/>
        <item x="1467"/>
        <item x="1742"/>
        <item x="4456"/>
        <item x="737"/>
        <item x="2332"/>
        <item x="1809"/>
        <item x="4586"/>
        <item x="4809"/>
        <item x="2274"/>
        <item x="2054"/>
        <item x="14"/>
        <item x="4330"/>
        <item x="4770"/>
        <item x="3131"/>
        <item x="1867"/>
        <item x="3262"/>
        <item x="1240"/>
        <item x="4380"/>
        <item x="1243"/>
        <item x="1519"/>
        <item x="3549"/>
        <item x="2812"/>
        <item x="2782"/>
        <item x="1254"/>
        <item x="1641"/>
        <item x="4212"/>
        <item x="994"/>
        <item x="4138"/>
        <item x="2691"/>
        <item x="2573"/>
        <item x="1077"/>
        <item x="1170"/>
        <item x="2124"/>
        <item x="3949"/>
        <item x="556"/>
        <item x="4585"/>
        <item x="696"/>
        <item x="4525"/>
        <item x="1428"/>
        <item x="4879"/>
        <item t="default"/>
      </items>
    </pivotField>
    <pivotField dataField="1" showAll="0">
      <items count="4667">
        <item x="1664"/>
        <item x="748"/>
        <item x="3590"/>
        <item x="3049"/>
        <item x="2833"/>
        <item x="1277"/>
        <item x="3827"/>
        <item x="3281"/>
        <item x="1086"/>
        <item x="3075"/>
        <item x="1947"/>
        <item x="4590"/>
        <item x="2053"/>
        <item x="3825"/>
        <item x="3094"/>
        <item x="1672"/>
        <item x="939"/>
        <item x="4534"/>
        <item x="926"/>
        <item x="3166"/>
        <item x="2839"/>
        <item x="2628"/>
        <item x="714"/>
        <item x="3111"/>
        <item x="2447"/>
        <item x="1986"/>
        <item x="1150"/>
        <item x="3425"/>
        <item x="1204"/>
        <item x="2203"/>
        <item x="2963"/>
        <item x="1838"/>
        <item x="3571"/>
        <item x="900"/>
        <item x="3458"/>
        <item x="2619"/>
        <item x="526"/>
        <item x="2910"/>
        <item x="128"/>
        <item x="170"/>
        <item x="624"/>
        <item x="1751"/>
        <item x="679"/>
        <item x="1562"/>
        <item x="2837"/>
        <item x="2552"/>
        <item x="1904"/>
        <item x="427"/>
        <item x="1980"/>
        <item x="3812"/>
        <item x="1199"/>
        <item x="2793"/>
        <item x="3853"/>
        <item x="4439"/>
        <item x="853"/>
        <item x="93"/>
        <item x="3269"/>
        <item x="2085"/>
        <item x="2877"/>
        <item x="736"/>
        <item x="3460"/>
        <item x="1740"/>
        <item x="4165"/>
        <item x="834"/>
        <item x="611"/>
        <item x="2652"/>
        <item x="4078"/>
        <item x="2348"/>
        <item x="2724"/>
        <item x="3477"/>
        <item x="1321"/>
        <item x="4100"/>
        <item x="437"/>
        <item x="4155"/>
        <item x="3000"/>
        <item x="1367"/>
        <item x="2815"/>
        <item x="3530"/>
        <item x="4546"/>
        <item x="1483"/>
        <item x="2187"/>
        <item x="3345"/>
        <item x="3831"/>
        <item x="2913"/>
        <item x="4108"/>
        <item x="2327"/>
        <item x="4640"/>
        <item x="4380"/>
        <item x="924"/>
        <item x="1610"/>
        <item x="792"/>
        <item x="0"/>
        <item x="3187"/>
        <item x="4166"/>
        <item x="2689"/>
        <item x="3662"/>
        <item x="2110"/>
        <item x="2524"/>
        <item x="3183"/>
        <item x="3025"/>
        <item x="2111"/>
        <item x="559"/>
        <item x="1820"/>
        <item x="2462"/>
        <item x="1689"/>
        <item x="1867"/>
        <item x="961"/>
        <item x="1094"/>
        <item x="1366"/>
        <item x="4286"/>
        <item x="4197"/>
        <item x="3676"/>
        <item x="215"/>
        <item x="3234"/>
        <item x="1222"/>
        <item x="3846"/>
        <item x="1677"/>
        <item x="322"/>
        <item x="242"/>
        <item x="1554"/>
        <item x="1360"/>
        <item x="3605"/>
        <item x="3551"/>
        <item x="668"/>
        <item x="850"/>
        <item x="2730"/>
        <item x="1966"/>
        <item x="1167"/>
        <item x="254"/>
        <item x="3737"/>
        <item x="1397"/>
        <item x="3649"/>
        <item x="2713"/>
        <item x="1005"/>
        <item x="1999"/>
        <item x="1363"/>
        <item x="3252"/>
        <item x="3027"/>
        <item x="3492"/>
        <item x="3713"/>
        <item x="490"/>
        <item x="1054"/>
        <item x="2804"/>
        <item x="4358"/>
        <item x="430"/>
        <item x="2750"/>
        <item x="4471"/>
        <item x="2941"/>
        <item x="138"/>
        <item x="2355"/>
        <item x="1840"/>
        <item x="3452"/>
        <item x="450"/>
        <item x="667"/>
        <item x="4518"/>
        <item x="155"/>
        <item x="3672"/>
        <item x="4024"/>
        <item x="4537"/>
        <item x="1629"/>
        <item x="2547"/>
        <item x="2561"/>
        <item x="464"/>
        <item x="4289"/>
        <item x="3038"/>
        <item x="2942"/>
        <item x="3225"/>
        <item x="4384"/>
        <item x="942"/>
        <item x="2314"/>
        <item x="2212"/>
        <item x="1249"/>
        <item x="4446"/>
        <item x="4257"/>
        <item x="2767"/>
        <item x="1842"/>
        <item x="3466"/>
        <item x="2887"/>
        <item x="1907"/>
        <item x="2715"/>
        <item x="4053"/>
        <item x="962"/>
        <item x="826"/>
        <item x="894"/>
        <item x="3122"/>
        <item x="3564"/>
        <item x="1580"/>
        <item x="1715"/>
        <item x="1338"/>
        <item x="2016"/>
        <item x="1808"/>
        <item x="2130"/>
        <item x="3251"/>
        <item x="447"/>
        <item x="1133"/>
        <item x="1313"/>
        <item x="4520"/>
        <item x="2003"/>
        <item x="1128"/>
        <item x="697"/>
        <item x="195"/>
        <item x="4635"/>
        <item x="1701"/>
        <item x="1583"/>
        <item x="368"/>
        <item x="4394"/>
        <item x="1452"/>
        <item x="3336"/>
        <item x="1466"/>
        <item x="2567"/>
        <item x="1724"/>
        <item x="4454"/>
        <item x="2726"/>
        <item x="2069"/>
        <item x="4344"/>
        <item x="1211"/>
        <item x="324"/>
        <item x="3464"/>
        <item x="4535"/>
        <item x="1186"/>
        <item x="2654"/>
        <item x="4291"/>
        <item x="3505"/>
        <item x="3641"/>
        <item x="3527"/>
        <item x="811"/>
        <item x="1932"/>
        <item x="4422"/>
        <item x="180"/>
        <item x="4030"/>
        <item x="2995"/>
        <item x="3805"/>
        <item x="3925"/>
        <item x="2803"/>
        <item x="4263"/>
        <item x="2709"/>
        <item x="1462"/>
        <item x="3378"/>
        <item x="2439"/>
        <item x="2555"/>
        <item x="1718"/>
        <item x="4159"/>
        <item x="2388"/>
        <item x="1668"/>
        <item x="1527"/>
        <item x="3426"/>
        <item x="3726"/>
        <item x="633"/>
        <item x="1318"/>
        <item x="3284"/>
        <item x="1163"/>
        <item x="539"/>
        <item x="3469"/>
        <item x="4524"/>
        <item x="2574"/>
        <item x="1679"/>
        <item x="1636"/>
        <item x="639"/>
        <item x="2352"/>
        <item x="3646"/>
        <item x="3913"/>
        <item x="672"/>
        <item x="2035"/>
        <item x="2917"/>
        <item x="708"/>
        <item x="406"/>
        <item x="3291"/>
        <item x="936"/>
        <item x="105"/>
        <item x="2518"/>
        <item x="3366"/>
        <item x="1013"/>
        <item x="4255"/>
        <item x="3997"/>
        <item x="369"/>
        <item x="2791"/>
        <item x="171"/>
        <item x="2640"/>
        <item x="273"/>
        <item x="3035"/>
        <item x="2865"/>
        <item x="4576"/>
        <item x="4386"/>
        <item x="3804"/>
        <item x="1794"/>
        <item x="1911"/>
        <item x="3645"/>
        <item x="4110"/>
        <item x="1035"/>
        <item x="740"/>
        <item x="3351"/>
        <item x="3786"/>
        <item x="842"/>
        <item x="4132"/>
        <item x="4080"/>
        <item x="3967"/>
        <item x="3851"/>
        <item x="1711"/>
        <item x="4397"/>
        <item x="3606"/>
        <item x="4021"/>
        <item x="1555"/>
        <item x="1537"/>
        <item x="268"/>
        <item x="4493"/>
        <item x="2481"/>
        <item x="3734"/>
        <item x="904"/>
        <item x="1435"/>
        <item x="3934"/>
        <item x="3076"/>
        <item x="207"/>
        <item x="3435"/>
        <item x="2612"/>
        <item x="205"/>
        <item x="111"/>
        <item x="603"/>
        <item x="3568"/>
        <item x="3703"/>
        <item x="3862"/>
        <item x="196"/>
        <item x="812"/>
        <item x="4586"/>
        <item x="1651"/>
        <item x="3921"/>
        <item x="1296"/>
        <item x="824"/>
        <item x="1187"/>
        <item x="2290"/>
        <item x="2811"/>
        <item x="1369"/>
        <item x="1202"/>
        <item x="49"/>
        <item x="175"/>
        <item x="1698"/>
        <item x="578"/>
        <item x="3413"/>
        <item x="3575"/>
        <item x="3870"/>
        <item x="995"/>
        <item x="2979"/>
        <item x="2604"/>
        <item x="760"/>
        <item x="2734"/>
        <item x="4130"/>
        <item x="1417"/>
        <item x="2638"/>
        <item x="4428"/>
        <item x="407"/>
        <item x="509"/>
        <item x="4530"/>
        <item x="1474"/>
        <item x="719"/>
        <item x="2645"/>
        <item x="3639"/>
        <item x="2159"/>
        <item x="3266"/>
        <item x="796"/>
        <item x="3749"/>
        <item x="839"/>
        <item x="265"/>
        <item x="449"/>
        <item x="2671"/>
        <item x="486"/>
        <item x="2080"/>
        <item x="164"/>
        <item x="2646"/>
        <item x="3957"/>
        <item x="3872"/>
        <item x="511"/>
        <item x="707"/>
        <item x="3331"/>
        <item x="3181"/>
        <item x="3816"/>
        <item x="409"/>
        <item x="1346"/>
        <item x="1295"/>
        <item x="4028"/>
        <item x="4492"/>
        <item x="2221"/>
        <item x="3689"/>
        <item x="4379"/>
        <item x="1606"/>
        <item x="3369"/>
        <item x="3370"/>
        <item x="3885"/>
        <item x="4477"/>
        <item x="3546"/>
        <item x="3900"/>
        <item x="4215"/>
        <item x="1898"/>
        <item x="4046"/>
        <item x="3803"/>
        <item x="3780"/>
        <item x="863"/>
        <item x="139"/>
        <item x="4382"/>
        <item x="3332"/>
        <item x="1534"/>
        <item x="2254"/>
        <item x="1778"/>
        <item x="2955"/>
        <item x="3607"/>
        <item x="4531"/>
        <item x="3828"/>
        <item x="4340"/>
        <item x="1330"/>
        <item x="2165"/>
        <item x="831"/>
        <item x="3794"/>
        <item x="244"/>
        <item x="2870"/>
        <item x="2000"/>
        <item x="4004"/>
        <item x="2255"/>
        <item x="1258"/>
        <item x="991"/>
        <item x="663"/>
        <item x="1899"/>
        <item x="4338"/>
        <item x="3172"/>
        <item x="978"/>
        <item x="2529"/>
        <item x="3055"/>
        <item x="1418"/>
        <item x="4587"/>
        <item x="1077"/>
        <item x="320"/>
        <item x="2852"/>
        <item x="1847"/>
        <item x="1620"/>
        <item x="2898"/>
        <item x="359"/>
        <item x="2205"/>
        <item x="4651"/>
        <item x="1573"/>
        <item x="1659"/>
        <item x="3105"/>
        <item x="3829"/>
        <item x="481"/>
        <item x="3468"/>
        <item x="2307"/>
        <item x="1060"/>
        <item x="3263"/>
        <item x="2861"/>
        <item x="3036"/>
        <item x="1312"/>
        <item x="2633"/>
        <item x="1691"/>
        <item x="1237"/>
        <item x="3493"/>
        <item x="665"/>
        <item x="3508"/>
        <item x="8"/>
        <item x="3764"/>
        <item x="2344"/>
        <item x="479"/>
        <item x="681"/>
        <item x="2864"/>
        <item x="167"/>
        <item x="561"/>
        <item x="412"/>
        <item x="1332"/>
        <item x="3082"/>
        <item x="4054"/>
        <item x="332"/>
        <item x="1557"/>
        <item x="3553"/>
        <item x="3375"/>
        <item x="2136"/>
        <item x="798"/>
        <item x="3686"/>
        <item x="617"/>
        <item x="2131"/>
        <item x="3635"/>
        <item x="4502"/>
        <item x="142"/>
        <item x="1971"/>
        <item x="3383"/>
        <item x="4058"/>
        <item x="4227"/>
        <item x="4602"/>
        <item x="4440"/>
        <item x="1624"/>
        <item x="2343"/>
        <item x="1614"/>
        <item x="3453"/>
        <item x="266"/>
        <item x="3766"/>
        <item x="710"/>
        <item x="1964"/>
        <item x="2559"/>
        <item x="1801"/>
        <item x="1887"/>
        <item x="3567"/>
        <item x="724"/>
        <item x="2047"/>
        <item x="2890"/>
        <item x="272"/>
        <item x="3964"/>
        <item x="184"/>
        <item x="3024"/>
        <item x="333"/>
        <item x="770"/>
        <item x="1495"/>
        <item x="4420"/>
        <item x="4364"/>
        <item x="953"/>
        <item x="371"/>
        <item x="568"/>
        <item x="2242"/>
        <item x="1197"/>
        <item x="1548"/>
        <item x="1195"/>
        <item x="1531"/>
        <item x="1173"/>
        <item x="4133"/>
        <item x="3842"/>
        <item x="2828"/>
        <item x="1482"/>
        <item x="2493"/>
        <item x="1026"/>
        <item x="3644"/>
        <item x="3817"/>
        <item x="1649"/>
        <item x="1446"/>
        <item x="1858"/>
        <item x="2393"/>
        <item x="1226"/>
        <item x="554"/>
        <item x="3066"/>
        <item x="5"/>
        <item x="805"/>
        <item x="3319"/>
        <item x="4327"/>
        <item x="235"/>
        <item x="1132"/>
        <item x="1825"/>
        <item x="656"/>
        <item x="921"/>
        <item x="3864"/>
        <item x="2771"/>
        <item x="76"/>
        <item x="2687"/>
        <item x="4426"/>
        <item x="3128"/>
        <item x="198"/>
        <item x="2074"/>
        <item x="3432"/>
        <item x="1456"/>
        <item x="1328"/>
        <item x="4516"/>
        <item x="2824"/>
        <item x="864"/>
        <item x="2431"/>
        <item x="253"/>
        <item x="2378"/>
        <item x="446"/>
        <item x="2598"/>
        <item x="255"/>
        <item x="4087"/>
        <item x="1432"/>
        <item x="3123"/>
        <item x="2711"/>
        <item x="2463"/>
        <item x="4213"/>
        <item x="4326"/>
        <item x="83"/>
        <item x="1683"/>
        <item x="2058"/>
        <item x="2976"/>
        <item x="560"/>
        <item x="772"/>
        <item x="1702"/>
        <item x="4111"/>
        <item x="4595"/>
        <item x="1073"/>
        <item x="1764"/>
        <item x="4153"/>
        <item x="3170"/>
        <item x="2515"/>
        <item x="2920"/>
        <item x="2478"/>
        <item x="2014"/>
        <item x="4591"/>
        <item x="3096"/>
        <item x="319"/>
        <item x="3428"/>
        <item x="2961"/>
        <item x="911"/>
        <item x="754"/>
        <item x="919"/>
        <item x="2363"/>
        <item x="3998"/>
        <item x="2878"/>
        <item x="677"/>
        <item x="4251"/>
        <item x="1501"/>
        <item x="3145"/>
        <item x="4275"/>
        <item x="1370"/>
        <item x="1918"/>
        <item x="755"/>
        <item x="4092"/>
        <item x="3865"/>
        <item x="879"/>
        <item x="1533"/>
        <item x="1504"/>
        <item x="1353"/>
        <item x="3299"/>
        <item x="3761"/>
        <item x="4598"/>
        <item x="456"/>
        <item x="3305"/>
        <item x="908"/>
        <item x="4246"/>
        <item x="224"/>
        <item x="881"/>
        <item x="3050"/>
        <item x="2145"/>
        <item x="2396"/>
        <item x="4212"/>
        <item x="3945"/>
        <item x="477"/>
        <item x="2204"/>
        <item x="3348"/>
        <item x="2027"/>
        <item x="1269"/>
        <item x="3658"/>
        <item x="4342"/>
        <item x="4417"/>
        <item x="3011"/>
        <item x="2397"/>
        <item x="2569"/>
        <item x="3795"/>
        <item x="1468"/>
        <item x="1922"/>
        <item x="3395"/>
        <item x="1050"/>
        <item x="2906"/>
        <item x="1667"/>
        <item x="3698"/>
        <item x="2585"/>
        <item x="690"/>
        <item x="116"/>
        <item x="2801"/>
        <item x="3809"/>
        <item x="4099"/>
        <item x="3720"/>
        <item x="1388"/>
        <item x="1797"/>
        <item x="54"/>
        <item x="2759"/>
        <item x="1988"/>
        <item x="3408"/>
        <item x="2780"/>
        <item x="1141"/>
        <item x="4620"/>
        <item x="1849"/>
        <item x="2404"/>
        <item x="2675"/>
        <item x="279"/>
        <item x="4317"/>
        <item x="1600"/>
        <item x="1960"/>
        <item x="1945"/>
        <item x="3771"/>
        <item x="1730"/>
        <item x="4228"/>
        <item x="4226"/>
        <item x="2008"/>
        <item x="2813"/>
        <item x="3237"/>
        <item x="1178"/>
        <item x="685"/>
        <item x="2841"/>
        <item x="758"/>
        <item x="1233"/>
        <item x="2435"/>
        <item x="2150"/>
        <item x="1650"/>
        <item x="3372"/>
        <item x="2999"/>
        <item x="411"/>
        <item x="3142"/>
        <item x="4176"/>
        <item x="3173"/>
        <item x="2536"/>
        <item x="3740"/>
        <item x="4029"/>
        <item x="1223"/>
        <item x="1285"/>
        <item x="2542"/>
        <item x="623"/>
        <item x="3572"/>
        <item x="3419"/>
        <item x="3110"/>
        <item x="3814"/>
        <item x="550"/>
        <item x="2650"/>
        <item x="600"/>
        <item x="327"/>
        <item x="3944"/>
        <item x="3974"/>
        <item x="743"/>
        <item x="1886"/>
        <item x="4460"/>
        <item x="3693"/>
        <item x="1130"/>
        <item x="3031"/>
        <item x="1544"/>
        <item x="4588"/>
        <item x="2927"/>
        <item x="1245"/>
        <item x="3287"/>
        <item x="2503"/>
        <item x="402"/>
        <item x="3800"/>
        <item x="3389"/>
        <item x="3418"/>
        <item x="2226"/>
        <item x="344"/>
        <item x="507"/>
        <item x="2706"/>
        <item x="1401"/>
        <item x="2081"/>
        <item x="2233"/>
        <item x="1074"/>
        <item x="3032"/>
        <item x="4307"/>
        <item x="1410"/>
        <item x="469"/>
        <item x="3721"/>
        <item x="2446"/>
        <item x="1055"/>
        <item x="652"/>
        <item x="1431"/>
        <item x="1630"/>
        <item x="574"/>
        <item x="2938"/>
        <item x="457"/>
        <item x="1575"/>
        <item x="3577"/>
        <item x="4288"/>
        <item x="2430"/>
        <item x="3059"/>
        <item x="3297"/>
        <item x="3528"/>
        <item x="1950"/>
        <item x="3261"/>
        <item x="2658"/>
        <item x="4284"/>
        <item x="3818"/>
        <item x="4484"/>
        <item x="3500"/>
        <item x="4470"/>
        <item x="1587"/>
        <item x="1171"/>
        <item x="564"/>
        <item x="3732"/>
        <item x="3272"/>
        <item x="3430"/>
        <item x="1084"/>
        <item x="4232"/>
        <item x="1916"/>
        <item x="2931"/>
        <item x="1680"/>
        <item x="225"/>
        <item x="2271"/>
        <item x="2595"/>
        <item x="4218"/>
        <item x="2045"/>
        <item x="2243"/>
        <item x="4647"/>
        <item x="3609"/>
        <item x="440"/>
        <item x="2138"/>
        <item x="4658"/>
        <item x="2322"/>
        <item x="2428"/>
        <item x="4127"/>
        <item x="4248"/>
        <item x="2596"/>
        <item x="3659"/>
        <item x="4260"/>
        <item x="2790"/>
        <item x="3682"/>
        <item x="3394"/>
        <item x="3765"/>
        <item x="2380"/>
        <item x="3006"/>
        <item x="866"/>
        <item x="2950"/>
        <item x="3143"/>
        <item x="3057"/>
        <item x="2179"/>
        <item x="1706"/>
        <item x="2924"/>
        <item x="1822"/>
        <item x="1433"/>
        <item x="2895"/>
        <item x="3102"/>
        <item x="4274"/>
        <item x="1613"/>
        <item x="1684"/>
        <item x="3783"/>
        <item x="918"/>
        <item x="783"/>
        <item x="1041"/>
        <item x="1183"/>
        <item x="1512"/>
        <item x="1635"/>
        <item x="2630"/>
        <item x="3709"/>
        <item x="2830"/>
        <item x="2124"/>
        <item x="4199"/>
        <item x="3117"/>
        <item x="2026"/>
        <item x="199"/>
        <item x="312"/>
        <item x="646"/>
        <item x="2777"/>
        <item x="3214"/>
        <item x="2725"/>
        <item x="4109"/>
        <item x="1010"/>
        <item x="1414"/>
        <item x="2351"/>
        <item x="355"/>
        <item x="1723"/>
        <item x="3089"/>
        <item x="705"/>
        <item x="1341"/>
        <item x="992"/>
        <item x="3558"/>
        <item x="3866"/>
        <item x="271"/>
        <item x="1323"/>
        <item x="2193"/>
        <item x="2387"/>
        <item x="2238"/>
        <item x="1347"/>
        <item x="669"/>
        <item x="3717"/>
        <item x="3514"/>
        <item x="3154"/>
        <item x="4083"/>
        <item x="4074"/>
        <item x="3979"/>
        <item x="4057"/>
        <item x="2782"/>
        <item x="1675"/>
        <item x="3836"/>
        <item x="860"/>
        <item x="3294"/>
        <item x="1634"/>
        <item x="3164"/>
        <item x="967"/>
        <item x="3748"/>
        <item x="2764"/>
        <item x="3293"/>
        <item x="248"/>
        <item x="1969"/>
        <item x="3714"/>
        <item x="2349"/>
        <item x="2037"/>
        <item x="2565"/>
        <item x="780"/>
        <item x="1953"/>
        <item x="1714"/>
        <item x="2556"/>
        <item x="20"/>
        <item x="4250"/>
        <item x="2739"/>
        <item x="801"/>
        <item x="4076"/>
        <item x="844"/>
        <item x="2201"/>
        <item x="3073"/>
        <item x="3755"/>
        <item x="2629"/>
        <item x="862"/>
        <item x="557"/>
        <item x="3918"/>
        <item x="2491"/>
        <item x="2984"/>
        <item x="887"/>
        <item x="2974"/>
        <item x="461"/>
        <item x="4156"/>
        <item x="1106"/>
        <item x="986"/>
        <item x="1901"/>
        <item x="3429"/>
        <item x="3652"/>
        <item x="4245"/>
        <item x="304"/>
        <item x="1766"/>
        <item x="1142"/>
        <item x="530"/>
        <item x="1777"/>
        <item x="3344"/>
        <item x="1830"/>
        <item x="1444"/>
        <item x="2728"/>
        <item x="4512"/>
        <item x="2846"/>
        <item x="4574"/>
        <item x="2731"/>
        <item x="3314"/>
        <item x="702"/>
        <item x="2884"/>
        <item x="4267"/>
        <item x="2971"/>
        <item x="2869"/>
        <item x="2168"/>
        <item x="1096"/>
        <item x="3171"/>
        <item x="2867"/>
        <item x="206"/>
        <item x="3317"/>
        <item x="2259"/>
        <item x="153"/>
        <item x="408"/>
        <item x="3887"/>
        <item x="1963"/>
        <item x="2655"/>
        <item x="3549"/>
        <item x="2266"/>
        <item x="1835"/>
        <item x="1089"/>
        <item x="2215"/>
        <item x="2471"/>
        <item x="3203"/>
        <item x="3461"/>
        <item x="133"/>
        <item x="3563"/>
        <item x="2551"/>
        <item x="389"/>
        <item x="2336"/>
        <item x="3478"/>
        <item x="2691"/>
        <item x="1954"/>
        <item x="4331"/>
        <item x="4369"/>
        <item x="4558"/>
        <item x="1406"/>
        <item x="2358"/>
        <item x="3197"/>
        <item x="194"/>
        <item x="349"/>
        <item x="3586"/>
        <item x="1405"/>
        <item x="2665"/>
        <item x="4568"/>
        <item x="4148"/>
        <item x="4482"/>
        <item x="420"/>
        <item x="4144"/>
        <item x="1823"/>
        <item x="189"/>
        <item x="1688"/>
        <item x="2071"/>
        <item x="241"/>
        <item x="3547"/>
        <item x="3757"/>
        <item x="4124"/>
        <item x="4088"/>
        <item x="587"/>
        <item x="4328"/>
        <item x="3282"/>
        <item x="4244"/>
        <item x="1126"/>
        <item x="2060"/>
        <item x="1755"/>
        <item x="2422"/>
        <item x="1256"/>
        <item x="3014"/>
        <item x="2209"/>
        <item x="4018"/>
        <item x="1983"/>
        <item x="3084"/>
        <item x="3159"/>
        <item x="3692"/>
        <item x="629"/>
        <item x="1974"/>
        <item x="3444"/>
        <item x="4123"/>
        <item x="3793"/>
        <item x="63"/>
        <item x="761"/>
        <item x="1799"/>
        <item x="4190"/>
        <item x="803"/>
        <item x="2967"/>
        <item x="767"/>
        <item x="3320"/>
        <item x="4359"/>
        <item x="3192"/>
        <item x="181"/>
        <item x="782"/>
        <item x="4547"/>
        <item x="177"/>
        <item x="4043"/>
        <item x="185"/>
        <item x="925"/>
        <item x="1374"/>
        <item x="4277"/>
        <item x="788"/>
        <item x="3379"/>
        <item x="692"/>
        <item x="1818"/>
        <item x="744"/>
        <item x="219"/>
        <item x="211"/>
        <item x="2133"/>
        <item x="3898"/>
        <item x="2157"/>
        <item x="1984"/>
        <item x="3743"/>
        <item x="3600"/>
        <item x="579"/>
        <item x="2068"/>
        <item x="3919"/>
        <item x="1593"/>
        <item x="1000"/>
        <item x="3695"/>
        <item x="3604"/>
        <item x="10"/>
        <item x="4513"/>
        <item x="2698"/>
        <item x="187"/>
        <item x="2195"/>
        <item x="1817"/>
        <item x="4313"/>
        <item x="2222"/>
        <item x="4517"/>
        <item x="3205"/>
        <item x="2061"/>
        <item x="3488"/>
        <item x="2570"/>
        <item x="33"/>
        <item x="2637"/>
        <item x="2959"/>
        <item x="4065"/>
        <item x="2946"/>
        <item x="2340"/>
        <item x="4152"/>
        <item x="71"/>
        <item x="2482"/>
        <item x="1810"/>
        <item x="4239"/>
        <item x="4220"/>
        <item x="3091"/>
        <item x="356"/>
        <item x="914"/>
        <item x="556"/>
        <item x="1293"/>
        <item x="1674"/>
        <item x="4141"/>
        <item x="2747"/>
        <item x="4203"/>
        <item x="1101"/>
        <item x="2103"/>
        <item x="348"/>
        <item x="3481"/>
        <item x="3384"/>
        <item x="551"/>
        <item x="1728"/>
        <item x="1489"/>
        <item x="3700"/>
        <item x="2994"/>
        <item x="1485"/>
        <item x="2997"/>
        <item x="4129"/>
        <item x="1447"/>
        <item x="247"/>
        <item x="1091"/>
        <item x="1112"/>
        <item x="2972"/>
        <item x="455"/>
        <item x="3503"/>
        <item x="944"/>
        <item x="38"/>
        <item x="856"/>
        <item x="765"/>
        <item x="17"/>
        <item x="4177"/>
        <item x="2626"/>
        <item x="3241"/>
        <item x="1890"/>
        <item x="4120"/>
        <item x="2411"/>
        <item x="1710"/>
        <item x="2817"/>
        <item x="529"/>
        <item x="3751"/>
        <item x="4389"/>
        <item x="4604"/>
        <item x="4231"/>
        <item x="3742"/>
        <item x="870"/>
        <item x="1821"/>
        <item x="1955"/>
        <item x="3539"/>
        <item x="3965"/>
        <item x="1592"/>
        <item x="3388"/>
        <item x="3416"/>
        <item x="1846"/>
        <item x="2354"/>
        <item x="855"/>
        <item x="98"/>
        <item x="238"/>
        <item x="3359"/>
        <item x="2200"/>
        <item x="4567"/>
        <item x="2144"/>
        <item x="3196"/>
        <item x="1780"/>
        <item x="3080"/>
        <item x="3498"/>
        <item x="3739"/>
        <item x="1403"/>
        <item x="3966"/>
        <item x="718"/>
        <item x="1231"/>
        <item x="1951"/>
        <item x="1014"/>
        <item x="2460"/>
        <item x="334"/>
        <item x="4242"/>
        <item x="1216"/>
        <item x="39"/>
        <item x="144"/>
        <item x="3515"/>
        <item x="2700"/>
        <item x="4415"/>
        <item x="4118"/>
        <item x="3245"/>
        <item x="3278"/>
        <item x="882"/>
        <item x="4182"/>
        <item x="482"/>
        <item x="4098"/>
        <item x="897"/>
        <item x="3796"/>
        <item x="4536"/>
        <item x="3053"/>
        <item x="4566"/>
        <item x="4447"/>
        <item x="2816"/>
        <item x="3308"/>
        <item x="2464"/>
        <item x="809"/>
        <item x="3109"/>
        <item x="609"/>
        <item x="1337"/>
        <item x="2502"/>
        <item x="4594"/>
        <item x="3396"/>
        <item x="2217"/>
        <item x="1813"/>
        <item x="3715"/>
        <item x="309"/>
        <item x="384"/>
        <item x="1946"/>
        <item x="1985"/>
        <item x="514"/>
        <item x="4532"/>
        <item x="3456"/>
        <item x="990"/>
        <item x="1316"/>
        <item x="28"/>
        <item x="1912"/>
        <item x="245"/>
        <item x="674"/>
        <item x="636"/>
        <item x="3092"/>
        <item x="4631"/>
        <item x="513"/>
        <item x="96"/>
        <item x="871"/>
        <item x="4279"/>
        <item x="806"/>
        <item x="571"/>
        <item x="4653"/>
        <item x="284"/>
        <item x="2207"/>
        <item x="32"/>
        <item x="3962"/>
        <item x="4449"/>
        <item x="2070"/>
        <item x="2386"/>
        <item x="2219"/>
        <item x="899"/>
        <item x="2066"/>
        <item x="2483"/>
        <item x="1027"/>
        <item x="1523"/>
        <item x="1273"/>
        <item x="2577"/>
        <item x="2674"/>
        <item x="2224"/>
        <item x="3256"/>
        <item x="2873"/>
        <item x="592"/>
        <item x="2487"/>
        <item x="3611"/>
        <item x="30"/>
        <item x="1085"/>
        <item x="3"/>
        <item x="2362"/>
        <item x="4023"/>
        <item x="2114"/>
        <item x="1734"/>
        <item x="2485"/>
        <item x="1242"/>
        <item x="3822"/>
        <item x="3140"/>
        <item x="2799"/>
        <item x="3669"/>
        <item x="3716"/>
        <item x="1497"/>
        <item x="1743"/>
        <item x="1804"/>
        <item x="584"/>
        <item x="2146"/>
        <item x="4548"/>
        <item x="4142"/>
        <item x="1941"/>
        <item x="4665"/>
        <item x="2591"/>
        <item x="174"/>
        <item x="4469"/>
        <item x="1888"/>
        <item x="3735"/>
        <item x="6"/>
        <item x="4473"/>
        <item x="341"/>
        <item x="2741"/>
        <item x="604"/>
        <item x="2389"/>
        <item x="4569"/>
        <item x="15"/>
        <item x="2135"/>
        <item x="1753"/>
        <item x="119"/>
        <item x="3201"/>
        <item x="575"/>
        <item x="1625"/>
        <item x="1300"/>
        <item x="3048"/>
        <item x="3202"/>
        <item x="323"/>
        <item x="1678"/>
        <item x="2792"/>
        <item x="2423"/>
        <item x="1203"/>
        <item x="232"/>
        <item x="448"/>
        <item x="2670"/>
        <item x="3286"/>
        <item x="781"/>
        <item x="1288"/>
        <item x="210"/>
        <item x="1681"/>
        <item x="840"/>
        <item x="916"/>
        <item x="2031"/>
        <item x="1087"/>
        <item x="3815"/>
        <item x="1873"/>
        <item x="434"/>
        <item x="764"/>
        <item x="3566"/>
        <item x="4265"/>
        <item x="3207"/>
        <item x="1445"/>
        <item x="3045"/>
        <item x="2614"/>
        <item x="1422"/>
        <item x="3696"/>
        <item x="2505"/>
        <item x="4421"/>
        <item x="108"/>
        <item x="1454"/>
        <item x="2353"/>
        <item x="891"/>
        <item x="1022"/>
        <item x="1179"/>
        <item x="1882"/>
        <item x="1227"/>
        <item x="3958"/>
        <item x="3665"/>
        <item x="4565"/>
        <item x="4306"/>
        <item x="635"/>
        <item x="4138"/>
        <item x="24"/>
        <item x="2046"/>
        <item x="1663"/>
        <item x="443"/>
        <item x="62"/>
        <item x="311"/>
        <item x="4136"/>
        <item x="243"/>
        <item x="828"/>
        <item x="4122"/>
        <item x="1297"/>
        <item x="4033"/>
        <item x="2554"/>
        <item x="1618"/>
        <item x="979"/>
        <item x="3198"/>
        <item x="1372"/>
        <item x="1513"/>
        <item x="1919"/>
        <item x="321"/>
        <item x="2651"/>
        <item x="1308"/>
        <item x="1787"/>
        <item x="4051"/>
        <item x="3785"/>
        <item x="267"/>
        <item x="4459"/>
        <item x="4233"/>
        <item x="2506"/>
        <item x="2228"/>
        <item x="338"/>
        <item x="1213"/>
        <item x="742"/>
        <item x="2409"/>
        <item x="1496"/>
        <item x="2586"/>
        <item x="721"/>
        <item x="2263"/>
        <item x="2475"/>
        <item x="297"/>
        <item x="2568"/>
        <item x="4009"/>
        <item x="4400"/>
        <item x="4395"/>
        <item x="3422"/>
        <item x="553"/>
        <item x="905"/>
        <item x="2261"/>
        <item x="3633"/>
        <item x="3161"/>
        <item x="4388"/>
        <item x="480"/>
        <item x="3591"/>
        <item x="523"/>
        <item x="1721"/>
        <item x="246"/>
        <item x="1157"/>
        <item x="3776"/>
        <item x="1957"/>
        <item x="2911"/>
        <item x="4167"/>
        <item x="1854"/>
        <item x="1992"/>
        <item x="1646"/>
        <item x="259"/>
        <item x="1350"/>
        <item x="3499"/>
        <item x="1725"/>
        <item x="2609"/>
        <item x="520"/>
        <item x="1331"/>
        <item x="2405"/>
        <item x="2394"/>
        <item x="726"/>
        <item x="4178"/>
        <item x="2752"/>
        <item x="3674"/>
        <item x="471"/>
        <item x="4211"/>
        <item x="57"/>
        <item x="1599"/>
        <item x="2520"/>
        <item x="3156"/>
        <item x="75"/>
        <item x="2241"/>
        <item x="3421"/>
        <item x="282"/>
        <item x="4006"/>
        <item x="1117"/>
        <item x="388"/>
        <item x="778"/>
        <item x="1103"/>
        <item x="649"/>
        <item x="896"/>
        <item x="3335"/>
        <item x="3242"/>
        <item x="2055"/>
        <item x="2484"/>
        <item x="1380"/>
        <item x="1494"/>
        <item x="2814"/>
        <item x="3718"/>
        <item x="846"/>
        <item x="492"/>
        <item x="1809"/>
        <item x="3931"/>
        <item x="1498"/>
        <item x="4090"/>
        <item x="3719"/>
        <item x="4545"/>
        <item x="3769"/>
        <item x="2983"/>
        <item x="2928"/>
        <item x="2002"/>
        <item x="1611"/>
        <item x="589"/>
        <item x="1791"/>
        <item x="277"/>
        <item x="1021"/>
        <item x="3655"/>
        <item x="3625"/>
        <item x="664"/>
        <item x="3856"/>
        <item x="2692"/>
        <item x="2581"/>
        <item x="3632"/>
        <item x="1253"/>
        <item x="2499"/>
        <item x="4300"/>
        <item x="4434"/>
        <item x="1029"/>
        <item x="4504"/>
        <item x="137"/>
        <item x="4494"/>
        <item x="2806"/>
        <item x="774"/>
        <item x="1284"/>
        <item x="84"/>
        <item x="2303"/>
        <item x="2436"/>
        <item x="2576"/>
        <item x="1248"/>
        <item x="431"/>
        <item x="3324"/>
        <item x="4436"/>
        <item x="3219"/>
        <item x="4131"/>
        <item x="1748"/>
        <item x="3449"/>
        <item x="2988"/>
        <item x="2930"/>
        <item x="1642"/>
        <item x="3634"/>
        <item x="3001"/>
        <item x="2214"/>
        <item x="3397"/>
        <item x="46"/>
        <item x="582"/>
        <item x="4192"/>
        <item x="313"/>
        <item x="2467"/>
        <item x="3265"/>
        <item x="2613"/>
        <item x="2832"/>
        <item x="422"/>
        <item x="2649"/>
        <item x="3217"/>
        <item x="3386"/>
        <item x="591"/>
        <item x="1390"/>
        <item x="2973"/>
        <item x="2500"/>
        <item x="463"/>
        <item x="4208"/>
        <item x="4056"/>
        <item x="2845"/>
        <item x="849"/>
        <item x="957"/>
        <item x="2952"/>
        <item x="16"/>
        <item x="1165"/>
        <item x="484"/>
        <item x="317"/>
        <item x="1972"/>
        <item x="4347"/>
        <item x="40"/>
        <item x="1135"/>
        <item x="3612"/>
        <item x="4448"/>
        <item x="660"/>
        <item x="2056"/>
        <item x="2822"/>
        <item x="4225"/>
        <item x="779"/>
        <item x="3114"/>
        <item x="4371"/>
        <item x="1068"/>
        <item x="1774"/>
        <item x="2544"/>
        <item x="1814"/>
        <item x="2407"/>
        <item x="4095"/>
        <item x="4466"/>
        <item x="445"/>
        <item x="2627"/>
        <item x="1492"/>
        <item x="3257"/>
        <item x="3403"/>
        <item x="565"/>
        <item x="3701"/>
        <item x="1290"/>
        <item x="2663"/>
        <item x="2886"/>
        <item x="3079"/>
        <item x="1342"/>
        <item x="3867"/>
        <item x="1795"/>
        <item x="3777"/>
        <item x="4480"/>
        <item x="2519"/>
        <item x="151"/>
        <item x="2925"/>
        <item x="580"/>
        <item x="462"/>
        <item x="2166"/>
        <item x="1049"/>
        <item x="3062"/>
        <item x="3487"/>
        <item x="3821"/>
        <item x="821"/>
        <item x="1556"/>
        <item x="1166"/>
        <item x="1612"/>
        <item x="3043"/>
        <item x="586"/>
        <item x="4168"/>
        <item x="1354"/>
        <item x="3298"/>
        <item x="1784"/>
        <item x="2642"/>
        <item x="3475"/>
        <item x="3994"/>
        <item x="21"/>
        <item x="512"/>
        <item x="2151"/>
        <item x="4321"/>
        <item x="3022"/>
        <item x="2688"/>
        <item x="208"/>
        <item x="1040"/>
        <item x="2371"/>
        <item x="222"/>
        <item x="4575"/>
        <item x="4645"/>
        <item x="3936"/>
        <item x="2415"/>
        <item x="1144"/>
        <item x="3212"/>
        <item x="506"/>
        <item x="4303"/>
        <item x="558"/>
        <item x="1856"/>
        <item x="1897"/>
        <item x="4527"/>
        <item x="3295"/>
        <item x="3601"/>
        <item x="1015"/>
        <item x="1304"/>
        <item x="4541"/>
        <item x="2410"/>
        <item x="2232"/>
        <item x="2531"/>
        <item x="2172"/>
        <item x="1648"/>
        <item x="4540"/>
        <item x="3802"/>
        <item x="4259"/>
        <item x="298"/>
        <item x="347"/>
        <item x="2936"/>
        <item x="4618"/>
        <item x="2538"/>
        <item x="1362"/>
        <item x="937"/>
        <item x="4399"/>
        <item x="1553"/>
        <item x="2787"/>
        <item x="4404"/>
        <item x="2901"/>
        <item x="2288"/>
        <item x="1905"/>
        <item x="3283"/>
        <item x="725"/>
        <item x="3270"/>
        <item x="3482"/>
        <item x="3675"/>
        <item x="1058"/>
        <item x="165"/>
        <item x="4396"/>
        <item x="1545"/>
        <item x="4393"/>
        <item x="3883"/>
        <item x="2648"/>
        <item x="3020"/>
        <item x="82"/>
        <item x="4496"/>
        <item x="2766"/>
        <item x="2119"/>
        <item x="2062"/>
        <item x="2469"/>
        <item x="81"/>
        <item x="2753"/>
        <item x="3927"/>
        <item x="913"/>
        <item x="2572"/>
        <item x="2452"/>
        <item x="4169"/>
        <item x="1726"/>
        <item x="1324"/>
        <item x="4633"/>
        <item x="4061"/>
        <item x="3687"/>
        <item x="2376"/>
        <item x="3667"/>
        <item x="1976"/>
        <item x="1351"/>
        <item x="4557"/>
        <item x="1208"/>
        <item x="444"/>
        <item x="2095"/>
        <item x="1502"/>
        <item x="601"/>
        <item x="1477"/>
        <item x="292"/>
        <item x="2309"/>
        <item x="2669"/>
        <item x="632"/>
        <item x="1705"/>
        <item x="1754"/>
        <item x="3070"/>
        <item x="3404"/>
        <item x="301"/>
        <item x="1340"/>
        <item x="3835"/>
        <item x="933"/>
        <item x="1169"/>
        <item x="1008"/>
        <item x="1836"/>
        <item x="1686"/>
        <item x="2240"/>
        <item x="2584"/>
        <item x="3988"/>
        <item x="417"/>
        <item x="2860"/>
        <item x="3615"/>
        <item x="1263"/>
        <item x="3750"/>
        <item x="3260"/>
        <item x="4370"/>
        <item x="1869"/>
        <item x="4204"/>
        <item x="3987"/>
        <item x="1326"/>
        <item x="817"/>
        <item x="3603"/>
        <item x="1616"/>
        <item x="2342"/>
        <item x="1973"/>
        <item x="1859"/>
        <item x="2347"/>
        <item x="1440"/>
        <item x="1889"/>
        <item x="4455"/>
        <item x="4189"/>
        <item x="2326"/>
        <item x="3357"/>
        <item x="699"/>
        <item x="1098"/>
        <item x="3745"/>
        <item x="432"/>
        <item x="316"/>
        <item x="1355"/>
        <item x="4038"/>
        <item x="2929"/>
        <item x="166"/>
        <item x="263"/>
        <item x="3222"/>
        <item x="1282"/>
        <item x="2188"/>
        <item x="172"/>
        <item x="935"/>
        <item x="149"/>
        <item x="307"/>
        <item x="3229"/>
        <item x="4339"/>
        <item x="3321"/>
        <item x="2549"/>
        <item x="966"/>
        <item x="544"/>
        <item x="1344"/>
        <item x="1209"/>
        <item x="2631"/>
        <item x="1228"/>
        <item x="4298"/>
        <item x="2057"/>
        <item x="4164"/>
        <item x="1516"/>
        <item x="607"/>
        <item x="1137"/>
        <item x="2330"/>
        <item x="1803"/>
        <item x="468"/>
        <item x="377"/>
        <item x="547"/>
        <item x="1129"/>
        <item x="3471"/>
        <item x="110"/>
        <item x="3433"/>
        <item x="3339"/>
        <item x="4362"/>
        <item x="3617"/>
        <item x="1412"/>
        <item x="1139"/>
        <item x="762"/>
        <item x="2723"/>
        <item x="483"/>
        <item x="2417"/>
        <item x="4507"/>
        <item x="250"/>
        <item x="610"/>
        <item x="3086"/>
        <item x="2588"/>
        <item x="396"/>
        <item x="3760"/>
        <item x="2945"/>
        <item x="2821"/>
        <item x="3479"/>
        <item x="2421"/>
        <item x="217"/>
        <item x="4045"/>
        <item x="527"/>
        <item x="2657"/>
        <item x="1383"/>
        <item x="2517"/>
        <item x="787"/>
        <item x="2317"/>
        <item x="1857"/>
        <item x="643"/>
        <item x="1987"/>
        <item x="3373"/>
        <item x="1522"/>
        <item x="684"/>
        <item x="3738"/>
        <item x="193"/>
        <item x="906"/>
        <item x="1519"/>
        <item x="4236"/>
        <item x="2178"/>
        <item x="4413"/>
        <item x="1627"/>
        <item x="3813"/>
        <item x="1615"/>
        <item x="4644"/>
        <item x="2023"/>
        <item x="518"/>
        <item x="220"/>
        <item x="43"/>
        <item x="1193"/>
        <item x="2011"/>
        <item x="2857"/>
        <item x="2900"/>
        <item x="843"/>
        <item x="3235"/>
        <item x="418"/>
        <item x="522"/>
        <item x="912"/>
        <item x="1090"/>
        <item x="2758"/>
        <item x="3131"/>
        <item x="4224"/>
        <item x="2113"/>
        <item x="202"/>
        <item x="1028"/>
        <item x="3322"/>
        <item x="886"/>
        <item x="654"/>
        <item x="3176"/>
        <item x="2578"/>
        <item x="3542"/>
        <item x="2155"/>
        <item x="552"/>
        <item x="728"/>
        <item x="3313"/>
        <item x="2024"/>
        <item x="68"/>
        <item x="4280"/>
        <item x="4642"/>
        <item x="1387"/>
        <item x="3552"/>
        <item x="2769"/>
        <item x="2919"/>
        <item x="4414"/>
        <item x="1175"/>
        <item x="4016"/>
        <item x="3337"/>
        <item x="1540"/>
        <item x="1024"/>
        <item x="2246"/>
        <item x="3573"/>
        <item x="3506"/>
        <item x="381"/>
        <item x="599"/>
        <item x="1567"/>
        <item x="1761"/>
        <item x="3501"/>
        <item x="3347"/>
        <item x="2918"/>
        <item x="3220"/>
        <item x="2737"/>
        <item x="3877"/>
        <item x="2262"/>
        <item x="1039"/>
        <item x="2143"/>
        <item x="1011"/>
        <item x="4206"/>
        <item x="3141"/>
        <item x="1309"/>
        <item x="3903"/>
        <item x="2707"/>
        <item x="358"/>
        <item x="4423"/>
        <item x="131"/>
        <item x="3139"/>
        <item x="989"/>
        <item x="1622"/>
        <item x="1623"/>
        <item x="3228"/>
        <item x="1120"/>
        <item x="3968"/>
        <item x="2863"/>
        <item x="3594"/>
        <item x="698"/>
        <item x="4573"/>
        <item x="890"/>
        <item x="517"/>
        <item x="3253"/>
        <item x="1745"/>
        <item x="4101"/>
        <item x="1790"/>
        <item x="2093"/>
        <item x="800"/>
        <item x="1343"/>
        <item x="433"/>
        <item x="4047"/>
        <item x="875"/>
        <item x="3762"/>
        <item x="1376"/>
        <item x="1574"/>
        <item x="403"/>
        <item x="4270"/>
        <item x="2449"/>
        <item x="750"/>
        <item x="538"/>
        <item x="112"/>
        <item x="993"/>
        <item x="3545"/>
        <item x="435"/>
        <item x="3592"/>
        <item x="867"/>
        <item x="2291"/>
        <item x="60"/>
        <item x="1594"/>
        <item x="162"/>
        <item x="1348"/>
        <item x="2089"/>
        <item x="3497"/>
        <item x="2167"/>
        <item x="873"/>
        <item x="2673"/>
        <item x="1529"/>
        <item x="1944"/>
        <item x="730"/>
        <item x="1247"/>
        <item x="2302"/>
        <item x="982"/>
        <item x="4580"/>
        <item x="546"/>
        <item x="1283"/>
        <item x="2295"/>
        <item x="2904"/>
        <item x="1851"/>
        <item x="2059"/>
        <item x="2379"/>
        <item x="362"/>
        <item x="2175"/>
        <item x="508"/>
        <item x="680"/>
        <item x="4606"/>
        <item x="4102"/>
        <item x="1113"/>
        <item x="4525"/>
        <item x="3300"/>
        <item x="4385"/>
        <item x="2539"/>
        <item x="4402"/>
        <item x="4360"/>
        <item x="2109"/>
        <item x="3230"/>
        <item x="531"/>
        <item x="1792"/>
        <item x="851"/>
        <item x="1782"/>
        <item x="2433"/>
        <item x="3670"/>
        <item x="3873"/>
        <item x="3916"/>
        <item x="1993"/>
        <item x="1174"/>
        <item x="2856"/>
        <item x="3799"/>
        <item x="1145"/>
        <item x="4157"/>
        <item x="789"/>
        <item x="1673"/>
        <item x="820"/>
        <item x="733"/>
        <item x="4425"/>
        <item x="3169"/>
        <item x="3144"/>
        <item x="3399"/>
        <item x="4325"/>
        <item x="1044"/>
        <item x="2940"/>
        <item x="3356"/>
        <item x="150"/>
        <item x="1364"/>
        <item x="2564"/>
        <item x="3346"/>
        <item x="963"/>
        <item x="3326"/>
        <item x="2112"/>
        <item x="3779"/>
        <item x="4634"/>
        <item x="3504"/>
        <item x="3728"/>
        <item x="2905"/>
        <item x="4465"/>
        <item x="1581"/>
        <item x="4652"/>
        <item x="715"/>
        <item x="1578"/>
        <item x="734"/>
        <item x="4357"/>
        <item x="1449"/>
        <item x="2676"/>
        <item x="2550"/>
        <item x="493"/>
        <item x="135"/>
        <item x="2703"/>
        <item x="4069"/>
        <item x="2333"/>
        <item x="4444"/>
        <item x="777"/>
        <item x="3844"/>
        <item x="4003"/>
        <item x="4081"/>
        <item x="3569"/>
        <item x="126"/>
        <item x="467"/>
        <item x="2249"/>
        <item x="1262"/>
        <item x="3233"/>
        <item x="4463"/>
        <item x="3474"/>
        <item x="2408"/>
        <item x="4249"/>
        <item x="2274"/>
        <item x="543"/>
        <item x="804"/>
        <item x="3409"/>
        <item x="983"/>
        <item x="3955"/>
        <item x="3733"/>
        <item x="4349"/>
        <item x="3628"/>
        <item x="548"/>
        <item x="2079"/>
        <item x="2173"/>
        <item x="3683"/>
        <item x="391"/>
        <item x="3023"/>
        <item x="4031"/>
        <item x="3956"/>
        <item x="2625"/>
        <item x="2180"/>
        <item x="1917"/>
        <item x="2091"/>
        <item x="545"/>
        <item x="3518"/>
        <item x="1742"/>
        <item x="2508"/>
        <item x="1119"/>
        <item x="346"/>
        <item x="466"/>
        <item x="2182"/>
        <item x="830"/>
        <item x="3125"/>
        <item x="3127"/>
        <item x="1528"/>
        <item x="474"/>
        <item x="192"/>
        <item x="31"/>
        <item x="459"/>
        <item x="141"/>
        <item x="23"/>
        <item x="4427"/>
        <item x="64"/>
        <item x="3004"/>
        <item x="4332"/>
        <item x="671"/>
        <item x="130"/>
        <item x="497"/>
        <item x="4508"/>
        <item x="4311"/>
        <item x="453"/>
        <item x="2438"/>
        <item x="1845"/>
        <item x="606"/>
        <item x="1598"/>
        <item x="2770"/>
        <item x="2783"/>
        <item x="4059"/>
        <item x="4351"/>
        <item x="1407"/>
        <item x="74"/>
        <item x="2329"/>
        <item x="2768"/>
        <item x="2090"/>
        <item x="3343"/>
        <item x="521"/>
        <item x="231"/>
        <item x="2206"/>
        <item x="3555"/>
        <item x="4627"/>
        <item x="861"/>
        <item x="4154"/>
        <item x="1617"/>
        <item x="2953"/>
        <item x="1579"/>
        <item x="4002"/>
        <item x="4283"/>
        <item x="4184"/>
        <item x="619"/>
        <item x="1850"/>
        <item x="289"/>
        <item x="773"/>
        <item x="4140"/>
        <item x="3306"/>
        <item x="3462"/>
        <item x="3949"/>
        <item x="3510"/>
        <item x="3688"/>
        <item x="3333"/>
        <item x="4458"/>
        <item x="2827"/>
        <item x="2512"/>
        <item x="233"/>
        <item x="3774"/>
        <item x="1700"/>
        <item x="360"/>
        <item x="594"/>
        <item x="4641"/>
        <item x="4554"/>
        <item x="2607"/>
        <item x="1720"/>
        <item x="125"/>
        <item x="3215"/>
        <item x="50"/>
        <item x="3115"/>
        <item x="3707"/>
        <item x="2021"/>
        <item x="1177"/>
        <item x="1896"/>
        <item x="4506"/>
        <item x="4341"/>
        <item x="190"/>
        <item x="1160"/>
        <item x="1336"/>
        <item x="1136"/>
        <item x="3512"/>
        <item x="1190"/>
        <item x="2441"/>
        <item x="1357"/>
        <item x="1906"/>
        <item x="2933"/>
        <item x="2308"/>
        <item x="2510"/>
        <item x="1595"/>
        <item x="3507"/>
        <item x="1006"/>
        <item x="1278"/>
        <item x="3486"/>
        <item x="3861"/>
        <item x="204"/>
        <item x="1275"/>
        <item x="4040"/>
        <item x="3304"/>
        <item x="2107"/>
        <item x="2030"/>
        <item x="2015"/>
        <item x="535"/>
        <item x="2902"/>
        <item x="3132"/>
        <item x="2486"/>
        <item x="2872"/>
        <item x="1411"/>
        <item x="1756"/>
        <item x="4322"/>
        <item x="3882"/>
        <item x="109"/>
        <item x="2714"/>
        <item x="4017"/>
        <item x="1717"/>
        <item x="3087"/>
        <item x="1586"/>
        <item x="4615"/>
        <item x="1110"/>
        <item x="3167"/>
        <item x="3922"/>
        <item x="1140"/>
        <item x="1738"/>
        <item x="3019"/>
        <item x="769"/>
        <item x="1072"/>
        <item x="3643"/>
        <item x="876"/>
        <item x="4499"/>
        <item x="2721"/>
        <item x="541"/>
        <item x="980"/>
        <item x="79"/>
        <item x="2029"/>
        <item x="2264"/>
        <item x="959"/>
        <item x="1786"/>
        <item x="2170"/>
        <item x="1088"/>
        <item x="1608"/>
        <item x="4201"/>
        <item x="4500"/>
        <item x="1270"/>
        <item x="2018"/>
        <item x="2915"/>
        <item x="315"/>
        <item x="3310"/>
        <item x="342"/>
        <item x="1641"/>
        <item x="823"/>
        <item x="4014"/>
        <item x="3521"/>
        <item x="4511"/>
        <item x="3078"/>
        <item x="2882"/>
        <item x="4617"/>
        <item x="500"/>
        <item x="3342"/>
        <item x="766"/>
        <item x="2934"/>
        <item x="3976"/>
        <item x="2338"/>
        <item x="653"/>
        <item x="115"/>
        <item x="489"/>
        <item x="94"/>
        <item x="214"/>
        <item x="4365"/>
        <item x="4025"/>
        <item x="236"/>
        <item x="878"/>
        <item x="2494"/>
        <item x="1828"/>
        <item x="4066"/>
        <item x="2656"/>
        <item x="1158"/>
        <item x="2191"/>
        <item x="816"/>
        <item x="738"/>
        <item x="2197"/>
        <item x="3529"/>
        <item x="2077"/>
        <item x="3845"/>
        <item x="3680"/>
        <item x="3983"/>
        <item x="4491"/>
        <item x="1476"/>
        <item x="2065"/>
        <item x="4550"/>
        <item x="1393"/>
        <item x="1009"/>
        <item x="2132"/>
        <item x="1320"/>
        <item x="2453"/>
        <item x="1281"/>
        <item x="2382"/>
        <item x="2736"/>
        <item x="945"/>
        <item x="3400"/>
        <item x="176"/>
        <item x="3371"/>
        <item x="1421"/>
        <item x="2185"/>
        <item x="3438"/>
        <item x="2840"/>
        <item x="666"/>
        <item x="1876"/>
        <item x="4032"/>
        <item x="818"/>
        <item x="1582"/>
        <item x="868"/>
        <item x="749"/>
        <item x="3285"/>
        <item x="2729"/>
        <item x="3893"/>
        <item x="1895"/>
        <item x="183"/>
        <item x="2048"/>
        <item x="3576"/>
        <item x="3018"/>
        <item x="2530"/>
        <item x="1508"/>
        <item x="4044"/>
        <item x="2306"/>
        <item x="4134"/>
        <item x="4578"/>
        <item x="3664"/>
        <item x="3152"/>
        <item x="3473"/>
        <item x="2653"/>
        <item x="2473"/>
        <item x="106"/>
        <item x="4376"/>
        <item x="1471"/>
        <item x="1597"/>
        <item x="1436"/>
        <item x="2514"/>
        <item x="3398"/>
        <item x="2444"/>
        <item x="415"/>
        <item x="2370"/>
        <item x="1653"/>
        <item x="397"/>
        <item x="3377"/>
        <item x="4001"/>
        <item x="3618"/>
        <item x="1862"/>
        <item x="2117"/>
        <item x="1365"/>
        <item x="3996"/>
        <item x="4254"/>
        <item x="1602"/>
        <item x="2120"/>
        <item x="3292"/>
        <item x="2479"/>
        <item x="3353"/>
        <item x="883"/>
        <item x="3090"/>
        <item x="1017"/>
        <item x="1082"/>
        <item x="2311"/>
        <item x="3513"/>
        <item x="1665"/>
        <item x="2587"/>
        <item x="4549"/>
        <item x="836"/>
        <item x="102"/>
        <item x="4592"/>
        <item x="1875"/>
        <item x="2364"/>
        <item x="532"/>
        <item x="2989"/>
        <item x="917"/>
        <item x="4252"/>
        <item x="573"/>
        <item x="1703"/>
        <item x="2522"/>
        <item x="3130"/>
        <item x="1427"/>
        <item x="4037"/>
        <item x="2466"/>
        <item x="4015"/>
        <item x="1339"/>
        <item x="3782"/>
        <item x="2250"/>
        <item x="4367"/>
        <item x="3039"/>
        <item x="4193"/>
        <item x="1541"/>
        <item x="2177"/>
        <item x="2871"/>
        <item x="3147"/>
        <item x="4607"/>
        <item x="704"/>
        <item x="4188"/>
        <item x="946"/>
        <item x="1102"/>
        <item x="549"/>
        <item x="1159"/>
        <item x="2779"/>
        <item x="3135"/>
        <item x="216"/>
        <item x="2042"/>
        <item x="1155"/>
        <item x="835"/>
        <item x="3863"/>
        <item x="4281"/>
        <item x="4296"/>
        <item x="647"/>
        <item x="1959"/>
        <item x="2947"/>
        <item x="4601"/>
        <item x="4616"/>
        <item x="4614"/>
        <item x="4443"/>
        <item x="620"/>
        <item x="4589"/>
        <item x="3993"/>
        <item x="746"/>
        <item x="1352"/>
        <item x="763"/>
        <item x="4409"/>
        <item x="3808"/>
        <item x="2426"/>
        <item x="3056"/>
        <item x="3517"/>
        <item x="1303"/>
        <item x="1062"/>
        <item x="2624"/>
        <item x="1934"/>
        <item x="1317"/>
        <item x="4478"/>
        <item x="3876"/>
        <item x="3541"/>
        <item x="4151"/>
        <item x="2680"/>
        <item x="3837"/>
        <item x="2943"/>
        <item x="977"/>
        <item x="3806"/>
        <item x="2820"/>
        <item x="3516"/>
        <item x="73"/>
        <item x="3405"/>
        <item x="1230"/>
        <item x="841"/>
        <item x="136"/>
        <item x="398"/>
        <item x="2402"/>
        <item x="339"/>
        <item x="2129"/>
        <item x="331"/>
        <item x="1658"/>
        <item x="1654"/>
        <item x="2442"/>
        <item x="1265"/>
        <item x="713"/>
        <item x="2548"/>
        <item x="2610"/>
        <item x="947"/>
        <item x="858"/>
        <item x="3690"/>
        <item x="3579"/>
        <item x="414"/>
        <item x="361"/>
        <item x="390"/>
        <item x="1967"/>
        <item x="941"/>
        <item x="1121"/>
        <item x="4062"/>
        <item x="1577"/>
        <item x="3685"/>
        <item x="852"/>
        <item x="1220"/>
        <item x="1381"/>
        <item x="2154"/>
        <item x="1547"/>
        <item x="3744"/>
        <item x="3362"/>
        <item x="1936"/>
        <item x="2975"/>
        <item x="3939"/>
        <item x="4093"/>
        <item x="1565"/>
        <item x="2189"/>
        <item x="2818"/>
        <item x="454"/>
        <item x="2805"/>
        <item x="2789"/>
        <item x="4433"/>
        <item x="3288"/>
        <item x="3250"/>
        <item x="4128"/>
        <item x="4450"/>
        <item x="2280"/>
        <item x="3610"/>
        <item x="949"/>
        <item x="2239"/>
        <item x="676"/>
        <item x="2893"/>
        <item x="2990"/>
        <item x="1775"/>
        <item x="775"/>
        <item x="1637"/>
        <item x="929"/>
        <item x="3937"/>
        <item x="1424"/>
        <item x="3548"/>
        <item x="2751"/>
        <item x="3741"/>
        <item x="2286"/>
        <item x="857"/>
        <item x="2634"/>
        <item x="3412"/>
        <item x="4629"/>
        <item x="3597"/>
        <item x="4060"/>
        <item x="364"/>
        <item x="1584"/>
        <item x="2202"/>
        <item x="1268"/>
        <item x="1866"/>
        <item x="3208"/>
        <item x="1116"/>
        <item x="2891"/>
        <item x="340"/>
        <item x="2774"/>
        <item x="61"/>
        <item x="2040"/>
        <item x="3211"/>
        <item x="720"/>
        <item x="4293"/>
        <item x="4416"/>
        <item x="2218"/>
        <item x="3970"/>
        <item x="3182"/>
        <item x="3631"/>
        <item x="1930"/>
        <item x="3986"/>
        <item x="1893"/>
        <item x="1292"/>
        <item x="1923"/>
        <item x="1066"/>
        <item x="3623"/>
        <item x="382"/>
        <item x="1546"/>
        <item x="934"/>
        <item x="2810"/>
        <item x="4551"/>
        <item x="2122"/>
        <item x="753"/>
        <item x="4160"/>
        <item x="3175"/>
        <item x="4599"/>
        <item x="1114"/>
        <item x="3491"/>
        <item x="2401"/>
        <item x="3589"/>
        <item x="1603"/>
        <item x="3933"/>
        <item x="3787"/>
        <item x="1831"/>
        <item x="2496"/>
        <item x="4315"/>
        <item x="4623"/>
        <item x="2038"/>
        <item x="657"/>
        <item x="1377"/>
        <item x="3224"/>
        <item x="4163"/>
        <item x="1229"/>
        <item x="386"/>
        <item x="1164"/>
        <item x="802"/>
        <item x="510"/>
        <item x="2635"/>
        <item x="627"/>
        <item x="502"/>
        <item x="41"/>
        <item x="819"/>
        <item x="3561"/>
        <item x="1509"/>
        <item x="4348"/>
        <item x="4106"/>
        <item x="465"/>
        <item x="337"/>
        <item x="154"/>
        <item x="1188"/>
        <item x="2740"/>
        <item x="2993"/>
        <item x="923"/>
        <item x="4073"/>
        <item x="209"/>
        <item x="89"/>
        <item x="4310"/>
        <item x="2639"/>
        <item x="3888"/>
        <item x="1865"/>
        <item x="3781"/>
        <item x="373"/>
        <item x="3034"/>
        <item x="1385"/>
        <item x="3619"/>
        <item x="2052"/>
        <item x="829"/>
        <item x="613"/>
        <item x="2161"/>
        <item x="813"/>
        <item x="2647"/>
        <item x="4205"/>
        <item x="3476"/>
        <item x="1048"/>
        <item x="1037"/>
        <item x="4247"/>
        <item x="4335"/>
        <item x="1194"/>
        <item x="3638"/>
        <item x="4390"/>
        <item x="148"/>
        <item x="3440"/>
        <item x="2597"/>
        <item x="1503"/>
        <item x="4125"/>
        <item x="3773"/>
        <item x="3584"/>
        <item x="218"/>
        <item x="1510"/>
        <item x="3448"/>
        <item x="648"/>
        <item x="2797"/>
        <item x="392"/>
        <item x="4086"/>
        <item x="2277"/>
        <item x="644"/>
        <item x="1384"/>
        <item x="2476"/>
        <item x="3148"/>
        <item x="48"/>
        <item x="2738"/>
        <item x="1246"/>
        <item x="2809"/>
        <item x="928"/>
        <item x="2312"/>
        <item x="2149"/>
        <item x="2980"/>
        <item x="3684"/>
        <item x="3613"/>
        <item x="3736"/>
        <item x="3071"/>
        <item x="1243"/>
        <item x="69"/>
        <item x="3054"/>
        <item x="2318"/>
        <item x="3819"/>
        <item x="4401"/>
        <item x="1154"/>
        <item x="1493"/>
        <item x="53"/>
        <item x="3978"/>
        <item x="156"/>
        <item x="2844"/>
        <item x="1460"/>
        <item x="2194"/>
        <item x="1063"/>
        <item x="393"/>
        <item x="47"/>
        <item x="3770"/>
        <item x="2632"/>
        <item x="3311"/>
        <item x="1115"/>
        <item x="3483"/>
        <item x="3582"/>
        <item x="1860"/>
        <item x="2546"/>
        <item x="3661"/>
        <item x="228"/>
        <item x="3072"/>
        <item x="3044"/>
        <item x="3341"/>
        <item x="4584"/>
        <item x="3763"/>
        <item x="2004"/>
        <item x="2571"/>
        <item x="3275"/>
        <item x="88"/>
        <item x="3042"/>
        <item x="3950"/>
        <item x="2448"/>
        <item x="3010"/>
        <item x="570"/>
        <item x="4637"/>
        <item x="981"/>
        <item x="2072"/>
        <item x="2785"/>
        <item x="1305"/>
        <item x="424"/>
        <item x="4505"/>
        <item x="3216"/>
        <item x="394"/>
        <item x="2012"/>
        <item x="2617"/>
        <item x="2373"/>
        <item x="287"/>
        <item x="1511"/>
        <item x="4407"/>
        <item x="3103"/>
        <item x="4509"/>
        <item x="1306"/>
        <item x="1894"/>
        <item x="286"/>
        <item x="2115"/>
        <item x="2346"/>
        <item x="3040"/>
        <item x="1235"/>
        <item x="1032"/>
        <item x="1378"/>
        <item x="3185"/>
        <item x="1036"/>
        <item x="95"/>
        <item x="696"/>
        <item x="400"/>
        <item x="3789"/>
        <item x="1002"/>
        <item x="1499"/>
        <item x="1469"/>
        <item x="729"/>
        <item x="737"/>
        <item x="2533"/>
        <item x="27"/>
        <item x="2985"/>
        <item x="910"/>
        <item x="2735"/>
        <item x="3984"/>
        <item x="2757"/>
        <item x="3574"/>
        <item x="1937"/>
        <item x="2778"/>
        <item x="1071"/>
        <item x="2183"/>
        <item x="3663"/>
        <item x="3330"/>
        <item x="2284"/>
        <item x="930"/>
        <item x="3729"/>
        <item x="722"/>
        <item x="291"/>
        <item x="3179"/>
        <item x="1488"/>
        <item x="1781"/>
        <item x="4336"/>
        <item x="590"/>
        <item x="146"/>
        <item x="3929"/>
        <item x="1760"/>
        <item x="3206"/>
        <item x="1095"/>
        <item x="2553"/>
        <item x="4418"/>
        <item x="794"/>
        <item x="2611"/>
        <item x="3005"/>
        <item x="4241"/>
        <item x="86"/>
        <item x="428"/>
        <item x="44"/>
        <item x="475"/>
        <item x="3926"/>
        <item x="4020"/>
        <item x="4624"/>
        <item x="1719"/>
        <item x="895"/>
        <item x="3028"/>
        <item x="2921"/>
        <item x="1083"/>
        <item x="3134"/>
        <item x="318"/>
        <item x="2372"/>
        <item x="2162"/>
        <item x="3168"/>
        <item x="3990"/>
        <item x="927"/>
        <item x="1530"/>
        <item x="1798"/>
        <item x="3906"/>
        <item x="1003"/>
        <item x="2192"/>
        <item x="3847"/>
        <item x="1569"/>
        <item x="3465"/>
        <item x="3119"/>
        <item x="1461"/>
        <item x="3232"/>
        <item x="226"/>
        <item x="2419"/>
        <item x="2403"/>
        <item x="2592"/>
        <item x="4292"/>
        <item x="2196"/>
        <item x="1001"/>
        <item x="4585"/>
        <item x="909"/>
        <item x="4147"/>
        <item x="3209"/>
        <item x="2118"/>
        <item x="2672"/>
        <item x="34"/>
        <item x="2874"/>
        <item x="3923"/>
        <item x="1690"/>
        <item x="3088"/>
        <item x="3446"/>
        <item x="969"/>
        <item x="3894"/>
        <item x="1429"/>
        <item x="123"/>
        <item x="452"/>
        <item x="3427"/>
        <item x="2892"/>
        <item x="1716"/>
        <item x="1526"/>
        <item x="3807"/>
        <item x="2468"/>
        <item x="3648"/>
        <item x="1532"/>
        <item x="519"/>
        <item x="505"/>
        <item x="2126"/>
        <item x="1189"/>
        <item x="756"/>
        <item x="1729"/>
        <item x="1201"/>
        <item x="2937"/>
        <item x="3985"/>
        <item x="3657"/>
        <item x="999"/>
        <item x="4064"/>
        <item x="1676"/>
        <item x="973"/>
        <item x="1419"/>
        <item x="91"/>
        <item x="1301"/>
        <item x="3624"/>
        <item x="4304"/>
        <item x="2455"/>
        <item x="1067"/>
        <item x="2392"/>
        <item x="65"/>
        <item x="1656"/>
        <item x="2521"/>
        <item x="3484"/>
        <item x="3264"/>
        <item x="3901"/>
        <item x="1473"/>
        <item x="2032"/>
        <item x="3502"/>
        <item x="614"/>
        <item x="4077"/>
        <item x="2001"/>
        <item x="4191"/>
        <item x="3002"/>
        <item x="1699"/>
        <item x="1640"/>
        <item x="2140"/>
        <item x="3289"/>
        <item x="1644"/>
        <item x="2034"/>
        <item x="1524"/>
        <item x="616"/>
        <item x="3354"/>
        <item x="3992"/>
        <item x="795"/>
        <item x="2923"/>
        <item x="4319"/>
        <item x="351"/>
        <item x="200"/>
        <item x="2903"/>
        <item x="3003"/>
        <item x="3100"/>
        <item x="2762"/>
        <item x="3236"/>
        <item x="3973"/>
        <item x="1122"/>
        <item x="3238"/>
        <item x="2282"/>
        <item x="249"/>
        <item x="2831"/>
        <item x="4135"/>
        <item x="1464"/>
        <item x="3296"/>
        <item x="4271"/>
        <item x="2381"/>
        <item x="1921"/>
        <item x="2033"/>
        <item x="4186"/>
        <item x="3904"/>
        <item x="2991"/>
        <item x="1871"/>
        <item x="383"/>
        <item x="2854"/>
        <item x="940"/>
        <item x="3935"/>
        <item x="3411"/>
        <item x="885"/>
        <item x="845"/>
        <item x="1329"/>
        <item x="2142"/>
        <item x="366"/>
        <item x="3239"/>
        <item x="948"/>
        <item x="353"/>
        <item x="3489"/>
        <item x="257"/>
        <item x="1770"/>
        <item x="1633"/>
        <item x="2914"/>
        <item x="3580"/>
        <item x="1487"/>
        <item x="1053"/>
        <item x="1783"/>
        <item x="395"/>
        <item x="3046"/>
        <item x="2474"/>
        <item x="1802"/>
        <item x="3387"/>
        <item x="1739"/>
        <item x="3975"/>
        <item x="2679"/>
        <item x="2965"/>
        <item x="2169"/>
        <item x="3213"/>
        <item x="2007"/>
        <item x="3537"/>
        <item x="4264"/>
        <item x="1878"/>
        <item x="1382"/>
        <item x="3852"/>
        <item x="2708"/>
        <item x="877"/>
        <item x="1251"/>
        <item x="1271"/>
        <item x="4207"/>
        <item x="1827"/>
        <item x="3009"/>
        <item x="504"/>
        <item x="2966"/>
        <item x="1359"/>
        <item x="2160"/>
        <item x="3895"/>
        <item x="2678"/>
        <item x="1762"/>
        <item x="2377"/>
        <item x="658"/>
        <item x="1252"/>
        <item x="3940"/>
        <item x="1056"/>
        <item x="4560"/>
        <item x="1241"/>
        <item x="1176"/>
        <item x="3598"/>
        <item x="13"/>
        <item x="1302"/>
        <item x="2602"/>
        <item x="1409"/>
        <item x="129"/>
        <item x="645"/>
        <item x="4489"/>
        <item x="799"/>
        <item x="2987"/>
        <item x="3881"/>
        <item x="3811"/>
        <item x="2108"/>
        <item x="237"/>
        <item x="4107"/>
        <item x="1925"/>
        <item x="2137"/>
        <item x="1525"/>
        <item x="625"/>
        <item x="2773"/>
        <item x="650"/>
        <item x="4474"/>
        <item x="1596"/>
        <item x="1844"/>
        <item x="3443"/>
        <item x="943"/>
        <item x="117"/>
        <item x="2375"/>
        <item x="2184"/>
        <item x="336"/>
        <item x="3656"/>
        <item x="2794"/>
        <item x="4097"/>
        <item x="1047"/>
        <item x="3457"/>
        <item x="4649"/>
        <item x="1023"/>
        <item x="3520"/>
        <item x="1631"/>
        <item x="4094"/>
        <item x="3963"/>
        <item x="4363"/>
        <item x="3596"/>
        <item x="147"/>
        <item x="3860"/>
        <item x="1205"/>
        <item x="2287"/>
        <item x="1434"/>
        <item x="2742"/>
        <item x="2028"/>
        <item x="1564"/>
        <item x="4570"/>
        <item x="103"/>
        <item x="1591"/>
        <item x="1391"/>
        <item x="1903"/>
        <item x="4039"/>
        <item x="902"/>
        <item x="501"/>
        <item x="2260"/>
        <item x="3907"/>
        <item x="1490"/>
        <item x="717"/>
        <item x="1750"/>
        <item x="1763"/>
        <item x="2390"/>
        <item x="3671"/>
        <item x="2516"/>
        <item x="2414"/>
        <item x="3535"/>
        <item x="2289"/>
        <item x="3334"/>
        <item x="581"/>
        <item x="3911"/>
        <item x="3116"/>
        <item x="357"/>
        <item x="4646"/>
        <item x="3083"/>
        <item x="3327"/>
        <item x="2345"/>
        <item x="1965"/>
        <item x="3150"/>
        <item x="3041"/>
        <item x="1349"/>
        <item x="2743"/>
        <item x="4638"/>
        <item x="3562"/>
        <item x="3533"/>
        <item x="2755"/>
        <item x="2359"/>
        <item x="2244"/>
        <item x="1722"/>
        <item x="2847"/>
        <item x="1669"/>
        <item x="1118"/>
        <item x="1877"/>
        <item x="4096"/>
        <item x="25"/>
        <item x="2763"/>
        <item x="4408"/>
        <item x="2693"/>
        <item x="4294"/>
        <item x="1127"/>
        <item x="2106"/>
        <item x="3531"/>
        <item x="1880"/>
        <item x="3753"/>
        <item x="1404"/>
        <item x="569"/>
        <item x="4605"/>
        <item x="4183"/>
        <item x="2105"/>
        <item x="4010"/>
        <item x="4050"/>
        <item x="4366"/>
        <item x="4276"/>
        <item x="1741"/>
        <item x="2599"/>
        <item x="1891"/>
        <item x="4350"/>
        <item x="2489"/>
        <item x="3708"/>
        <item x="3593"/>
        <item x="3085"/>
        <item x="2541"/>
        <item x="2498"/>
        <item x="1843"/>
        <item x="2754"/>
        <item x="370"/>
        <item x="4179"/>
        <item x="70"/>
        <item x="2231"/>
        <item x="1274"/>
        <item x="113"/>
        <item x="997"/>
        <item x="2579"/>
        <item x="747"/>
        <item x="101"/>
        <item x="4302"/>
        <item x="1345"/>
        <item x="595"/>
        <item x="880"/>
        <item x="3731"/>
        <item x="2908"/>
        <item x="4172"/>
        <item x="2443"/>
        <item x="4464"/>
        <item x="4411"/>
        <item x="659"/>
        <item x="3436"/>
        <item x="2365"/>
        <item x="4174"/>
        <item x="3678"/>
        <item x="451"/>
        <item x="1272"/>
        <item x="1400"/>
        <item x="1396"/>
        <item x="1033"/>
        <item x="1727"/>
        <item x="3854"/>
        <item x="3151"/>
        <item x="922"/>
        <item x="1437"/>
        <item x="2681"/>
        <item x="2836"/>
        <item x="1064"/>
        <item x="827"/>
        <item x="4581"/>
        <item x="2366"/>
        <item x="2540"/>
        <item x="3451"/>
        <item x="2477"/>
        <item x="1885"/>
        <item x="1538"/>
        <item x="3184"/>
        <item x="745"/>
        <item x="4301"/>
        <item x="458"/>
        <item x="3267"/>
        <item x="3467"/>
        <item x="4170"/>
        <item x="2583"/>
        <item x="4456"/>
        <item x="3543"/>
        <item x="4139"/>
        <item x="3932"/>
        <item x="3472"/>
        <item x="2719"/>
        <item x="4483"/>
        <item x="3097"/>
        <item x="1572"/>
        <item x="4479"/>
        <item x="3697"/>
        <item x="2310"/>
        <item x="3051"/>
        <item x="618"/>
        <item x="498"/>
        <item x="4552"/>
        <item x="2677"/>
        <item x="4219"/>
        <item x="4330"/>
        <item x="3522"/>
        <item x="1439"/>
        <item x="2134"/>
        <item x="2643"/>
        <item x="1025"/>
        <item x="1244"/>
        <item x="3244"/>
        <item x="3227"/>
        <item x="2885"/>
        <item x="3839"/>
        <item x="1224"/>
        <item x="4200"/>
        <item x="2853"/>
        <item x="1463"/>
        <item x="201"/>
        <item x="485"/>
        <item x="2589"/>
        <item x="380"/>
        <item x="1968"/>
        <item x="2470"/>
        <item x="285"/>
        <item x="3556"/>
        <item x="405"/>
        <item x="325"/>
        <item x="631"/>
        <item x="1459"/>
        <item x="3711"/>
        <item x="735"/>
        <item x="3240"/>
        <item x="689"/>
        <item x="2296"/>
        <item x="2557"/>
        <item x="1515"/>
        <item x="230"/>
        <item x="3146"/>
        <item x="3223"/>
        <item x="1180"/>
        <item x="1335"/>
        <item x="534"/>
        <item x="874"/>
        <item x="3410"/>
        <item x="3358"/>
        <item x="4180"/>
        <item x="3058"/>
        <item x="572"/>
        <item x="221"/>
        <item x="1789"/>
        <item x="3602"/>
        <item x="438"/>
        <item x="4320"/>
        <item x="2076"/>
        <item x="2086"/>
        <item x="4079"/>
        <item x="3980"/>
        <item x="7"/>
        <item x="892"/>
        <item x="114"/>
        <item x="1333"/>
        <item x="3585"/>
        <item x="4295"/>
        <item x="387"/>
        <item x="562"/>
        <item x="4452"/>
        <item x="3450"/>
        <item x="4273"/>
        <item x="596"/>
        <item x="3047"/>
        <item x="2781"/>
        <item x="3588"/>
        <item x="741"/>
        <item x="3268"/>
        <item x="4521"/>
        <item x="1191"/>
        <item x="350"/>
        <item x="12"/>
        <item x="1771"/>
        <item x="19"/>
        <item x="2662"/>
        <item x="296"/>
        <item x="807"/>
        <item x="1982"/>
        <item x="2432"/>
        <item x="1819"/>
        <item x="1514"/>
        <item x="1425"/>
        <item x="4013"/>
        <item x="1517"/>
        <item x="832"/>
        <item x="2615"/>
        <item x="3727"/>
        <item x="651"/>
        <item x="2525"/>
        <item x="701"/>
        <item x="695"/>
        <item x="2147"/>
        <item x="608"/>
        <item x="305"/>
        <item x="2156"/>
        <item x="628"/>
        <item x="3021"/>
        <item x="872"/>
        <item x="4435"/>
        <item x="4035"/>
        <item x="2575"/>
        <item x="161"/>
        <item x="3775"/>
        <item x="2563"/>
        <item x="621"/>
        <item x="2399"/>
        <item x="1298"/>
        <item x="3459"/>
        <item x="2528"/>
        <item x="3402"/>
        <item x="1566"/>
        <item x="2251"/>
        <item x="1375"/>
        <item x="998"/>
        <item x="3391"/>
        <item x="2849"/>
        <item x="1998"/>
        <item x="2225"/>
        <item x="4117"/>
        <item x="4403"/>
        <item x="4346"/>
        <item x="1713"/>
        <item x="1042"/>
        <item x="3124"/>
        <item x="3772"/>
        <item x="4210"/>
        <item x="971"/>
        <item x="2328"/>
        <item x="682"/>
        <item x="4314"/>
        <item x="4091"/>
        <item x="640"/>
        <item x="2292"/>
        <item x="3367"/>
        <item x="127"/>
        <item x="3189"/>
        <item x="2866"/>
        <item x="1933"/>
        <item x="1266"/>
        <item x="1744"/>
        <item x="4619"/>
        <item x="413"/>
        <item x="1995"/>
        <item x="2017"/>
        <item x="1079"/>
        <item x="423"/>
        <item x="2220"/>
        <item x="4486"/>
        <item x="2819"/>
        <item x="376"/>
        <item x="299"/>
        <item x="3365"/>
        <item x="1"/>
        <item x="470"/>
        <item x="3544"/>
        <item x="2932"/>
        <item x="1507"/>
        <item x="2912"/>
        <item x="691"/>
        <item x="11"/>
        <item x="2513"/>
        <item x="3599"/>
        <item x="3026"/>
        <item x="3112"/>
        <item x="3798"/>
        <item x="3194"/>
        <item x="3364"/>
        <item x="2535"/>
        <item x="3677"/>
        <item x="2092"/>
        <item x="3702"/>
        <item x="3441"/>
        <item x="4498"/>
        <item x="3218"/>
        <item x="1709"/>
        <item x="2234"/>
        <item x="4119"/>
        <item x="3834"/>
        <item x="1816"/>
        <item x="3767"/>
        <item x="2712"/>
        <item x="2661"/>
        <item x="416"/>
        <item x="3325"/>
        <item x="686"/>
        <item x="515"/>
        <item x="2075"/>
        <item x="4377"/>
        <item x="3340"/>
        <item x="2121"/>
        <item x="378"/>
        <item x="2808"/>
        <item x="3204"/>
        <item x="1075"/>
        <item x="3067"/>
        <item x="4067"/>
        <item x="2319"/>
        <item x="2605"/>
        <item x="3896"/>
        <item x="308"/>
        <item x="2437"/>
        <item x="3104"/>
        <item x="3355"/>
        <item x="4262"/>
        <item x="3953"/>
        <item x="3848"/>
        <item x="2357"/>
        <item x="2190"/>
        <item x="1147"/>
        <item x="2227"/>
        <item x="4648"/>
        <item x="931"/>
        <item x="3277"/>
        <item x="1752"/>
        <item x="365"/>
        <item x="938"/>
        <item x="4008"/>
        <item x="833"/>
        <item x="4381"/>
        <item x="503"/>
        <item x="4639"/>
        <item x="3329"/>
        <item x="2321"/>
        <item x="1443"/>
        <item x="1767"/>
        <item x="2772"/>
        <item x="2492"/>
        <item x="2324"/>
        <item x="3262"/>
        <item x="35"/>
        <item x="473"/>
        <item x="3509"/>
        <item x="2050"/>
        <item x="4523"/>
        <item x="2802"/>
        <item x="2977"/>
        <item x="4269"/>
        <item x="932"/>
        <item x="1322"/>
        <item x="3730"/>
        <item x="2573"/>
        <item x="157"/>
        <item x="3869"/>
        <item x="1812"/>
        <item x="739"/>
        <item x="3063"/>
        <item x="3231"/>
        <item x="1609"/>
        <item x="3210"/>
        <item x="3554"/>
        <item x="2956"/>
        <item x="2968"/>
        <item x="4345"/>
        <item x="1747"/>
        <item x="2664"/>
        <item x="4611"/>
        <item x="2412"/>
        <item x="4559"/>
        <item x="3959"/>
        <item x="1279"/>
        <item x="525"/>
        <item x="4579"/>
        <item x="2297"/>
        <item x="3915"/>
        <item x="3826"/>
        <item x="3960"/>
        <item x="1045"/>
        <item x="1327"/>
        <item x="2301"/>
        <item x="2545"/>
        <item x="869"/>
        <item x="4318"/>
        <item x="2582"/>
        <item x="4230"/>
        <item x="1185"/>
        <item x="2523"/>
        <item x="1758"/>
        <item x="2331"/>
        <item x="2125"/>
        <item x="793"/>
        <item x="2897"/>
        <item x="2230"/>
        <item x="593"/>
        <item x="2926"/>
        <item x="711"/>
        <item x="4429"/>
        <item x="3972"/>
        <item x="615"/>
        <item x="1605"/>
        <item x="3891"/>
        <item x="2153"/>
        <item x="3790"/>
        <item x="425"/>
        <item x="3791"/>
        <item x="2697"/>
        <item x="2532"/>
        <item x="2298"/>
        <item x="1852"/>
        <item x="1234"/>
        <item x="1500"/>
        <item x="3969"/>
        <item x="4223"/>
        <item x="2838"/>
        <item x="1105"/>
        <item x="1236"/>
        <item x="797"/>
        <item x="4600"/>
        <item x="516"/>
        <item x="790"/>
        <item x="1319"/>
        <item x="893"/>
        <item x="3390"/>
        <item x="1307"/>
        <item x="2236"/>
        <item x="4114"/>
        <item x="2258"/>
        <item x="3174"/>
        <item x="2383"/>
        <item x="3470"/>
        <item x="3917"/>
        <item x="4372"/>
        <item x="1479"/>
        <item x="4613"/>
        <item x="4643"/>
        <item x="2294"/>
        <item x="1200"/>
        <item x="4515"/>
        <item x="3431"/>
        <item x="1451"/>
        <item x="496"/>
        <item x="4323"/>
        <item x="1643"/>
        <item x="3868"/>
        <item x="2283"/>
        <item x="2843"/>
        <item x="4437"/>
        <item x="2398"/>
        <item x="1505"/>
        <item x="3360"/>
        <item x="2148"/>
        <item x="661"/>
        <item x="2051"/>
        <item x="3841"/>
        <item x="3559"/>
        <item x="3417"/>
        <item x="2350"/>
        <item x="4258"/>
        <item x="4441"/>
        <item x="2429"/>
        <item x="1589"/>
        <item x="2268"/>
        <item x="3942"/>
        <item x="4158"/>
        <item x="2013"/>
        <item x="45"/>
        <item x="4612"/>
        <item x="2208"/>
        <item x="954"/>
        <item x="952"/>
        <item x="3884"/>
        <item x="3382"/>
        <item x="1108"/>
        <item x="261"/>
        <item x="52"/>
        <item x="1948"/>
        <item x="1239"/>
        <item x="3098"/>
        <item x="3991"/>
        <item x="421"/>
        <item x="3778"/>
        <item x="3849"/>
        <item x="1935"/>
        <item x="4194"/>
        <item x="4583"/>
        <item x="1467"/>
        <item x="2776"/>
        <item x="3352"/>
        <item x="2335"/>
        <item x="2213"/>
        <item x="295"/>
        <item x="1104"/>
        <item x="4661"/>
        <item x="1217"/>
        <item x="1255"/>
        <item x="3280"/>
        <item x="588"/>
        <item x="92"/>
        <item x="4419"/>
        <item x="3126"/>
        <item x="1438"/>
        <item x="269"/>
        <item x="1759"/>
        <item x="859"/>
        <item x="662"/>
        <item x="1276"/>
        <item x="3532"/>
        <item x="278"/>
        <item x="2385"/>
        <item x="476"/>
        <item x="1184"/>
        <item x="252"/>
        <item x="2235"/>
        <item x="1733"/>
        <item x="4622"/>
        <item x="2608"/>
        <item x="4011"/>
        <item x="367"/>
        <item x="1240"/>
        <item x="791"/>
        <item x="363"/>
        <item x="2276"/>
        <item x="2139"/>
        <item x="555"/>
        <item x="4650"/>
        <item x="3653"/>
        <item x="2339"/>
        <item x="3301"/>
        <item x="385"/>
        <item x="4603"/>
        <item x="3316"/>
        <item x="375"/>
        <item x="1666"/>
        <item x="4432"/>
        <item x="3673"/>
        <item x="2823"/>
        <item x="1805"/>
        <item x="1928"/>
        <item x="638"/>
        <item x="3565"/>
        <item x="4334"/>
        <item x="179"/>
        <item x="3424"/>
        <item x="3093"/>
        <item x="2164"/>
        <item x="752"/>
        <item x="3797"/>
        <item x="1749"/>
        <item x="4375"/>
        <item x="2323"/>
        <item x="2073"/>
        <item x="1800"/>
        <item x="988"/>
        <item x="634"/>
        <item x="2337"/>
        <item x="1034"/>
        <item x="3385"/>
        <item x="4150"/>
        <item x="1931"/>
        <item x="4596"/>
        <item x="1576"/>
        <item x="160"/>
        <item x="2992"/>
        <item x="326"/>
        <item x="4387"/>
        <item x="4461"/>
        <item x="2304"/>
        <item x="2509"/>
        <item x="4115"/>
        <item x="2082"/>
        <item x="3858"/>
        <item x="3620"/>
        <item x="1448"/>
        <item x="889"/>
        <item x="1455"/>
        <item x="3724"/>
        <item x="1939"/>
        <item x="2998"/>
        <item x="1693"/>
        <item x="274"/>
        <item x="1737"/>
        <item x="2272"/>
        <item x="1979"/>
        <item x="4636"/>
        <item x="2702"/>
        <item x="2835"/>
        <item x="2163"/>
        <item x="1078"/>
        <item x="4490"/>
        <item x="1990"/>
        <item x="1219"/>
        <item x="3303"/>
        <item x="1134"/>
        <item x="1442"/>
        <item x="964"/>
        <item x="3226"/>
        <item x="1892"/>
        <item x="1811"/>
        <item x="673"/>
        <item x="1475"/>
        <item x="3879"/>
        <item x="2761"/>
        <item x="2278"/>
        <item x="4405"/>
        <item x="2960"/>
        <item x="2537"/>
        <item x="1559"/>
        <item x="3407"/>
        <item x="727"/>
        <item x="212"/>
        <item x="1915"/>
        <item x="626"/>
        <item x="3832"/>
        <item x="4663"/>
        <item x="426"/>
        <item x="1619"/>
        <item x="2247"/>
        <item x="566"/>
        <item x="4256"/>
        <item x="837"/>
        <item x="3374"/>
        <item x="693"/>
        <item x="3361"/>
        <item x="1913"/>
        <item x="234"/>
        <item x="4495"/>
        <item x="3081"/>
        <item x="1881"/>
        <item x="4542"/>
        <item x="4297"/>
        <item x="2257"/>
        <item x="1109"/>
        <item x="4655"/>
        <item x="4343"/>
        <item x="2434"/>
        <item x="3012"/>
        <item x="2039"/>
        <item x="2098"/>
        <item x="2273"/>
        <item x="4662"/>
        <item x="1604"/>
        <item x="2116"/>
        <item x="1031"/>
        <item x="1441"/>
        <item x="1909"/>
        <item x="3823"/>
        <item x="2087"/>
        <item x="1081"/>
        <item x="2696"/>
        <item x="3855"/>
        <item x="2211"/>
        <item x="3706"/>
        <item x="3830"/>
        <item x="4229"/>
        <item x="1607"/>
        <item x="1046"/>
        <item x="59"/>
        <item x="2088"/>
        <item x="1012"/>
        <item x="683"/>
        <item x="1043"/>
        <item x="4430"/>
        <item x="3137"/>
        <item x="178"/>
        <item x="2848"/>
        <item x="275"/>
        <item x="4309"/>
        <item x="2198"/>
        <item x="4563"/>
        <item x="3052"/>
        <item x="2025"/>
        <item x="3581"/>
        <item x="3307"/>
        <item x="1111"/>
        <item x="4146"/>
        <item x="1196"/>
        <item x="1131"/>
        <item x="1549"/>
        <item x="4410"/>
        <item x="901"/>
        <item x="1004"/>
        <item x="1151"/>
        <item x="300"/>
        <item x="1601"/>
        <item x="2558"/>
        <item x="2391"/>
        <item x="3630"/>
        <item x="2534"/>
        <item x="920"/>
        <item x="1796"/>
        <item x="1402"/>
        <item x="3961"/>
        <item x="1310"/>
        <item x="1299"/>
        <item x="563"/>
        <item x="4630"/>
        <item x="4042"/>
        <item x="3654"/>
        <item x="951"/>
        <item x="1250"/>
        <item x="488"/>
        <item x="1731"/>
        <item x="2504"/>
        <item x="1149"/>
        <item x="1853"/>
        <item x="2710"/>
        <item x="1543"/>
        <item x="3704"/>
        <item x="213"/>
        <item x="2374"/>
        <item x="1902"/>
        <item x="1914"/>
        <item x="1746"/>
        <item x="1428"/>
        <item x="3524"/>
        <item x="1287"/>
        <item x="1570"/>
        <item x="1961"/>
        <item x="3255"/>
        <item x="768"/>
        <item x="4610"/>
        <item x="3824"/>
        <item x="3557"/>
        <item x="401"/>
        <item x="1807"/>
        <item x="1289"/>
        <item x="4324"/>
        <item x="2744"/>
        <item x="3454"/>
        <item x="3578"/>
        <item x="950"/>
        <item x="4305"/>
        <item x="1016"/>
        <item x="3118"/>
        <item x="3393"/>
        <item x="121"/>
        <item x="4609"/>
        <item x="2367"/>
        <item x="2010"/>
        <item x="2701"/>
        <item x="3954"/>
        <item x="3941"/>
        <item x="478"/>
        <item x="2368"/>
        <item x="2384"/>
        <item x="2695"/>
        <item x="51"/>
        <item x="472"/>
        <item x="2784"/>
        <item x="4026"/>
        <item x="3833"/>
        <item x="4187"/>
        <item x="2760"/>
        <item x="2507"/>
        <item x="4285"/>
        <item x="1647"/>
        <item x="785"/>
        <item x="3536"/>
        <item x="3068"/>
        <item x="1996"/>
        <item x="1632"/>
        <item x="335"/>
        <item x="3178"/>
        <item x="1291"/>
        <item x="4438"/>
        <item x="3746"/>
        <item x="3259"/>
        <item x="281"/>
        <item x="1019"/>
        <item x="345"/>
        <item x="3723"/>
        <item x="3971"/>
        <item x="2958"/>
        <item x="2694"/>
        <item x="1943"/>
        <item x="2127"/>
        <item x="4476"/>
        <item x="533"/>
        <item x="264"/>
        <item x="1311"/>
        <item x="2400"/>
        <item x="3511"/>
        <item x="352"/>
        <item x="2101"/>
        <item x="2299"/>
        <item x="3878"/>
        <item x="4268"/>
        <item x="3323"/>
        <item x="2102"/>
        <item x="2054"/>
        <item x="1371"/>
        <item x="1929"/>
        <item x="2944"/>
        <item x="4287"/>
        <item x="1626"/>
        <item x="66"/>
        <item x="1645"/>
        <item x="302"/>
        <item x="3338"/>
        <item x="1257"/>
        <item x="2128"/>
        <item x="1415"/>
        <item x="104"/>
        <item x="2620"/>
        <item x="3061"/>
        <item x="4497"/>
        <item x="1423"/>
        <item x="4533"/>
        <item x="1267"/>
        <item x="3951"/>
        <item x="1358"/>
        <item x="2009"/>
        <item x="4"/>
        <item x="865"/>
        <item x="173"/>
        <item x="4361"/>
        <item x="3627"/>
        <item x="1057"/>
        <item x="3712"/>
        <item x="2986"/>
        <item x="3705"/>
        <item x="2099"/>
        <item x="1286"/>
        <item x="293"/>
        <item x="4597"/>
        <item x="2623"/>
        <item x="3136"/>
        <item x="1638"/>
        <item x="80"/>
        <item x="1697"/>
        <item x="1765"/>
        <item x="100"/>
        <item x="3349"/>
        <item x="3064"/>
        <item x="1639"/>
        <item x="3108"/>
        <item x="757"/>
        <item x="4034"/>
        <item x="1518"/>
        <item x="429"/>
        <item x="276"/>
        <item x="3153"/>
        <item x="1769"/>
        <item x="1768"/>
        <item x="2445"/>
        <item x="2720"/>
        <item x="4105"/>
        <item x="4522"/>
        <item x="3843"/>
        <item x="1694"/>
        <item x="197"/>
        <item x="1030"/>
        <item x="585"/>
        <item x="706"/>
        <item x="751"/>
        <item x="399"/>
        <item x="2465"/>
        <item x="4519"/>
        <item x="960"/>
        <item x="2171"/>
        <item x="372"/>
        <item x="1238"/>
        <item x="3758"/>
        <item x="343"/>
        <item x="2951"/>
        <item x="2622"/>
        <item x="188"/>
        <item x="1052"/>
        <item x="1182"/>
        <item x="3037"/>
        <item x="822"/>
        <item x="3423"/>
        <item x="1181"/>
        <item x="4553"/>
        <item x="3880"/>
        <item x="1069"/>
        <item x="4488"/>
        <item x="9"/>
        <item x="3414"/>
        <item x="2427"/>
        <item x="2472"/>
        <item x="854"/>
        <item x="4472"/>
        <item x="4654"/>
        <item x="2210"/>
        <item x="2084"/>
        <item x="1833"/>
        <item x="2100"/>
        <item x="888"/>
        <item x="630"/>
        <item x="915"/>
        <item x="2267"/>
        <item x="3113"/>
        <item x="1254"/>
        <item x="3200"/>
        <item x="2616"/>
        <item x="3595"/>
        <item x="1458"/>
        <item x="1736"/>
        <item x="1020"/>
        <item x="1834"/>
        <item x="536"/>
        <item x="3668"/>
        <item x="3784"/>
        <item x="2888"/>
        <item x="2395"/>
        <item x="2315"/>
        <item x="2457"/>
        <item x="2451"/>
        <item x="3013"/>
        <item x="3647"/>
        <item x="1481"/>
        <item x="2006"/>
        <item x="143"/>
        <item x="1661"/>
        <item x="2668"/>
        <item x="776"/>
        <item x="2686"/>
        <item x="1099"/>
        <item x="3157"/>
        <item x="655"/>
        <item x="3077"/>
        <item x="670"/>
        <item x="1260"/>
        <item x="1660"/>
        <item x="4626"/>
        <item x="2825"/>
        <item x="419"/>
        <item x="4290"/>
        <item x="2889"/>
        <item x="678"/>
        <item x="3271"/>
        <item x="3908"/>
        <item x="1107"/>
        <item x="1848"/>
        <item x="3480"/>
        <item x="3368"/>
        <item x="2666"/>
        <item x="1588"/>
        <item x="379"/>
        <item x="907"/>
        <item x="2440"/>
        <item x="3747"/>
        <item x="1855"/>
        <item x="974"/>
        <item x="4355"/>
        <item x="2964"/>
        <item x="4027"/>
        <item x="4374"/>
        <item x="2826"/>
        <item x="1480"/>
        <item x="528"/>
        <item x="4398"/>
        <item x="1198"/>
        <item x="1314"/>
        <item x="2667"/>
        <item x="1325"/>
        <item x="1757"/>
        <item x="1373"/>
        <item x="3616"/>
        <item x="2798"/>
        <item x="2786"/>
        <item x="328"/>
        <item x="3160"/>
        <item x="3069"/>
        <item x="1420"/>
        <item x="1940"/>
        <item x="1453"/>
        <item x="1408"/>
        <item x="4528"/>
        <item x="4445"/>
        <item x="2223"/>
        <item x="4243"/>
        <item x="4272"/>
        <item x="168"/>
        <item x="495"/>
        <item x="2176"/>
        <item x="4373"/>
        <item x="605"/>
        <item x="4481"/>
        <item x="1687"/>
        <item x="2996"/>
        <item x="4660"/>
        <item x="1093"/>
        <item x="1097"/>
        <item x="2876"/>
        <item x="1315"/>
        <item x="3946"/>
        <item x="4175"/>
        <item x="4406"/>
        <item x="2922"/>
        <item x="4571"/>
        <item x="3725"/>
        <item x="280"/>
        <item x="1868"/>
        <item x="1018"/>
        <item x="2416"/>
        <item x="87"/>
        <item x="2497"/>
        <item x="2186"/>
        <item x="2601"/>
        <item x="4657"/>
        <item x="1997"/>
        <item x="1962"/>
        <item x="2237"/>
        <item x="4113"/>
        <item x="2590"/>
        <item x="499"/>
        <item x="4116"/>
        <item x="3694"/>
        <item x="2939"/>
        <item x="3029"/>
        <item x="1394"/>
        <item x="1806"/>
        <item x="1938"/>
        <item x="2560"/>
        <item x="26"/>
        <item x="3445"/>
        <item x="2949"/>
        <item x="3977"/>
        <item x="2275"/>
        <item x="2868"/>
        <item x="99"/>
        <item x="903"/>
        <item x="2978"/>
        <item x="3290"/>
        <item x="4143"/>
        <item x="712"/>
        <item x="2896"/>
        <item x="3309"/>
        <item x="3999"/>
        <item x="3163"/>
        <item x="3538"/>
        <item x="4221"/>
        <item x="1506"/>
        <item x="4089"/>
        <item x="2954"/>
        <item x="22"/>
        <item x="3982"/>
        <item x="1926"/>
        <item x="3133"/>
        <item x="1520"/>
        <item x="3938"/>
        <item x="1486"/>
        <item x="1981"/>
        <item x="3754"/>
        <item x="4055"/>
        <item x="3165"/>
        <item x="1883"/>
        <item x="4391"/>
        <item x="1707"/>
        <item x="4664"/>
        <item x="3952"/>
        <item x="4195"/>
        <item x="4308"/>
        <item x="36"/>
        <item x="374"/>
        <item x="1280"/>
        <item x="2"/>
        <item x="687"/>
        <item x="2527"/>
        <item x="848"/>
        <item x="2316"/>
        <item x="1772"/>
        <item x="2775"/>
        <item x="3279"/>
        <item x="4510"/>
        <item x="4544"/>
        <item x="2320"/>
        <item x="3191"/>
        <item x="2450"/>
        <item x="2490"/>
        <item x="118"/>
        <item x="37"/>
        <item x="1007"/>
        <item x="3989"/>
        <item x="3752"/>
        <item x="3434"/>
        <item x="1484"/>
        <item x="2935"/>
        <item x="996"/>
        <item x="67"/>
        <item x="2104"/>
        <item x="2083"/>
        <item x="4104"/>
        <item x="294"/>
        <item x="1793"/>
        <item x="2732"/>
        <item x="970"/>
        <item x="3892"/>
        <item x="1398"/>
        <item x="2807"/>
        <item x="3560"/>
        <item x="3392"/>
        <item x="976"/>
        <item x="4196"/>
        <item x="256"/>
        <item x="1259"/>
        <item x="4356"/>
        <item x="4181"/>
        <item x="4316"/>
        <item x="260"/>
        <item x="2020"/>
        <item x="3924"/>
        <item x="441"/>
        <item x="3442"/>
        <item x="4012"/>
        <item x="2593"/>
        <item x="1900"/>
        <item x="956"/>
        <item x="1168"/>
        <item x="3496"/>
        <item x="4084"/>
        <item x="290"/>
        <item x="2334"/>
        <item x="4543"/>
        <item x="1426"/>
        <item x="77"/>
        <item x="975"/>
        <item x="1920"/>
        <item x="4072"/>
        <item x="1585"/>
        <item x="4048"/>
        <item x="97"/>
        <item x="2158"/>
        <item x="152"/>
        <item x="3756"/>
        <item x="2685"/>
        <item x="3540"/>
        <item x="1450"/>
        <item x="1910"/>
        <item x="1708"/>
        <item x="3008"/>
        <item x="1334"/>
        <item x="2795"/>
        <item x="3525"/>
        <item x="2562"/>
        <item x="1478"/>
        <item x="732"/>
        <item x="1123"/>
        <item x="884"/>
        <item x="1682"/>
        <item x="3155"/>
        <item x="1065"/>
        <item x="2044"/>
        <item x="491"/>
        <item x="4368"/>
        <item x="2796"/>
        <item x="1143"/>
        <item x="107"/>
        <item x="2063"/>
        <item x="186"/>
        <item x="1994"/>
        <item x="716"/>
        <item x="3248"/>
        <item x="3523"/>
        <item x="2019"/>
        <item x="2660"/>
        <item x="1170"/>
        <item x="3587"/>
        <item x="72"/>
        <item x="2851"/>
        <item x="1958"/>
        <item x="3439"/>
        <item x="2281"/>
        <item x="3640"/>
        <item x="3859"/>
        <item x="3274"/>
        <item x="3138"/>
        <item x="583"/>
        <item x="3177"/>
        <item x="1952"/>
        <item x="1356"/>
        <item x="1368"/>
        <item x="598"/>
        <item x="3622"/>
        <item x="1550"/>
        <item x="1942"/>
        <item x="2265"/>
        <item x="3768"/>
        <item x="251"/>
        <item x="1491"/>
        <item x="3660"/>
        <item x="1655"/>
        <item x="3905"/>
        <item x="759"/>
        <item x="700"/>
        <item x="1146"/>
        <item x="1815"/>
        <item x="3519"/>
        <item x="2174"/>
        <item x="688"/>
        <item x="3363"/>
        <item x="641"/>
        <item x="283"/>
        <item x="1552"/>
        <item x="3030"/>
        <item x="191"/>
        <item x="2097"/>
        <item x="2459"/>
        <item x="2123"/>
        <item x="2341"/>
        <item x="1153"/>
        <item x="4282"/>
        <item x="1695"/>
        <item x="3850"/>
        <item x="3899"/>
        <item x="3162"/>
        <item x="2245"/>
        <item x="2325"/>
        <item x="4103"/>
        <item x="3463"/>
        <item x="2699"/>
        <item x="3857"/>
        <item x="2305"/>
        <item x="3897"/>
        <item x="1776"/>
        <item x="1215"/>
        <item x="1832"/>
        <item x="4126"/>
        <item x="4198"/>
        <item x="958"/>
        <item x="2875"/>
        <item x="2862"/>
        <item x="1558"/>
        <item x="675"/>
        <item x="1379"/>
        <item x="240"/>
        <item x="3840"/>
        <item x="1225"/>
        <item x="2957"/>
        <item x="4085"/>
        <item x="3912"/>
        <item x="1470"/>
        <item x="1100"/>
        <item x="814"/>
        <item x="4582"/>
        <item x="1908"/>
        <item x="784"/>
        <item x="3583"/>
        <item x="145"/>
        <item x="3129"/>
        <item x="2829"/>
        <item x="2970"/>
        <item x="4312"/>
        <item x="4467"/>
        <item x="703"/>
        <item x="637"/>
        <item x="612"/>
        <item x="1264"/>
        <item x="3614"/>
        <item x="2765"/>
        <item x="3074"/>
        <item x="56"/>
        <item x="4007"/>
        <item x="3710"/>
        <item x="3149"/>
        <item x="2141"/>
        <item x="537"/>
        <item x="2253"/>
        <item x="306"/>
        <item x="2332"/>
        <item x="4383"/>
        <item x="1457"/>
        <item x="3875"/>
        <item x="1884"/>
        <item x="4145"/>
        <item x="4036"/>
        <item x="1156"/>
        <item x="4659"/>
        <item x="354"/>
        <item x="2043"/>
        <item x="2420"/>
        <item x="2049"/>
        <item x="3193"/>
        <item x="460"/>
        <item x="1125"/>
        <item x="2603"/>
        <item x="1560"/>
        <item x="2511"/>
        <item x="4475"/>
        <item x="2690"/>
        <item x="4457"/>
        <item x="3948"/>
        <item x="4487"/>
        <item x="2618"/>
        <item x="2495"/>
        <item x="2859"/>
        <item x="4608"/>
        <item x="2425"/>
        <item x="1826"/>
        <item x="1261"/>
        <item x="4185"/>
        <item x="2834"/>
        <item x="810"/>
        <item x="4442"/>
        <item x="2600"/>
        <item x="227"/>
        <item x="169"/>
        <item x="3494"/>
        <item x="132"/>
        <item x="2064"/>
        <item x="3016"/>
        <item x="1824"/>
        <item x="55"/>
        <item x="4485"/>
        <item x="602"/>
        <item x="3871"/>
        <item x="3065"/>
        <item x="3420"/>
        <item x="2293"/>
        <item x="3447"/>
        <item x="3629"/>
        <item x="3490"/>
        <item x="4577"/>
        <item x="3886"/>
        <item x="2229"/>
        <item x="542"/>
        <item x="4005"/>
        <item x="622"/>
        <item x="3889"/>
        <item x="1539"/>
        <item x="4071"/>
        <item x="3495"/>
        <item x="4412"/>
        <item x="3928"/>
        <item x="955"/>
        <item x="2313"/>
        <item x="410"/>
        <item x="2684"/>
        <item x="3679"/>
        <item x="3099"/>
        <item x="3380"/>
        <item x="3415"/>
        <item x="4235"/>
        <item x="2036"/>
        <item x="4253"/>
        <item x="2480"/>
        <item x="994"/>
        <item x="3180"/>
        <item x="3947"/>
        <item x="577"/>
        <item x="1662"/>
        <item x="3376"/>
        <item x="2717"/>
        <item x="4514"/>
        <item x="1051"/>
        <item x="3820"/>
        <item x="494"/>
        <item x="3246"/>
        <item x="1361"/>
        <item x="4572"/>
        <item x="3995"/>
        <item x="3107"/>
        <item x="4214"/>
        <item x="1773"/>
        <item x="3249"/>
        <item x="4171"/>
        <item x="1735"/>
        <item x="4526"/>
        <item x="4075"/>
        <item x="3608"/>
        <item x="2748"/>
        <item x="58"/>
        <item x="229"/>
        <item x="3312"/>
        <item x="1038"/>
        <item x="329"/>
        <item x="1232"/>
        <item x="2285"/>
        <item x="2078"/>
        <item x="3381"/>
        <item x="1732"/>
        <item x="1652"/>
        <item x="4621"/>
        <item x="3406"/>
        <item x="825"/>
        <item x="1975"/>
        <item x="3017"/>
        <item x="3691"/>
        <item x="1685"/>
        <item x="2683"/>
        <item x="4237"/>
        <item x="694"/>
        <item x="120"/>
        <item x="2181"/>
        <item x="2644"/>
        <item x="4625"/>
        <item x="2883"/>
        <item x="1214"/>
        <item x="124"/>
        <item x="2842"/>
        <item x="4299"/>
        <item x="3455"/>
        <item x="2361"/>
        <item x="3095"/>
        <item x="2879"/>
        <item x="3981"/>
        <item x="122"/>
        <item x="4202"/>
        <item x="1924"/>
        <item x="4238"/>
        <item x="1465"/>
        <item x="270"/>
        <item x="1670"/>
        <item x="4049"/>
        <item x="2881"/>
        <item x="2461"/>
        <item x="1551"/>
        <item x="1956"/>
        <item x="3902"/>
        <item x="3874"/>
        <item x="1788"/>
        <item x="1162"/>
        <item x="2005"/>
        <item x="3328"/>
        <item x="4538"/>
        <item x="2096"/>
        <item x="786"/>
        <item x="2256"/>
        <item x="972"/>
        <item x="1210"/>
        <item x="808"/>
        <item x="3258"/>
        <item x="3437"/>
        <item x="1206"/>
        <item x="771"/>
        <item x="3158"/>
        <item x="2733"/>
        <item x="4378"/>
        <item x="140"/>
        <item x="3318"/>
        <item x="2300"/>
        <item x="984"/>
        <item x="2279"/>
        <item x="14"/>
        <item x="3247"/>
        <item x="1172"/>
        <item x="1861"/>
        <item x="2982"/>
        <item x="1839"/>
        <item x="330"/>
        <item x="3920"/>
        <item x="3788"/>
        <item x="85"/>
        <item x="847"/>
        <item x="567"/>
        <item x="3120"/>
        <item x="1535"/>
        <item x="2418"/>
        <item x="2369"/>
        <item x="2594"/>
        <item x="1076"/>
        <item x="4261"/>
        <item x="1991"/>
        <item x="4501"/>
        <item x="1841"/>
        <item x="3910"/>
        <item x="2248"/>
        <item x="3243"/>
        <item x="1070"/>
        <item x="2880"/>
        <item x="1978"/>
        <item x="3722"/>
        <item x="3637"/>
        <item x="1989"/>
        <item x="2152"/>
        <item x="2969"/>
        <item x="2907"/>
        <item x="4022"/>
        <item x="2456"/>
        <item x="1152"/>
        <item x="3190"/>
        <item x="42"/>
        <item x="4333"/>
        <item x="3621"/>
        <item x="2899"/>
        <item x="4539"/>
        <item x="3943"/>
        <item x="1148"/>
        <item x="3106"/>
        <item x="965"/>
        <item x="2424"/>
        <item x="1870"/>
        <item x="4529"/>
        <item x="2526"/>
        <item x="3699"/>
        <item x="2566"/>
        <item x="1785"/>
        <item x="2727"/>
        <item x="4337"/>
        <item x="3810"/>
        <item x="4354"/>
        <item x="2199"/>
        <item x="1628"/>
        <item x="597"/>
        <item x="90"/>
        <item x="3626"/>
        <item x="2850"/>
        <item x="1712"/>
        <item x="314"/>
        <item x="1392"/>
        <item x="442"/>
        <item x="3350"/>
        <item x="4222"/>
        <item x="1692"/>
        <item x="1207"/>
        <item x="1779"/>
        <item x="4392"/>
        <item x="1059"/>
        <item x="2746"/>
        <item x="2406"/>
        <item x="1864"/>
        <item x="4082"/>
        <item x="4628"/>
        <item x="2682"/>
        <item x="1571"/>
        <item x="3801"/>
        <item x="1416"/>
        <item x="3186"/>
        <item x="3485"/>
        <item x="576"/>
        <item x="3195"/>
        <item x="2788"/>
        <item x="1837"/>
        <item x="4329"/>
        <item x="3273"/>
        <item x="2041"/>
        <item x="2981"/>
        <item x="968"/>
        <item x="1874"/>
        <item x="2705"/>
        <item x="1561"/>
        <item x="4431"/>
        <item x="1927"/>
        <item x="2659"/>
        <item x="4352"/>
        <item x="2716"/>
        <item x="3101"/>
        <item x="310"/>
        <item x="3276"/>
        <item x="182"/>
        <item x="2704"/>
        <item x="3570"/>
        <item x="3642"/>
        <item x="2360"/>
        <item x="838"/>
        <item x="2722"/>
        <item x="4503"/>
        <item x="1863"/>
        <item x="4234"/>
        <item x="239"/>
        <item x="1389"/>
        <item x="4121"/>
        <item x="4462"/>
        <item x="2269"/>
        <item x="2916"/>
        <item x="4451"/>
        <item x="3890"/>
        <item x="731"/>
        <item x="1386"/>
        <item x="2356"/>
        <item x="2948"/>
        <item x="1621"/>
        <item x="3015"/>
        <item x="3914"/>
        <item x="1829"/>
        <item x="2855"/>
        <item x="1977"/>
        <item x="1696"/>
        <item x="487"/>
        <item x="1521"/>
        <item x="2621"/>
        <item x="18"/>
        <item x="262"/>
        <item x="3550"/>
        <item x="3315"/>
        <item x="29"/>
        <item x="4173"/>
        <item x="642"/>
        <item x="985"/>
        <item x="3666"/>
        <item x="2718"/>
        <item x="3033"/>
        <item x="2022"/>
        <item x="436"/>
        <item x="4278"/>
        <item x="2962"/>
        <item x="1092"/>
        <item x="3651"/>
        <item x="2094"/>
        <item x="4000"/>
        <item x="1080"/>
        <item x="4632"/>
        <item x="4137"/>
        <item x="1161"/>
        <item x="3121"/>
        <item x="4063"/>
        <item x="2756"/>
        <item x="1395"/>
        <item x="2543"/>
        <item x="2636"/>
        <item x="3526"/>
        <item x="3534"/>
        <item x="2216"/>
        <item x="4161"/>
        <item x="4240"/>
        <item x="2501"/>
        <item x="1872"/>
        <item x="1568"/>
        <item x="2745"/>
        <item x="1413"/>
        <item x="2641"/>
        <item x="1970"/>
        <item x="159"/>
        <item x="1212"/>
        <item x="709"/>
        <item x="3909"/>
        <item x="2270"/>
        <item x="3302"/>
        <item x="134"/>
        <item x="4266"/>
        <item x="3636"/>
        <item x="1879"/>
        <item x="78"/>
        <item x="3401"/>
        <item x="1061"/>
        <item x="1671"/>
        <item x="303"/>
        <item x="439"/>
        <item x="3007"/>
        <item x="4209"/>
        <item x="404"/>
        <item x="4041"/>
        <item x="2454"/>
        <item x="723"/>
        <item x="3199"/>
        <item x="4424"/>
        <item x="1563"/>
        <item x="3221"/>
        <item x="4453"/>
        <item x="3254"/>
        <item x="4068"/>
        <item x="4070"/>
        <item x="4562"/>
        <item x="1218"/>
        <item x="3188"/>
        <item x="2067"/>
        <item x="3759"/>
        <item x="288"/>
        <item x="4556"/>
        <item x="4656"/>
        <item x="4593"/>
        <item x="1536"/>
        <item x="540"/>
        <item x="4217"/>
        <item x="1430"/>
        <item x="2252"/>
        <item x="4561"/>
        <item x="4052"/>
        <item x="3650"/>
        <item x="2909"/>
        <item x="2606"/>
        <item x="1399"/>
        <item x="3792"/>
        <item x="3681"/>
        <item x="1221"/>
        <item x="4162"/>
        <item x="2858"/>
        <item x="3060"/>
        <item x="4555"/>
        <item x="524"/>
        <item x="1657"/>
        <item x="2800"/>
        <item x="2413"/>
        <item x="4149"/>
        <item x="4019"/>
        <item x="2894"/>
        <item x="1542"/>
        <item x="1590"/>
        <item x="2749"/>
        <item x="2580"/>
        <item x="2488"/>
        <item x="158"/>
        <item x="4112"/>
        <item x="203"/>
        <item x="4216"/>
        <item x="223"/>
        <item x="1294"/>
        <item x="1704"/>
        <item x="898"/>
        <item x="258"/>
        <item x="3838"/>
        <item x="163"/>
        <item x="987"/>
        <item x="4564"/>
        <item x="1472"/>
        <item x="1949"/>
        <item x="2458"/>
        <item x="1124"/>
        <item x="1138"/>
        <item x="2812"/>
        <item x="815"/>
        <item x="4468"/>
        <item x="4353"/>
        <item x="1192"/>
        <item x="3930"/>
        <item t="default"/>
      </items>
    </pivotField>
    <pivotField name="Customer " showAll="0" sortType="descending">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4">
    <i>
      <x/>
    </i>
    <i>
      <x v="1"/>
    </i>
    <i>
      <x v="2"/>
    </i>
    <i t="grand">
      <x/>
    </i>
  </rowItems>
  <colFields count="1">
    <field x="-2"/>
  </colFields>
  <colItems count="2">
    <i>
      <x/>
    </i>
    <i i="1">
      <x v="1"/>
    </i>
  </colItems>
  <dataFields count="2">
    <dataField name="Sum of Sales" fld="5" baseField="0" baseItem="0"/>
    <dataField name="Sum of Profit" fld="6"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 chart="6" format="13">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1">
          <reference field="4294967294" count="1" selected="0">
            <x v="1"/>
          </reference>
        </references>
      </pivotArea>
    </chartFormat>
    <chartFormat chart="6" format="15">
      <pivotArea type="data" outline="0" fieldPosition="0">
        <references count="2">
          <reference field="4294967294" count="1" selected="0">
            <x v="1"/>
          </reference>
          <reference field="4" count="1" selected="0">
            <x v="0"/>
          </reference>
        </references>
      </pivotArea>
    </chartFormat>
    <chartFormat chart="6" format="16">
      <pivotArea type="data" outline="0" fieldPosition="0">
        <references count="2">
          <reference field="4294967294" count="1" selected="0">
            <x v="1"/>
          </reference>
          <reference field="4" count="1" selected="0">
            <x v="1"/>
          </reference>
        </references>
      </pivotArea>
    </chartFormat>
    <chartFormat chart="6" format="17">
      <pivotArea type="data" outline="0" fieldPosition="0">
        <references count="2">
          <reference field="4294967294" count="1" selected="0">
            <x v="1"/>
          </reference>
          <reference field="4" count="1" selected="0">
            <x v="2"/>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1"/>
          </reference>
          <reference field="4" count="1" selected="0">
            <x v="0"/>
          </reference>
        </references>
      </pivotArea>
    </chartFormat>
    <chartFormat chart="0" format="6">
      <pivotArea type="data" outline="0" fieldPosition="0">
        <references count="2">
          <reference field="4294967294" count="1" selected="0">
            <x v="1"/>
          </reference>
          <reference field="4" count="1" selected="0">
            <x v="1"/>
          </reference>
        </references>
      </pivotArea>
    </chartFormat>
    <chartFormat chart="0" format="7">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82C50B-E66F-444E-99BB-97271D9E4E8C}" name="ps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D7" firstHeaderRow="0" firstDataRow="1" firstDataCol="1"/>
  <pivotFields count="12">
    <pivotField showAll="0"/>
    <pivotField numFmtId="14" showAll="0">
      <items count="1081">
        <item x="646"/>
        <item x="340"/>
        <item x="229"/>
        <item x="740"/>
        <item x="832"/>
        <item x="715"/>
        <item x="586"/>
        <item x="963"/>
        <item x="166"/>
        <item x="345"/>
        <item x="223"/>
        <item x="527"/>
        <item x="463"/>
        <item x="1065"/>
        <item x="720"/>
        <item x="219"/>
        <item x="82"/>
        <item x="423"/>
        <item x="711"/>
        <item x="986"/>
        <item x="77"/>
        <item x="958"/>
        <item x="688"/>
        <item x="807"/>
        <item x="944"/>
        <item x="139"/>
        <item x="365"/>
        <item x="284"/>
        <item x="404"/>
        <item x="502"/>
        <item x="413"/>
        <item x="461"/>
        <item x="432"/>
        <item x="853"/>
        <item x="418"/>
        <item x="733"/>
        <item x="133"/>
        <item x="721"/>
        <item x="929"/>
        <item x="668"/>
        <item x="64"/>
        <item x="522"/>
        <item x="891"/>
        <item x="218"/>
        <item x="745"/>
        <item x="334"/>
        <item x="379"/>
        <item x="904"/>
        <item x="887"/>
        <item x="1058"/>
        <item x="347"/>
        <item x="725"/>
        <item x="176"/>
        <item x="299"/>
        <item x="251"/>
        <item x="122"/>
        <item x="861"/>
        <item x="857"/>
        <item x="591"/>
        <item x="790"/>
        <item x="537"/>
        <item x="652"/>
        <item x="520"/>
        <item x="549"/>
        <item x="698"/>
        <item x="318"/>
        <item x="73"/>
        <item x="548"/>
        <item x="990"/>
        <item x="391"/>
        <item x="686"/>
        <item x="239"/>
        <item x="425"/>
        <item x="361"/>
        <item x="862"/>
        <item x="890"/>
        <item x="506"/>
        <item x="592"/>
        <item x="273"/>
        <item x="66"/>
        <item x="523"/>
        <item x="1051"/>
        <item x="974"/>
        <item x="230"/>
        <item x="658"/>
        <item x="1061"/>
        <item x="746"/>
        <item x="786"/>
        <item x="71"/>
        <item x="125"/>
        <item x="417"/>
        <item x="298"/>
        <item x="738"/>
        <item x="17"/>
        <item x="493"/>
        <item x="859"/>
        <item x="165"/>
        <item x="534"/>
        <item x="544"/>
        <item x="110"/>
        <item x="255"/>
        <item x="962"/>
        <item x="695"/>
        <item x="1039"/>
        <item x="748"/>
        <item x="936"/>
        <item x="770"/>
        <item x="185"/>
        <item x="501"/>
        <item x="292"/>
        <item x="137"/>
        <item x="987"/>
        <item x="624"/>
        <item x="424"/>
        <item x="665"/>
        <item x="707"/>
        <item x="192"/>
        <item x="190"/>
        <item x="414"/>
        <item x="632"/>
        <item x="528"/>
        <item x="275"/>
        <item x="89"/>
        <item x="305"/>
        <item x="545"/>
        <item x="708"/>
        <item x="221"/>
        <item x="274"/>
        <item x="984"/>
        <item x="46"/>
        <item x="878"/>
        <item x="691"/>
        <item x="114"/>
        <item x="882"/>
        <item x="399"/>
        <item x="112"/>
        <item x="4"/>
        <item x="422"/>
        <item x="234"/>
        <item x="881"/>
        <item x="607"/>
        <item x="44"/>
        <item x="246"/>
        <item x="655"/>
        <item x="270"/>
        <item x="104"/>
        <item x="735"/>
        <item x="458"/>
        <item x="163"/>
        <item x="508"/>
        <item x="87"/>
        <item x="1074"/>
        <item x="885"/>
        <item x="1031"/>
        <item x="1043"/>
        <item x="496"/>
        <item x="344"/>
        <item x="750"/>
        <item x="749"/>
        <item x="1041"/>
        <item x="411"/>
        <item x="354"/>
        <item x="906"/>
        <item x="781"/>
        <item x="105"/>
        <item x="376"/>
        <item x="983"/>
        <item x="1013"/>
        <item x="0"/>
        <item x="338"/>
        <item x="769"/>
        <item x="268"/>
        <item x="964"/>
        <item x="813"/>
        <item x="416"/>
        <item x="265"/>
        <item x="573"/>
        <item x="916"/>
        <item x="307"/>
        <item x="587"/>
        <item x="1055"/>
        <item x="50"/>
        <item x="794"/>
        <item x="5"/>
        <item x="289"/>
        <item x="18"/>
        <item x="653"/>
        <item x="1045"/>
        <item x="315"/>
        <item x="968"/>
        <item x="477"/>
        <item x="758"/>
        <item x="863"/>
        <item x="462"/>
        <item x="957"/>
        <item x="198"/>
        <item x="931"/>
        <item x="62"/>
        <item x="629"/>
        <item x="840"/>
        <item x="161"/>
        <item x="430"/>
        <item x="123"/>
        <item x="21"/>
        <item x="162"/>
        <item x="893"/>
        <item x="756"/>
        <item x="1"/>
        <item x="744"/>
        <item x="179"/>
        <item x="638"/>
        <item x="352"/>
        <item x="535"/>
        <item x="208"/>
        <item x="466"/>
        <item x="635"/>
        <item x="504"/>
        <item x="703"/>
        <item x="366"/>
        <item x="555"/>
        <item x="676"/>
        <item x="818"/>
        <item x="778"/>
        <item x="53"/>
        <item x="742"/>
        <item x="817"/>
        <item x="509"/>
        <item x="1034"/>
        <item x="680"/>
        <item x="644"/>
        <item x="938"/>
        <item x="574"/>
        <item x="378"/>
        <item x="419"/>
        <item x="563"/>
        <item x="22"/>
        <item x="283"/>
        <item x="719"/>
        <item x="475"/>
        <item x="196"/>
        <item x="800"/>
        <item x="317"/>
        <item x="28"/>
        <item x="988"/>
        <item x="282"/>
        <item x="396"/>
        <item x="195"/>
        <item x="953"/>
        <item x="898"/>
        <item x="1000"/>
        <item x="932"/>
        <item x="420"/>
        <item x="142"/>
        <item x="304"/>
        <item x="741"/>
        <item x="699"/>
        <item x="97"/>
        <item x="636"/>
        <item x="765"/>
        <item x="253"/>
        <item x="1066"/>
        <item x="32"/>
        <item x="197"/>
        <item x="19"/>
        <item x="975"/>
        <item x="507"/>
        <item x="212"/>
        <item x="870"/>
        <item x="92"/>
        <item x="242"/>
        <item x="1062"/>
        <item x="474"/>
        <item x="512"/>
        <item x="736"/>
        <item x="14"/>
        <item x="277"/>
        <item x="588"/>
        <item x="917"/>
        <item x="569"/>
        <item x="747"/>
        <item x="532"/>
        <item x="903"/>
        <item x="1021"/>
        <item x="206"/>
        <item x="119"/>
        <item x="993"/>
        <item x="346"/>
        <item x="245"/>
        <item x="401"/>
        <item x="533"/>
        <item x="609"/>
        <item x="531"/>
        <item x="167"/>
        <item x="773"/>
        <item x="276"/>
        <item x="743"/>
        <item x="1052"/>
        <item x="737"/>
        <item x="996"/>
        <item x="150"/>
        <item x="626"/>
        <item x="860"/>
        <item x="594"/>
        <item x="459"/>
        <item x="74"/>
        <item x="1017"/>
        <item x="40"/>
        <item x="1009"/>
        <item x="704"/>
        <item x="547"/>
        <item x="203"/>
        <item x="308"/>
        <item x="681"/>
        <item x="833"/>
        <item x="844"/>
        <item x="561"/>
        <item x="222"/>
        <item x="999"/>
        <item x="945"/>
        <item x="469"/>
        <item x="472"/>
        <item x="772"/>
        <item x="1025"/>
        <item x="991"/>
        <item x="559"/>
        <item x="761"/>
        <item x="180"/>
        <item x="560"/>
        <item x="822"/>
        <item x="780"/>
        <item x="613"/>
        <item x="908"/>
        <item x="342"/>
        <item x="186"/>
        <item x="505"/>
        <item x="364"/>
        <item x="171"/>
        <item x="375"/>
        <item x="1057"/>
        <item x="443"/>
        <item x="468"/>
        <item x="11"/>
        <item x="30"/>
        <item x="1042"/>
        <item x="710"/>
        <item x="921"/>
        <item x="995"/>
        <item x="249"/>
        <item x="819"/>
        <item x="51"/>
        <item x="543"/>
        <item x="392"/>
        <item x="826"/>
        <item x="143"/>
        <item x="199"/>
        <item x="940"/>
        <item x="1033"/>
        <item x="473"/>
        <item x="263"/>
        <item x="943"/>
        <item x="78"/>
        <item x="339"/>
        <item x="766"/>
        <item x="301"/>
        <item x="630"/>
        <item x="672"/>
        <item x="814"/>
        <item x="138"/>
        <item x="262"/>
        <item x="565"/>
        <item x="796"/>
        <item x="869"/>
        <item x="151"/>
        <item x="164"/>
        <item x="101"/>
        <item x="611"/>
        <item x="377"/>
        <item x="382"/>
        <item x="830"/>
        <item x="697"/>
        <item x="595"/>
        <item x="926"/>
        <item x="954"/>
        <item x="316"/>
        <item x="431"/>
        <item x="174"/>
        <item x="645"/>
        <item x="836"/>
        <item x="518"/>
        <item x="621"/>
        <item x="499"/>
        <item x="583"/>
        <item x="1018"/>
        <item x="777"/>
        <item x="604"/>
        <item x="1059"/>
        <item x="582"/>
        <item x="590"/>
        <item x="1063"/>
        <item x="149"/>
        <item x="211"/>
        <item x="1075"/>
        <item x="491"/>
        <item x="978"/>
        <item x="319"/>
        <item x="181"/>
        <item x="471"/>
        <item x="1002"/>
        <item x="834"/>
        <item x="439"/>
        <item x="650"/>
        <item x="825"/>
        <item x="843"/>
        <item x="847"/>
        <item x="478"/>
        <item x="933"/>
        <item x="385"/>
        <item x="930"/>
        <item x="258"/>
        <item x="90"/>
        <item x="941"/>
        <item x="584"/>
        <item x="713"/>
        <item x="103"/>
        <item x="34"/>
        <item x="927"/>
        <item x="677"/>
        <item x="839"/>
        <item x="421"/>
        <item x="620"/>
        <item x="296"/>
        <item x="666"/>
        <item x="440"/>
        <item x="782"/>
        <item x="683"/>
        <item x="1028"/>
        <item x="671"/>
        <item x="409"/>
        <item x="100"/>
        <item x="43"/>
        <item x="961"/>
        <item x="821"/>
        <item x="873"/>
        <item x="838"/>
        <item x="1016"/>
        <item x="572"/>
        <item x="647"/>
        <item x="664"/>
        <item x="130"/>
        <item x="102"/>
        <item x="524"/>
        <item x="886"/>
        <item x="771"/>
        <item x="775"/>
        <item x="558"/>
        <item x="617"/>
        <item x="405"/>
        <item x="784"/>
        <item x="802"/>
        <item x="578"/>
        <item x="337"/>
        <item x="567"/>
        <item x="328"/>
        <item x="41"/>
        <item x="835"/>
        <item x="470"/>
        <item x="201"/>
        <item x="1069"/>
        <item x="194"/>
        <item x="562"/>
        <item x="225"/>
        <item x="244"/>
        <item x="597"/>
        <item x="902"/>
        <item x="264"/>
        <item x="774"/>
        <item x="714"/>
        <item x="372"/>
        <item x="183"/>
        <item x="901"/>
        <item x="27"/>
        <item x="227"/>
        <item x="985"/>
        <item x="402"/>
        <item x="842"/>
        <item x="1012"/>
        <item x="154"/>
        <item x="846"/>
        <item x="616"/>
        <item x="132"/>
        <item x="678"/>
        <item x="801"/>
        <item x="285"/>
        <item x="965"/>
        <item x="648"/>
        <item x="494"/>
        <item x="388"/>
        <item x="374"/>
        <item x="717"/>
        <item x="946"/>
        <item x="384"/>
        <item x="827"/>
        <item x="850"/>
        <item x="808"/>
        <item x="387"/>
        <item x="281"/>
        <item x="429"/>
        <item x="482"/>
        <item x="815"/>
        <item x="976"/>
        <item x="427"/>
        <item x="86"/>
        <item x="415"/>
        <item x="476"/>
        <item x="798"/>
        <item x="349"/>
        <item x="896"/>
        <item x="726"/>
        <item x="76"/>
        <item x="1076"/>
        <item x="300"/>
        <item x="397"/>
        <item x="625"/>
        <item x="864"/>
        <item x="693"/>
        <item x="937"/>
        <item x="128"/>
        <item x="935"/>
        <item x="805"/>
        <item x="57"/>
        <item x="108"/>
        <item x="682"/>
        <item x="1006"/>
        <item x="484"/>
        <item x="529"/>
        <item x="851"/>
        <item x="326"/>
        <item x="111"/>
        <item x="511"/>
        <item x="606"/>
        <item x="386"/>
        <item x="126"/>
        <item x="848"/>
        <item x="536"/>
        <item x="1011"/>
        <item x="934"/>
        <item x="348"/>
        <item x="979"/>
        <item x="601"/>
        <item x="214"/>
        <item x="121"/>
        <item x="841"/>
        <item x="998"/>
        <item x="969"/>
        <item x="124"/>
        <item x="649"/>
        <item x="257"/>
        <item x="888"/>
        <item x="240"/>
        <item x="7"/>
        <item x="69"/>
        <item x="731"/>
        <item x="674"/>
        <item x="992"/>
        <item x="514"/>
        <item x="1044"/>
        <item x="663"/>
        <item x="131"/>
        <item x="579"/>
        <item x="295"/>
        <item x="716"/>
        <item x="510"/>
        <item x="80"/>
        <item x="9"/>
        <item x="93"/>
        <item x="173"/>
        <item x="220"/>
        <item x="232"/>
        <item x="820"/>
        <item x="233"/>
        <item x="899"/>
        <item x="633"/>
        <item x="489"/>
        <item x="408"/>
        <item x="286"/>
        <item x="109"/>
        <item x="503"/>
        <item x="1072"/>
        <item x="577"/>
        <item x="755"/>
        <item x="216"/>
        <item x="1037"/>
        <item x="456"/>
        <item x="949"/>
        <item x="272"/>
        <item x="552"/>
        <item x="875"/>
        <item x="540"/>
        <item x="465"/>
        <item x="13"/>
        <item x="541"/>
        <item x="83"/>
        <item x="481"/>
        <item x="789"/>
        <item x="107"/>
        <item x="209"/>
        <item x="497"/>
        <item x="445"/>
        <item x="752"/>
        <item x="966"/>
        <item x="889"/>
        <item x="539"/>
        <item x="709"/>
        <item x="490"/>
        <item x="973"/>
        <item x="363"/>
        <item x="63"/>
        <item x="1015"/>
        <item x="622"/>
        <item x="689"/>
        <item x="811"/>
        <item x="85"/>
        <item x="148"/>
        <item x="530"/>
        <item x="312"/>
        <item x="971"/>
        <item x="297"/>
        <item x="182"/>
        <item x="168"/>
        <item x="876"/>
        <item x="1040"/>
        <item x="453"/>
        <item x="116"/>
        <item x="892"/>
        <item x="627"/>
        <item x="1027"/>
        <item x="854"/>
        <item x="1005"/>
        <item x="956"/>
        <item x="610"/>
        <item x="1001"/>
        <item x="823"/>
        <item x="1068"/>
        <item x="829"/>
        <item x="618"/>
        <item x="521"/>
        <item x="241"/>
        <item x="852"/>
        <item x="406"/>
        <item x="845"/>
        <item x="729"/>
        <item x="791"/>
        <item x="383"/>
        <item x="730"/>
        <item x="1079"/>
        <item x="997"/>
        <item x="140"/>
        <item x="141"/>
        <item x="373"/>
        <item x="260"/>
        <item x="37"/>
        <item x="500"/>
        <item x="728"/>
        <item x="236"/>
        <item x="113"/>
        <item x="959"/>
        <item x="250"/>
        <item x="673"/>
        <item x="897"/>
        <item x="6"/>
        <item x="353"/>
        <item x="700"/>
        <item x="1007"/>
        <item x="1077"/>
        <item x="1047"/>
        <item x="455"/>
        <item x="960"/>
        <item x="718"/>
        <item x="42"/>
        <item x="324"/>
        <item x="920"/>
        <item x="1070"/>
        <item x="10"/>
        <item x="910"/>
        <item x="925"/>
        <item x="231"/>
        <item x="883"/>
        <item x="589"/>
        <item x="989"/>
        <item x="380"/>
        <item x="360"/>
        <item x="701"/>
        <item x="1078"/>
        <item x="117"/>
        <item x="26"/>
        <item x="856"/>
        <item x="60"/>
        <item x="279"/>
        <item x="204"/>
        <item x="486"/>
        <item x="228"/>
        <item x="454"/>
        <item x="134"/>
        <item x="538"/>
        <item x="612"/>
        <item x="812"/>
        <item x="33"/>
        <item x="435"/>
        <item x="48"/>
        <item x="367"/>
        <item x="394"/>
        <item x="712"/>
        <item x="129"/>
        <item x="187"/>
        <item x="614"/>
        <item x="81"/>
        <item x="96"/>
        <item x="915"/>
        <item x="287"/>
        <item x="24"/>
        <item x="982"/>
        <item x="256"/>
        <item x="877"/>
        <item x="641"/>
        <item x="634"/>
        <item x="16"/>
        <item x="724"/>
        <item x="553"/>
        <item x="1073"/>
        <item x="880"/>
        <item x="980"/>
        <item x="184"/>
        <item x="939"/>
        <item x="15"/>
        <item x="1022"/>
        <item x="495"/>
        <item x="52"/>
        <item x="290"/>
        <item x="515"/>
        <item x="865"/>
        <item x="412"/>
        <item x="332"/>
        <item x="763"/>
        <item x="325"/>
        <item x="441"/>
        <item x="605"/>
        <item x="580"/>
        <item x="355"/>
        <item x="438"/>
        <item x="596"/>
        <item x="331"/>
        <item x="38"/>
        <item x="29"/>
        <item x="922"/>
        <item x="793"/>
        <item x="546"/>
        <item x="172"/>
        <item x="732"/>
        <item x="1026"/>
        <item x="1024"/>
        <item x="754"/>
        <item x="20"/>
        <item x="302"/>
        <item x="776"/>
        <item x="905"/>
        <item x="35"/>
        <item x="437"/>
        <item x="336"/>
        <item x="335"/>
        <item x="205"/>
        <item x="767"/>
        <item x="189"/>
        <item x="662"/>
        <item x="867"/>
        <item x="1019"/>
        <item x="291"/>
        <item x="434"/>
        <item x="810"/>
        <item x="751"/>
        <item x="858"/>
        <item x="519"/>
        <item x="55"/>
        <item x="526"/>
        <item x="460"/>
        <item x="568"/>
        <item x="977"/>
        <item x="895"/>
        <item x="1071"/>
        <item x="170"/>
        <item x="288"/>
        <item x="694"/>
        <item x="271"/>
        <item x="310"/>
        <item x="872"/>
        <item x="498"/>
        <item x="95"/>
        <item x="303"/>
        <item x="628"/>
        <item x="1060"/>
        <item x="68"/>
        <item x="67"/>
        <item x="643"/>
        <item x="696"/>
        <item x="952"/>
        <item x="675"/>
        <item x="320"/>
        <item x="371"/>
        <item x="309"/>
        <item x="426"/>
        <item x="1050"/>
        <item x="39"/>
        <item x="795"/>
        <item x="47"/>
        <item x="955"/>
        <item x="623"/>
        <item x="446"/>
        <item x="407"/>
        <item x="551"/>
        <item x="400"/>
        <item x="919"/>
        <item x="451"/>
        <item x="768"/>
        <item x="322"/>
        <item x="608"/>
        <item x="327"/>
        <item x="981"/>
        <item x="654"/>
        <item x="45"/>
        <item x="542"/>
        <item x="343"/>
        <item x="661"/>
        <item x="785"/>
        <item x="739"/>
        <item x="213"/>
        <item x="248"/>
        <item x="684"/>
        <item x="381"/>
        <item x="369"/>
        <item x="202"/>
        <item x="639"/>
        <item x="866"/>
        <item x="146"/>
        <item x="357"/>
        <item x="447"/>
        <item x="914"/>
        <item x="557"/>
        <item x="554"/>
        <item x="1054"/>
        <item x="1023"/>
        <item x="1008"/>
        <item x="403"/>
        <item x="224"/>
        <item x="118"/>
        <item x="670"/>
        <item x="967"/>
        <item x="72"/>
        <item x="152"/>
        <item x="259"/>
        <item x="849"/>
        <item x="657"/>
        <item x="280"/>
        <item x="1048"/>
        <item x="894"/>
        <item x="831"/>
        <item x="972"/>
        <item x="667"/>
        <item x="706"/>
        <item x="603"/>
        <item x="900"/>
        <item x="238"/>
        <item x="449"/>
        <item x="485"/>
        <item x="464"/>
        <item x="593"/>
        <item x="294"/>
        <item x="950"/>
        <item x="1030"/>
        <item x="911"/>
        <item x="779"/>
        <item x="247"/>
        <item x="467"/>
        <item x="215"/>
        <item x="56"/>
        <item x="909"/>
        <item x="75"/>
        <item x="200"/>
        <item x="705"/>
        <item x="136"/>
        <item x="619"/>
        <item x="398"/>
        <item x="267"/>
        <item x="410"/>
        <item x="602"/>
        <item x="269"/>
        <item x="237"/>
        <item x="23"/>
        <item x="321"/>
        <item x="266"/>
        <item x="31"/>
        <item x="942"/>
        <item x="313"/>
        <item x="757"/>
        <item x="1003"/>
        <item x="159"/>
        <item x="631"/>
        <item x="91"/>
        <item x="370"/>
        <item x="314"/>
        <item x="79"/>
        <item x="516"/>
        <item x="436"/>
        <item x="1064"/>
        <item x="359"/>
        <item x="2"/>
        <item x="651"/>
        <item x="188"/>
        <item x="685"/>
        <item x="157"/>
        <item x="824"/>
        <item x="1014"/>
        <item x="457"/>
        <item x="753"/>
        <item x="924"/>
        <item x="797"/>
        <item x="923"/>
        <item x="341"/>
        <item x="487"/>
        <item x="492"/>
        <item x="816"/>
        <item x="1046"/>
        <item x="907"/>
        <item x="804"/>
        <item x="517"/>
        <item x="702"/>
        <item x="571"/>
        <item x="120"/>
        <item x="98"/>
        <item x="788"/>
        <item x="1029"/>
        <item x="871"/>
        <item x="99"/>
        <item x="1067"/>
        <item x="762"/>
        <item x="193"/>
        <item x="368"/>
        <item x="261"/>
        <item x="155"/>
        <item x="144"/>
        <item x="65"/>
        <item x="217"/>
        <item x="483"/>
        <item x="928"/>
        <item x="525"/>
        <item x="884"/>
        <item x="70"/>
        <item x="115"/>
        <item x="84"/>
        <item x="306"/>
        <item x="1036"/>
        <item x="759"/>
        <item x="1035"/>
        <item x="362"/>
        <item x="874"/>
        <item x="550"/>
        <item x="687"/>
        <item x="564"/>
        <item x="226"/>
        <item x="1053"/>
        <item x="879"/>
        <item x="659"/>
        <item x="792"/>
        <item x="837"/>
        <item x="252"/>
        <item x="3"/>
        <item x="178"/>
        <item x="581"/>
        <item x="311"/>
        <item x="330"/>
        <item x="191"/>
        <item x="450"/>
        <item x="1056"/>
        <item x="175"/>
        <item x="156"/>
        <item x="358"/>
        <item x="210"/>
        <item x="153"/>
        <item x="637"/>
        <item x="448"/>
        <item x="207"/>
        <item x="918"/>
        <item x="1004"/>
        <item x="323"/>
        <item x="722"/>
        <item x="293"/>
        <item x="585"/>
        <item x="351"/>
        <item x="912"/>
        <item x="868"/>
        <item x="12"/>
        <item x="799"/>
        <item x="1049"/>
        <item x="576"/>
        <item x="642"/>
        <item x="660"/>
        <item x="442"/>
        <item x="1032"/>
        <item x="94"/>
        <item x="690"/>
        <item x="147"/>
        <item x="393"/>
        <item x="145"/>
        <item x="913"/>
        <item x="787"/>
        <item x="855"/>
        <item x="783"/>
        <item x="106"/>
        <item x="760"/>
        <item x="734"/>
        <item x="333"/>
        <item x="158"/>
        <item x="235"/>
        <item x="948"/>
        <item x="727"/>
        <item x="556"/>
        <item x="723"/>
        <item x="36"/>
        <item x="479"/>
        <item x="513"/>
        <item x="88"/>
        <item x="329"/>
        <item x="679"/>
        <item x="395"/>
        <item x="994"/>
        <item x="764"/>
        <item x="127"/>
        <item x="600"/>
        <item x="428"/>
        <item x="951"/>
        <item x="452"/>
        <item x="480"/>
        <item x="575"/>
        <item x="135"/>
        <item x="598"/>
        <item x="350"/>
        <item x="160"/>
        <item x="433"/>
        <item x="54"/>
        <item x="488"/>
        <item x="59"/>
        <item x="970"/>
        <item x="656"/>
        <item x="389"/>
        <item x="254"/>
        <item x="1020"/>
        <item x="8"/>
        <item x="640"/>
        <item x="828"/>
        <item x="58"/>
        <item x="169"/>
        <item x="809"/>
        <item x="669"/>
        <item x="599"/>
        <item x="570"/>
        <item x="243"/>
        <item x="947"/>
        <item x="692"/>
        <item x="615"/>
        <item x="390"/>
        <item x="444"/>
        <item x="806"/>
        <item x="356"/>
        <item x="177"/>
        <item x="25"/>
        <item x="566"/>
        <item x="278"/>
        <item x="49"/>
        <item x="1010"/>
        <item x="803"/>
        <item x="1038"/>
        <item x="61"/>
        <item t="default"/>
      </items>
    </pivotField>
    <pivotField axis="axisRow" showAll="0" sortType="descending">
      <items count="5">
        <item x="2"/>
        <item x="3"/>
        <item x="1"/>
        <item x="0"/>
        <item t="default"/>
      </items>
    </pivotField>
    <pivotField showAll="0"/>
    <pivotField showAll="0">
      <items count="4">
        <item x="2"/>
        <item x="1"/>
        <item x="0"/>
        <item t="default"/>
      </items>
    </pivotField>
    <pivotField dataField="1" showAll="0">
      <items count="4923">
        <item x="1997"/>
        <item x="4005"/>
        <item x="1347"/>
        <item x="941"/>
        <item x="2747"/>
        <item x="1104"/>
        <item x="3601"/>
        <item x="2525"/>
        <item x="745"/>
        <item x="2267"/>
        <item x="803"/>
        <item x="532"/>
        <item x="1699"/>
        <item x="2939"/>
        <item x="3564"/>
        <item x="217"/>
        <item x="1595"/>
        <item x="3635"/>
        <item x="1587"/>
        <item x="4405"/>
        <item x="1423"/>
        <item x="1155"/>
        <item x="1302"/>
        <item x="1952"/>
        <item x="757"/>
        <item x="1389"/>
        <item x="3620"/>
        <item x="1708"/>
        <item x="3166"/>
        <item x="2847"/>
        <item x="2935"/>
        <item x="3737"/>
        <item x="3247"/>
        <item x="1713"/>
        <item x="2809"/>
        <item x="4007"/>
        <item x="2249"/>
        <item x="915"/>
        <item x="2125"/>
        <item x="3829"/>
        <item x="2056"/>
        <item x="1717"/>
        <item x="3291"/>
        <item x="1340"/>
        <item x="1393"/>
        <item x="2981"/>
        <item x="4481"/>
        <item x="1496"/>
        <item x="4849"/>
        <item x="3415"/>
        <item x="675"/>
        <item x="3235"/>
        <item x="2017"/>
        <item x="1185"/>
        <item x="723"/>
        <item x="4513"/>
        <item x="1209"/>
        <item x="1562"/>
        <item x="1789"/>
        <item x="2395"/>
        <item x="3314"/>
        <item x="2037"/>
        <item x="2917"/>
        <item x="1233"/>
        <item x="3310"/>
        <item x="647"/>
        <item x="979"/>
        <item x="324"/>
        <item x="181"/>
        <item x="93"/>
        <item x="2418"/>
        <item x="838"/>
        <item x="3402"/>
        <item x="2562"/>
        <item x="955"/>
        <item x="105"/>
        <item x="4028"/>
        <item x="3677"/>
        <item x="3336"/>
        <item x="2605"/>
        <item x="4760"/>
        <item x="1888"/>
        <item x="909"/>
        <item x="939"/>
        <item x="111"/>
        <item x="3453"/>
        <item x="676"/>
        <item x="609"/>
        <item x="1392"/>
        <item x="3931"/>
        <item x="4459"/>
        <item x="442"/>
        <item x="1883"/>
        <item x="1226"/>
        <item x="1395"/>
        <item x="3113"/>
        <item x="4577"/>
        <item x="4280"/>
        <item x="3193"/>
        <item x="3755"/>
        <item x="1778"/>
        <item x="2785"/>
        <item x="3384"/>
        <item x="4838"/>
        <item x="2895"/>
        <item x="2826"/>
        <item x="4013"/>
        <item x="3951"/>
        <item x="1210"/>
        <item x="3367"/>
        <item x="2109"/>
        <item x="1615"/>
        <item x="3482"/>
        <item x="4372"/>
        <item x="3469"/>
        <item x="4111"/>
        <item x="3521"/>
        <item x="1344"/>
        <item x="1736"/>
        <item x="2285"/>
        <item x="865"/>
        <item x="128"/>
        <item x="4611"/>
        <item x="728"/>
        <item x="3952"/>
        <item x="4365"/>
        <item x="4046"/>
        <item x="770"/>
        <item x="2638"/>
        <item x="4776"/>
        <item x="432"/>
        <item x="3139"/>
        <item x="1762"/>
        <item x="4337"/>
        <item x="198"/>
        <item x="1172"/>
        <item x="139"/>
        <item x="1819"/>
        <item x="854"/>
        <item x="3599"/>
        <item x="4834"/>
        <item x="1756"/>
        <item x="2091"/>
        <item x="2319"/>
        <item x="1618"/>
        <item x="4886"/>
        <item x="2269"/>
        <item x="3074"/>
        <item x="517"/>
        <item x="3066"/>
        <item x="716"/>
        <item x="2318"/>
        <item x="4516"/>
        <item x="2906"/>
        <item x="1946"/>
        <item x="3833"/>
        <item x="3593"/>
        <item x="1244"/>
        <item x="1807"/>
        <item x="452"/>
        <item x="1704"/>
        <item x="2868"/>
        <item x="1150"/>
        <item x="3419"/>
        <item x="484"/>
        <item x="1221"/>
        <item x="3214"/>
        <item x="2738"/>
        <item x="4373"/>
        <item x="3701"/>
        <item x="495"/>
        <item x="2820"/>
        <item x="3574"/>
        <item x="1874"/>
        <item x="2713"/>
        <item x="4833"/>
        <item x="863"/>
        <item x="2941"/>
        <item x="632"/>
        <item x="846"/>
        <item x="4779"/>
        <item x="3958"/>
        <item x="1321"/>
        <item x="2381"/>
        <item x="2143"/>
        <item x="1271"/>
        <item x="4099"/>
        <item x="3605"/>
        <item x="1739"/>
        <item x="3711"/>
        <item x="2169"/>
        <item x="4216"/>
        <item x="1558"/>
        <item x="2907"/>
        <item x="4777"/>
        <item x="4077"/>
        <item x="4243"/>
        <item x="1492"/>
        <item x="2413"/>
        <item x="0"/>
        <item x="267"/>
        <item x="1505"/>
        <item x="3172"/>
        <item x="3396"/>
        <item x="4595"/>
        <item x="3153"/>
        <item x="4664"/>
        <item x="1644"/>
        <item x="836"/>
        <item x="3050"/>
        <item x="3141"/>
        <item x="4895"/>
        <item x="2996"/>
        <item x="1032"/>
        <item x="689"/>
        <item x="1259"/>
        <item x="687"/>
        <item x="257"/>
        <item x="4152"/>
        <item x="4773"/>
        <item x="4843"/>
        <item x="4309"/>
        <item x="3248"/>
        <item x="76"/>
        <item x="4134"/>
        <item x="1072"/>
        <item x="4335"/>
        <item x="3108"/>
        <item x="3788"/>
        <item x="2225"/>
        <item x="83"/>
        <item x="2733"/>
        <item x="2052"/>
        <item x="624"/>
        <item x="2599"/>
        <item x="1866"/>
        <item x="1485"/>
        <item x="546"/>
        <item x="4278"/>
        <item x="3004"/>
        <item x="1947"/>
        <item x="1581"/>
        <item x="3718"/>
        <item x="4036"/>
        <item x="1053"/>
        <item x="209"/>
        <item x="3026"/>
        <item x="995"/>
        <item x="4628"/>
        <item x="2641"/>
        <item x="2070"/>
        <item x="3308"/>
        <item x="1219"/>
        <item x="3844"/>
        <item x="2655"/>
        <item x="919"/>
        <item x="2516"/>
        <item x="2731"/>
        <item x="733"/>
        <item x="4191"/>
        <item x="867"/>
        <item x="3989"/>
        <item x="3019"/>
        <item x="4889"/>
        <item x="4547"/>
        <item x="1768"/>
        <item x="3754"/>
        <item x="3722"/>
        <item x="4657"/>
        <item x="3648"/>
        <item x="1613"/>
        <item x="4428"/>
        <item x="4888"/>
        <item x="1078"/>
        <item x="4758"/>
        <item x="2914"/>
        <item x="2423"/>
        <item x="706"/>
        <item x="2039"/>
        <item x="171"/>
        <item x="3986"/>
        <item x="3719"/>
        <item x="3016"/>
        <item x="1721"/>
        <item x="4675"/>
        <item x="2512"/>
        <item x="809"/>
        <item x="561"/>
        <item x="2434"/>
        <item x="4488"/>
        <item x="4906"/>
        <item x="2114"/>
        <item x="2811"/>
        <item x="3891"/>
        <item x="361"/>
        <item x="435"/>
        <item x="3433"/>
        <item x="3607"/>
        <item x="4868"/>
        <item x="3914"/>
        <item x="1437"/>
        <item x="2356"/>
        <item x="4025"/>
        <item x="275"/>
        <item x="416"/>
        <item x="2031"/>
        <item x="1267"/>
        <item x="2955"/>
        <item x="3151"/>
        <item x="1102"/>
        <item x="2619"/>
        <item x="49"/>
        <item x="3226"/>
        <item x="4213"/>
        <item x="1095"/>
        <item x="4559"/>
        <item x="3049"/>
        <item x="3848"/>
        <item x="462"/>
        <item x="4709"/>
        <item x="1885"/>
        <item x="165"/>
        <item x="414"/>
        <item x="334"/>
        <item x="4835"/>
        <item x="3385"/>
        <item x="4716"/>
        <item x="2807"/>
        <item x="1982"/>
        <item x="1658"/>
        <item x="3572"/>
        <item x="617"/>
        <item x="698"/>
        <item x="2903"/>
        <item x="3819"/>
        <item x="326"/>
        <item x="226"/>
        <item x="880"/>
        <item x="659"/>
        <item x="2915"/>
        <item x="4107"/>
        <item x="2830"/>
        <item x="2969"/>
        <item x="3030"/>
        <item x="1670"/>
        <item x="256"/>
        <item x="4331"/>
        <item x="2983"/>
        <item x="567"/>
        <item x="4361"/>
        <item x="1835"/>
        <item x="4691"/>
        <item x="1427"/>
        <item x="2081"/>
        <item x="3490"/>
        <item x="4789"/>
        <item x="2289"/>
        <item x="923"/>
        <item x="978"/>
        <item x="54"/>
        <item x="1693"/>
        <item x="4301"/>
        <item x="3994"/>
        <item x="1515"/>
        <item x="3267"/>
        <item x="200"/>
        <item x="3043"/>
        <item x="2628"/>
        <item x="3429"/>
        <item x="2045"/>
        <item x="1386"/>
        <item x="2740"/>
        <item x="2453"/>
        <item x="1125"/>
        <item x="2240"/>
        <item x="3063"/>
        <item x="934"/>
        <item x="2131"/>
        <item x="4808"/>
        <item x="1914"/>
        <item x="1563"/>
        <item x="3801"/>
        <item x="3569"/>
        <item x="4053"/>
        <item x="1703"/>
        <item x="3441"/>
        <item x="2138"/>
        <item x="3012"/>
        <item x="3227"/>
        <item x="2276"/>
        <item x="1842"/>
        <item x="1364"/>
        <item x="4472"/>
        <item x="3486"/>
        <item x="1664"/>
        <item x="4484"/>
        <item x="1727"/>
        <item x="201"/>
        <item x="196"/>
        <item x="2610"/>
        <item x="3934"/>
        <item x="3703"/>
        <item x="2170"/>
        <item x="671"/>
        <item x="1320"/>
        <item x="3358"/>
        <item x="2771"/>
        <item x="2827"/>
        <item x="1023"/>
        <item x="1872"/>
        <item x="2926"/>
        <item x="1224"/>
        <item x="322"/>
        <item x="777"/>
        <item x="3979"/>
        <item x="270"/>
        <item x="461"/>
        <item x="3852"/>
        <item x="2205"/>
        <item x="4034"/>
        <item x="2658"/>
        <item x="2268"/>
        <item x="1715"/>
        <item x="3552"/>
        <item x="3051"/>
        <item x="4726"/>
        <item x="936"/>
        <item x="2892"/>
        <item x="3515"/>
        <item x="2297"/>
        <item x="2053"/>
        <item x="4683"/>
        <item x="3059"/>
        <item x="2645"/>
        <item x="2087"/>
        <item x="3399"/>
        <item x="156"/>
        <item x="2463"/>
        <item x="1805"/>
        <item x="564"/>
        <item x="1463"/>
        <item x="4766"/>
        <item x="176"/>
        <item x="2139"/>
        <item x="255"/>
        <item x="3984"/>
        <item x="3933"/>
        <item x="1356"/>
        <item x="663"/>
        <item x="3980"/>
        <item x="4256"/>
        <item x="1206"/>
        <item x="4326"/>
        <item x="1935"/>
        <item x="1753"/>
        <item x="894"/>
        <item x="2992"/>
        <item x="250"/>
        <item x="469"/>
        <item x="4333"/>
        <item x="1091"/>
        <item x="1532"/>
        <item x="2647"/>
        <item x="10"/>
        <item x="2541"/>
        <item x="503"/>
        <item x="1460"/>
        <item x="1044"/>
        <item x="3437"/>
        <item x="329"/>
        <item x="1861"/>
        <item x="371"/>
        <item x="4822"/>
        <item x="1112"/>
        <item x="3587"/>
        <item x="2739"/>
        <item x="3520"/>
        <item x="1189"/>
        <item x="2873"/>
        <item x="2455"/>
        <item x="3624"/>
        <item x="4432"/>
        <item x="3432"/>
        <item x="3167"/>
        <item x="3805"/>
        <item x="195"/>
        <item x="3428"/>
        <item x="491"/>
        <item x="1199"/>
        <item x="3088"/>
        <item x="244"/>
        <item x="4537"/>
        <item x="3758"/>
        <item x="2191"/>
        <item x="3534"/>
        <item x="4616"/>
        <item x="1663"/>
        <item x="116"/>
        <item x="1358"/>
        <item x="3001"/>
        <item x="3452"/>
        <item x="3145"/>
        <item x="3876"/>
        <item x="3902"/>
        <item x="3928"/>
        <item x="940"/>
        <item x="314"/>
        <item x="486"/>
        <item x="1396"/>
        <item x="3417"/>
        <item x="2127"/>
        <item x="3899"/>
        <item x="4655"/>
        <item x="566"/>
        <item x="3091"/>
        <item x="1858"/>
        <item x="1414"/>
        <item x="1588"/>
        <item x="3942"/>
        <item x="3781"/>
        <item x="2551"/>
        <item x="823"/>
        <item x="4762"/>
        <item x="4813"/>
        <item x="4232"/>
        <item x="274"/>
        <item x="653"/>
        <item x="451"/>
        <item x="3413"/>
        <item x="2452"/>
        <item x="3184"/>
        <item x="1740"/>
        <item x="2542"/>
        <item x="2651"/>
        <item x="2404"/>
        <item x="878"/>
        <item x="2850"/>
        <item x="2330"/>
        <item x="185"/>
        <item x="3656"/>
        <item x="20"/>
        <item x="1608"/>
        <item x="4155"/>
        <item x="4449"/>
        <item x="4662"/>
        <item x="2676"/>
        <item x="2653"/>
        <item x="2228"/>
        <item x="3528"/>
        <item x="4010"/>
        <item x="4354"/>
        <item x="717"/>
        <item x="4084"/>
        <item x="4334"/>
        <item x="3967"/>
        <item x="3481"/>
        <item x="3993"/>
        <item x="4001"/>
        <item x="1318"/>
        <item x="4493"/>
        <item x="2858"/>
        <item x="959"/>
        <item x="3567"/>
        <item x="1648"/>
        <item x="4631"/>
        <item x="3916"/>
        <item x="15"/>
        <item x="2694"/>
        <item x="2572"/>
        <item x="4145"/>
        <item x="3760"/>
        <item x="3794"/>
        <item x="4801"/>
        <item x="673"/>
        <item x="3674"/>
        <item x="1433"/>
        <item x="4086"/>
        <item x="4188"/>
        <item x="4852"/>
        <item x="1446"/>
        <item x="869"/>
        <item x="4560"/>
        <item x="1577"/>
        <item x="1627"/>
        <item x="3991"/>
        <item x="1749"/>
        <item x="3610"/>
        <item x="2414"/>
        <item x="3295"/>
        <item x="2389"/>
        <item x="3112"/>
        <item x="4759"/>
        <item x="585"/>
        <item x="3222"/>
        <item x="1479"/>
        <item x="3046"/>
        <item x="1444"/>
        <item x="4575"/>
        <item x="2662"/>
        <item x="1654"/>
        <item x="3907"/>
        <item x="4645"/>
        <item x="4590"/>
        <item x="824"/>
        <item x="1441"/>
        <item x="571"/>
        <item x="313"/>
        <item x="3216"/>
        <item x="2117"/>
        <item x="4348"/>
        <item x="568"/>
        <item x="138"/>
        <item x="2538"/>
        <item x="768"/>
        <item x="2259"/>
        <item x="2894"/>
        <item x="1012"/>
        <item x="2480"/>
        <item x="3378"/>
        <item x="1313"/>
        <item x="3598"/>
        <item x="3268"/>
        <item x="2426"/>
        <item x="1818"/>
        <item x="4276"/>
        <item x="764"/>
        <item x="2723"/>
        <item x="4502"/>
        <item x="3180"/>
        <item x="4707"/>
        <item x="4652"/>
        <item x="1936"/>
        <item x="515"/>
        <item x="2005"/>
        <item x="412"/>
        <item x="2869"/>
        <item x="2930"/>
        <item x="455"/>
        <item x="851"/>
        <item x="877"/>
        <item x="4300"/>
        <item x="3474"/>
        <item x="321"/>
        <item x="2307"/>
        <item x="4717"/>
        <item x="3558"/>
        <item x="4518"/>
        <item x="1949"/>
        <item x="3568"/>
        <item x="4544"/>
        <item x="3710"/>
        <item x="4444"/>
        <item x="340"/>
        <item x="1003"/>
        <item x="154"/>
        <item x="2633"/>
        <item x="912"/>
        <item x="2471"/>
        <item x="3174"/>
        <item x="1041"/>
        <item x="3846"/>
        <item x="1498"/>
        <item x="4712"/>
        <item x="4222"/>
        <item x="575"/>
        <item x="2704"/>
        <item x="2292"/>
        <item x="3602"/>
        <item x="1372"/>
        <item x="2583"/>
        <item x="1529"/>
        <item x="4130"/>
        <item x="2822"/>
        <item x="4311"/>
        <item x="142"/>
        <item x="529"/>
        <item x="3212"/>
        <item x="1294"/>
        <item x="984"/>
        <item x="1544"/>
        <item x="445"/>
        <item x="2730"/>
        <item x="4008"/>
        <item x="4100"/>
        <item x="4790"/>
        <item x="1694"/>
        <item x="3507"/>
        <item x="487"/>
        <item x="346"/>
        <item x="3191"/>
        <item x="5"/>
        <item x="2468"/>
        <item x="4169"/>
        <item x="2499"/>
        <item x="4811"/>
        <item x="1122"/>
        <item x="1363"/>
        <item x="1310"/>
        <item x="1659"/>
        <item x="2624"/>
        <item x="3997"/>
        <item x="4249"/>
        <item x="450"/>
        <item x="656"/>
        <item x="2433"/>
        <item x="2883"/>
        <item x="4384"/>
        <item x="3968"/>
        <item x="1461"/>
        <item x="3114"/>
        <item x="1481"/>
        <item x="3800"/>
        <item x="952"/>
        <item x="3209"/>
        <item x="4225"/>
        <item x="3438"/>
        <item x="1938"/>
        <item x="4312"/>
        <item x="3955"/>
        <item x="3594"/>
        <item x="4346"/>
        <item x="3394"/>
        <item x="417"/>
        <item x="3375"/>
        <item x="3023"/>
        <item x="3695"/>
        <item x="269"/>
        <item x="4504"/>
        <item x="2893"/>
        <item x="2965"/>
        <item x="485"/>
        <item x="641"/>
        <item x="512"/>
        <item x="2750"/>
        <item x="234"/>
        <item x="2116"/>
        <item x="1955"/>
        <item x="3319"/>
        <item x="4850"/>
        <item x="4173"/>
        <item x="1225"/>
        <item x="358"/>
        <item x="2003"/>
        <item x="1059"/>
        <item x="3510"/>
        <item x="1791"/>
        <item x="1803"/>
        <item x="4220"/>
        <item x="2000"/>
        <item x="1157"/>
        <item x="1995"/>
        <item x="4735"/>
        <item x="207"/>
        <item x="2219"/>
        <item x="3860"/>
        <item x="4310"/>
        <item x="2014"/>
        <item x="1719"/>
        <item x="1523"/>
        <item x="2302"/>
        <item x="793"/>
        <item x="2278"/>
        <item x="1848"/>
        <item x="4424"/>
        <item x="2190"/>
        <item x="2982"/>
        <item x="2022"/>
        <item x="1893"/>
        <item x="2766"/>
        <item x="2101"/>
        <item x="411"/>
        <item x="1855"/>
        <item x="1959"/>
        <item x="4563"/>
        <item x="281"/>
        <item x="247"/>
        <item x="1570"/>
        <item x="2582"/>
        <item x="3504"/>
        <item x="315"/>
        <item x="468"/>
        <item x="3792"/>
        <item x="1489"/>
        <item x="682"/>
        <item x="2722"/>
        <item x="1352"/>
        <item x="4443"/>
        <item x="597"/>
        <item x="926"/>
        <item x="3070"/>
        <item x="2283"/>
        <item x="1325"/>
        <item x="2257"/>
        <item x="3565"/>
        <item x="680"/>
        <item x="370"/>
        <item x="2968"/>
        <item x="453"/>
        <item x="1339"/>
        <item x="2179"/>
        <item x="466"/>
        <item x="4287"/>
        <item x="4734"/>
        <item x="3194"/>
        <item x="4473"/>
        <item x="920"/>
        <item x="931"/>
        <item x="149"/>
        <item x="4044"/>
        <item x="2323"/>
        <item x="268"/>
        <item x="1590"/>
        <item x="791"/>
        <item x="32"/>
        <item x="4746"/>
        <item x="3124"/>
        <item x="1669"/>
        <item x="1520"/>
        <item x="4919"/>
        <item x="3119"/>
        <item x="4120"/>
        <item x="3444"/>
        <item x="2700"/>
        <item x="1567"/>
        <item x="2916"/>
        <item x="3753"/>
        <item x="1640"/>
        <item x="1370"/>
        <item x="1821"/>
        <item x="1963"/>
        <item x="2687"/>
        <item x="4314"/>
        <item x="3339"/>
        <item x="2024"/>
        <item x="3861"/>
        <item x="252"/>
        <item x="4159"/>
        <item x="4719"/>
        <item x="2210"/>
        <item x="2539"/>
        <item x="4321"/>
        <item x="2934"/>
        <item x="300"/>
        <item x="1388"/>
        <item x="1231"/>
        <item x="1342"/>
        <item x="2803"/>
        <item x="2445"/>
        <item x="4772"/>
        <item x="2424"/>
        <item x="1366"/>
        <item x="4618"/>
        <item x="2863"/>
        <item x="2412"/>
        <item x="4253"/>
        <item x="856"/>
        <item x="3996"/>
        <item x="396"/>
        <item x="2616"/>
        <item x="4483"/>
        <item x="1586"/>
        <item x="1878"/>
        <item x="3150"/>
        <item x="2229"/>
        <item x="4320"/>
        <item x="2824"/>
        <item x="1250"/>
        <item x="172"/>
        <item x="3223"/>
        <item x="933"/>
        <item x="3863"/>
        <item x="3411"/>
        <item x="1315"/>
        <item x="3516"/>
        <item x="4199"/>
        <item x="81"/>
        <item x="2113"/>
        <item x="2443"/>
        <item x="807"/>
        <item x="1786"/>
        <item x="3922"/>
        <item x="391"/>
        <item x="2805"/>
        <item x="3199"/>
        <item x="876"/>
        <item x="783"/>
        <item x="4803"/>
        <item x="4231"/>
        <item x="4842"/>
        <item x="4467"/>
        <item x="373"/>
        <item x="3426"/>
        <item x="4755"/>
        <item x="3799"/>
        <item x="4154"/>
        <item x="843"/>
        <item x="3826"/>
        <item x="273"/>
        <item x="2767"/>
        <item x="190"/>
        <item x="3715"/>
        <item x="790"/>
        <item x="2417"/>
        <item x="401"/>
        <item x="2753"/>
        <item x="1030"/>
        <item x="33"/>
        <item x="2373"/>
        <item x="4698"/>
        <item x="3915"/>
        <item x="1058"/>
        <item x="8"/>
        <item x="1282"/>
        <item x="921"/>
        <item x="4479"/>
        <item x="897"/>
        <item x="2055"/>
        <item x="2989"/>
        <item x="1238"/>
        <item x="1863"/>
        <item x="4455"/>
        <item x="1027"/>
        <item x="1073"/>
        <item x="3536"/>
        <item x="2879"/>
        <item x="2203"/>
        <item x="3256"/>
        <item x="829"/>
        <item x="4515"/>
        <item x="1161"/>
        <item x="2355"/>
        <item x="2429"/>
        <item x="467"/>
        <item x="3461"/>
        <item x="3756"/>
        <item x="2023"/>
        <item x="4441"/>
        <item x="3900"/>
        <item x="1202"/>
        <item x="3335"/>
        <item x="2068"/>
        <item x="1006"/>
        <item x="4055"/>
        <item x="3858"/>
        <item x="1880"/>
        <item x="350"/>
        <item x="1710"/>
        <item x="1831"/>
        <item x="3211"/>
        <item x="3609"/>
        <item x="2666"/>
        <item x="1823"/>
        <item x="2279"/>
        <item x="1702"/>
        <item x="1159"/>
        <item x="167"/>
        <item x="4601"/>
        <item x="2735"/>
        <item x="1381"/>
        <item x="771"/>
        <item x="1849"/>
        <item x="454"/>
        <item x="4292"/>
        <item x="4358"/>
        <item x="474"/>
        <item x="4463"/>
        <item x="2974"/>
        <item x="595"/>
        <item x="749"/>
        <item x="3095"/>
        <item x="2506"/>
        <item x="3851"/>
        <item x="4303"/>
        <item x="1402"/>
        <item x="4704"/>
        <item x="818"/>
        <item x="1656"/>
        <item x="2504"/>
        <item x="4602"/>
        <item x="1724"/>
        <item x="1109"/>
        <item x="811"/>
        <item x="2111"/>
        <item x="3940"/>
        <item x="2483"/>
        <item x="4696"/>
        <item x="4290"/>
        <item x="4651"/>
        <item x="1559"/>
        <item x="3036"/>
        <item x="2001"/>
        <item x="610"/>
        <item x="3054"/>
        <item x="3470"/>
        <item x="1507"/>
        <item x="4528"/>
        <item x="4211"/>
        <item x="3086"/>
        <item x="3450"/>
        <item x="1107"/>
        <item x="1792"/>
        <item x="4302"/>
        <item x="1040"/>
        <item x="1649"/>
        <item x="2184"/>
        <item x="2244"/>
        <item x="1709"/>
        <item x="3815"/>
        <item x="4241"/>
        <item x="550"/>
        <item x="1197"/>
        <item x="413"/>
        <item x="3905"/>
        <item x="3744"/>
        <item x="2507"/>
        <item x="4580"/>
        <item x="778"/>
        <item x="3651"/>
        <item x="794"/>
        <item x="261"/>
        <item x="309"/>
        <item x="630"/>
        <item x="2973"/>
        <item x="152"/>
        <item x="2234"/>
        <item x="57"/>
        <item x="3640"/>
        <item x="423"/>
        <item x="133"/>
        <item x="1475"/>
        <item x="4672"/>
        <item x="615"/>
        <item x="4815"/>
        <item x="4400"/>
        <item x="224"/>
        <item x="1815"/>
        <item x="759"/>
        <item x="862"/>
        <item x="3978"/>
        <item x="4298"/>
        <item x="4684"/>
        <item x="3644"/>
        <item x="4676"/>
        <item x="3508"/>
        <item x="2034"/>
        <item x="2374"/>
        <item x="482"/>
        <item x="1009"/>
        <item x="700"/>
        <item x="4556"/>
        <item x="719"/>
        <item x="1743"/>
        <item x="1833"/>
        <item x="4540"/>
        <item x="1253"/>
        <item x="4468"/>
        <item x="3724"/>
        <item x="2889"/>
        <item x="2668"/>
        <item x="1971"/>
        <item x="2020"/>
        <item x="527"/>
        <item x="1473"/>
        <item x="668"/>
        <item x="4617"/>
        <item x="436"/>
        <item x="3636"/>
        <item x="781"/>
        <item x="3038"/>
        <item x="3442"/>
        <item x="227"/>
        <item x="3034"/>
        <item x="840"/>
        <item x="640"/>
        <item x="3473"/>
        <item x="1794"/>
        <item x="3652"/>
        <item x="765"/>
        <item x="551"/>
        <item x="1729"/>
        <item x="4417"/>
        <item x="4327"/>
        <item x="1683"/>
        <item x="1248"/>
        <item x="4442"/>
        <item x="4907"/>
        <item x="2675"/>
        <item x="3031"/>
        <item x="587"/>
        <item x="472"/>
        <item x="4345"/>
        <item x="2726"/>
        <item x="730"/>
        <item x="1758"/>
        <item x="2422"/>
        <item x="3159"/>
        <item x="3908"/>
        <item x="1573"/>
        <item x="4908"/>
        <item x="4573"/>
        <item x="2636"/>
        <item x="3374"/>
        <item x="2361"/>
        <item x="708"/>
        <item x="471"/>
        <item x="4744"/>
        <item x="4089"/>
        <item x="1633"/>
        <item x="1114"/>
        <item x="4592"/>
        <item x="2149"/>
        <item x="752"/>
        <item x="3110"/>
        <item x="3370"/>
        <item x="3650"/>
        <item x="63"/>
        <item x="193"/>
        <item x="62"/>
        <item x="2925"/>
        <item x="548"/>
        <item x="4584"/>
        <item x="3882"/>
        <item x="4450"/>
        <item x="775"/>
        <item x="3561"/>
        <item x="2531"/>
        <item x="248"/>
        <item x="1661"/>
        <item x="4871"/>
        <item x="1322"/>
        <item x="4534"/>
        <item x="4261"/>
        <item x="2449"/>
        <item x="3326"/>
        <item x="1766"/>
        <item x="739"/>
        <item x="2469"/>
        <item x="2612"/>
        <item x="2255"/>
        <item x="832"/>
        <item x="4596"/>
        <item x="1429"/>
        <item x="479"/>
        <item x="4274"/>
        <item x="1685"/>
        <item x="4129"/>
        <item x="3496"/>
        <item x="3734"/>
        <item x="4288"/>
        <item x="2622"/>
        <item x="3455"/>
        <item x="2491"/>
        <item x="3299"/>
        <item x="3527"/>
        <item x="3768"/>
        <item x="3699"/>
        <item x="3389"/>
        <item x="3713"/>
        <item x="828"/>
        <item x="3271"/>
        <item x="1007"/>
        <item x="2580"/>
        <item x="3811"/>
        <item x="1726"/>
        <item x="4196"/>
        <item x="1163"/>
        <item x="3932"/>
        <item x="1179"/>
        <item x="870"/>
        <item x="2151"/>
        <item x="440"/>
        <item x="3783"/>
        <item x="2677"/>
        <item x="1245"/>
        <item x="3138"/>
        <item x="4613"/>
        <item x="3796"/>
        <item x="2679"/>
        <item x="4882"/>
        <item x="2498"/>
        <item x="4634"/>
        <item x="2947"/>
        <item x="3298"/>
        <item x="2487"/>
        <item x="3836"/>
        <item x="2196"/>
        <item x="2754"/>
        <item x="2800"/>
        <item x="3266"/>
        <item x="1028"/>
        <item x="1944"/>
        <item x="1459"/>
        <item x="3149"/>
        <item x="4814"/>
        <item x="3368"/>
        <item x="3786"/>
        <item x="4574"/>
        <item x="246"/>
        <item x="2502"/>
        <item x="3231"/>
        <item x="891"/>
        <item x="168"/>
        <item x="17"/>
        <item x="906"/>
        <item x="2559"/>
        <item x="208"/>
        <item x="1651"/>
        <item x="4069"/>
        <item x="970"/>
        <item x="3921"/>
        <item x="3037"/>
        <item x="2093"/>
        <item x="3072"/>
        <item x="996"/>
        <item x="3898"/>
        <item x="4440"/>
        <item x="3822"/>
        <item x="3393"/>
        <item x="2964"/>
        <item x="2103"/>
        <item x="685"/>
        <item x="2217"/>
        <item x="3761"/>
        <item x="4338"/>
        <item x="552"/>
        <item x="335"/>
        <item x="2135"/>
        <item x="4323"/>
        <item x="3659"/>
        <item x="2891"/>
        <item x="3847"/>
        <item x="4878"/>
        <item x="792"/>
        <item x="2011"/>
        <item x="1610"/>
        <item x="1217"/>
        <item x="3612"/>
        <item x="961"/>
        <item x="3856"/>
        <item x="2904"/>
        <item x="2325"/>
        <item x="2178"/>
        <item x="1967"/>
        <item x="348"/>
        <item x="3658"/>
        <item x="1761"/>
        <item x="2765"/>
        <item x="1799"/>
        <item x="1354"/>
        <item x="1508"/>
        <item x="2421"/>
        <item x="3667"/>
        <item x="3821"/>
        <item x="3714"/>
        <item x="592"/>
        <item x="4221"/>
        <item x="2719"/>
        <item x="3357"/>
        <item x="3643"/>
        <item x="2305"/>
        <item x="1905"/>
        <item x="1965"/>
        <item x="1329"/>
        <item x="2369"/>
        <item x="2435"/>
        <item x="3841"/>
        <item x="4501"/>
        <item x="3006"/>
        <item x="882"/>
        <item x="2015"/>
        <item x="2595"/>
        <item x="2168"/>
        <item x="1215"/>
        <item x="249"/>
        <item x="4299"/>
        <item x="1143"/>
        <item x="294"/>
        <item x="4407"/>
        <item x="1920"/>
        <item x="1432"/>
        <item x="1080"/>
        <item x="460"/>
        <item x="3909"/>
        <item x="637"/>
        <item x="74"/>
        <item x="4339"/>
        <item x="1336"/>
        <item x="3233"/>
        <item x="2579"/>
        <item x="2585"/>
        <item x="3346"/>
        <item x="1996"/>
        <item x="1912"/>
        <item x="351"/>
        <item x="855"/>
        <item x="2667"/>
        <item x="1759"/>
        <item x="2594"/>
        <item x="1249"/>
        <item x="539"/>
        <item x="1086"/>
        <item x="1474"/>
        <item x="4567"/>
        <item x="4360"/>
        <item x="3203"/>
        <item x="1186"/>
        <item x="963"/>
        <item x="2406"/>
        <item x="2732"/>
        <item x="2678"/>
        <item x="1671"/>
        <item x="2313"/>
        <item x="1400"/>
        <item x="4591"/>
        <item x="4329"/>
        <item x="4571"/>
        <item x="2741"/>
        <item x="2402"/>
        <item x="2118"/>
        <item x="3239"/>
        <item x="1870"/>
        <item x="2943"/>
        <item x="4738"/>
        <item x="1509"/>
        <item x="1269"/>
        <item x="2510"/>
        <item x="3416"/>
        <item x="1850"/>
        <item x="1968"/>
        <item x="1684"/>
        <item x="4648"/>
        <item x="3423"/>
        <item x="3"/>
        <item x="4108"/>
        <item x="536"/>
        <item x="488"/>
        <item x="1116"/>
        <item x="581"/>
        <item x="2036"/>
        <item x="3884"/>
        <item x="2098"/>
        <item x="3897"/>
        <item x="3161"/>
        <item x="2128"/>
        <item x="3198"/>
        <item x="4202"/>
        <item x="3363"/>
        <item x="4370"/>
        <item x="2686"/>
        <item x="2761"/>
        <item x="3509"/>
        <item x="4867"/>
        <item x="4913"/>
        <item x="1335"/>
        <item x="3874"/>
        <item x="1195"/>
        <item x="4048"/>
        <item x="4390"/>
        <item x="392"/>
        <item x="1017"/>
        <item x="3704"/>
        <item x="4622"/>
        <item x="3883"/>
        <item x="4627"/>
        <item x="3032"/>
        <item x="1090"/>
        <item x="1010"/>
        <item x="4859"/>
        <item x="1008"/>
        <item x="1029"/>
        <item x="4447"/>
        <item x="4056"/>
        <item x="577"/>
        <item x="2819"/>
        <item x="734"/>
        <item x="1374"/>
        <item x="3885"/>
        <item x="2788"/>
        <item x="885"/>
        <item x="3158"/>
        <item x="4369"/>
        <item x="3333"/>
        <item x="4539"/>
        <item x="1483"/>
        <item x="815"/>
        <item x="3296"/>
        <item x="2451"/>
        <item x="69"/>
        <item x="2094"/>
        <item x="2476"/>
        <item x="3881"/>
        <item x="4163"/>
        <item x="2085"/>
        <item x="1601"/>
        <item x="3048"/>
        <item x="3171"/>
        <item x="1154"/>
        <item x="805"/>
        <item x="2959"/>
        <item x="1991"/>
        <item x="2825"/>
        <item x="962"/>
        <item x="1468"/>
        <item x="3954"/>
        <item x="582"/>
        <item x="1141"/>
        <item x="4647"/>
        <item x="3297"/>
        <item x="4433"/>
        <item x="2096"/>
        <item x="2567"/>
        <item x="3210"/>
        <item x="2372"/>
        <item x="4239"/>
        <item x="1560"/>
        <item x="929"/>
        <item x="98"/>
        <item x="612"/>
        <item x="1369"/>
        <item x="3985"/>
        <item x="2260"/>
        <item x="2745"/>
        <item x="3586"/>
        <item x="4695"/>
        <item x="2160"/>
        <item x="4426"/>
        <item x="4252"/>
        <item x="616"/>
        <item x="3589"/>
        <item x="4223"/>
        <item x="4168"/>
        <item x="175"/>
        <item x="4250"/>
        <item x="3127"/>
        <item x="3746"/>
        <item x="219"/>
        <item x="3906"/>
        <item x="3773"/>
        <item x="319"/>
        <item x="4749"/>
        <item x="1196"/>
        <item x="1780"/>
        <item x="1164"/>
        <item x="3456"/>
        <item x="1738"/>
        <item x="784"/>
        <item x="2556"/>
        <item x="4656"/>
        <item x="1457"/>
        <item x="4742"/>
        <item x="1902"/>
        <item x="3627"/>
        <item x="950"/>
        <item x="4660"/>
        <item x="914"/>
        <item x="4398"/>
        <item x="1757"/>
        <item x="1722"/>
        <item x="2795"/>
        <item x="4104"/>
        <item x="692"/>
        <item x="4325"/>
        <item x="526"/>
        <item x="4262"/>
        <item x="4215"/>
        <item x="1379"/>
        <item x="2049"/>
        <item x="3784"/>
        <item x="2281"/>
        <item x="3025"/>
        <item x="4633"/>
        <item x="2688"/>
        <item x="3146"/>
        <item x="650"/>
        <item x="3312"/>
        <item x="1526"/>
        <item x="1527"/>
        <item x="2065"/>
        <item x="2493"/>
        <item x="731"/>
        <item x="3060"/>
        <item x="2948"/>
        <item x="2266"/>
        <item x="3738"/>
        <item x="3340"/>
        <item x="4896"/>
        <item x="1557"/>
        <item x="4827"/>
        <item x="3107"/>
        <item x="1398"/>
        <item x="4724"/>
        <item x="2038"/>
        <item x="86"/>
        <item x="1923"/>
        <item x="2472"/>
        <item x="3475"/>
        <item x="184"/>
        <item x="1535"/>
        <item x="163"/>
        <item x="2061"/>
        <item x="557"/>
        <item x="2327"/>
        <item x="4074"/>
        <item x="1934"/>
        <item x="4350"/>
        <item x="4470"/>
        <item x="4394"/>
        <item x="2689"/>
        <item x="91"/>
        <item x="1201"/>
        <item x="2553"/>
        <item x="1545"/>
        <item x="4620"/>
        <item x="3526"/>
        <item x="953"/>
        <item x="2193"/>
        <item x="525"/>
        <item x="344"/>
        <item x="2727"/>
        <item x="2698"/>
        <item x="2919"/>
        <item x="3634"/>
        <item x="1276"/>
        <item x="4685"/>
        <item x="3041"/>
        <item x="3017"/>
        <item x="2115"/>
        <item x="1514"/>
        <item x="2835"/>
        <item x="1257"/>
        <item x="1275"/>
        <item x="3116"/>
        <item x="2642"/>
        <item x="115"/>
        <item x="1373"/>
        <item x="2306"/>
        <item x="714"/>
        <item x="591"/>
        <item x="1416"/>
        <item x="943"/>
        <item x="303"/>
        <item x="96"/>
        <item x="4375"/>
        <item x="61"/>
        <item x="71"/>
        <item x="494"/>
        <item x="3741"/>
        <item x="150"/>
        <item x="3479"/>
        <item x="3726"/>
        <item x="1755"/>
        <item x="905"/>
        <item x="1300"/>
        <item x="2341"/>
        <item x="68"/>
        <item x="38"/>
        <item x="2885"/>
        <item x="1020"/>
        <item x="946"/>
        <item x="4636"/>
        <item x="1827"/>
        <item x="1980"/>
        <item x="4884"/>
        <item x="4149"/>
        <item x="4630"/>
        <item x="4153"/>
        <item x="2010"/>
        <item x="2804"/>
        <item x="2821"/>
        <item x="3027"/>
        <item x="3148"/>
        <item x="3274"/>
        <item x="3533"/>
        <item x="1645"/>
        <item x="4451"/>
        <item x="3390"/>
        <item x="4679"/>
        <item x="1844"/>
        <item x="606"/>
        <item x="1092"/>
        <item x="2508"/>
        <item x="1628"/>
        <item x="4399"/>
        <item x="605"/>
        <item x="2566"/>
        <item x="896"/>
        <item x="3522"/>
        <item x="3079"/>
        <item x="1317"/>
        <item x="3962"/>
        <item x="3641"/>
        <item x="3938"/>
        <item x="4374"/>
        <item x="363"/>
        <item x="23"/>
        <item x="631"/>
        <item x="4797"/>
        <item x="449"/>
        <item x="4788"/>
        <item x="3307"/>
        <item x="2912"/>
        <item x="654"/>
        <item x="4486"/>
        <item x="1954"/>
        <item x="3137"/>
        <item x="743"/>
        <item x="2574"/>
        <item x="1434"/>
        <item x="1668"/>
        <item x="2853"/>
        <item x="4535"/>
        <item x="1781"/>
        <item x="626"/>
        <item x="2462"/>
        <item x="817"/>
        <item x="3477"/>
        <item x="2086"/>
        <item x="4124"/>
        <item x="4702"/>
        <item x="3498"/>
        <item x="2533"/>
        <item x="4460"/>
        <item x="1255"/>
        <item x="2690"/>
        <item x="2233"/>
        <item x="864"/>
        <item x="2166"/>
        <item x="3838"/>
        <item x="1692"/>
        <item x="4049"/>
        <item x="4718"/>
        <item x="2513"/>
        <item x="3463"/>
        <item x="528"/>
        <item x="2062"/>
        <item x="2444"/>
        <item x="2282"/>
        <item x="1637"/>
        <item x="1139"/>
        <item x="237"/>
        <item x="1764"/>
        <item x="3975"/>
        <item x="1554"/>
        <item x="3020"/>
        <item x="4545"/>
        <item x="3420"/>
        <item x="1065"/>
        <item x="3272"/>
        <item x="2783"/>
        <item x="3347"/>
        <item x="3349"/>
        <item x="2836"/>
        <item x="1045"/>
        <item x="473"/>
        <item x="957"/>
        <item x="3101"/>
        <item x="151"/>
        <item x="2933"/>
        <item x="2419"/>
        <item x="2430"/>
        <item x="1565"/>
        <item x="1864"/>
        <item x="4037"/>
        <item x="4854"/>
        <item x="4900"/>
        <item x="4520"/>
        <item x="1216"/>
        <item x="1566"/>
        <item x="2870"/>
        <item x="1350"/>
        <item x="4581"/>
        <item x="3289"/>
        <item x="4641"/>
        <item x="2481"/>
        <item x="1376"/>
        <item x="4071"/>
        <item x="558"/>
        <item x="810"/>
        <item x="3008"/>
        <item x="3764"/>
        <item x="841"/>
        <item x="2464"/>
        <item x="651"/>
        <item x="2896"/>
        <item x="146"/>
        <item x="2256"/>
        <item x="2672"/>
        <item x="4259"/>
        <item x="3085"/>
        <item x="3344"/>
        <item x="3539"/>
        <item x="427"/>
        <item x="239"/>
        <item x="1900"/>
        <item x="2543"/>
        <item x="3343"/>
        <item x="1477"/>
        <item x="1367"/>
        <item x="4853"/>
        <item x="2630"/>
        <item x="1403"/>
        <item x="2886"/>
        <item x="693"/>
        <item x="288"/>
        <item x="800"/>
        <item x="799"/>
        <item x="4065"/>
        <item x="144"/>
        <item x="2239"/>
        <item x="4297"/>
        <item x="4017"/>
        <item x="4708"/>
        <item x="1933"/>
        <item x="4059"/>
        <item x="2104"/>
        <item x="2770"/>
        <item x="3622"/>
        <item x="1712"/>
        <item x="2162"/>
        <item x="2027"/>
        <item x="243"/>
        <item x="875"/>
        <item x="1895"/>
        <item x="538"/>
        <item x="1251"/>
        <item x="3176"/>
        <item x="2231"/>
        <item x="2167"/>
        <item x="3614"/>
        <item x="4897"/>
        <item x="429"/>
        <item x="1907"/>
        <item x="4359"/>
        <item x="705"/>
        <item x="1838"/>
        <item x="830"/>
        <item x="1018"/>
        <item x="339"/>
        <item x="4669"/>
        <item x="1631"/>
        <item x="3647"/>
        <item x="136"/>
        <item x="902"/>
        <item x="2304"/>
        <item x="3345"/>
        <item x="3189"/>
        <item x="3365"/>
        <item x="2353"/>
        <item x="1327"/>
        <item x="4892"/>
        <item x="1854"/>
        <item x="3732"/>
        <item x="780"/>
        <item x="4635"/>
        <item x="213"/>
        <item x="2837"/>
        <item x="786"/>
        <item x="4523"/>
        <item x="722"/>
        <item x="2957"/>
        <item x="2004"/>
        <item x="2706"/>
        <item x="458"/>
        <item x="323"/>
        <item x="3547"/>
        <item x="359"/>
        <item x="3675"/>
        <item x="4812"/>
        <item x="3309"/>
        <item x="3493"/>
        <item x="4344"/>
        <item x="1212"/>
        <item x="4388"/>
        <item x="2637"/>
        <item x="2987"/>
        <item x="4308"/>
        <item x="3044"/>
        <item x="155"/>
        <item x="1235"/>
        <item x="3666"/>
        <item x="2568"/>
        <item x="2703"/>
        <item x="1490"/>
        <item x="48"/>
        <item x="3096"/>
        <item x="2711"/>
        <item x="223"/>
        <item x="754"/>
        <item x="1288"/>
        <item x="1926"/>
        <item x="4557"/>
        <item x="4623"/>
        <item x="3621"/>
        <item x="4051"/>
        <item x="2683"/>
        <item x="3403"/>
        <item x="844"/>
        <item x="1455"/>
        <item x="1918"/>
        <item x="1754"/>
        <item x="1103"/>
        <item x="2549"/>
        <item x="3751"/>
        <item x="1176"/>
        <item x="2603"/>
        <item x="4901"/>
        <item x="2942"/>
        <item x="3287"/>
        <item x="1375"/>
        <item x="2442"/>
        <item x="3591"/>
        <item x="3849"/>
        <item x="2377"/>
        <item x="751"/>
        <item x="1151"/>
        <item x="4283"/>
        <item x="4594"/>
        <item x="1365"/>
        <item x="1016"/>
        <item x="2758"/>
        <item x="4353"/>
        <item x="738"/>
        <item x="1555"/>
        <item x="4423"/>
        <item x="1903"/>
        <item x="1687"/>
        <item x="4002"/>
        <item x="2565"/>
        <item x="3104"/>
        <item x="563"/>
        <item x="3285"/>
        <item x="2663"/>
        <item x="3681"/>
        <item x="535"/>
        <item x="4498"/>
        <item x="3253"/>
        <item x="944"/>
        <item x="520"/>
        <item x="3241"/>
        <item x="4341"/>
        <item x="3913"/>
        <item x="3421"/>
        <item x="1060"/>
        <item x="3960"/>
        <item x="1533"/>
        <item x="1349"/>
        <item x="2328"/>
        <item x="2748"/>
        <item x="3369"/>
        <item x="3590"/>
        <item x="744"/>
        <item x="4466"/>
        <item x="2254"/>
        <item x="1553"/>
        <item x="4728"/>
        <item x="1891"/>
        <item x="2742"/>
        <item x="956"/>
        <item x="3840"/>
        <item x="177"/>
        <item x="2165"/>
        <item x="212"/>
        <item x="4832"/>
        <item x="4178"/>
        <item x="2640"/>
        <item x="3843"/>
        <item x="874"/>
        <item x="3585"/>
        <item x="2728"/>
        <item x="1763"/>
        <item x="4035"/>
        <item x="667"/>
        <item x="600"/>
        <item x="658"/>
        <item x="1449"/>
        <item x="3930"/>
        <item x="1700"/>
        <item x="3424"/>
        <item x="4826"/>
        <item x="4227"/>
        <item x="4176"/>
        <item x="1779"/>
        <item x="831"/>
        <item x="3383"/>
        <item x="2901"/>
        <item x="4767"/>
        <item x="3816"/>
        <item x="2751"/>
        <item x="580"/>
        <item x="1074"/>
        <item x="399"/>
        <item x="64"/>
        <item x="2547"/>
        <item x="3957"/>
        <item x="2454"/>
        <item x="1909"/>
        <item x="1273"/>
        <item x="3279"/>
        <item x="756"/>
        <item x="2564"/>
        <item x="839"/>
        <item x="3573"/>
        <item x="1152"/>
        <item x="1916"/>
        <item x="3869"/>
        <item x="2592"/>
        <item x="422"/>
        <item x="3903"/>
        <item x="3716"/>
        <item x="3467"/>
        <item x="2908"/>
        <item x="4047"/>
        <item x="2831"/>
        <item x="1747"/>
        <item x="1464"/>
        <item x="3995"/>
        <item x="101"/>
        <item x="3007"/>
        <item x="4377"/>
        <item x="2774"/>
        <item x="3361"/>
        <item x="4347"/>
        <item x="4016"/>
        <item x="3401"/>
        <item x="1359"/>
        <item x="2410"/>
        <item x="1579"/>
        <item x="2106"/>
        <item x="4392"/>
        <item x="456"/>
        <item x="420"/>
        <item x="2335"/>
        <item x="4839"/>
        <item x="4266"/>
        <item x="887"/>
        <item x="4598"/>
        <item x="4689"/>
        <item x="443"/>
        <item x="3560"/>
        <item x="3398"/>
        <item x="1688"/>
        <item x="2375"/>
        <item x="325"/>
        <item x="4189"/>
        <item x="2832"/>
        <item x="3702"/>
        <item x="129"/>
        <item x="2189"/>
        <item x="4286"/>
        <item x="1401"/>
        <item x="1445"/>
        <item x="4193"/>
        <item x="3240"/>
        <item x="1167"/>
        <item x="88"/>
        <item x="2544"/>
        <item x="3354"/>
        <item x="3492"/>
        <item x="1431"/>
        <item x="1193"/>
        <item x="2057"/>
        <item x="4319"/>
        <item x="4201"/>
        <item x="1144"/>
        <item x="4371"/>
        <item x="3657"/>
        <item x="2555"/>
        <item x="747"/>
        <item x="3076"/>
        <item x="3282"/>
        <item x="3225"/>
        <item x="4530"/>
        <item x="1678"/>
        <item x="4653"/>
        <item x="2198"/>
        <item x="1860"/>
        <item x="2872"/>
        <item x="228"/>
        <item x="627"/>
        <item x="1390"/>
        <item x="113"/>
        <item x="2484"/>
        <item x="1465"/>
        <item x="3083"/>
        <item x="3937"/>
        <item x="2367"/>
        <item x="735"/>
        <item x="2554"/>
        <item x="2241"/>
        <item x="2815"/>
        <item x="713"/>
        <item x="1629"/>
        <item x="3752"/>
        <item x="1404"/>
        <item x="3619"/>
        <item x="1422"/>
        <item x="2794"/>
        <item x="3206"/>
        <item x="4597"/>
        <item x="701"/>
        <item x="3483"/>
        <item x="1068"/>
        <item x="6"/>
        <item x="40"/>
        <item x="317"/>
        <item x="4230"/>
        <item x="812"/>
        <item x="3243"/>
        <item x="4072"/>
        <item x="222"/>
        <item x="4681"/>
        <item x="4257"/>
        <item x="3062"/>
        <item x="3462"/>
        <item x="3683"/>
        <item x="2881"/>
        <item x="1647"/>
        <item x="1279"/>
        <item x="688"/>
        <item x="2194"/>
        <item x="106"/>
        <item x="1811"/>
        <item x="2288"/>
        <item x="2840"/>
        <item x="186"/>
        <item x="1630"/>
        <item x="3630"/>
        <item x="1748"/>
        <item x="3747"/>
        <item x="1892"/>
        <item x="1368"/>
        <item x="3894"/>
        <item x="44"/>
        <item x="2548"/>
        <item x="1140"/>
        <item x="178"/>
        <item x="3430"/>
        <item x="4687"/>
        <item x="1066"/>
        <item x="1543"/>
        <item x="210"/>
        <item x="191"/>
        <item x="3103"/>
        <item x="593"/>
        <item x="4793"/>
        <item x="126"/>
        <item x="4113"/>
        <item x="2230"/>
        <item x="2088"/>
        <item x="4151"/>
        <item x="2861"/>
        <item x="1015"/>
        <item x="3269"/>
        <item x="4115"/>
        <item x="2250"/>
        <item x="523"/>
        <item x="2018"/>
        <item x="511"/>
        <item x="1737"/>
        <item x="4643"/>
        <item x="1711"/>
        <item x="306"/>
        <item x="1100"/>
        <item x="620"/>
        <item x="4328"/>
        <item x="3782"/>
        <item x="2697"/>
        <item x="1782"/>
        <item x="299"/>
        <item x="1776"/>
        <item x="4661"/>
        <item x="2997"/>
        <item x="1751"/>
        <item x="1331"/>
        <item x="3542"/>
        <item x="2132"/>
        <item x="298"/>
        <item x="2852"/>
        <item x="2526"/>
        <item x="4247"/>
        <item x="4414"/>
        <item x="3617"/>
        <item x="2284"/>
        <item x="3642"/>
        <item x="4471"/>
        <item x="3014"/>
        <item x="3743"/>
        <item x="3759"/>
        <item x="4753"/>
        <item x="1270"/>
        <item x="4383"/>
        <item x="3278"/>
        <item x="2437"/>
        <item x="1385"/>
        <item x="4847"/>
        <item x="2882"/>
        <item x="2867"/>
        <item x="4165"/>
        <item x="3140"/>
        <item x="628"/>
        <item x="966"/>
        <item x="2929"/>
        <item x="607"/>
        <item x="884"/>
        <item x="2025"/>
        <item x="888"/>
        <item x="2182"/>
        <item x="379"/>
        <item x="3422"/>
        <item x="4774"/>
        <item x="1265"/>
        <item x="336"/>
        <item x="1612"/>
        <item x="410"/>
        <item x="3669"/>
        <item x="2352"/>
        <item x="1131"/>
        <item x="3551"/>
        <item x="3892"/>
        <item x="1129"/>
        <item x="3696"/>
        <item x="3616"/>
        <item x="2273"/>
        <item x="1409"/>
        <item x="1130"/>
        <item x="4118"/>
        <item x="52"/>
        <item x="1760"/>
        <item x="4551"/>
        <item x="3332"/>
        <item x="2921"/>
        <item x="2287"/>
        <item x="1879"/>
        <item x="3348"/>
        <item x="1530"/>
        <item x="4821"/>
        <item x="2460"/>
        <item x="3645"/>
        <item x="4870"/>
        <item x="1578"/>
        <item x="4291"/>
        <item x="1290"/>
        <item x="2450"/>
        <item x="1242"/>
        <item x="1466"/>
        <item x="3941"/>
        <item x="2817"/>
        <item x="110"/>
        <item x="1024"/>
        <item x="537"/>
        <item x="3092"/>
        <item x="2657"/>
        <item x="3414"/>
        <item x="4273"/>
        <item x="2294"/>
        <item x="188"/>
        <item x="4668"/>
        <item x="652"/>
        <item x="3600"/>
        <item x="384"/>
        <item x="141"/>
        <item x="2148"/>
        <item x="4376"/>
        <item x="3451"/>
        <item x="813"/>
        <item x="2631"/>
        <item x="2246"/>
        <item x="1898"/>
        <item x="3890"/>
        <item x="4810"/>
        <item x="2247"/>
        <item x="360"/>
        <item x="1054"/>
        <item x="2181"/>
        <item x="1187"/>
        <item x="2518"/>
        <item x="4861"/>
        <item x="1256"/>
        <item x="755"/>
        <item x="2066"/>
        <item x="3200"/>
        <item x="858"/>
        <item x="4697"/>
        <item x="4161"/>
        <item x="3555"/>
        <item x="3373"/>
        <item x="1718"/>
        <item x="2314"/>
        <item x="4612"/>
        <item x="271"/>
        <item x="428"/>
        <item x="3963"/>
        <item x="3052"/>
        <item x="3386"/>
        <item x="3118"/>
        <item x="357"/>
        <item x="1085"/>
        <item x="4692"/>
        <item x="3164"/>
        <item x="4604"/>
        <item x="4117"/>
        <item x="2787"/>
        <item x="1857"/>
        <item x="2522"/>
        <item x="3924"/>
        <item x="2457"/>
        <item x="240"/>
        <item x="1960"/>
        <item x="1985"/>
        <item x="4207"/>
        <item x="1536"/>
        <item x="1135"/>
        <item x="2016"/>
        <item x="3901"/>
        <item x="3115"/>
        <item x="4464"/>
        <item x="1862"/>
        <item x="4670"/>
        <item x="2299"/>
        <item x="508"/>
        <item x="367"/>
        <item x="3427"/>
        <item x="1611"/>
        <item x="2385"/>
        <item x="1752"/>
        <item x="545"/>
        <item x="1501"/>
        <item x="4332"/>
        <item x="3835"/>
        <item x="3331"/>
        <item x="173"/>
        <item x="2911"/>
        <item x="157"/>
        <item x="4439"/>
        <item x="2300"/>
        <item x="2398"/>
        <item x="4699"/>
        <item x="2932"/>
        <item x="2878"/>
        <item x="79"/>
        <item x="1493"/>
        <item x="4018"/>
        <item x="3355"/>
        <item x="2342"/>
        <item x="2126"/>
        <item x="2391"/>
        <item x="1868"/>
        <item x="4646"/>
        <item x="2509"/>
        <item x="4391"/>
        <item x="2660"/>
        <item x="2380"/>
        <item x="3608"/>
        <item x="4140"/>
        <item x="125"/>
        <item x="182"/>
        <item x="881"/>
        <item x="4157"/>
        <item x="3723"/>
        <item x="4765"/>
        <item x="1614"/>
        <item x="504"/>
        <item x="670"/>
        <item x="158"/>
        <item x="4000"/>
        <item x="1859"/>
        <item x="2810"/>
        <item x="2993"/>
        <item x="1984"/>
        <item x="1798"/>
        <item x="509"/>
        <item x="2364"/>
        <item x="388"/>
        <item x="3162"/>
        <item x="2080"/>
        <item x="2620"/>
        <item x="480"/>
        <item x="60"/>
        <item x="4379"/>
        <item x="3270"/>
        <item x="3557"/>
        <item x="724"/>
        <item x="408"/>
        <item x="893"/>
        <item x="218"/>
        <item x="3208"/>
        <item x="4508"/>
        <item x="3435"/>
        <item x="1639"/>
        <item x="2871"/>
        <item x="3689"/>
        <item x="4198"/>
        <item x="3447"/>
        <item x="2699"/>
        <item x="4454"/>
        <item x="204"/>
        <item x="463"/>
        <item x="2855"/>
        <item x="4295"/>
        <item x="4150"/>
        <item x="3418"/>
        <item x="3324"/>
        <item x="3259"/>
        <item x="3720"/>
        <item x="4238"/>
        <item x="1650"/>
        <item x="3939"/>
        <item x="4175"/>
        <item x="4228"/>
        <item x="513"/>
        <item x="3556"/>
        <item x="773"/>
        <item x="1869"/>
        <item x="2634"/>
        <item x="4846"/>
        <item x="4558"/>
        <item x="4122"/>
        <item x="2047"/>
        <item x="27"/>
        <item x="3947"/>
        <item x="3973"/>
        <item x="849"/>
        <item x="1690"/>
        <item x="1169"/>
        <item x="3003"/>
        <item x="1890"/>
        <item x="1622"/>
        <item x="4156"/>
        <item x="3232"/>
        <item x="1785"/>
        <item x="2185"/>
        <item x="758"/>
        <item x="3873"/>
        <item x="4680"/>
        <item x="2724"/>
        <item x="1924"/>
        <item x="3888"/>
        <item x="901"/>
        <item x="707"/>
        <item x="3325"/>
        <item x="221"/>
        <item x="3362"/>
        <item x="3188"/>
        <item x="1062"/>
        <item x="690"/>
        <item x="2075"/>
        <item x="3867"/>
        <item x="565"/>
        <item x="1698"/>
        <item x="622"/>
        <item x="407"/>
        <item x="2041"/>
        <item x="3727"/>
        <item x="4848"/>
        <item x="742"/>
        <item x="2077"/>
        <item x="572"/>
        <item x="3971"/>
        <item x="2420"/>
        <item x="3611"/>
        <item x="506"/>
        <item x="3169"/>
        <item x="997"/>
        <item x="2195"/>
        <item x="808"/>
        <item x="4903"/>
        <item x="3774"/>
        <item x="2251"/>
        <item x="4673"/>
        <item x="1665"/>
        <item x="2208"/>
        <item x="1978"/>
        <item x="1925"/>
        <item x="2524"/>
        <item x="2180"/>
        <item x="385"/>
        <item x="476"/>
        <item x="4820"/>
        <item x="2945"/>
        <item x="1314"/>
        <item x="2123"/>
        <item x="3679"/>
        <item x="2971"/>
        <item x="459"/>
        <item x="4158"/>
        <item x="3943"/>
        <item x="1438"/>
        <item x="3055"/>
        <item x="2360"/>
        <item x="1047"/>
        <item x="1788"/>
        <item x="82"/>
        <item x="4434"/>
        <item x="259"/>
        <item x="4482"/>
        <item x="4891"/>
        <item x="2702"/>
        <item x="1802"/>
        <item x="729"/>
        <item x="2448"/>
        <item x="3125"/>
        <item x="2220"/>
        <item x="3834"/>
        <item x="2425"/>
        <item x="1180"/>
        <item x="1652"/>
        <item x="762"/>
        <item x="123"/>
        <item x="1843"/>
        <item x="2486"/>
        <item x="39"/>
        <item x="3854"/>
        <item x="1450"/>
        <item x="2625"/>
        <item x="2473"/>
        <item x="2253"/>
        <item x="4550"/>
        <item x="1328"/>
        <item x="4079"/>
        <item x="1828"/>
        <item x="438"/>
        <item x="553"/>
        <item x="2611"/>
        <item x="393"/>
        <item x="3405"/>
        <item x="3972"/>
        <item x="1293"/>
        <item x="4224"/>
        <item x="2643"/>
        <item x="1964"/>
        <item x="1772"/>
        <item x="4917"/>
        <item x="586"/>
        <item x="1426"/>
        <item x="3649"/>
        <item x="1546"/>
        <item x="1497"/>
        <item x="4902"/>
        <item x="3919"/>
        <item x="1666"/>
        <item x="3548"/>
        <item x="430"/>
        <item x="4785"/>
        <item x="3408"/>
        <item x="835"/>
        <item x="1961"/>
        <item x="4840"/>
        <item x="2520"/>
        <item x="3251"/>
        <item x="684"/>
        <item x="4874"/>
        <item x="4103"/>
        <item x="514"/>
        <item x="1067"/>
        <item x="1055"/>
        <item x="1472"/>
        <item x="1705"/>
        <item x="3872"/>
        <item x="3855"/>
        <item x="1361"/>
        <item x="4875"/>
        <item x="779"/>
        <item x="2171"/>
        <item x="4921"/>
        <item x="50"/>
        <item x="3664"/>
        <item x="3770"/>
        <item x="533"/>
        <item x="3655"/>
        <item x="3238"/>
        <item x="3128"/>
        <item x="405"/>
        <item x="2490"/>
        <item x="555"/>
        <item x="4791"/>
        <item x="1636"/>
        <item x="4863"/>
        <item x="1922"/>
        <item x="3342"/>
        <item x="2102"/>
        <item x="421"/>
        <item x="804"/>
        <item x="763"/>
        <item x="3155"/>
        <item x="2035"/>
        <item x="1188"/>
        <item x="1"/>
        <item x="3105"/>
        <item x="3910"/>
        <item x="761"/>
        <item x="2909"/>
        <item x="1120"/>
        <item x="3729"/>
        <item x="286"/>
        <item x="2415"/>
        <item x="2271"/>
        <item x="2137"/>
        <item x="2130"/>
        <item x="976"/>
        <item x="3372"/>
        <item x="666"/>
        <item x="2505"/>
        <item x="490"/>
        <item x="3808"/>
        <item x="4898"/>
        <item x="3136"/>
        <item x="1089"/>
        <item x="3170"/>
        <item x="1767"/>
        <item x="873"/>
        <item x="2206"/>
        <item x="1326"/>
        <item x="542"/>
        <item x="3117"/>
        <item x="4422"/>
        <item x="3631"/>
        <item x="4893"/>
        <item x="1950"/>
        <item x="3571"/>
        <item x="4639"/>
        <item x="2465"/>
        <item x="4242"/>
        <item x="1262"/>
        <item x="1744"/>
        <item x="3220"/>
        <item x="489"/>
        <item x="3777"/>
        <item x="635"/>
        <item x="4208"/>
        <item x="3178"/>
        <item x="238"/>
        <item x="4828"/>
        <item x="3691"/>
        <item x="235"/>
        <item x="502"/>
        <item x="4529"/>
        <item x="911"/>
        <item x="4703"/>
        <item x="3785"/>
        <item x="174"/>
        <item x="2793"/>
        <item x="3778"/>
        <item x="2272"/>
        <item x="4080"/>
        <item x="2461"/>
        <item x="1970"/>
        <item x="657"/>
        <item x="4030"/>
        <item x="596"/>
        <item x="1634"/>
        <item x="3464"/>
        <item x="1616"/>
        <item x="948"/>
        <item x="1043"/>
        <item x="4183"/>
        <item x="31"/>
        <item x="2129"/>
        <item x="4578"/>
        <item x="4015"/>
        <item x="1728"/>
        <item x="1589"/>
        <item x="726"/>
        <item x="1638"/>
        <item x="4796"/>
        <item x="1304"/>
        <item x="137"/>
        <item x="2649"/>
        <item x="3668"/>
        <item x="3341"/>
        <item x="3577"/>
        <item x="2365"/>
        <item x="3581"/>
        <item x="4254"/>
        <item x="4576"/>
        <item x="215"/>
        <item x="354"/>
        <item x="677"/>
        <item x="760"/>
        <item x="2399"/>
        <item x="4761"/>
        <item x="4582"/>
        <item x="3877"/>
        <item x="372"/>
        <item x="2338"/>
        <item x="3294"/>
        <item x="4204"/>
        <item x="1137"/>
        <item x="1836"/>
        <item x="1930"/>
        <item x="1769"/>
        <item x="3646"/>
        <item x="2223"/>
        <item x="2874"/>
        <item x="1042"/>
        <item x="1499"/>
        <item x="2744"/>
        <item x="1246"/>
        <item x="664"/>
        <item x="560"/>
        <item x="2362"/>
        <item x="4"/>
        <item x="1158"/>
        <item x="2063"/>
        <item x="4705"/>
        <item x="4549"/>
        <item x="4446"/>
        <item x="2308"/>
        <item x="419"/>
        <item x="1338"/>
        <item x="365"/>
        <item x="3281"/>
        <item x="4754"/>
        <item x="395"/>
        <item x="4489"/>
        <item x="95"/>
        <item x="1962"/>
        <item x="4050"/>
        <item x="24"/>
        <item x="3541"/>
        <item x="2264"/>
        <item x="2791"/>
        <item x="954"/>
        <item x="2627"/>
        <item x="214"/>
        <item x="3329"/>
        <item x="1105"/>
        <item x="2656"/>
        <item x="1019"/>
        <item x="2405"/>
        <item x="589"/>
        <item x="3316"/>
        <item x="2529"/>
        <item x="686"/>
        <item x="3893"/>
        <item x="4555"/>
        <item x="4918"/>
        <item x="2156"/>
        <item x="2563"/>
        <item x="1299"/>
        <item x="166"/>
        <item x="406"/>
        <item x="1462"/>
        <item x="400"/>
        <item x="4562"/>
        <item x="3707"/>
        <item x="4362"/>
        <item x="3234"/>
        <item x="559"/>
        <item x="2976"/>
        <item x="4904"/>
        <item x="2856"/>
        <item x="562"/>
        <item x="3964"/>
        <item x="3661"/>
        <item x="1915"/>
        <item x="2187"/>
        <item x="1810"/>
        <item x="263"/>
        <item x="497"/>
        <item x="3029"/>
        <item x="4126"/>
        <item x="2145"/>
        <item x="3123"/>
        <item x="3397"/>
        <item x="4425"/>
        <item x="4052"/>
        <item x="4642"/>
        <item x="310"/>
        <item x="2838"/>
        <item x="3693"/>
        <item x="426"/>
        <item x="3495"/>
        <item x="352"/>
        <item x="4125"/>
        <item x="3966"/>
        <item x="4401"/>
        <item x="4638"/>
        <item x="4864"/>
        <item x="1928"/>
        <item x="1623"/>
        <item x="2382"/>
        <item x="478"/>
        <item x="1334"/>
        <item x="2714"/>
        <item x="2635"/>
        <item x="84"/>
        <item x="3078"/>
        <item x="2258"/>
        <item x="1617"/>
        <item x="4603"/>
        <item x="4682"/>
        <item x="1853"/>
        <item x="3739"/>
        <item x="1346"/>
        <item x="4783"/>
        <item x="4385"/>
        <item x="1957"/>
        <item x="3135"/>
        <item x="1148"/>
        <item x="1953"/>
        <item x="971"/>
        <item x="1605"/>
        <item x="1676"/>
        <item x="2949"/>
        <item x="3304"/>
        <item x="3090"/>
        <item x="4916"/>
        <item x="3767"/>
        <item x="4343"/>
        <item x="2550"/>
        <item x="2354"/>
        <item x="390"/>
        <item x="3024"/>
        <item x="3100"/>
        <item x="619"/>
        <item x="4554"/>
        <item x="3749"/>
        <item x="2841"/>
        <item x="1348"/>
        <item x="3283"/>
        <item x="1714"/>
        <item x="787"/>
        <item x="4751"/>
        <item x="4862"/>
        <item x="1308"/>
        <item x="3912"/>
        <item x="3977"/>
        <item x="4782"/>
        <item x="3780"/>
        <item x="2370"/>
        <item x="2161"/>
        <item x="13"/>
        <item x="521"/>
        <item x="991"/>
        <item x="3653"/>
        <item x="1241"/>
        <item x="4006"/>
        <item x="199"/>
        <item x="1274"/>
        <item x="2720"/>
        <item x="4747"/>
        <item x="2446"/>
        <item x="2347"/>
        <item x="320"/>
        <item x="4060"/>
        <item x="621"/>
        <item x="2200"/>
        <item x="3537"/>
        <item x="2263"/>
        <item x="3202"/>
        <item x="3583"/>
        <item x="1408"/>
        <item x="1528"/>
        <item x="3981"/>
        <item x="639"/>
        <item x="727"/>
        <item x="3213"/>
        <item x="1307"/>
        <item x="2202"/>
        <item x="1981"/>
        <item x="4713"/>
        <item x="1556"/>
        <item x="4568"/>
        <item x="3538"/>
        <item x="1377"/>
        <item x="1333"/>
        <item x="3787"/>
        <item x="2140"/>
        <item x="425"/>
        <item x="866"/>
        <item x="25"/>
        <item x="2428"/>
        <item x="4067"/>
        <item x="3056"/>
        <item x="1162"/>
        <item x="4087"/>
        <item x="578"/>
        <item x="2523"/>
        <item x="711"/>
        <item x="3261"/>
        <item x="3862"/>
        <item x="2349"/>
        <item x="2082"/>
        <item x="2032"/>
        <item x="2458"/>
        <item x="2844"/>
        <item x="2459"/>
        <item x="3371"/>
        <item x="1476"/>
        <item x="3360"/>
        <item x="4429"/>
        <item x="161"/>
        <item x="284"/>
        <item x="3687"/>
        <item x="1096"/>
        <item x="964"/>
        <item x="2043"/>
        <item x="2792"/>
        <item x="4546"/>
        <item x="2343"/>
        <item x="3944"/>
        <item x="2924"/>
        <item x="4566"/>
        <item x="1771"/>
        <item x="66"/>
        <item x="4750"/>
        <item x="3686"/>
        <item x="99"/>
        <item x="4769"/>
        <item x="378"/>
        <item x="1128"/>
        <item x="2876"/>
        <item x="4137"/>
        <item x="3302"/>
        <item x="3484"/>
        <item x="4720"/>
        <item x="2762"/>
        <item x="2204"/>
        <item x="4105"/>
        <item x="1239"/>
        <item x="853"/>
        <item x="2393"/>
        <item x="30"/>
        <item x="1108"/>
        <item x="4807"/>
        <item x="330"/>
        <item x="2475"/>
        <item x="4237"/>
        <item x="1887"/>
        <item x="3740"/>
        <item x="276"/>
        <item x="4511"/>
        <item x="2721"/>
        <item x="2177"/>
        <item x="4579"/>
        <item x="266"/>
        <item x="4041"/>
        <item x="232"/>
        <item x="3126"/>
        <item x="211"/>
        <item x="2615"/>
        <item x="3566"/>
        <item x="1716"/>
        <item x="2710"/>
        <item x="1846"/>
        <item x="3502"/>
        <item x="2571"/>
        <item x="3580"/>
        <item x="2192"/>
        <item x="1609"/>
        <item x="2368"/>
        <item x="1036"/>
        <item x="3524"/>
        <item x="3959"/>
        <item x="4181"/>
        <item x="1989"/>
        <item x="376"/>
        <item x="1097"/>
        <item x="3660"/>
        <item x="4366"/>
        <item x="4920"/>
        <item x="3356"/>
        <item x="311"/>
        <item x="1518"/>
        <item x="3546"/>
        <item x="2606"/>
        <item x="382"/>
        <item x="2252"/>
        <item x="3173"/>
        <item x="4269"/>
        <item x="2560"/>
        <item x="4180"/>
        <item x="92"/>
        <item x="1410"/>
        <item x="3950"/>
        <item x="816"/>
        <item x="1341"/>
        <item x="262"/>
        <item x="2146"/>
        <item x="236"/>
        <item x="2639"/>
        <item x="697"/>
        <item x="1941"/>
        <item x="4474"/>
        <item x="977"/>
        <item x="2920"/>
        <item x="570"/>
        <item x="3185"/>
        <item x="1592"/>
        <item x="3288"/>
        <item x="1287"/>
        <item x="362"/>
        <item x="4915"/>
        <item x="1824"/>
        <item x="4061"/>
        <item x="646"/>
        <item x="2051"/>
        <item x="981"/>
        <item x="4102"/>
        <item x="916"/>
        <item x="3969"/>
        <item x="80"/>
        <item x="2998"/>
        <item x="1075"/>
        <item x="1830"/>
        <item x="1033"/>
        <item x="4542"/>
        <item x="431"/>
        <item x="1000"/>
        <item x="3179"/>
        <item x="634"/>
        <item x="4255"/>
        <item x="1297"/>
        <item x="4029"/>
        <item x="1480"/>
        <item x="3377"/>
        <item x="611"/>
        <item x="2558"/>
        <item x="1793"/>
        <item x="2769"/>
        <item x="3895"/>
        <item x="1264"/>
        <item x="3425"/>
        <item x="3824"/>
        <item x="4336"/>
        <item x="3654"/>
        <item x="1840"/>
        <item x="2215"/>
        <item x="710"/>
        <item x="1646"/>
        <item x="2798"/>
        <item x="3075"/>
        <item x="4174"/>
        <item x="1604"/>
        <item x="3812"/>
        <item x="3887"/>
        <item x="845"/>
        <item x="135"/>
        <item x="53"/>
        <item x="721"/>
        <item x="3953"/>
        <item x="1988"/>
        <item x="119"/>
        <item x="1800"/>
        <item x="3459"/>
        <item x="4625"/>
        <item x="2008"/>
        <item x="3889"/>
        <item x="2614"/>
        <item x="2110"/>
        <item x="1417"/>
        <item x="2980"/>
        <item x="4741"/>
        <item x="2857"/>
        <item x="4445"/>
        <item x="3080"/>
        <item x="1121"/>
        <item x="318"/>
        <item x="4608"/>
        <item x="2133"/>
        <item x="2799"/>
        <item x="3676"/>
        <item x="4045"/>
        <item x="19"/>
        <item x="1345"/>
        <item x="4396"/>
        <item x="4667"/>
        <item x="2718"/>
        <item x="534"/>
        <item x="1725"/>
        <item x="245"/>
        <item x="2340"/>
        <item x="507"/>
        <item x="4711"/>
        <item x="1384"/>
        <item x="3857"/>
        <item x="753"/>
        <item x="169"/>
        <item x="2834"/>
        <item x="3945"/>
        <item x="67"/>
        <item x="11"/>
        <item x="4139"/>
        <item x="2207"/>
        <item x="1113"/>
        <item x="2995"/>
        <item x="4462"/>
        <item x="4715"/>
        <item x="3904"/>
        <item x="4110"/>
        <item x="669"/>
        <item x="3690"/>
        <item x="1945"/>
        <item x="4686"/>
        <item x="2213"/>
        <item x="3798"/>
        <item x="4004"/>
        <item x="343"/>
        <item x="3499"/>
        <item x="1298"/>
        <item x="741"/>
        <item x="3665"/>
        <item x="2172"/>
        <item x="2661"/>
        <item x="1621"/>
        <item x="3697"/>
        <item x="1211"/>
        <item x="4404"/>
        <item x="4778"/>
        <item x="4081"/>
        <item x="3765"/>
        <item x="1133"/>
        <item x="4304"/>
        <item x="4042"/>
        <item x="4817"/>
        <item x="945"/>
        <item x="1746"/>
        <item x="2013"/>
        <item x="3512"/>
        <item x="3685"/>
        <item x="2972"/>
        <item x="883"/>
        <item x="522"/>
        <item x="1025"/>
        <item x="3258"/>
        <item x="4219"/>
        <item x="293"/>
        <item x="34"/>
        <item x="3457"/>
        <item x="2441"/>
        <item x="4786"/>
        <item x="3491"/>
        <item x="1382"/>
        <item x="1439"/>
        <item x="1258"/>
        <item x="638"/>
        <item x="900"/>
        <item x="3196"/>
        <item x="94"/>
        <item x="1005"/>
        <item x="990"/>
        <item x="3330"/>
        <item x="3998"/>
        <item x="2816"/>
        <item x="3290"/>
        <item x="2147"/>
        <item x="1420"/>
        <item x="524"/>
        <item x="2897"/>
        <item x="2877"/>
        <item x="2650"/>
        <item x="4091"/>
        <item x="993"/>
        <item x="2725"/>
        <item x="279"/>
        <item x="4305"/>
        <item x="4233"/>
        <item x="2960"/>
        <item x="3237"/>
        <item x="2578"/>
        <item x="2613"/>
        <item x="2221"/>
        <item x="3187"/>
        <item x="4677"/>
        <item x="661"/>
        <item x="342"/>
        <item x="2485"/>
        <item x="4258"/>
        <item x="2938"/>
        <item x="3352"/>
        <item x="4740"/>
        <item x="1252"/>
        <item x="2141"/>
        <item x="4356"/>
        <item x="1205"/>
        <item x="75"/>
        <item x="4185"/>
        <item x="3578"/>
        <item x="4435"/>
        <item x="806"/>
        <item x="947"/>
        <item x="4164"/>
        <item x="967"/>
        <item x="3468"/>
        <item x="516"/>
        <item x="4564"/>
        <item x="4541"/>
        <item x="2120"/>
        <item x="1084"/>
        <item x="180"/>
        <item x="202"/>
        <item x="4607"/>
        <item x="3021"/>
        <item x="2517"/>
        <item x="3249"/>
        <item x="3252"/>
        <item x="2478"/>
        <item x="2296"/>
        <item x="2384"/>
        <item x="4671"/>
        <item x="1203"/>
        <item x="992"/>
        <item x="3404"/>
        <item x="4172"/>
        <item x="308"/>
        <item x="2626"/>
        <item x="21"/>
        <item x="1516"/>
        <item x="960"/>
        <item x="4148"/>
        <item x="2309"/>
        <item x="598"/>
        <item x="4039"/>
        <item x="389"/>
        <item x="483"/>
        <item x="4524"/>
        <item x="1877"/>
        <item x="4026"/>
        <item x="907"/>
        <item x="4184"/>
        <item x="3793"/>
        <item x="1115"/>
        <item x="1571"/>
        <item x="3725"/>
        <item x="1022"/>
        <item x="1484"/>
        <item x="1337"/>
        <item x="1549"/>
        <item x="4090"/>
        <item x="3613"/>
        <item x="1278"/>
        <item x="1852"/>
        <item x="1470"/>
        <item x="1939"/>
        <item x="3845"/>
        <item x="1657"/>
        <item x="117"/>
        <item x="4093"/>
        <item x="418"/>
        <item x="203"/>
        <item x="302"/>
        <item x="4465"/>
        <item x="1448"/>
        <item x="895"/>
        <item x="2163"/>
        <item x="3009"/>
        <item x="278"/>
        <item x="3775"/>
        <item x="2764"/>
        <item x="1281"/>
        <item x="145"/>
        <item x="1031"/>
        <item x="3084"/>
        <item x="1309"/>
        <item x="4693"/>
        <item x="3731"/>
        <item x="4764"/>
        <item x="4640"/>
        <item x="720"/>
        <item x="3254"/>
        <item x="4406"/>
        <item x="2880"/>
        <item x="633"/>
        <item x="2248"/>
        <item x="2866"/>
        <item x="531"/>
        <item x="1487"/>
        <item x="3705"/>
        <item x="2648"/>
        <item x="3535"/>
        <item x="1966"/>
        <item x="1851"/>
        <item x="2363"/>
        <item x="932"/>
        <item x="2134"/>
        <item x="3275"/>
        <item x="2898"/>
        <item x="2797"/>
        <item x="265"/>
        <item x="2716"/>
        <item x="2979"/>
        <item x="4027"/>
        <item x="2495"/>
        <item x="2664"/>
        <item x="394"/>
        <item x="4851"/>
        <item x="1913"/>
        <item x="1166"/>
        <item x="1672"/>
        <item x="2952"/>
        <item x="4795"/>
        <item x="1603"/>
        <item x="1643"/>
        <item x="3766"/>
        <item x="1076"/>
        <item x="1223"/>
        <item x="772"/>
        <item x="3936"/>
        <item x="1277"/>
        <item x="899"/>
        <item x="3769"/>
        <item x="3305"/>
        <item x="2044"/>
        <item x="2090"/>
        <item x="3831"/>
        <item x="3476"/>
        <item x="296"/>
        <item x="3134"/>
        <item x="2357"/>
        <item x="1901"/>
        <item x="97"/>
        <item x="2913"/>
        <item x="16"/>
        <item x="3165"/>
        <item x="2235"/>
        <item x="662"/>
        <item x="1881"/>
        <item x="4317"/>
        <item x="3639"/>
        <item x="4572"/>
        <item x="3440"/>
        <item x="3061"/>
        <item x="4721"/>
        <item x="3553"/>
        <item x="4748"/>
        <item x="917"/>
        <item x="821"/>
        <item x="2214"/>
        <item x="1039"/>
        <item x="3047"/>
        <item x="4265"/>
        <item x="4650"/>
        <item x="4492"/>
        <item x="3880"/>
        <item x="4845"/>
        <item x="1873"/>
        <item x="4665"/>
        <item x="4082"/>
        <item x="364"/>
        <item x="253"/>
        <item x="1452"/>
        <item x="1021"/>
        <item x="1371"/>
        <item x="974"/>
        <item x="4412"/>
        <item x="1280"/>
        <item x="3466"/>
        <item x="448"/>
        <item x="1419"/>
        <item x="3597"/>
        <item x="1795"/>
        <item x="3439"/>
        <item x="3990"/>
        <item x="398"/>
        <item x="623"/>
        <item x="4507"/>
        <item x="636"/>
        <item x="1453"/>
        <item x="2329"/>
        <item x="4206"/>
        <item x="2107"/>
        <item x="2780"/>
        <item x="2324"/>
        <item x="4043"/>
        <item x="1391"/>
        <item x="942"/>
        <item x="1177"/>
        <item x="1208"/>
        <item x="2576"/>
        <item x="2600"/>
        <item x="629"/>
        <item x="3156"/>
        <item x="2376"/>
        <item x="890"/>
        <item x="3301"/>
        <item x="3045"/>
        <item x="3506"/>
        <item x="35"/>
        <item x="4829"/>
        <item x="37"/>
        <item x="3879"/>
        <item x="852"/>
        <item x="3217"/>
        <item x="2884"/>
        <item x="4352"/>
        <item x="1119"/>
        <item x="4092"/>
        <item x="3625"/>
        <item x="2403"/>
        <item x="1378"/>
        <item x="519"/>
        <item x="1998"/>
        <item x="2682"/>
        <item x="1101"/>
        <item x="130"/>
        <item x="2078"/>
        <item x="834"/>
        <item x="1804"/>
        <item x="3264"/>
        <item x="2416"/>
        <item x="4271"/>
        <item x="12"/>
        <item x="2954"/>
        <item x="1332"/>
        <item x="1990"/>
        <item x="1134"/>
        <item x="848"/>
        <item x="1837"/>
        <item x="2387"/>
        <item x="510"/>
        <item x="4725"/>
        <item x="1600"/>
        <item x="2712"/>
        <item x="375"/>
        <item x="4014"/>
        <item x="2261"/>
        <item x="1660"/>
        <item x="2321"/>
        <item x="965"/>
        <item x="4756"/>
        <item x="4020"/>
        <item x="601"/>
        <item x="3830"/>
        <item x="3154"/>
        <item x="3067"/>
        <item x="2072"/>
        <item x="147"/>
        <item x="333"/>
        <item x="1773"/>
        <item x="2466"/>
        <item x="397"/>
        <item x="1624"/>
        <item x="1975"/>
        <item x="3865"/>
        <item x="2"/>
        <item x="968"/>
        <item x="2224"/>
        <item x="229"/>
        <item x="2211"/>
        <item x="3708"/>
        <item x="3471"/>
        <item x="347"/>
        <item x="842"/>
        <item x="2348"/>
        <item x="2006"/>
        <item x="644"/>
        <item x="2918"/>
        <item x="3033"/>
        <item x="4437"/>
        <item x="3042"/>
        <item x="796"/>
        <item x="3603"/>
        <item x="3273"/>
        <item x="345"/>
        <item x="3192"/>
        <item x="2659"/>
        <item x="2717"/>
        <item x="2157"/>
        <item x="3306"/>
        <item x="2326"/>
        <item x="3698"/>
        <item x="2033"/>
        <item x="2519"/>
        <item x="4085"/>
        <item x="258"/>
        <item x="3532"/>
        <item x="1456"/>
        <item x="2977"/>
        <item x="2752"/>
        <item x="4831"/>
        <item x="918"/>
        <item x="58"/>
        <item x="2705"/>
        <item x="702"/>
        <item x="4012"/>
        <item x="3488"/>
        <item x="2784"/>
        <item x="2030"/>
        <item x="4142"/>
        <item x="2760"/>
        <item x="2286"/>
        <item x="387"/>
        <item x="1976"/>
        <item x="1847"/>
        <item x="1806"/>
        <item x="4395"/>
        <item x="1525"/>
        <item x="1547"/>
        <item x="3626"/>
        <item x="1263"/>
        <item x="2521"/>
        <item x="4070"/>
        <item x="501"/>
        <item x="1230"/>
        <item x="889"/>
        <item x="4784"/>
        <item x="3850"/>
        <item x="579"/>
        <item x="2990"/>
        <item x="1056"/>
        <item x="4389"/>
        <item x="1117"/>
        <item x="3318"/>
        <item x="871"/>
        <item x="4499"/>
        <item x="4475"/>
        <item x="1674"/>
        <item x="4503"/>
        <item x="4899"/>
        <item x="2746"/>
        <item x="655"/>
        <item x="2503"/>
        <item x="3632"/>
        <item x="2322"/>
        <item x="3680"/>
        <item x="2311"/>
        <item x="4109"/>
        <item x="748"/>
        <item x="3322"/>
        <item x="1524"/>
        <item x="4856"/>
        <item x="3525"/>
        <item x="3392"/>
        <item x="3102"/>
        <item x="122"/>
        <item x="2099"/>
        <item x="505"/>
        <item x="2584"/>
        <item x="1787"/>
        <item x="2602"/>
        <item x="496"/>
        <item x="2009"/>
        <item x="3992"/>
        <item x="1626"/>
        <item x="847"/>
        <item x="2999"/>
        <item x="4876"/>
        <item x="2121"/>
        <item x="404"/>
        <item x="3382"/>
        <item x="1145"/>
        <item x="2100"/>
        <item x="1948"/>
        <item x="282"/>
        <item x="3803"/>
        <item x="4160"/>
        <item x="4040"/>
        <item x="1442"/>
        <item x="4251"/>
        <item x="4732"/>
        <item x="958"/>
        <item x="3983"/>
        <item x="4880"/>
        <item x="3837"/>
        <item x="9"/>
        <item x="3832"/>
        <item x="1013"/>
        <item x="937"/>
        <item x="1584"/>
        <item x="4583"/>
        <item x="3820"/>
        <item x="4674"/>
        <item x="1680"/>
        <item x="2828"/>
        <item x="132"/>
        <item x="3733"/>
        <item x="112"/>
        <item x="2144"/>
        <item x="3431"/>
        <item x="4872"/>
        <item x="4246"/>
        <item x="4066"/>
        <item x="3391"/>
        <item x="4318"/>
        <item x="3517"/>
        <item x="1343"/>
        <item x="1839"/>
        <item x="802"/>
        <item x="1488"/>
        <item x="1052"/>
        <item x="1286"/>
        <item x="100"/>
        <item x="3454"/>
        <item x="1081"/>
        <item x="2591"/>
        <item x="4135"/>
        <item x="2931"/>
        <item x="2275"/>
        <item x="3351"/>
        <item x="1632"/>
        <item x="1383"/>
        <item x="788"/>
        <item x="289"/>
        <item x="4146"/>
        <item x="3864"/>
        <item x="750"/>
        <item x="1899"/>
        <item x="1071"/>
        <item x="2680"/>
        <item x="1136"/>
        <item x="4057"/>
        <item x="4170"/>
        <item x="1832"/>
        <item x="2756"/>
        <item x="3163"/>
        <item x="1063"/>
        <item x="3160"/>
        <item x="2153"/>
        <item x="124"/>
        <item x="3961"/>
        <item x="3550"/>
        <item x="614"/>
        <item x="3395"/>
        <item x="4448"/>
        <item x="4543"/>
        <item x="3692"/>
        <item x="4019"/>
        <item x="1111"/>
        <item x="879"/>
        <item x="4114"/>
        <item x="1082"/>
        <item x="3670"/>
        <item x="4098"/>
        <item x="3688"/>
        <item x="3186"/>
        <item x="338"/>
        <item x="4632"/>
        <item x="746"/>
        <item x="679"/>
        <item x="725"/>
        <item x="3448"/>
        <item x="3750"/>
        <item x="4315"/>
        <item x="3563"/>
        <item x="2396"/>
        <item x="4136"/>
        <item x="3638"/>
        <item x="703"/>
        <item x="4284"/>
        <item x="2479"/>
        <item x="1697"/>
        <item x="4413"/>
        <item x="356"/>
        <item x="109"/>
        <item x="4538"/>
        <item x="4866"/>
        <item x="301"/>
        <item x="4865"/>
        <item x="3089"/>
        <item x="3878"/>
        <item x="4023"/>
        <item x="2546"/>
        <item x="4485"/>
        <item x="4780"/>
        <item x="1816"/>
        <item x="1829"/>
        <item x="1118"/>
        <item x="1582"/>
        <item x="231"/>
        <item x="349"/>
        <item x="2772"/>
        <item x="1301"/>
        <item x="3618"/>
        <item x="3596"/>
        <item x="4458"/>
        <item x="403"/>
        <item x="3818"/>
        <item x="3122"/>
        <item x="4234"/>
        <item x="4477"/>
        <item x="1478"/>
        <item x="2447"/>
        <item x="774"/>
        <item x="3772"/>
        <item x="439"/>
        <item x="1834"/>
        <item x="3742"/>
        <item x="2808"/>
        <item x="4858"/>
        <item x="1906"/>
        <item x="2737"/>
        <item x="975"/>
        <item x="4775"/>
        <item x="1357"/>
        <item x="4825"/>
        <item x="2337"/>
        <item x="3257"/>
        <item x="2940"/>
        <item x="1171"/>
        <item x="4289"/>
        <item x="3678"/>
        <item x="1517"/>
        <item x="3069"/>
        <item x="2201"/>
        <item x="148"/>
        <item x="2888"/>
        <item x="4739"/>
        <item x="1856"/>
        <item x="3684"/>
        <item x="1190"/>
        <item x="4357"/>
        <item x="500"/>
        <item x="2775"/>
        <item x="2570"/>
        <item x="3523"/>
        <item x="769"/>
        <item x="3505"/>
        <item x="2119"/>
        <item x="1132"/>
        <item x="2310"/>
        <item x="3277"/>
        <item x="2899"/>
        <item x="4844"/>
        <item x="85"/>
        <item x="2400"/>
        <item x="4855"/>
        <item x="2848"/>
        <item x="951"/>
        <item x="2358"/>
        <item x="699"/>
        <item x="28"/>
        <item x="857"/>
        <item x="2265"/>
        <item x="4123"/>
        <item x="1198"/>
        <item x="1817"/>
        <item x="2019"/>
        <item x="3810"/>
        <item x="1228"/>
        <item x="3529"/>
        <item x="826"/>
        <item x="2026"/>
        <item x="3087"/>
        <item x="2598"/>
        <item x="3303"/>
        <item x="1232"/>
        <item x="1825"/>
        <item x="2701"/>
        <item x="3058"/>
        <item x="2864"/>
        <item x="2763"/>
        <item x="4723"/>
        <item x="4245"/>
        <item x="383"/>
        <item x="801"/>
        <item x="709"/>
        <item x="2759"/>
        <item x="1521"/>
        <item x="4409"/>
        <item x="1986"/>
        <item x="2390"/>
        <item x="4397"/>
        <item x="2150"/>
        <item x="4260"/>
        <item x="4267"/>
        <item x="3501"/>
        <item x="983"/>
        <item x="3144"/>
        <item x="2438"/>
        <item x="904"/>
        <item x="4629"/>
        <item x="1564"/>
        <item x="2470"/>
        <item x="3376"/>
        <item x="465"/>
        <item x="4505"/>
        <item x="56"/>
        <item x="2298"/>
        <item x="1598"/>
        <item x="3244"/>
        <item x="4569"/>
        <item x="1937"/>
        <item x="197"/>
        <item x="2557"/>
        <item x="374"/>
        <item x="1165"/>
        <item x="4133"/>
        <item x="4322"/>
        <item x="47"/>
        <item x="2002"/>
        <item x="2386"/>
        <item x="4733"/>
        <item x="3168"/>
        <item x="1723"/>
        <item x="973"/>
        <item x="1653"/>
        <item x="4031"/>
        <item x="2806"/>
        <item x="3143"/>
        <item x="1733"/>
        <item x="3410"/>
        <item x="4009"/>
        <item x="3388"/>
        <item x="4792"/>
        <item x="3935"/>
        <item x="4408"/>
        <item x="980"/>
        <item x="1548"/>
        <item x="2371"/>
        <item x="3142"/>
        <item x="1406"/>
        <item x="45"/>
        <item x="162"/>
        <item x="2757"/>
        <item x="1083"/>
        <item x="108"/>
        <item x="46"/>
        <item x="1399"/>
        <item x="2978"/>
        <item x="457"/>
        <item x="369"/>
        <item x="316"/>
        <item x="3205"/>
        <item x="1591"/>
        <item x="4700"/>
        <item x="2069"/>
        <item x="1522"/>
        <item x="4666"/>
        <item x="2350"/>
        <item x="2351"/>
        <item x="1305"/>
        <item x="4644"/>
        <item x="1026"/>
        <item x="402"/>
        <item x="1360"/>
        <item x="1088"/>
        <item x="3099"/>
        <item x="2860"/>
        <item x="3559"/>
        <item x="822"/>
        <item x="4166"/>
        <item x="4621"/>
        <item x="1599"/>
        <item x="4658"/>
        <item x="4476"/>
        <item x="3094"/>
        <item x="1730"/>
        <item x="3201"/>
        <item x="3230"/>
        <item x="3582"/>
        <item x="3570"/>
        <item x="4106"/>
        <item x="2467"/>
        <item x="1979"/>
        <item x="1168"/>
        <item x="1732"/>
        <item x="4736"/>
        <item x="3595"/>
        <item x="4349"/>
        <item x="4190"/>
        <item x="90"/>
        <item x="4480"/>
        <item x="819"/>
        <item x="3518"/>
        <item x="2779"/>
        <item x="2408"/>
        <item x="1977"/>
        <item x="332"/>
        <item x="4722"/>
        <item x="380"/>
        <item x="2392"/>
        <item x="3364"/>
        <item x="1765"/>
        <item x="1471"/>
        <item x="1973"/>
        <item x="1897"/>
        <item x="1106"/>
        <item x="4096"/>
        <item x="1380"/>
        <item x="4771"/>
        <item x="1841"/>
        <item x="833"/>
        <item x="1323"/>
        <item x="3350"/>
        <item x="2497"/>
        <item x="3925"/>
        <item x="2112"/>
        <item x="3465"/>
        <item x="4281"/>
        <item x="1093"/>
        <item x="1001"/>
        <item x="1123"/>
        <item x="1502"/>
        <item x="2951"/>
        <item x="1882"/>
        <item x="2843"/>
        <item x="3409"/>
        <item x="2707"/>
        <item x="4187"/>
        <item x="4022"/>
        <item x="1451"/>
        <item x="910"/>
        <item x="903"/>
        <item x="42"/>
        <item x="2270"/>
        <item x="2789"/>
        <item x="1994"/>
        <item x="3948"/>
        <item x="230"/>
        <item x="4599"/>
        <item x="3379"/>
        <item x="4824"/>
        <item x="1182"/>
        <item x="2142"/>
        <item x="3637"/>
        <item x="4837"/>
        <item x="4416"/>
        <item x="1291"/>
        <item x="4097"/>
        <item x="434"/>
        <item x="643"/>
        <item x="935"/>
        <item x="4205"/>
        <item x="55"/>
        <item x="4218"/>
        <item x="2440"/>
        <item x="1911"/>
        <item x="2232"/>
        <item x="353"/>
        <item x="4293"/>
        <item x="1353"/>
        <item x="3842"/>
        <item x="648"/>
        <item x="3671"/>
        <item x="2237"/>
        <item x="1495"/>
        <item x="437"/>
        <item x="1675"/>
        <item x="1124"/>
        <item x="2818"/>
        <item x="3970"/>
        <item x="3974"/>
        <item x="65"/>
        <item x="4649"/>
        <item x="3530"/>
        <item x="3207"/>
        <item x="3412"/>
        <item x="859"/>
        <item x="4438"/>
        <item x="4275"/>
        <item x="4548"/>
        <item x="1972"/>
        <item x="1153"/>
        <item x="3485"/>
        <item x="312"/>
        <item x="2277"/>
        <item x="1750"/>
        <item x="4804"/>
        <item x="3497"/>
        <item x="2436"/>
        <item x="3022"/>
        <item x="4186"/>
        <item x="1330"/>
        <item x="2155"/>
        <item x="291"/>
        <item x="2164"/>
        <item x="4167"/>
        <item x="2262"/>
        <item x="3519"/>
        <item x="4663"/>
        <item x="2984"/>
        <item x="4678"/>
        <item x="1486"/>
        <item x="1227"/>
        <item x="4873"/>
        <item x="3064"/>
        <item x="1619"/>
        <item x="1917"/>
        <item x="1876"/>
        <item x="2991"/>
        <item x="1908"/>
        <item x="216"/>
        <item x="4393"/>
        <item x="789"/>
        <item x="3065"/>
        <item x="446"/>
        <item x="153"/>
        <item x="3870"/>
        <item x="3886"/>
        <item x="1311"/>
        <item x="1875"/>
        <item x="2401"/>
        <item x="3292"/>
        <item x="4282"/>
        <item x="3011"/>
        <item x="3242"/>
        <item x="4132"/>
        <item x="3721"/>
        <item x="908"/>
        <item x="1540"/>
        <item x="886"/>
        <item x="2136"/>
        <item x="543"/>
        <item x="1491"/>
        <item x="3514"/>
        <item x="625"/>
        <item x="2587"/>
        <item x="4869"/>
        <item x="2537"/>
        <item x="1607"/>
        <item x="1701"/>
        <item x="2749"/>
        <item x="3976"/>
        <item x="3081"/>
        <item x="2488"/>
        <item x="4497"/>
        <item x="2617"/>
        <item x="4688"/>
        <item x="1011"/>
        <item x="2500"/>
        <item x="4510"/>
        <item x="366"/>
        <item x="3606"/>
        <item x="1720"/>
        <item x="3098"/>
        <item x="2383"/>
        <item x="1099"/>
        <item x="2331"/>
        <item x="131"/>
        <item x="2923"/>
        <item x="107"/>
        <item x="4490"/>
        <item x="603"/>
        <item x="4730"/>
        <item x="608"/>
        <item x="2597"/>
        <item x="1312"/>
        <item x="2344"/>
        <item x="3068"/>
        <item x="4587"/>
        <item x="1127"/>
        <item x="4143"/>
        <item x="2159"/>
        <item x="2333"/>
        <item x="4179"/>
        <item x="998"/>
        <item x="1958"/>
        <item x="3147"/>
        <item x="36"/>
        <item x="2623"/>
        <item x="2552"/>
        <item x="4058"/>
        <item x="481"/>
        <item x="2596"/>
        <item x="2790"/>
        <item x="2768"/>
        <item x="3814"/>
        <item x="3956"/>
        <item x="498"/>
        <item x="3700"/>
        <item x="1430"/>
        <item x="1303"/>
        <item x="2652"/>
        <item x="2890"/>
        <item x="2540"/>
        <item x="3500"/>
        <item x="4452"/>
        <item x="1436"/>
        <item x="2975"/>
        <item x="2586"/>
        <item x="985"/>
        <item x="2315"/>
        <item x="2317"/>
        <item x="4823"/>
        <item x="3323"/>
        <item x="2665"/>
        <item x="2674"/>
        <item x="1272"/>
        <item x="1506"/>
        <item x="2849"/>
        <item x="1689"/>
        <item x="4609"/>
        <item x="4914"/>
        <item x="2946"/>
        <item x="1896"/>
        <item x="2067"/>
        <item x="678"/>
        <item x="2388"/>
        <item x="712"/>
        <item x="4088"/>
        <item x="3827"/>
        <item x="4731"/>
        <item x="4610"/>
        <item x="2242"/>
        <item x="285"/>
        <item x="3927"/>
        <item x="2646"/>
        <item x="2644"/>
        <item x="2527"/>
        <item x="1774"/>
        <item x="4570"/>
        <item x="2814"/>
        <item x="3779"/>
        <item x="2608"/>
        <item x="4340"/>
        <item x="2097"/>
        <item x="4063"/>
        <item x="220"/>
        <item x="549"/>
        <item x="949"/>
        <item x="999"/>
        <item x="2953"/>
        <item x="3762"/>
        <item x="1580"/>
        <item x="1574"/>
        <item x="569"/>
        <item x="4532"/>
        <item x="3728"/>
        <item x="3018"/>
        <item x="2963"/>
        <item x="2695"/>
        <item x="2743"/>
        <item x="424"/>
        <item x="4494"/>
        <item x="1094"/>
        <item x="1593"/>
        <item x="554"/>
        <item x="798"/>
        <item x="3434"/>
        <item x="3250"/>
        <item x="4277"/>
        <item x="194"/>
        <item x="694"/>
        <item x="464"/>
        <item x="2245"/>
        <item x="1904"/>
        <item x="4654"/>
        <item x="924"/>
        <item x="4162"/>
        <item x="4910"/>
        <item x="4119"/>
        <item x="2048"/>
        <item x="3443"/>
        <item x="3828"/>
        <item x="1576"/>
        <item x="499"/>
        <item x="4229"/>
        <item x="2910"/>
        <item x="26"/>
        <item x="4757"/>
        <item x="102"/>
        <item x="441"/>
        <item x="2197"/>
        <item x="3735"/>
        <item x="4453"/>
        <item x="4506"/>
        <item x="2046"/>
        <item x="292"/>
        <item x="3918"/>
        <item x="4011"/>
        <item x="3543"/>
        <item x="540"/>
        <item x="4197"/>
        <item x="1942"/>
        <item x="2216"/>
        <item x="2320"/>
        <item x="2173"/>
        <item x="4032"/>
        <item x="1822"/>
        <item x="1213"/>
        <item x="2833"/>
        <item x="1808"/>
        <item x="3260"/>
        <item x="2927"/>
        <item x="4745"/>
        <item x="3228"/>
        <item x="4003"/>
        <item x="3757"/>
        <item x="2397"/>
        <item x="1572"/>
        <item x="4306"/>
        <item x="1538"/>
        <item x="3771"/>
        <item x="820"/>
        <item x="715"/>
        <item x="642"/>
        <item x="2432"/>
        <item x="2862"/>
        <item x="1642"/>
        <item x="3157"/>
        <item x="1775"/>
        <item x="860"/>
        <item x="3673"/>
        <item x="3694"/>
        <item x="2218"/>
        <item x="337"/>
        <item x="328"/>
        <item x="2839"/>
        <item x="381"/>
        <item x="1174"/>
        <item x="3802"/>
        <item x="1191"/>
        <item x="3503"/>
        <item x="18"/>
        <item x="4768"/>
        <item x="3813"/>
        <item x="4075"/>
        <item x="3005"/>
        <item x="2905"/>
        <item x="1865"/>
        <item x="872"/>
        <item x="1034"/>
        <item x="4561"/>
        <item x="1184"/>
        <item x="2685"/>
        <item x="1218"/>
        <item x="3053"/>
        <item x="1561"/>
        <item x="649"/>
        <item x="4606"/>
        <item x="2411"/>
        <item x="4469"/>
        <item x="2301"/>
        <item x="927"/>
        <item x="4272"/>
        <item x="4427"/>
        <item x="3182"/>
        <item x="691"/>
        <item x="1707"/>
        <item x="4244"/>
        <item x="982"/>
        <item x="1801"/>
        <item x="2042"/>
        <item x="4101"/>
        <item x="4364"/>
        <item x="4182"/>
        <item x="2379"/>
        <item x="4857"/>
        <item x="3265"/>
        <item x="2012"/>
        <item x="3224"/>
        <item x="2773"/>
        <item x="2050"/>
        <item x="254"/>
        <item x="4487"/>
        <item x="4495"/>
        <item x="2494"/>
        <item x="4296"/>
        <item x="1247"/>
        <item x="4127"/>
        <item x="2887"/>
        <item x="4203"/>
        <item x="2071"/>
        <item x="4121"/>
        <item x="160"/>
        <item x="2530"/>
        <item x="1655"/>
        <item x="3562"/>
        <item x="3628"/>
        <item x="2083"/>
        <item x="2781"/>
        <item x="4830"/>
        <item x="3082"/>
        <item x="2345"/>
        <item x="2654"/>
        <item x="3109"/>
        <item x="2958"/>
        <item x="1454"/>
        <item x="1237"/>
        <item x="51"/>
        <item x="3077"/>
        <item x="3280"/>
        <item x="989"/>
        <item x="233"/>
        <item x="470"/>
        <item x="118"/>
        <item x="3629"/>
        <item x="3817"/>
        <item x="2492"/>
        <item x="2105"/>
        <item x="2534"/>
        <item x="368"/>
        <item x="1295"/>
        <item x="2535"/>
        <item x="3672"/>
        <item x="2988"/>
        <item x="3406"/>
        <item x="1585"/>
        <item x="2409"/>
        <item x="3776"/>
        <item x="4536"/>
        <item x="3039"/>
        <item x="674"/>
        <item x="1943"/>
        <item x="3183"/>
        <item x="1296"/>
        <item x="861"/>
        <item x="2186"/>
        <item x="2064"/>
        <item x="59"/>
        <item x="4593"/>
        <item x="1002"/>
        <item x="3204"/>
        <item x="2956"/>
        <item x="114"/>
        <item x="415"/>
        <item x="3057"/>
        <item x="2709"/>
        <item x="3002"/>
        <item x="4235"/>
        <item x="3797"/>
        <item x="2477"/>
        <item x="189"/>
        <item x="3575"/>
        <item x="4192"/>
        <item x="3458"/>
        <item x="695"/>
        <item x="3133"/>
        <item x="4894"/>
        <item x="618"/>
        <item x="4033"/>
        <item x="3748"/>
        <item x="2092"/>
        <item x="3035"/>
        <item x="1734"/>
        <item x="2950"/>
        <item x="4605"/>
        <item x="4763"/>
        <item x="121"/>
        <item x="2293"/>
        <item x="1447"/>
        <item x="3584"/>
        <item x="1539"/>
        <item x="3286"/>
        <item x="2577"/>
        <item x="4887"/>
        <item x="2601"/>
        <item x="187"/>
        <item x="4351"/>
        <item x="1413"/>
        <item x="4171"/>
        <item x="541"/>
        <item x="4819"/>
        <item x="2394"/>
        <item x="3911"/>
        <item x="2936"/>
        <item x="1285"/>
        <item x="1620"/>
        <item x="2152"/>
        <item x="986"/>
        <item x="4263"/>
        <item x="4531"/>
        <item x="4727"/>
        <item x="2236"/>
        <item x="2089"/>
        <item x="683"/>
        <item x="4410"/>
        <item x="2801"/>
        <item x="3511"/>
        <item x="3132"/>
        <item x="2059"/>
        <item x="868"/>
        <item x="295"/>
        <item x="1886"/>
        <item x="2243"/>
        <item x="1542"/>
        <item x="2900"/>
        <item x="766"/>
        <item x="3633"/>
        <item x="4419"/>
        <item x="1974"/>
        <item x="3381"/>
        <item x="4147"/>
        <item x="2734"/>
        <item x="645"/>
        <item x="1932"/>
        <item x="3276"/>
        <item x="665"/>
        <item x="588"/>
        <item x="2937"/>
        <item x="3545"/>
        <item x="2590"/>
        <item x="3236"/>
        <item x="4054"/>
        <item x="4743"/>
        <item x="2632"/>
        <item x="4519"/>
        <item x="3130"/>
        <item x="2407"/>
        <item x="277"/>
        <item x="4624"/>
        <item x="1405"/>
        <item x="1504"/>
        <item x="4210"/>
        <item x="3338"/>
        <item x="3946"/>
        <item x="2922"/>
        <item x="2692"/>
        <item x="1234"/>
        <item x="972"/>
        <item x="599"/>
        <item x="4626"/>
        <item x="1284"/>
        <item x="1889"/>
        <item x="3588"/>
        <item x="4214"/>
        <item x="1992"/>
        <item x="3197"/>
        <item x="3790"/>
        <item x="2994"/>
        <item x="1594"/>
        <item x="2084"/>
        <item x="1987"/>
        <item x="544"/>
        <item x="1070"/>
        <item x="736"/>
        <item x="1394"/>
        <item x="2226"/>
        <item x="3987"/>
        <item x="355"/>
        <item x="2854"/>
        <item x="2875"/>
        <item x="3868"/>
        <item x="331"/>
        <item x="3387"/>
        <item x="2378"/>
        <item x="1268"/>
        <item x="103"/>
        <item x="3730"/>
        <item x="4200"/>
        <item x="2174"/>
        <item x="1602"/>
        <item x="2669"/>
        <item x="2966"/>
        <item x="3489"/>
        <item x="718"/>
        <item x="4526"/>
        <item x="304"/>
        <item x="251"/>
        <item x="1355"/>
        <item x="2501"/>
        <item x="2575"/>
        <item x="3709"/>
        <item x="2095"/>
        <item x="4403"/>
        <item x="4226"/>
        <item x="988"/>
        <item x="4083"/>
        <item x="672"/>
        <item x="1407"/>
        <item x="1087"/>
        <item x="3736"/>
        <item x="1050"/>
        <item x="1681"/>
        <item x="3317"/>
        <item x="1500"/>
        <item x="2629"/>
        <item x="3120"/>
        <item x="1940"/>
        <item x="287"/>
        <item x="1534"/>
        <item x="2618"/>
        <item x="3920"/>
        <item x="1919"/>
        <item x="3896"/>
        <item x="4533"/>
        <item x="4500"/>
        <item x="1207"/>
        <item x="4418"/>
        <item x="2427"/>
        <item x="2593"/>
        <item x="3446"/>
        <item x="4799"/>
        <item x="1292"/>
        <item x="280"/>
        <item x="3472"/>
        <item x="297"/>
        <item x="3195"/>
        <item x="2961"/>
        <item x="2108"/>
        <item x="2928"/>
        <item x="1662"/>
        <item x="1421"/>
        <item x="4552"/>
        <item x="493"/>
        <item x="1051"/>
        <item x="3576"/>
        <item x="2684"/>
        <item x="4095"/>
        <item x="4860"/>
        <item x="2561"/>
        <item x="2985"/>
        <item x="2122"/>
        <item x="3623"/>
        <item x="1777"/>
        <item x="4805"/>
        <item x="785"/>
        <item x="4209"/>
        <item x="2175"/>
        <item x="4141"/>
        <item x="4316"/>
        <item x="192"/>
        <item x="4264"/>
        <item x="4240"/>
        <item x="4270"/>
        <item x="814"/>
        <item x="4076"/>
        <item x="2944"/>
        <item x="1138"/>
        <item x="4800"/>
        <item x="3229"/>
        <item x="4421"/>
        <item x="4614"/>
        <item x="444"/>
        <item x="41"/>
        <item x="4268"/>
        <item x="4386"/>
        <item x="2040"/>
        <item x="1929"/>
        <item x="3255"/>
        <item x="3982"/>
        <item x="2514"/>
        <item x="2588"/>
        <item x="3320"/>
        <item x="2280"/>
        <item x="3806"/>
        <item x="3875"/>
        <item x="4236"/>
        <item x="4064"/>
        <item x="3097"/>
        <item x="1510"/>
        <item x="1061"/>
        <item x="2079"/>
        <item x="1550"/>
        <item x="3334"/>
        <item x="283"/>
        <item x="1316"/>
        <item x="576"/>
        <item x="1635"/>
        <item x="3073"/>
        <item x="1415"/>
        <item x="1686"/>
        <item x="327"/>
        <item x="78"/>
        <item x="1596"/>
        <item x="2777"/>
        <item x="2346"/>
        <item x="4342"/>
        <item x="1797"/>
        <item x="1048"/>
        <item x="1469"/>
        <item x="4818"/>
        <item x="447"/>
        <item x="1222"/>
        <item x="2366"/>
        <item x="70"/>
        <item x="4217"/>
        <item x="3917"/>
        <item x="29"/>
        <item x="4514"/>
        <item x="3380"/>
        <item x="2058"/>
        <item x="4285"/>
        <item x="72"/>
        <item x="3717"/>
        <item x="2621"/>
        <item x="1969"/>
        <item x="1512"/>
        <item x="4517"/>
        <item x="4194"/>
        <item x="2609"/>
        <item x="795"/>
        <item x="2845"/>
        <item x="3513"/>
        <item x="4522"/>
        <item x="4527"/>
        <item x="1220"/>
        <item x="4367"/>
        <item x="4307"/>
        <item x="3487"/>
        <item x="4659"/>
        <item x="776"/>
        <item x="1552"/>
        <item x="574"/>
        <item x="22"/>
        <item x="4816"/>
        <item x="2290"/>
        <item x="1411"/>
        <item x="2589"/>
        <item x="4078"/>
        <item x="4068"/>
        <item x="2515"/>
        <item x="3218"/>
        <item x="2158"/>
        <item x="1181"/>
        <item x="1796"/>
        <item x="1362"/>
        <item x="4877"/>
        <item x="3028"/>
        <item x="2474"/>
        <item x="1037"/>
        <item x="2060"/>
        <item x="2708"/>
        <item x="4701"/>
        <item x="3175"/>
        <item x="4094"/>
        <item x="1038"/>
        <item x="4144"/>
        <item x="4324"/>
        <item x="3000"/>
        <item x="594"/>
        <item x="1531"/>
        <item x="1261"/>
        <item x="2802"/>
        <item x="3923"/>
        <item x="1735"/>
        <item x="4279"/>
        <item x="264"/>
        <item x="518"/>
        <item x="127"/>
        <item x="1813"/>
        <item x="3763"/>
        <item x="4368"/>
        <item x="409"/>
        <item x="3839"/>
        <item x="2021"/>
        <item x="3246"/>
        <item x="2532"/>
        <item x="3615"/>
        <item x="1079"/>
        <item x="2696"/>
        <item x="4402"/>
        <item x="3712"/>
        <item x="4881"/>
        <item x="2359"/>
        <item x="2489"/>
        <item x="797"/>
        <item x="4478"/>
        <item x="4381"/>
        <item x="825"/>
        <item x="2829"/>
        <item x="3093"/>
        <item x="183"/>
        <item x="4615"/>
        <item x="241"/>
        <item x="4038"/>
        <item x="3745"/>
        <item x="3311"/>
        <item x="3449"/>
        <item x="1541"/>
        <item x="2755"/>
        <item x="2813"/>
        <item x="922"/>
        <item x="2334"/>
        <item x="140"/>
        <item x="2183"/>
        <item x="4431"/>
        <item x="4128"/>
        <item x="4387"/>
        <item x="2295"/>
        <item x="4491"/>
        <item x="1175"/>
        <item x="1049"/>
        <item x="2786"/>
        <item x="3327"/>
        <item x="2339"/>
        <item x="43"/>
        <item x="1679"/>
        <item x="104"/>
        <item x="4600"/>
        <item x="732"/>
        <item x="4694"/>
        <item x="1625"/>
        <item x="2227"/>
        <item x="2865"/>
        <item x="1387"/>
        <item x="4802"/>
        <item x="3663"/>
        <item x="3795"/>
        <item x="1956"/>
        <item x="3407"/>
        <item x="3321"/>
        <item x="3662"/>
        <item x="4885"/>
        <item x="3926"/>
        <item x="477"/>
        <item x="89"/>
        <item x="2482"/>
        <item x="225"/>
        <item x="1149"/>
        <item x="307"/>
        <item x="134"/>
        <item x="2842"/>
        <item x="1871"/>
        <item x="2715"/>
        <item x="1931"/>
        <item x="3965"/>
        <item x="530"/>
        <item x="3400"/>
        <item x="1494"/>
        <item x="1412"/>
        <item x="2776"/>
        <item x="3219"/>
        <item x="2693"/>
        <item x="3804"/>
        <item x="1178"/>
        <item x="2456"/>
        <item x="2439"/>
        <item x="1513"/>
        <item x="1440"/>
        <item x="3328"/>
        <item x="492"/>
        <item x="4509"/>
        <item x="1236"/>
        <item x="4589"/>
        <item x="2823"/>
        <item x="3293"/>
        <item x="4378"/>
        <item x="2209"/>
        <item x="1731"/>
        <item x="3111"/>
        <item x="2986"/>
        <item x="2336"/>
        <item x="930"/>
        <item x="3988"/>
        <item x="1142"/>
        <item x="1194"/>
        <item x="4112"/>
        <item x="681"/>
        <item x="1110"/>
        <item x="1156"/>
        <item x="1741"/>
        <item x="3263"/>
        <item x="1126"/>
        <item x="1845"/>
        <item x="4411"/>
        <item x="3859"/>
        <item x="1064"/>
        <item x="3540"/>
        <item x="2199"/>
        <item x="4909"/>
        <item x="159"/>
        <item x="3152"/>
        <item x="3015"/>
        <item x="2312"/>
        <item x="260"/>
        <item x="77"/>
        <item x="1435"/>
        <item x="4841"/>
        <item x="3809"/>
        <item x="377"/>
        <item x="3706"/>
        <item x="143"/>
        <item x="4355"/>
        <item x="3181"/>
        <item x="4021"/>
        <item x="3866"/>
        <item x="2029"/>
        <item x="3284"/>
        <item x="1667"/>
        <item x="2028"/>
        <item x="4905"/>
        <item x="1147"/>
        <item x="3592"/>
        <item x="87"/>
        <item x="3190"/>
        <item x="4787"/>
        <item x="1910"/>
        <item x="1784"/>
        <item x="2222"/>
        <item x="3106"/>
        <item x="2796"/>
        <item x="4836"/>
        <item x="3010"/>
        <item x="1790"/>
        <item x="2303"/>
        <item x="1597"/>
        <item x="1999"/>
        <item x="2076"/>
        <item x="3807"/>
        <item x="2545"/>
        <item x="1575"/>
        <item x="1894"/>
        <item x="3825"/>
        <item x="1503"/>
        <item x="206"/>
        <item x="205"/>
        <item x="2670"/>
        <item x="1289"/>
        <item x="4806"/>
        <item x="3129"/>
        <item x="2581"/>
        <item x="1192"/>
        <item x="3579"/>
        <item x="3460"/>
        <item x="4912"/>
        <item x="3071"/>
        <item x="3823"/>
        <item x="1418"/>
        <item x="4553"/>
        <item x="4798"/>
        <item x="2729"/>
        <item x="179"/>
        <item x="767"/>
        <item x="4794"/>
        <item x="242"/>
        <item x="2528"/>
        <item x="2007"/>
        <item x="1884"/>
        <item x="4195"/>
        <item x="341"/>
        <item x="4313"/>
        <item x="4883"/>
        <item x="1673"/>
        <item x="4177"/>
        <item x="1397"/>
        <item x="4690"/>
        <item x="1004"/>
        <item x="1260"/>
        <item x="1569"/>
        <item x="4420"/>
        <item x="1173"/>
        <item x="1696"/>
        <item x="898"/>
        <item x="1820"/>
        <item x="987"/>
        <item x="827"/>
        <item x="4729"/>
        <item x="4382"/>
        <item x="2859"/>
        <item x="613"/>
        <item x="573"/>
        <item x="1691"/>
        <item x="1812"/>
        <item x="3929"/>
        <item x="3791"/>
        <item x="1160"/>
        <item x="3544"/>
        <item x="913"/>
        <item x="4619"/>
        <item x="3554"/>
        <item x="4781"/>
        <item x="892"/>
        <item x="3478"/>
        <item x="1229"/>
        <item x="120"/>
        <item x="3436"/>
        <item x="3445"/>
        <item x="2316"/>
        <item x="2962"/>
        <item x="2967"/>
        <item x="2681"/>
        <item x="73"/>
        <item x="2846"/>
        <item x="1324"/>
        <item x="1568"/>
        <item x="1826"/>
        <item x="3531"/>
        <item x="3604"/>
        <item x="4714"/>
        <item x="1424"/>
        <item x="4062"/>
        <item x="850"/>
        <item x="4436"/>
        <item x="3313"/>
        <item x="3040"/>
        <item x="928"/>
        <item x="7"/>
        <item x="3013"/>
        <item x="3300"/>
        <item x="2291"/>
        <item x="290"/>
        <item x="1993"/>
        <item x="4461"/>
        <item x="2604"/>
        <item x="2902"/>
        <item x="1183"/>
        <item x="3682"/>
        <item x="4496"/>
        <item x="4565"/>
        <item x="3215"/>
        <item x="3177"/>
        <item x="4737"/>
        <item x="4363"/>
        <item x="2188"/>
        <item x="1098"/>
        <item x="2176"/>
        <item x="1551"/>
        <item x="4706"/>
        <item x="1283"/>
        <item x="584"/>
        <item x="4248"/>
        <item x="782"/>
        <item x="1783"/>
        <item x="1927"/>
        <item x="3999"/>
        <item x="2607"/>
        <item x="4024"/>
        <item x="938"/>
        <item x="2212"/>
        <item x="4512"/>
        <item x="3353"/>
        <item x="3221"/>
        <item x="4457"/>
        <item x="164"/>
        <item x="2736"/>
        <item x="1204"/>
        <item x="1458"/>
        <item x="3315"/>
        <item x="1319"/>
        <item x="2154"/>
        <item x="1677"/>
        <item x="272"/>
        <item x="1482"/>
        <item x="1306"/>
        <item x="1014"/>
        <item x="1814"/>
        <item x="1443"/>
        <item x="1695"/>
        <item x="1425"/>
        <item x="2851"/>
        <item x="1511"/>
        <item x="1606"/>
        <item x="604"/>
        <item x="3245"/>
        <item x="969"/>
        <item x="2238"/>
        <item x="2970"/>
        <item x="4710"/>
        <item x="1921"/>
        <item x="1537"/>
        <item x="1682"/>
        <item x="1200"/>
        <item x="1770"/>
        <item x="1951"/>
        <item x="433"/>
        <item x="4521"/>
        <item x="2673"/>
        <item x="4637"/>
        <item x="4430"/>
        <item x="2536"/>
        <item x="170"/>
        <item x="4752"/>
        <item x="590"/>
        <item x="3359"/>
        <item x="1706"/>
        <item x="1057"/>
        <item x="602"/>
        <item x="3494"/>
        <item x="475"/>
        <item x="1214"/>
        <item x="4073"/>
        <item x="305"/>
        <item x="1035"/>
        <item x="2511"/>
        <item x="3853"/>
        <item x="3871"/>
        <item x="704"/>
        <item x="1745"/>
        <item x="1146"/>
        <item x="660"/>
        <item x="3337"/>
        <item x="4911"/>
        <item x="1983"/>
        <item x="547"/>
        <item x="2569"/>
        <item x="837"/>
        <item x="740"/>
        <item x="1069"/>
        <item x="2671"/>
        <item x="1351"/>
        <item x="3121"/>
        <item x="1266"/>
        <item x="4890"/>
        <item x="2074"/>
        <item x="1046"/>
        <item x="925"/>
        <item x="386"/>
        <item x="4294"/>
        <item x="2073"/>
        <item x="4116"/>
        <item x="4131"/>
        <item x="3366"/>
        <item x="2496"/>
        <item x="4415"/>
        <item x="2431"/>
        <item x="1583"/>
        <item x="2778"/>
        <item x="4588"/>
        <item x="3789"/>
        <item x="583"/>
        <item x="3480"/>
        <item x="1467"/>
        <item x="1742"/>
        <item x="4456"/>
        <item x="737"/>
        <item x="2332"/>
        <item x="1809"/>
        <item x="4586"/>
        <item x="4809"/>
        <item x="2274"/>
        <item x="2054"/>
        <item x="14"/>
        <item x="4330"/>
        <item x="4770"/>
        <item x="3131"/>
        <item x="1867"/>
        <item x="3262"/>
        <item x="1240"/>
        <item x="4380"/>
        <item x="1243"/>
        <item x="1519"/>
        <item x="3549"/>
        <item x="2812"/>
        <item x="2782"/>
        <item x="1254"/>
        <item x="1641"/>
        <item x="4212"/>
        <item x="994"/>
        <item x="4138"/>
        <item x="2691"/>
        <item x="2573"/>
        <item x="1077"/>
        <item x="1170"/>
        <item x="2124"/>
        <item x="3949"/>
        <item x="556"/>
        <item x="4585"/>
        <item x="696"/>
        <item x="4525"/>
        <item x="1428"/>
        <item x="4879"/>
        <item t="default"/>
      </items>
    </pivotField>
    <pivotField dataField="1" showAll="0">
      <items count="4667">
        <item x="1664"/>
        <item x="748"/>
        <item x="3590"/>
        <item x="3049"/>
        <item x="2833"/>
        <item x="1277"/>
        <item x="3827"/>
        <item x="3281"/>
        <item x="1086"/>
        <item x="3075"/>
        <item x="1947"/>
        <item x="4590"/>
        <item x="2053"/>
        <item x="3825"/>
        <item x="3094"/>
        <item x="1672"/>
        <item x="939"/>
        <item x="4534"/>
        <item x="926"/>
        <item x="3166"/>
        <item x="2839"/>
        <item x="2628"/>
        <item x="714"/>
        <item x="3111"/>
        <item x="2447"/>
        <item x="1986"/>
        <item x="1150"/>
        <item x="3425"/>
        <item x="1204"/>
        <item x="2203"/>
        <item x="2963"/>
        <item x="1838"/>
        <item x="3571"/>
        <item x="900"/>
        <item x="3458"/>
        <item x="2619"/>
        <item x="526"/>
        <item x="2910"/>
        <item x="128"/>
        <item x="170"/>
        <item x="624"/>
        <item x="1751"/>
        <item x="679"/>
        <item x="1562"/>
        <item x="2837"/>
        <item x="2552"/>
        <item x="1904"/>
        <item x="427"/>
        <item x="1980"/>
        <item x="3812"/>
        <item x="1199"/>
        <item x="2793"/>
        <item x="3853"/>
        <item x="4439"/>
        <item x="853"/>
        <item x="93"/>
        <item x="3269"/>
        <item x="2085"/>
        <item x="2877"/>
        <item x="736"/>
        <item x="3460"/>
        <item x="1740"/>
        <item x="4165"/>
        <item x="834"/>
        <item x="611"/>
        <item x="2652"/>
        <item x="4078"/>
        <item x="2348"/>
        <item x="2724"/>
        <item x="3477"/>
        <item x="1321"/>
        <item x="4100"/>
        <item x="437"/>
        <item x="4155"/>
        <item x="3000"/>
        <item x="1367"/>
        <item x="2815"/>
        <item x="3530"/>
        <item x="4546"/>
        <item x="1483"/>
        <item x="2187"/>
        <item x="3345"/>
        <item x="3831"/>
        <item x="2913"/>
        <item x="4108"/>
        <item x="2327"/>
        <item x="4640"/>
        <item x="4380"/>
        <item x="924"/>
        <item x="1610"/>
        <item x="792"/>
        <item x="0"/>
        <item x="3187"/>
        <item x="4166"/>
        <item x="2689"/>
        <item x="3662"/>
        <item x="2110"/>
        <item x="2524"/>
        <item x="3183"/>
        <item x="3025"/>
        <item x="2111"/>
        <item x="559"/>
        <item x="1820"/>
        <item x="2462"/>
        <item x="1689"/>
        <item x="1867"/>
        <item x="961"/>
        <item x="1094"/>
        <item x="1366"/>
        <item x="4286"/>
        <item x="4197"/>
        <item x="3676"/>
        <item x="215"/>
        <item x="3234"/>
        <item x="1222"/>
        <item x="3846"/>
        <item x="1677"/>
        <item x="322"/>
        <item x="242"/>
        <item x="1554"/>
        <item x="1360"/>
        <item x="3605"/>
        <item x="3551"/>
        <item x="668"/>
        <item x="850"/>
        <item x="2730"/>
        <item x="1966"/>
        <item x="1167"/>
        <item x="254"/>
        <item x="3737"/>
        <item x="1397"/>
        <item x="3649"/>
        <item x="2713"/>
        <item x="1005"/>
        <item x="1999"/>
        <item x="1363"/>
        <item x="3252"/>
        <item x="3027"/>
        <item x="3492"/>
        <item x="3713"/>
        <item x="490"/>
        <item x="1054"/>
        <item x="2804"/>
        <item x="4358"/>
        <item x="430"/>
        <item x="2750"/>
        <item x="4471"/>
        <item x="2941"/>
        <item x="138"/>
        <item x="2355"/>
        <item x="1840"/>
        <item x="3452"/>
        <item x="450"/>
        <item x="667"/>
        <item x="4518"/>
        <item x="155"/>
        <item x="3672"/>
        <item x="4024"/>
        <item x="4537"/>
        <item x="1629"/>
        <item x="2547"/>
        <item x="2561"/>
        <item x="464"/>
        <item x="4289"/>
        <item x="3038"/>
        <item x="2942"/>
        <item x="3225"/>
        <item x="4384"/>
        <item x="942"/>
        <item x="2314"/>
        <item x="2212"/>
        <item x="1249"/>
        <item x="4446"/>
        <item x="4257"/>
        <item x="2767"/>
        <item x="1842"/>
        <item x="3466"/>
        <item x="2887"/>
        <item x="1907"/>
        <item x="2715"/>
        <item x="4053"/>
        <item x="962"/>
        <item x="826"/>
        <item x="894"/>
        <item x="3122"/>
        <item x="3564"/>
        <item x="1580"/>
        <item x="1715"/>
        <item x="1338"/>
        <item x="2016"/>
        <item x="1808"/>
        <item x="2130"/>
        <item x="3251"/>
        <item x="447"/>
        <item x="1133"/>
        <item x="1313"/>
        <item x="4520"/>
        <item x="2003"/>
        <item x="1128"/>
        <item x="697"/>
        <item x="195"/>
        <item x="4635"/>
        <item x="1701"/>
        <item x="1583"/>
        <item x="368"/>
        <item x="4394"/>
        <item x="1452"/>
        <item x="3336"/>
        <item x="1466"/>
        <item x="2567"/>
        <item x="1724"/>
        <item x="4454"/>
        <item x="2726"/>
        <item x="2069"/>
        <item x="4344"/>
        <item x="1211"/>
        <item x="324"/>
        <item x="3464"/>
        <item x="4535"/>
        <item x="1186"/>
        <item x="2654"/>
        <item x="4291"/>
        <item x="3505"/>
        <item x="3641"/>
        <item x="3527"/>
        <item x="811"/>
        <item x="1932"/>
        <item x="4422"/>
        <item x="180"/>
        <item x="4030"/>
        <item x="2995"/>
        <item x="3805"/>
        <item x="3925"/>
        <item x="2803"/>
        <item x="4263"/>
        <item x="2709"/>
        <item x="1462"/>
        <item x="3378"/>
        <item x="2439"/>
        <item x="2555"/>
        <item x="1718"/>
        <item x="4159"/>
        <item x="2388"/>
        <item x="1668"/>
        <item x="1527"/>
        <item x="3426"/>
        <item x="3726"/>
        <item x="633"/>
        <item x="1318"/>
        <item x="3284"/>
        <item x="1163"/>
        <item x="539"/>
        <item x="3469"/>
        <item x="4524"/>
        <item x="2574"/>
        <item x="1679"/>
        <item x="1636"/>
        <item x="639"/>
        <item x="2352"/>
        <item x="3646"/>
        <item x="3913"/>
        <item x="672"/>
        <item x="2035"/>
        <item x="2917"/>
        <item x="708"/>
        <item x="406"/>
        <item x="3291"/>
        <item x="936"/>
        <item x="105"/>
        <item x="2518"/>
        <item x="3366"/>
        <item x="1013"/>
        <item x="4255"/>
        <item x="3997"/>
        <item x="369"/>
        <item x="2791"/>
        <item x="171"/>
        <item x="2640"/>
        <item x="273"/>
        <item x="3035"/>
        <item x="2865"/>
        <item x="4576"/>
        <item x="4386"/>
        <item x="3804"/>
        <item x="1794"/>
        <item x="1911"/>
        <item x="3645"/>
        <item x="4110"/>
        <item x="1035"/>
        <item x="740"/>
        <item x="3351"/>
        <item x="3786"/>
        <item x="842"/>
        <item x="4132"/>
        <item x="4080"/>
        <item x="3967"/>
        <item x="3851"/>
        <item x="1711"/>
        <item x="4397"/>
        <item x="3606"/>
        <item x="4021"/>
        <item x="1555"/>
        <item x="1537"/>
        <item x="268"/>
        <item x="4493"/>
        <item x="2481"/>
        <item x="3734"/>
        <item x="904"/>
        <item x="1435"/>
        <item x="3934"/>
        <item x="3076"/>
        <item x="207"/>
        <item x="3435"/>
        <item x="2612"/>
        <item x="205"/>
        <item x="111"/>
        <item x="603"/>
        <item x="3568"/>
        <item x="3703"/>
        <item x="3862"/>
        <item x="196"/>
        <item x="812"/>
        <item x="4586"/>
        <item x="1651"/>
        <item x="3921"/>
        <item x="1296"/>
        <item x="824"/>
        <item x="1187"/>
        <item x="2290"/>
        <item x="2811"/>
        <item x="1369"/>
        <item x="1202"/>
        <item x="49"/>
        <item x="175"/>
        <item x="1698"/>
        <item x="578"/>
        <item x="3413"/>
        <item x="3575"/>
        <item x="3870"/>
        <item x="995"/>
        <item x="2979"/>
        <item x="2604"/>
        <item x="760"/>
        <item x="2734"/>
        <item x="4130"/>
        <item x="1417"/>
        <item x="2638"/>
        <item x="4428"/>
        <item x="407"/>
        <item x="509"/>
        <item x="4530"/>
        <item x="1474"/>
        <item x="719"/>
        <item x="2645"/>
        <item x="3639"/>
        <item x="2159"/>
        <item x="3266"/>
        <item x="796"/>
        <item x="3749"/>
        <item x="839"/>
        <item x="265"/>
        <item x="449"/>
        <item x="2671"/>
        <item x="486"/>
        <item x="2080"/>
        <item x="164"/>
        <item x="2646"/>
        <item x="3957"/>
        <item x="3872"/>
        <item x="511"/>
        <item x="707"/>
        <item x="3331"/>
        <item x="3181"/>
        <item x="3816"/>
        <item x="409"/>
        <item x="1346"/>
        <item x="1295"/>
        <item x="4028"/>
        <item x="4492"/>
        <item x="2221"/>
        <item x="3689"/>
        <item x="4379"/>
        <item x="1606"/>
        <item x="3369"/>
        <item x="3370"/>
        <item x="3885"/>
        <item x="4477"/>
        <item x="3546"/>
        <item x="3900"/>
        <item x="4215"/>
        <item x="1898"/>
        <item x="4046"/>
        <item x="3803"/>
        <item x="3780"/>
        <item x="863"/>
        <item x="139"/>
        <item x="4382"/>
        <item x="3332"/>
        <item x="1534"/>
        <item x="2254"/>
        <item x="1778"/>
        <item x="2955"/>
        <item x="3607"/>
        <item x="4531"/>
        <item x="3828"/>
        <item x="4340"/>
        <item x="1330"/>
        <item x="2165"/>
        <item x="831"/>
        <item x="3794"/>
        <item x="244"/>
        <item x="2870"/>
        <item x="2000"/>
        <item x="4004"/>
        <item x="2255"/>
        <item x="1258"/>
        <item x="991"/>
        <item x="663"/>
        <item x="1899"/>
        <item x="4338"/>
        <item x="3172"/>
        <item x="978"/>
        <item x="2529"/>
        <item x="3055"/>
        <item x="1418"/>
        <item x="4587"/>
        <item x="1077"/>
        <item x="320"/>
        <item x="2852"/>
        <item x="1847"/>
        <item x="1620"/>
        <item x="2898"/>
        <item x="359"/>
        <item x="2205"/>
        <item x="4651"/>
        <item x="1573"/>
        <item x="1659"/>
        <item x="3105"/>
        <item x="3829"/>
        <item x="481"/>
        <item x="3468"/>
        <item x="2307"/>
        <item x="1060"/>
        <item x="3263"/>
        <item x="2861"/>
        <item x="3036"/>
        <item x="1312"/>
        <item x="2633"/>
        <item x="1691"/>
        <item x="1237"/>
        <item x="3493"/>
        <item x="665"/>
        <item x="3508"/>
        <item x="8"/>
        <item x="3764"/>
        <item x="2344"/>
        <item x="479"/>
        <item x="681"/>
        <item x="2864"/>
        <item x="167"/>
        <item x="561"/>
        <item x="412"/>
        <item x="1332"/>
        <item x="3082"/>
        <item x="4054"/>
        <item x="332"/>
        <item x="1557"/>
        <item x="3553"/>
        <item x="3375"/>
        <item x="2136"/>
        <item x="798"/>
        <item x="3686"/>
        <item x="617"/>
        <item x="2131"/>
        <item x="3635"/>
        <item x="4502"/>
        <item x="142"/>
        <item x="1971"/>
        <item x="3383"/>
        <item x="4058"/>
        <item x="4227"/>
        <item x="4602"/>
        <item x="4440"/>
        <item x="1624"/>
        <item x="2343"/>
        <item x="1614"/>
        <item x="3453"/>
        <item x="266"/>
        <item x="3766"/>
        <item x="710"/>
        <item x="1964"/>
        <item x="2559"/>
        <item x="1801"/>
        <item x="1887"/>
        <item x="3567"/>
        <item x="724"/>
        <item x="2047"/>
        <item x="2890"/>
        <item x="272"/>
        <item x="3964"/>
        <item x="184"/>
        <item x="3024"/>
        <item x="333"/>
        <item x="770"/>
        <item x="1495"/>
        <item x="4420"/>
        <item x="4364"/>
        <item x="953"/>
        <item x="371"/>
        <item x="568"/>
        <item x="2242"/>
        <item x="1197"/>
        <item x="1548"/>
        <item x="1195"/>
        <item x="1531"/>
        <item x="1173"/>
        <item x="4133"/>
        <item x="3842"/>
        <item x="2828"/>
        <item x="1482"/>
        <item x="2493"/>
        <item x="1026"/>
        <item x="3644"/>
        <item x="3817"/>
        <item x="1649"/>
        <item x="1446"/>
        <item x="1858"/>
        <item x="2393"/>
        <item x="1226"/>
        <item x="554"/>
        <item x="3066"/>
        <item x="5"/>
        <item x="805"/>
        <item x="3319"/>
        <item x="4327"/>
        <item x="235"/>
        <item x="1132"/>
        <item x="1825"/>
        <item x="656"/>
        <item x="921"/>
        <item x="3864"/>
        <item x="2771"/>
        <item x="76"/>
        <item x="2687"/>
        <item x="4426"/>
        <item x="3128"/>
        <item x="198"/>
        <item x="2074"/>
        <item x="3432"/>
        <item x="1456"/>
        <item x="1328"/>
        <item x="4516"/>
        <item x="2824"/>
        <item x="864"/>
        <item x="2431"/>
        <item x="253"/>
        <item x="2378"/>
        <item x="446"/>
        <item x="2598"/>
        <item x="255"/>
        <item x="4087"/>
        <item x="1432"/>
        <item x="3123"/>
        <item x="2711"/>
        <item x="2463"/>
        <item x="4213"/>
        <item x="4326"/>
        <item x="83"/>
        <item x="1683"/>
        <item x="2058"/>
        <item x="2976"/>
        <item x="560"/>
        <item x="772"/>
        <item x="1702"/>
        <item x="4111"/>
        <item x="4595"/>
        <item x="1073"/>
        <item x="1764"/>
        <item x="4153"/>
        <item x="3170"/>
        <item x="2515"/>
        <item x="2920"/>
        <item x="2478"/>
        <item x="2014"/>
        <item x="4591"/>
        <item x="3096"/>
        <item x="319"/>
        <item x="3428"/>
        <item x="2961"/>
        <item x="911"/>
        <item x="754"/>
        <item x="919"/>
        <item x="2363"/>
        <item x="3998"/>
        <item x="2878"/>
        <item x="677"/>
        <item x="4251"/>
        <item x="1501"/>
        <item x="3145"/>
        <item x="4275"/>
        <item x="1370"/>
        <item x="1918"/>
        <item x="755"/>
        <item x="4092"/>
        <item x="3865"/>
        <item x="879"/>
        <item x="1533"/>
        <item x="1504"/>
        <item x="1353"/>
        <item x="3299"/>
        <item x="3761"/>
        <item x="4598"/>
        <item x="456"/>
        <item x="3305"/>
        <item x="908"/>
        <item x="4246"/>
        <item x="224"/>
        <item x="881"/>
        <item x="3050"/>
        <item x="2145"/>
        <item x="2396"/>
        <item x="4212"/>
        <item x="3945"/>
        <item x="477"/>
        <item x="2204"/>
        <item x="3348"/>
        <item x="2027"/>
        <item x="1269"/>
        <item x="3658"/>
        <item x="4342"/>
        <item x="4417"/>
        <item x="3011"/>
        <item x="2397"/>
        <item x="2569"/>
        <item x="3795"/>
        <item x="1468"/>
        <item x="1922"/>
        <item x="3395"/>
        <item x="1050"/>
        <item x="2906"/>
        <item x="1667"/>
        <item x="3698"/>
        <item x="2585"/>
        <item x="690"/>
        <item x="116"/>
        <item x="2801"/>
        <item x="3809"/>
        <item x="4099"/>
        <item x="3720"/>
        <item x="1388"/>
        <item x="1797"/>
        <item x="54"/>
        <item x="2759"/>
        <item x="1988"/>
        <item x="3408"/>
        <item x="2780"/>
        <item x="1141"/>
        <item x="4620"/>
        <item x="1849"/>
        <item x="2404"/>
        <item x="2675"/>
        <item x="279"/>
        <item x="4317"/>
        <item x="1600"/>
        <item x="1960"/>
        <item x="1945"/>
        <item x="3771"/>
        <item x="1730"/>
        <item x="4228"/>
        <item x="4226"/>
        <item x="2008"/>
        <item x="2813"/>
        <item x="3237"/>
        <item x="1178"/>
        <item x="685"/>
        <item x="2841"/>
        <item x="758"/>
        <item x="1233"/>
        <item x="2435"/>
        <item x="2150"/>
        <item x="1650"/>
        <item x="3372"/>
        <item x="2999"/>
        <item x="411"/>
        <item x="3142"/>
        <item x="4176"/>
        <item x="3173"/>
        <item x="2536"/>
        <item x="3740"/>
        <item x="4029"/>
        <item x="1223"/>
        <item x="1285"/>
        <item x="2542"/>
        <item x="623"/>
        <item x="3572"/>
        <item x="3419"/>
        <item x="3110"/>
        <item x="3814"/>
        <item x="550"/>
        <item x="2650"/>
        <item x="600"/>
        <item x="327"/>
        <item x="3944"/>
        <item x="3974"/>
        <item x="743"/>
        <item x="1886"/>
        <item x="4460"/>
        <item x="3693"/>
        <item x="1130"/>
        <item x="3031"/>
        <item x="1544"/>
        <item x="4588"/>
        <item x="2927"/>
        <item x="1245"/>
        <item x="3287"/>
        <item x="2503"/>
        <item x="402"/>
        <item x="3800"/>
        <item x="3389"/>
        <item x="3418"/>
        <item x="2226"/>
        <item x="344"/>
        <item x="507"/>
        <item x="2706"/>
        <item x="1401"/>
        <item x="2081"/>
        <item x="2233"/>
        <item x="1074"/>
        <item x="3032"/>
        <item x="4307"/>
        <item x="1410"/>
        <item x="469"/>
        <item x="3721"/>
        <item x="2446"/>
        <item x="1055"/>
        <item x="652"/>
        <item x="1431"/>
        <item x="1630"/>
        <item x="574"/>
        <item x="2938"/>
        <item x="457"/>
        <item x="1575"/>
        <item x="3577"/>
        <item x="4288"/>
        <item x="2430"/>
        <item x="3059"/>
        <item x="3297"/>
        <item x="3528"/>
        <item x="1950"/>
        <item x="3261"/>
        <item x="2658"/>
        <item x="4284"/>
        <item x="3818"/>
        <item x="4484"/>
        <item x="3500"/>
        <item x="4470"/>
        <item x="1587"/>
        <item x="1171"/>
        <item x="564"/>
        <item x="3732"/>
        <item x="3272"/>
        <item x="3430"/>
        <item x="1084"/>
        <item x="4232"/>
        <item x="1916"/>
        <item x="2931"/>
        <item x="1680"/>
        <item x="225"/>
        <item x="2271"/>
        <item x="2595"/>
        <item x="4218"/>
        <item x="2045"/>
        <item x="2243"/>
        <item x="4647"/>
        <item x="3609"/>
        <item x="440"/>
        <item x="2138"/>
        <item x="4658"/>
        <item x="2322"/>
        <item x="2428"/>
        <item x="4127"/>
        <item x="4248"/>
        <item x="2596"/>
        <item x="3659"/>
        <item x="4260"/>
        <item x="2790"/>
        <item x="3682"/>
        <item x="3394"/>
        <item x="3765"/>
        <item x="2380"/>
        <item x="3006"/>
        <item x="866"/>
        <item x="2950"/>
        <item x="3143"/>
        <item x="3057"/>
        <item x="2179"/>
        <item x="1706"/>
        <item x="2924"/>
        <item x="1822"/>
        <item x="1433"/>
        <item x="2895"/>
        <item x="3102"/>
        <item x="4274"/>
        <item x="1613"/>
        <item x="1684"/>
        <item x="3783"/>
        <item x="918"/>
        <item x="783"/>
        <item x="1041"/>
        <item x="1183"/>
        <item x="1512"/>
        <item x="1635"/>
        <item x="2630"/>
        <item x="3709"/>
        <item x="2830"/>
        <item x="2124"/>
        <item x="4199"/>
        <item x="3117"/>
        <item x="2026"/>
        <item x="199"/>
        <item x="312"/>
        <item x="646"/>
        <item x="2777"/>
        <item x="3214"/>
        <item x="2725"/>
        <item x="4109"/>
        <item x="1010"/>
        <item x="1414"/>
        <item x="2351"/>
        <item x="355"/>
        <item x="1723"/>
        <item x="3089"/>
        <item x="705"/>
        <item x="1341"/>
        <item x="992"/>
        <item x="3558"/>
        <item x="3866"/>
        <item x="271"/>
        <item x="1323"/>
        <item x="2193"/>
        <item x="2387"/>
        <item x="2238"/>
        <item x="1347"/>
        <item x="669"/>
        <item x="3717"/>
        <item x="3514"/>
        <item x="3154"/>
        <item x="4083"/>
        <item x="4074"/>
        <item x="3979"/>
        <item x="4057"/>
        <item x="2782"/>
        <item x="1675"/>
        <item x="3836"/>
        <item x="860"/>
        <item x="3294"/>
        <item x="1634"/>
        <item x="3164"/>
        <item x="967"/>
        <item x="3748"/>
        <item x="2764"/>
        <item x="3293"/>
        <item x="248"/>
        <item x="1969"/>
        <item x="3714"/>
        <item x="2349"/>
        <item x="2037"/>
        <item x="2565"/>
        <item x="780"/>
        <item x="1953"/>
        <item x="1714"/>
        <item x="2556"/>
        <item x="20"/>
        <item x="4250"/>
        <item x="2739"/>
        <item x="801"/>
        <item x="4076"/>
        <item x="844"/>
        <item x="2201"/>
        <item x="3073"/>
        <item x="3755"/>
        <item x="2629"/>
        <item x="862"/>
        <item x="557"/>
        <item x="3918"/>
        <item x="2491"/>
        <item x="2984"/>
        <item x="887"/>
        <item x="2974"/>
        <item x="461"/>
        <item x="4156"/>
        <item x="1106"/>
        <item x="986"/>
        <item x="1901"/>
        <item x="3429"/>
        <item x="3652"/>
        <item x="4245"/>
        <item x="304"/>
        <item x="1766"/>
        <item x="1142"/>
        <item x="530"/>
        <item x="1777"/>
        <item x="3344"/>
        <item x="1830"/>
        <item x="1444"/>
        <item x="2728"/>
        <item x="4512"/>
        <item x="2846"/>
        <item x="4574"/>
        <item x="2731"/>
        <item x="3314"/>
        <item x="702"/>
        <item x="2884"/>
        <item x="4267"/>
        <item x="2971"/>
        <item x="2869"/>
        <item x="2168"/>
        <item x="1096"/>
        <item x="3171"/>
        <item x="2867"/>
        <item x="206"/>
        <item x="3317"/>
        <item x="2259"/>
        <item x="153"/>
        <item x="408"/>
        <item x="3887"/>
        <item x="1963"/>
        <item x="2655"/>
        <item x="3549"/>
        <item x="2266"/>
        <item x="1835"/>
        <item x="1089"/>
        <item x="2215"/>
        <item x="2471"/>
        <item x="3203"/>
        <item x="3461"/>
        <item x="133"/>
        <item x="3563"/>
        <item x="2551"/>
        <item x="389"/>
        <item x="2336"/>
        <item x="3478"/>
        <item x="2691"/>
        <item x="1954"/>
        <item x="4331"/>
        <item x="4369"/>
        <item x="4558"/>
        <item x="1406"/>
        <item x="2358"/>
        <item x="3197"/>
        <item x="194"/>
        <item x="349"/>
        <item x="3586"/>
        <item x="1405"/>
        <item x="2665"/>
        <item x="4568"/>
        <item x="4148"/>
        <item x="4482"/>
        <item x="420"/>
        <item x="4144"/>
        <item x="1823"/>
        <item x="189"/>
        <item x="1688"/>
        <item x="2071"/>
        <item x="241"/>
        <item x="3547"/>
        <item x="3757"/>
        <item x="4124"/>
        <item x="4088"/>
        <item x="587"/>
        <item x="4328"/>
        <item x="3282"/>
        <item x="4244"/>
        <item x="1126"/>
        <item x="2060"/>
        <item x="1755"/>
        <item x="2422"/>
        <item x="1256"/>
        <item x="3014"/>
        <item x="2209"/>
        <item x="4018"/>
        <item x="1983"/>
        <item x="3084"/>
        <item x="3159"/>
        <item x="3692"/>
        <item x="629"/>
        <item x="1974"/>
        <item x="3444"/>
        <item x="4123"/>
        <item x="3793"/>
        <item x="63"/>
        <item x="761"/>
        <item x="1799"/>
        <item x="4190"/>
        <item x="803"/>
        <item x="2967"/>
        <item x="767"/>
        <item x="3320"/>
        <item x="4359"/>
        <item x="3192"/>
        <item x="181"/>
        <item x="782"/>
        <item x="4547"/>
        <item x="177"/>
        <item x="4043"/>
        <item x="185"/>
        <item x="925"/>
        <item x="1374"/>
        <item x="4277"/>
        <item x="788"/>
        <item x="3379"/>
        <item x="692"/>
        <item x="1818"/>
        <item x="744"/>
        <item x="219"/>
        <item x="211"/>
        <item x="2133"/>
        <item x="3898"/>
        <item x="2157"/>
        <item x="1984"/>
        <item x="3743"/>
        <item x="3600"/>
        <item x="579"/>
        <item x="2068"/>
        <item x="3919"/>
        <item x="1593"/>
        <item x="1000"/>
        <item x="3695"/>
        <item x="3604"/>
        <item x="10"/>
        <item x="4513"/>
        <item x="2698"/>
        <item x="187"/>
        <item x="2195"/>
        <item x="1817"/>
        <item x="4313"/>
        <item x="2222"/>
        <item x="4517"/>
        <item x="3205"/>
        <item x="2061"/>
        <item x="3488"/>
        <item x="2570"/>
        <item x="33"/>
        <item x="2637"/>
        <item x="2959"/>
        <item x="4065"/>
        <item x="2946"/>
        <item x="2340"/>
        <item x="4152"/>
        <item x="71"/>
        <item x="2482"/>
        <item x="1810"/>
        <item x="4239"/>
        <item x="4220"/>
        <item x="3091"/>
        <item x="356"/>
        <item x="914"/>
        <item x="556"/>
        <item x="1293"/>
        <item x="1674"/>
        <item x="4141"/>
        <item x="2747"/>
        <item x="4203"/>
        <item x="1101"/>
        <item x="2103"/>
        <item x="348"/>
        <item x="3481"/>
        <item x="3384"/>
        <item x="551"/>
        <item x="1728"/>
        <item x="1489"/>
        <item x="3700"/>
        <item x="2994"/>
        <item x="1485"/>
        <item x="2997"/>
        <item x="4129"/>
        <item x="1447"/>
        <item x="247"/>
        <item x="1091"/>
        <item x="1112"/>
        <item x="2972"/>
        <item x="455"/>
        <item x="3503"/>
        <item x="944"/>
        <item x="38"/>
        <item x="856"/>
        <item x="765"/>
        <item x="17"/>
        <item x="4177"/>
        <item x="2626"/>
        <item x="3241"/>
        <item x="1890"/>
        <item x="4120"/>
        <item x="2411"/>
        <item x="1710"/>
        <item x="2817"/>
        <item x="529"/>
        <item x="3751"/>
        <item x="4389"/>
        <item x="4604"/>
        <item x="4231"/>
        <item x="3742"/>
        <item x="870"/>
        <item x="1821"/>
        <item x="1955"/>
        <item x="3539"/>
        <item x="3965"/>
        <item x="1592"/>
        <item x="3388"/>
        <item x="3416"/>
        <item x="1846"/>
        <item x="2354"/>
        <item x="855"/>
        <item x="98"/>
        <item x="238"/>
        <item x="3359"/>
        <item x="2200"/>
        <item x="4567"/>
        <item x="2144"/>
        <item x="3196"/>
        <item x="1780"/>
        <item x="3080"/>
        <item x="3498"/>
        <item x="3739"/>
        <item x="1403"/>
        <item x="3966"/>
        <item x="718"/>
        <item x="1231"/>
        <item x="1951"/>
        <item x="1014"/>
        <item x="2460"/>
        <item x="334"/>
        <item x="4242"/>
        <item x="1216"/>
        <item x="39"/>
        <item x="144"/>
        <item x="3515"/>
        <item x="2700"/>
        <item x="4415"/>
        <item x="4118"/>
        <item x="3245"/>
        <item x="3278"/>
        <item x="882"/>
        <item x="4182"/>
        <item x="482"/>
        <item x="4098"/>
        <item x="897"/>
        <item x="3796"/>
        <item x="4536"/>
        <item x="3053"/>
        <item x="4566"/>
        <item x="4447"/>
        <item x="2816"/>
        <item x="3308"/>
        <item x="2464"/>
        <item x="809"/>
        <item x="3109"/>
        <item x="609"/>
        <item x="1337"/>
        <item x="2502"/>
        <item x="4594"/>
        <item x="3396"/>
        <item x="2217"/>
        <item x="1813"/>
        <item x="3715"/>
        <item x="309"/>
        <item x="384"/>
        <item x="1946"/>
        <item x="1985"/>
        <item x="514"/>
        <item x="4532"/>
        <item x="3456"/>
        <item x="990"/>
        <item x="1316"/>
        <item x="28"/>
        <item x="1912"/>
        <item x="245"/>
        <item x="674"/>
        <item x="636"/>
        <item x="3092"/>
        <item x="4631"/>
        <item x="513"/>
        <item x="96"/>
        <item x="871"/>
        <item x="4279"/>
        <item x="806"/>
        <item x="571"/>
        <item x="4653"/>
        <item x="284"/>
        <item x="2207"/>
        <item x="32"/>
        <item x="3962"/>
        <item x="4449"/>
        <item x="2070"/>
        <item x="2386"/>
        <item x="2219"/>
        <item x="899"/>
        <item x="2066"/>
        <item x="2483"/>
        <item x="1027"/>
        <item x="1523"/>
        <item x="1273"/>
        <item x="2577"/>
        <item x="2674"/>
        <item x="2224"/>
        <item x="3256"/>
        <item x="2873"/>
        <item x="592"/>
        <item x="2487"/>
        <item x="3611"/>
        <item x="30"/>
        <item x="1085"/>
        <item x="3"/>
        <item x="2362"/>
        <item x="4023"/>
        <item x="2114"/>
        <item x="1734"/>
        <item x="2485"/>
        <item x="1242"/>
        <item x="3822"/>
        <item x="3140"/>
        <item x="2799"/>
        <item x="3669"/>
        <item x="3716"/>
        <item x="1497"/>
        <item x="1743"/>
        <item x="1804"/>
        <item x="584"/>
        <item x="2146"/>
        <item x="4548"/>
        <item x="4142"/>
        <item x="1941"/>
        <item x="4665"/>
        <item x="2591"/>
        <item x="174"/>
        <item x="4469"/>
        <item x="1888"/>
        <item x="3735"/>
        <item x="6"/>
        <item x="4473"/>
        <item x="341"/>
        <item x="2741"/>
        <item x="604"/>
        <item x="2389"/>
        <item x="4569"/>
        <item x="15"/>
        <item x="2135"/>
        <item x="1753"/>
        <item x="119"/>
        <item x="3201"/>
        <item x="575"/>
        <item x="1625"/>
        <item x="1300"/>
        <item x="3048"/>
        <item x="3202"/>
        <item x="323"/>
        <item x="1678"/>
        <item x="2792"/>
        <item x="2423"/>
        <item x="1203"/>
        <item x="232"/>
        <item x="448"/>
        <item x="2670"/>
        <item x="3286"/>
        <item x="781"/>
        <item x="1288"/>
        <item x="210"/>
        <item x="1681"/>
        <item x="840"/>
        <item x="916"/>
        <item x="2031"/>
        <item x="1087"/>
        <item x="3815"/>
        <item x="1873"/>
        <item x="434"/>
        <item x="764"/>
        <item x="3566"/>
        <item x="4265"/>
        <item x="3207"/>
        <item x="1445"/>
        <item x="3045"/>
        <item x="2614"/>
        <item x="1422"/>
        <item x="3696"/>
        <item x="2505"/>
        <item x="4421"/>
        <item x="108"/>
        <item x="1454"/>
        <item x="2353"/>
        <item x="891"/>
        <item x="1022"/>
        <item x="1179"/>
        <item x="1882"/>
        <item x="1227"/>
        <item x="3958"/>
        <item x="3665"/>
        <item x="4565"/>
        <item x="4306"/>
        <item x="635"/>
        <item x="4138"/>
        <item x="24"/>
        <item x="2046"/>
        <item x="1663"/>
        <item x="443"/>
        <item x="62"/>
        <item x="311"/>
        <item x="4136"/>
        <item x="243"/>
        <item x="828"/>
        <item x="4122"/>
        <item x="1297"/>
        <item x="4033"/>
        <item x="2554"/>
        <item x="1618"/>
        <item x="979"/>
        <item x="3198"/>
        <item x="1372"/>
        <item x="1513"/>
        <item x="1919"/>
        <item x="321"/>
        <item x="2651"/>
        <item x="1308"/>
        <item x="1787"/>
        <item x="4051"/>
        <item x="3785"/>
        <item x="267"/>
        <item x="4459"/>
        <item x="4233"/>
        <item x="2506"/>
        <item x="2228"/>
        <item x="338"/>
        <item x="1213"/>
        <item x="742"/>
        <item x="2409"/>
        <item x="1496"/>
        <item x="2586"/>
        <item x="721"/>
        <item x="2263"/>
        <item x="2475"/>
        <item x="297"/>
        <item x="2568"/>
        <item x="4009"/>
        <item x="4400"/>
        <item x="4395"/>
        <item x="3422"/>
        <item x="553"/>
        <item x="905"/>
        <item x="2261"/>
        <item x="3633"/>
        <item x="3161"/>
        <item x="4388"/>
        <item x="480"/>
        <item x="3591"/>
        <item x="523"/>
        <item x="1721"/>
        <item x="246"/>
        <item x="1157"/>
        <item x="3776"/>
        <item x="1957"/>
        <item x="2911"/>
        <item x="4167"/>
        <item x="1854"/>
        <item x="1992"/>
        <item x="1646"/>
        <item x="259"/>
        <item x="1350"/>
        <item x="3499"/>
        <item x="1725"/>
        <item x="2609"/>
        <item x="520"/>
        <item x="1331"/>
        <item x="2405"/>
        <item x="2394"/>
        <item x="726"/>
        <item x="4178"/>
        <item x="2752"/>
        <item x="3674"/>
        <item x="471"/>
        <item x="4211"/>
        <item x="57"/>
        <item x="1599"/>
        <item x="2520"/>
        <item x="3156"/>
        <item x="75"/>
        <item x="2241"/>
        <item x="3421"/>
        <item x="282"/>
        <item x="4006"/>
        <item x="1117"/>
        <item x="388"/>
        <item x="778"/>
        <item x="1103"/>
        <item x="649"/>
        <item x="896"/>
        <item x="3335"/>
        <item x="3242"/>
        <item x="2055"/>
        <item x="2484"/>
        <item x="1380"/>
        <item x="1494"/>
        <item x="2814"/>
        <item x="3718"/>
        <item x="846"/>
        <item x="492"/>
        <item x="1809"/>
        <item x="3931"/>
        <item x="1498"/>
        <item x="4090"/>
        <item x="3719"/>
        <item x="4545"/>
        <item x="3769"/>
        <item x="2983"/>
        <item x="2928"/>
        <item x="2002"/>
        <item x="1611"/>
        <item x="589"/>
        <item x="1791"/>
        <item x="277"/>
        <item x="1021"/>
        <item x="3655"/>
        <item x="3625"/>
        <item x="664"/>
        <item x="3856"/>
        <item x="2692"/>
        <item x="2581"/>
        <item x="3632"/>
        <item x="1253"/>
        <item x="2499"/>
        <item x="4300"/>
        <item x="4434"/>
        <item x="1029"/>
        <item x="4504"/>
        <item x="137"/>
        <item x="4494"/>
        <item x="2806"/>
        <item x="774"/>
        <item x="1284"/>
        <item x="84"/>
        <item x="2303"/>
        <item x="2436"/>
        <item x="2576"/>
        <item x="1248"/>
        <item x="431"/>
        <item x="3324"/>
        <item x="4436"/>
        <item x="3219"/>
        <item x="4131"/>
        <item x="1748"/>
        <item x="3449"/>
        <item x="2988"/>
        <item x="2930"/>
        <item x="1642"/>
        <item x="3634"/>
        <item x="3001"/>
        <item x="2214"/>
        <item x="3397"/>
        <item x="46"/>
        <item x="582"/>
        <item x="4192"/>
        <item x="313"/>
        <item x="2467"/>
        <item x="3265"/>
        <item x="2613"/>
        <item x="2832"/>
        <item x="422"/>
        <item x="2649"/>
        <item x="3217"/>
        <item x="3386"/>
        <item x="591"/>
        <item x="1390"/>
        <item x="2973"/>
        <item x="2500"/>
        <item x="463"/>
        <item x="4208"/>
        <item x="4056"/>
        <item x="2845"/>
        <item x="849"/>
        <item x="957"/>
        <item x="2952"/>
        <item x="16"/>
        <item x="1165"/>
        <item x="484"/>
        <item x="317"/>
        <item x="1972"/>
        <item x="4347"/>
        <item x="40"/>
        <item x="1135"/>
        <item x="3612"/>
        <item x="4448"/>
        <item x="660"/>
        <item x="2056"/>
        <item x="2822"/>
        <item x="4225"/>
        <item x="779"/>
        <item x="3114"/>
        <item x="4371"/>
        <item x="1068"/>
        <item x="1774"/>
        <item x="2544"/>
        <item x="1814"/>
        <item x="2407"/>
        <item x="4095"/>
        <item x="4466"/>
        <item x="445"/>
        <item x="2627"/>
        <item x="1492"/>
        <item x="3257"/>
        <item x="3403"/>
        <item x="565"/>
        <item x="3701"/>
        <item x="1290"/>
        <item x="2663"/>
        <item x="2886"/>
        <item x="3079"/>
        <item x="1342"/>
        <item x="3867"/>
        <item x="1795"/>
        <item x="3777"/>
        <item x="4480"/>
        <item x="2519"/>
        <item x="151"/>
        <item x="2925"/>
        <item x="580"/>
        <item x="462"/>
        <item x="2166"/>
        <item x="1049"/>
        <item x="3062"/>
        <item x="3487"/>
        <item x="3821"/>
        <item x="821"/>
        <item x="1556"/>
        <item x="1166"/>
        <item x="1612"/>
        <item x="3043"/>
        <item x="586"/>
        <item x="4168"/>
        <item x="1354"/>
        <item x="3298"/>
        <item x="1784"/>
        <item x="2642"/>
        <item x="3475"/>
        <item x="3994"/>
        <item x="21"/>
        <item x="512"/>
        <item x="2151"/>
        <item x="4321"/>
        <item x="3022"/>
        <item x="2688"/>
        <item x="208"/>
        <item x="1040"/>
        <item x="2371"/>
        <item x="222"/>
        <item x="4575"/>
        <item x="4645"/>
        <item x="3936"/>
        <item x="2415"/>
        <item x="1144"/>
        <item x="3212"/>
        <item x="506"/>
        <item x="4303"/>
        <item x="558"/>
        <item x="1856"/>
        <item x="1897"/>
        <item x="4527"/>
        <item x="3295"/>
        <item x="3601"/>
        <item x="1015"/>
        <item x="1304"/>
        <item x="4541"/>
        <item x="2410"/>
        <item x="2232"/>
        <item x="2531"/>
        <item x="2172"/>
        <item x="1648"/>
        <item x="4540"/>
        <item x="3802"/>
        <item x="4259"/>
        <item x="298"/>
        <item x="347"/>
        <item x="2936"/>
        <item x="4618"/>
        <item x="2538"/>
        <item x="1362"/>
        <item x="937"/>
        <item x="4399"/>
        <item x="1553"/>
        <item x="2787"/>
        <item x="4404"/>
        <item x="2901"/>
        <item x="2288"/>
        <item x="1905"/>
        <item x="3283"/>
        <item x="725"/>
        <item x="3270"/>
        <item x="3482"/>
        <item x="3675"/>
        <item x="1058"/>
        <item x="165"/>
        <item x="4396"/>
        <item x="1545"/>
        <item x="4393"/>
        <item x="3883"/>
        <item x="2648"/>
        <item x="3020"/>
        <item x="82"/>
        <item x="4496"/>
        <item x="2766"/>
        <item x="2119"/>
        <item x="2062"/>
        <item x="2469"/>
        <item x="81"/>
        <item x="2753"/>
        <item x="3927"/>
        <item x="913"/>
        <item x="2572"/>
        <item x="2452"/>
        <item x="4169"/>
        <item x="1726"/>
        <item x="1324"/>
        <item x="4633"/>
        <item x="4061"/>
        <item x="3687"/>
        <item x="2376"/>
        <item x="3667"/>
        <item x="1976"/>
        <item x="1351"/>
        <item x="4557"/>
        <item x="1208"/>
        <item x="444"/>
        <item x="2095"/>
        <item x="1502"/>
        <item x="601"/>
        <item x="1477"/>
        <item x="292"/>
        <item x="2309"/>
        <item x="2669"/>
        <item x="632"/>
        <item x="1705"/>
        <item x="1754"/>
        <item x="3070"/>
        <item x="3404"/>
        <item x="301"/>
        <item x="1340"/>
        <item x="3835"/>
        <item x="933"/>
        <item x="1169"/>
        <item x="1008"/>
        <item x="1836"/>
        <item x="1686"/>
        <item x="2240"/>
        <item x="2584"/>
        <item x="3988"/>
        <item x="417"/>
        <item x="2860"/>
        <item x="3615"/>
        <item x="1263"/>
        <item x="3750"/>
        <item x="3260"/>
        <item x="4370"/>
        <item x="1869"/>
        <item x="4204"/>
        <item x="3987"/>
        <item x="1326"/>
        <item x="817"/>
        <item x="3603"/>
        <item x="1616"/>
        <item x="2342"/>
        <item x="1973"/>
        <item x="1859"/>
        <item x="2347"/>
        <item x="1440"/>
        <item x="1889"/>
        <item x="4455"/>
        <item x="4189"/>
        <item x="2326"/>
        <item x="3357"/>
        <item x="699"/>
        <item x="1098"/>
        <item x="3745"/>
        <item x="432"/>
        <item x="316"/>
        <item x="1355"/>
        <item x="4038"/>
        <item x="2929"/>
        <item x="166"/>
        <item x="263"/>
        <item x="3222"/>
        <item x="1282"/>
        <item x="2188"/>
        <item x="172"/>
        <item x="935"/>
        <item x="149"/>
        <item x="307"/>
        <item x="3229"/>
        <item x="4339"/>
        <item x="3321"/>
        <item x="2549"/>
        <item x="966"/>
        <item x="544"/>
        <item x="1344"/>
        <item x="1209"/>
        <item x="2631"/>
        <item x="1228"/>
        <item x="4298"/>
        <item x="2057"/>
        <item x="4164"/>
        <item x="1516"/>
        <item x="607"/>
        <item x="1137"/>
        <item x="2330"/>
        <item x="1803"/>
        <item x="468"/>
        <item x="377"/>
        <item x="547"/>
        <item x="1129"/>
        <item x="3471"/>
        <item x="110"/>
        <item x="3433"/>
        <item x="3339"/>
        <item x="4362"/>
        <item x="3617"/>
        <item x="1412"/>
        <item x="1139"/>
        <item x="762"/>
        <item x="2723"/>
        <item x="483"/>
        <item x="2417"/>
        <item x="4507"/>
        <item x="250"/>
        <item x="610"/>
        <item x="3086"/>
        <item x="2588"/>
        <item x="396"/>
        <item x="3760"/>
        <item x="2945"/>
        <item x="2821"/>
        <item x="3479"/>
        <item x="2421"/>
        <item x="217"/>
        <item x="4045"/>
        <item x="527"/>
        <item x="2657"/>
        <item x="1383"/>
        <item x="2517"/>
        <item x="787"/>
        <item x="2317"/>
        <item x="1857"/>
        <item x="643"/>
        <item x="1987"/>
        <item x="3373"/>
        <item x="1522"/>
        <item x="684"/>
        <item x="3738"/>
        <item x="193"/>
        <item x="906"/>
        <item x="1519"/>
        <item x="4236"/>
        <item x="2178"/>
        <item x="4413"/>
        <item x="1627"/>
        <item x="3813"/>
        <item x="1615"/>
        <item x="4644"/>
        <item x="2023"/>
        <item x="518"/>
        <item x="220"/>
        <item x="43"/>
        <item x="1193"/>
        <item x="2011"/>
        <item x="2857"/>
        <item x="2900"/>
        <item x="843"/>
        <item x="3235"/>
        <item x="418"/>
        <item x="522"/>
        <item x="912"/>
        <item x="1090"/>
        <item x="2758"/>
        <item x="3131"/>
        <item x="4224"/>
        <item x="2113"/>
        <item x="202"/>
        <item x="1028"/>
        <item x="3322"/>
        <item x="886"/>
        <item x="654"/>
        <item x="3176"/>
        <item x="2578"/>
        <item x="3542"/>
        <item x="2155"/>
        <item x="552"/>
        <item x="728"/>
        <item x="3313"/>
        <item x="2024"/>
        <item x="68"/>
        <item x="4280"/>
        <item x="4642"/>
        <item x="1387"/>
        <item x="3552"/>
        <item x="2769"/>
        <item x="2919"/>
        <item x="4414"/>
        <item x="1175"/>
        <item x="4016"/>
        <item x="3337"/>
        <item x="1540"/>
        <item x="1024"/>
        <item x="2246"/>
        <item x="3573"/>
        <item x="3506"/>
        <item x="381"/>
        <item x="599"/>
        <item x="1567"/>
        <item x="1761"/>
        <item x="3501"/>
        <item x="3347"/>
        <item x="2918"/>
        <item x="3220"/>
        <item x="2737"/>
        <item x="3877"/>
        <item x="2262"/>
        <item x="1039"/>
        <item x="2143"/>
        <item x="1011"/>
        <item x="4206"/>
        <item x="3141"/>
        <item x="1309"/>
        <item x="3903"/>
        <item x="2707"/>
        <item x="358"/>
        <item x="4423"/>
        <item x="131"/>
        <item x="3139"/>
        <item x="989"/>
        <item x="1622"/>
        <item x="1623"/>
        <item x="3228"/>
        <item x="1120"/>
        <item x="3968"/>
        <item x="2863"/>
        <item x="3594"/>
        <item x="698"/>
        <item x="4573"/>
        <item x="890"/>
        <item x="517"/>
        <item x="3253"/>
        <item x="1745"/>
        <item x="4101"/>
        <item x="1790"/>
        <item x="2093"/>
        <item x="800"/>
        <item x="1343"/>
        <item x="433"/>
        <item x="4047"/>
        <item x="875"/>
        <item x="3762"/>
        <item x="1376"/>
        <item x="1574"/>
        <item x="403"/>
        <item x="4270"/>
        <item x="2449"/>
        <item x="750"/>
        <item x="538"/>
        <item x="112"/>
        <item x="993"/>
        <item x="3545"/>
        <item x="435"/>
        <item x="3592"/>
        <item x="867"/>
        <item x="2291"/>
        <item x="60"/>
        <item x="1594"/>
        <item x="162"/>
        <item x="1348"/>
        <item x="2089"/>
        <item x="3497"/>
        <item x="2167"/>
        <item x="873"/>
        <item x="2673"/>
        <item x="1529"/>
        <item x="1944"/>
        <item x="730"/>
        <item x="1247"/>
        <item x="2302"/>
        <item x="982"/>
        <item x="4580"/>
        <item x="546"/>
        <item x="1283"/>
        <item x="2295"/>
        <item x="2904"/>
        <item x="1851"/>
        <item x="2059"/>
        <item x="2379"/>
        <item x="362"/>
        <item x="2175"/>
        <item x="508"/>
        <item x="680"/>
        <item x="4606"/>
        <item x="4102"/>
        <item x="1113"/>
        <item x="4525"/>
        <item x="3300"/>
        <item x="4385"/>
        <item x="2539"/>
        <item x="4402"/>
        <item x="4360"/>
        <item x="2109"/>
        <item x="3230"/>
        <item x="531"/>
        <item x="1792"/>
        <item x="851"/>
        <item x="1782"/>
        <item x="2433"/>
        <item x="3670"/>
        <item x="3873"/>
        <item x="3916"/>
        <item x="1993"/>
        <item x="1174"/>
        <item x="2856"/>
        <item x="3799"/>
        <item x="1145"/>
        <item x="4157"/>
        <item x="789"/>
        <item x="1673"/>
        <item x="820"/>
        <item x="733"/>
        <item x="4425"/>
        <item x="3169"/>
        <item x="3144"/>
        <item x="3399"/>
        <item x="4325"/>
        <item x="1044"/>
        <item x="2940"/>
        <item x="3356"/>
        <item x="150"/>
        <item x="1364"/>
        <item x="2564"/>
        <item x="3346"/>
        <item x="963"/>
        <item x="3326"/>
        <item x="2112"/>
        <item x="3779"/>
        <item x="4634"/>
        <item x="3504"/>
        <item x="3728"/>
        <item x="2905"/>
        <item x="4465"/>
        <item x="1581"/>
        <item x="4652"/>
        <item x="715"/>
        <item x="1578"/>
        <item x="734"/>
        <item x="4357"/>
        <item x="1449"/>
        <item x="2676"/>
        <item x="2550"/>
        <item x="493"/>
        <item x="135"/>
        <item x="2703"/>
        <item x="4069"/>
        <item x="2333"/>
        <item x="4444"/>
        <item x="777"/>
        <item x="3844"/>
        <item x="4003"/>
        <item x="4081"/>
        <item x="3569"/>
        <item x="126"/>
        <item x="467"/>
        <item x="2249"/>
        <item x="1262"/>
        <item x="3233"/>
        <item x="4463"/>
        <item x="3474"/>
        <item x="2408"/>
        <item x="4249"/>
        <item x="2274"/>
        <item x="543"/>
        <item x="804"/>
        <item x="3409"/>
        <item x="983"/>
        <item x="3955"/>
        <item x="3733"/>
        <item x="4349"/>
        <item x="3628"/>
        <item x="548"/>
        <item x="2079"/>
        <item x="2173"/>
        <item x="3683"/>
        <item x="391"/>
        <item x="3023"/>
        <item x="4031"/>
        <item x="3956"/>
        <item x="2625"/>
        <item x="2180"/>
        <item x="1917"/>
        <item x="2091"/>
        <item x="545"/>
        <item x="3518"/>
        <item x="1742"/>
        <item x="2508"/>
        <item x="1119"/>
        <item x="346"/>
        <item x="466"/>
        <item x="2182"/>
        <item x="830"/>
        <item x="3125"/>
        <item x="3127"/>
        <item x="1528"/>
        <item x="474"/>
        <item x="192"/>
        <item x="31"/>
        <item x="459"/>
        <item x="141"/>
        <item x="23"/>
        <item x="4427"/>
        <item x="64"/>
        <item x="3004"/>
        <item x="4332"/>
        <item x="671"/>
        <item x="130"/>
        <item x="497"/>
        <item x="4508"/>
        <item x="4311"/>
        <item x="453"/>
        <item x="2438"/>
        <item x="1845"/>
        <item x="606"/>
        <item x="1598"/>
        <item x="2770"/>
        <item x="2783"/>
        <item x="4059"/>
        <item x="4351"/>
        <item x="1407"/>
        <item x="74"/>
        <item x="2329"/>
        <item x="2768"/>
        <item x="2090"/>
        <item x="3343"/>
        <item x="521"/>
        <item x="231"/>
        <item x="2206"/>
        <item x="3555"/>
        <item x="4627"/>
        <item x="861"/>
        <item x="4154"/>
        <item x="1617"/>
        <item x="2953"/>
        <item x="1579"/>
        <item x="4002"/>
        <item x="4283"/>
        <item x="4184"/>
        <item x="619"/>
        <item x="1850"/>
        <item x="289"/>
        <item x="773"/>
        <item x="4140"/>
        <item x="3306"/>
        <item x="3462"/>
        <item x="3949"/>
        <item x="3510"/>
        <item x="3688"/>
        <item x="3333"/>
        <item x="4458"/>
        <item x="2827"/>
        <item x="2512"/>
        <item x="233"/>
        <item x="3774"/>
        <item x="1700"/>
        <item x="360"/>
        <item x="594"/>
        <item x="4641"/>
        <item x="4554"/>
        <item x="2607"/>
        <item x="1720"/>
        <item x="125"/>
        <item x="3215"/>
        <item x="50"/>
        <item x="3115"/>
        <item x="3707"/>
        <item x="2021"/>
        <item x="1177"/>
        <item x="1896"/>
        <item x="4506"/>
        <item x="4341"/>
        <item x="190"/>
        <item x="1160"/>
        <item x="1336"/>
        <item x="1136"/>
        <item x="3512"/>
        <item x="1190"/>
        <item x="2441"/>
        <item x="1357"/>
        <item x="1906"/>
        <item x="2933"/>
        <item x="2308"/>
        <item x="2510"/>
        <item x="1595"/>
        <item x="3507"/>
        <item x="1006"/>
        <item x="1278"/>
        <item x="3486"/>
        <item x="3861"/>
        <item x="204"/>
        <item x="1275"/>
        <item x="4040"/>
        <item x="3304"/>
        <item x="2107"/>
        <item x="2030"/>
        <item x="2015"/>
        <item x="535"/>
        <item x="2902"/>
        <item x="3132"/>
        <item x="2486"/>
        <item x="2872"/>
        <item x="1411"/>
        <item x="1756"/>
        <item x="4322"/>
        <item x="3882"/>
        <item x="109"/>
        <item x="2714"/>
        <item x="4017"/>
        <item x="1717"/>
        <item x="3087"/>
        <item x="1586"/>
        <item x="4615"/>
        <item x="1110"/>
        <item x="3167"/>
        <item x="3922"/>
        <item x="1140"/>
        <item x="1738"/>
        <item x="3019"/>
        <item x="769"/>
        <item x="1072"/>
        <item x="3643"/>
        <item x="876"/>
        <item x="4499"/>
        <item x="2721"/>
        <item x="541"/>
        <item x="980"/>
        <item x="79"/>
        <item x="2029"/>
        <item x="2264"/>
        <item x="959"/>
        <item x="1786"/>
        <item x="2170"/>
        <item x="1088"/>
        <item x="1608"/>
        <item x="4201"/>
        <item x="4500"/>
        <item x="1270"/>
        <item x="2018"/>
        <item x="2915"/>
        <item x="315"/>
        <item x="3310"/>
        <item x="342"/>
        <item x="1641"/>
        <item x="823"/>
        <item x="4014"/>
        <item x="3521"/>
        <item x="4511"/>
        <item x="3078"/>
        <item x="2882"/>
        <item x="4617"/>
        <item x="500"/>
        <item x="3342"/>
        <item x="766"/>
        <item x="2934"/>
        <item x="3976"/>
        <item x="2338"/>
        <item x="653"/>
        <item x="115"/>
        <item x="489"/>
        <item x="94"/>
        <item x="214"/>
        <item x="4365"/>
        <item x="4025"/>
        <item x="236"/>
        <item x="878"/>
        <item x="2494"/>
        <item x="1828"/>
        <item x="4066"/>
        <item x="2656"/>
        <item x="1158"/>
        <item x="2191"/>
        <item x="816"/>
        <item x="738"/>
        <item x="2197"/>
        <item x="3529"/>
        <item x="2077"/>
        <item x="3845"/>
        <item x="3680"/>
        <item x="3983"/>
        <item x="4491"/>
        <item x="1476"/>
        <item x="2065"/>
        <item x="4550"/>
        <item x="1393"/>
        <item x="1009"/>
        <item x="2132"/>
        <item x="1320"/>
        <item x="2453"/>
        <item x="1281"/>
        <item x="2382"/>
        <item x="2736"/>
        <item x="945"/>
        <item x="3400"/>
        <item x="176"/>
        <item x="3371"/>
        <item x="1421"/>
        <item x="2185"/>
        <item x="3438"/>
        <item x="2840"/>
        <item x="666"/>
        <item x="1876"/>
        <item x="4032"/>
        <item x="818"/>
        <item x="1582"/>
        <item x="868"/>
        <item x="749"/>
        <item x="3285"/>
        <item x="2729"/>
        <item x="3893"/>
        <item x="1895"/>
        <item x="183"/>
        <item x="2048"/>
        <item x="3576"/>
        <item x="3018"/>
        <item x="2530"/>
        <item x="1508"/>
        <item x="4044"/>
        <item x="2306"/>
        <item x="4134"/>
        <item x="4578"/>
        <item x="3664"/>
        <item x="3152"/>
        <item x="3473"/>
        <item x="2653"/>
        <item x="2473"/>
        <item x="106"/>
        <item x="4376"/>
        <item x="1471"/>
        <item x="1597"/>
        <item x="1436"/>
        <item x="2514"/>
        <item x="3398"/>
        <item x="2444"/>
        <item x="415"/>
        <item x="2370"/>
        <item x="1653"/>
        <item x="397"/>
        <item x="3377"/>
        <item x="4001"/>
        <item x="3618"/>
        <item x="1862"/>
        <item x="2117"/>
        <item x="1365"/>
        <item x="3996"/>
        <item x="4254"/>
        <item x="1602"/>
        <item x="2120"/>
        <item x="3292"/>
        <item x="2479"/>
        <item x="3353"/>
        <item x="883"/>
        <item x="3090"/>
        <item x="1017"/>
        <item x="1082"/>
        <item x="2311"/>
        <item x="3513"/>
        <item x="1665"/>
        <item x="2587"/>
        <item x="4549"/>
        <item x="836"/>
        <item x="102"/>
        <item x="4592"/>
        <item x="1875"/>
        <item x="2364"/>
        <item x="532"/>
        <item x="2989"/>
        <item x="917"/>
        <item x="4252"/>
        <item x="573"/>
        <item x="1703"/>
        <item x="2522"/>
        <item x="3130"/>
        <item x="1427"/>
        <item x="4037"/>
        <item x="2466"/>
        <item x="4015"/>
        <item x="1339"/>
        <item x="3782"/>
        <item x="2250"/>
        <item x="4367"/>
        <item x="3039"/>
        <item x="4193"/>
        <item x="1541"/>
        <item x="2177"/>
        <item x="2871"/>
        <item x="3147"/>
        <item x="4607"/>
        <item x="704"/>
        <item x="4188"/>
        <item x="946"/>
        <item x="1102"/>
        <item x="549"/>
        <item x="1159"/>
        <item x="2779"/>
        <item x="3135"/>
        <item x="216"/>
        <item x="2042"/>
        <item x="1155"/>
        <item x="835"/>
        <item x="3863"/>
        <item x="4281"/>
        <item x="4296"/>
        <item x="647"/>
        <item x="1959"/>
        <item x="2947"/>
        <item x="4601"/>
        <item x="4616"/>
        <item x="4614"/>
        <item x="4443"/>
        <item x="620"/>
        <item x="4589"/>
        <item x="3993"/>
        <item x="746"/>
        <item x="1352"/>
        <item x="763"/>
        <item x="4409"/>
        <item x="3808"/>
        <item x="2426"/>
        <item x="3056"/>
        <item x="3517"/>
        <item x="1303"/>
        <item x="1062"/>
        <item x="2624"/>
        <item x="1934"/>
        <item x="1317"/>
        <item x="4478"/>
        <item x="3876"/>
        <item x="3541"/>
        <item x="4151"/>
        <item x="2680"/>
        <item x="3837"/>
        <item x="2943"/>
        <item x="977"/>
        <item x="3806"/>
        <item x="2820"/>
        <item x="3516"/>
        <item x="73"/>
        <item x="3405"/>
        <item x="1230"/>
        <item x="841"/>
        <item x="136"/>
        <item x="398"/>
        <item x="2402"/>
        <item x="339"/>
        <item x="2129"/>
        <item x="331"/>
        <item x="1658"/>
        <item x="1654"/>
        <item x="2442"/>
        <item x="1265"/>
        <item x="713"/>
        <item x="2548"/>
        <item x="2610"/>
        <item x="947"/>
        <item x="858"/>
        <item x="3690"/>
        <item x="3579"/>
        <item x="414"/>
        <item x="361"/>
        <item x="390"/>
        <item x="1967"/>
        <item x="941"/>
        <item x="1121"/>
        <item x="4062"/>
        <item x="1577"/>
        <item x="3685"/>
        <item x="852"/>
        <item x="1220"/>
        <item x="1381"/>
        <item x="2154"/>
        <item x="1547"/>
        <item x="3744"/>
        <item x="3362"/>
        <item x="1936"/>
        <item x="2975"/>
        <item x="3939"/>
        <item x="4093"/>
        <item x="1565"/>
        <item x="2189"/>
        <item x="2818"/>
        <item x="454"/>
        <item x="2805"/>
        <item x="2789"/>
        <item x="4433"/>
        <item x="3288"/>
        <item x="3250"/>
        <item x="4128"/>
        <item x="4450"/>
        <item x="2280"/>
        <item x="3610"/>
        <item x="949"/>
        <item x="2239"/>
        <item x="676"/>
        <item x="2893"/>
        <item x="2990"/>
        <item x="1775"/>
        <item x="775"/>
        <item x="1637"/>
        <item x="929"/>
        <item x="3937"/>
        <item x="1424"/>
        <item x="3548"/>
        <item x="2751"/>
        <item x="3741"/>
        <item x="2286"/>
        <item x="857"/>
        <item x="2634"/>
        <item x="3412"/>
        <item x="4629"/>
        <item x="3597"/>
        <item x="4060"/>
        <item x="364"/>
        <item x="1584"/>
        <item x="2202"/>
        <item x="1268"/>
        <item x="1866"/>
        <item x="3208"/>
        <item x="1116"/>
        <item x="2891"/>
        <item x="340"/>
        <item x="2774"/>
        <item x="61"/>
        <item x="2040"/>
        <item x="3211"/>
        <item x="720"/>
        <item x="4293"/>
        <item x="4416"/>
        <item x="2218"/>
        <item x="3970"/>
        <item x="3182"/>
        <item x="3631"/>
        <item x="1930"/>
        <item x="3986"/>
        <item x="1893"/>
        <item x="1292"/>
        <item x="1923"/>
        <item x="1066"/>
        <item x="3623"/>
        <item x="382"/>
        <item x="1546"/>
        <item x="934"/>
        <item x="2810"/>
        <item x="4551"/>
        <item x="2122"/>
        <item x="753"/>
        <item x="4160"/>
        <item x="3175"/>
        <item x="4599"/>
        <item x="1114"/>
        <item x="3491"/>
        <item x="2401"/>
        <item x="3589"/>
        <item x="1603"/>
        <item x="3933"/>
        <item x="3787"/>
        <item x="1831"/>
        <item x="2496"/>
        <item x="4315"/>
        <item x="4623"/>
        <item x="2038"/>
        <item x="657"/>
        <item x="1377"/>
        <item x="3224"/>
        <item x="4163"/>
        <item x="1229"/>
        <item x="386"/>
        <item x="1164"/>
        <item x="802"/>
        <item x="510"/>
        <item x="2635"/>
        <item x="627"/>
        <item x="502"/>
        <item x="41"/>
        <item x="819"/>
        <item x="3561"/>
        <item x="1509"/>
        <item x="4348"/>
        <item x="4106"/>
        <item x="465"/>
        <item x="337"/>
        <item x="154"/>
        <item x="1188"/>
        <item x="2740"/>
        <item x="2993"/>
        <item x="923"/>
        <item x="4073"/>
        <item x="209"/>
        <item x="89"/>
        <item x="4310"/>
        <item x="2639"/>
        <item x="3888"/>
        <item x="1865"/>
        <item x="3781"/>
        <item x="373"/>
        <item x="3034"/>
        <item x="1385"/>
        <item x="3619"/>
        <item x="2052"/>
        <item x="829"/>
        <item x="613"/>
        <item x="2161"/>
        <item x="813"/>
        <item x="2647"/>
        <item x="4205"/>
        <item x="3476"/>
        <item x="1048"/>
        <item x="1037"/>
        <item x="4247"/>
        <item x="4335"/>
        <item x="1194"/>
        <item x="3638"/>
        <item x="4390"/>
        <item x="148"/>
        <item x="3440"/>
        <item x="2597"/>
        <item x="1503"/>
        <item x="4125"/>
        <item x="3773"/>
        <item x="3584"/>
        <item x="218"/>
        <item x="1510"/>
        <item x="3448"/>
        <item x="648"/>
        <item x="2797"/>
        <item x="392"/>
        <item x="4086"/>
        <item x="2277"/>
        <item x="644"/>
        <item x="1384"/>
        <item x="2476"/>
        <item x="3148"/>
        <item x="48"/>
        <item x="2738"/>
        <item x="1246"/>
        <item x="2809"/>
        <item x="928"/>
        <item x="2312"/>
        <item x="2149"/>
        <item x="2980"/>
        <item x="3684"/>
        <item x="3613"/>
        <item x="3736"/>
        <item x="3071"/>
        <item x="1243"/>
        <item x="69"/>
        <item x="3054"/>
        <item x="2318"/>
        <item x="3819"/>
        <item x="4401"/>
        <item x="1154"/>
        <item x="1493"/>
        <item x="53"/>
        <item x="3978"/>
        <item x="156"/>
        <item x="2844"/>
        <item x="1460"/>
        <item x="2194"/>
        <item x="1063"/>
        <item x="393"/>
        <item x="47"/>
        <item x="3770"/>
        <item x="2632"/>
        <item x="3311"/>
        <item x="1115"/>
        <item x="3483"/>
        <item x="3582"/>
        <item x="1860"/>
        <item x="2546"/>
        <item x="3661"/>
        <item x="228"/>
        <item x="3072"/>
        <item x="3044"/>
        <item x="3341"/>
        <item x="4584"/>
        <item x="3763"/>
        <item x="2004"/>
        <item x="2571"/>
        <item x="3275"/>
        <item x="88"/>
        <item x="3042"/>
        <item x="3950"/>
        <item x="2448"/>
        <item x="3010"/>
        <item x="570"/>
        <item x="4637"/>
        <item x="981"/>
        <item x="2072"/>
        <item x="2785"/>
        <item x="1305"/>
        <item x="424"/>
        <item x="4505"/>
        <item x="3216"/>
        <item x="394"/>
        <item x="2012"/>
        <item x="2617"/>
        <item x="2373"/>
        <item x="287"/>
        <item x="1511"/>
        <item x="4407"/>
        <item x="3103"/>
        <item x="4509"/>
        <item x="1306"/>
        <item x="1894"/>
        <item x="286"/>
        <item x="2115"/>
        <item x="2346"/>
        <item x="3040"/>
        <item x="1235"/>
        <item x="1032"/>
        <item x="1378"/>
        <item x="3185"/>
        <item x="1036"/>
        <item x="95"/>
        <item x="696"/>
        <item x="400"/>
        <item x="3789"/>
        <item x="1002"/>
        <item x="1499"/>
        <item x="1469"/>
        <item x="729"/>
        <item x="737"/>
        <item x="2533"/>
        <item x="27"/>
        <item x="2985"/>
        <item x="910"/>
        <item x="2735"/>
        <item x="3984"/>
        <item x="2757"/>
        <item x="3574"/>
        <item x="1937"/>
        <item x="2778"/>
        <item x="1071"/>
        <item x="2183"/>
        <item x="3663"/>
        <item x="3330"/>
        <item x="2284"/>
        <item x="930"/>
        <item x="3729"/>
        <item x="722"/>
        <item x="291"/>
        <item x="3179"/>
        <item x="1488"/>
        <item x="1781"/>
        <item x="4336"/>
        <item x="590"/>
        <item x="146"/>
        <item x="3929"/>
        <item x="1760"/>
        <item x="3206"/>
        <item x="1095"/>
        <item x="2553"/>
        <item x="4418"/>
        <item x="794"/>
        <item x="2611"/>
        <item x="3005"/>
        <item x="4241"/>
        <item x="86"/>
        <item x="428"/>
        <item x="44"/>
        <item x="475"/>
        <item x="3926"/>
        <item x="4020"/>
        <item x="4624"/>
        <item x="1719"/>
        <item x="895"/>
        <item x="3028"/>
        <item x="2921"/>
        <item x="1083"/>
        <item x="3134"/>
        <item x="318"/>
        <item x="2372"/>
        <item x="2162"/>
        <item x="3168"/>
        <item x="3990"/>
        <item x="927"/>
        <item x="1530"/>
        <item x="1798"/>
        <item x="3906"/>
        <item x="1003"/>
        <item x="2192"/>
        <item x="3847"/>
        <item x="1569"/>
        <item x="3465"/>
        <item x="3119"/>
        <item x="1461"/>
        <item x="3232"/>
        <item x="226"/>
        <item x="2419"/>
        <item x="2403"/>
        <item x="2592"/>
        <item x="4292"/>
        <item x="2196"/>
        <item x="1001"/>
        <item x="4585"/>
        <item x="909"/>
        <item x="4147"/>
        <item x="3209"/>
        <item x="2118"/>
        <item x="2672"/>
        <item x="34"/>
        <item x="2874"/>
        <item x="3923"/>
        <item x="1690"/>
        <item x="3088"/>
        <item x="3446"/>
        <item x="969"/>
        <item x="3894"/>
        <item x="1429"/>
        <item x="123"/>
        <item x="452"/>
        <item x="3427"/>
        <item x="2892"/>
        <item x="1716"/>
        <item x="1526"/>
        <item x="3807"/>
        <item x="2468"/>
        <item x="3648"/>
        <item x="1532"/>
        <item x="519"/>
        <item x="505"/>
        <item x="2126"/>
        <item x="1189"/>
        <item x="756"/>
        <item x="1729"/>
        <item x="1201"/>
        <item x="2937"/>
        <item x="3985"/>
        <item x="3657"/>
        <item x="999"/>
        <item x="4064"/>
        <item x="1676"/>
        <item x="973"/>
        <item x="1419"/>
        <item x="91"/>
        <item x="1301"/>
        <item x="3624"/>
        <item x="4304"/>
        <item x="2455"/>
        <item x="1067"/>
        <item x="2392"/>
        <item x="65"/>
        <item x="1656"/>
        <item x="2521"/>
        <item x="3484"/>
        <item x="3264"/>
        <item x="3901"/>
        <item x="1473"/>
        <item x="2032"/>
        <item x="3502"/>
        <item x="614"/>
        <item x="4077"/>
        <item x="2001"/>
        <item x="4191"/>
        <item x="3002"/>
        <item x="1699"/>
        <item x="1640"/>
        <item x="2140"/>
        <item x="3289"/>
        <item x="1644"/>
        <item x="2034"/>
        <item x="1524"/>
        <item x="616"/>
        <item x="3354"/>
        <item x="3992"/>
        <item x="795"/>
        <item x="2923"/>
        <item x="4319"/>
        <item x="351"/>
        <item x="200"/>
        <item x="2903"/>
        <item x="3003"/>
        <item x="3100"/>
        <item x="2762"/>
        <item x="3236"/>
        <item x="3973"/>
        <item x="1122"/>
        <item x="3238"/>
        <item x="2282"/>
        <item x="249"/>
        <item x="2831"/>
        <item x="4135"/>
        <item x="1464"/>
        <item x="3296"/>
        <item x="4271"/>
        <item x="2381"/>
        <item x="1921"/>
        <item x="2033"/>
        <item x="4186"/>
        <item x="3904"/>
        <item x="2991"/>
        <item x="1871"/>
        <item x="383"/>
        <item x="2854"/>
        <item x="940"/>
        <item x="3935"/>
        <item x="3411"/>
        <item x="885"/>
        <item x="845"/>
        <item x="1329"/>
        <item x="2142"/>
        <item x="366"/>
        <item x="3239"/>
        <item x="948"/>
        <item x="353"/>
        <item x="3489"/>
        <item x="257"/>
        <item x="1770"/>
        <item x="1633"/>
        <item x="2914"/>
        <item x="3580"/>
        <item x="1487"/>
        <item x="1053"/>
        <item x="1783"/>
        <item x="395"/>
        <item x="3046"/>
        <item x="2474"/>
        <item x="1802"/>
        <item x="3387"/>
        <item x="1739"/>
        <item x="3975"/>
        <item x="2679"/>
        <item x="2965"/>
        <item x="2169"/>
        <item x="3213"/>
        <item x="2007"/>
        <item x="3537"/>
        <item x="4264"/>
        <item x="1878"/>
        <item x="1382"/>
        <item x="3852"/>
        <item x="2708"/>
        <item x="877"/>
        <item x="1251"/>
        <item x="1271"/>
        <item x="4207"/>
        <item x="1827"/>
        <item x="3009"/>
        <item x="504"/>
        <item x="2966"/>
        <item x="1359"/>
        <item x="2160"/>
        <item x="3895"/>
        <item x="2678"/>
        <item x="1762"/>
        <item x="2377"/>
        <item x="658"/>
        <item x="1252"/>
        <item x="3940"/>
        <item x="1056"/>
        <item x="4560"/>
        <item x="1241"/>
        <item x="1176"/>
        <item x="3598"/>
        <item x="13"/>
        <item x="1302"/>
        <item x="2602"/>
        <item x="1409"/>
        <item x="129"/>
        <item x="645"/>
        <item x="4489"/>
        <item x="799"/>
        <item x="2987"/>
        <item x="3881"/>
        <item x="3811"/>
        <item x="2108"/>
        <item x="237"/>
        <item x="4107"/>
        <item x="1925"/>
        <item x="2137"/>
        <item x="1525"/>
        <item x="625"/>
        <item x="2773"/>
        <item x="650"/>
        <item x="4474"/>
        <item x="1596"/>
        <item x="1844"/>
        <item x="3443"/>
        <item x="943"/>
        <item x="117"/>
        <item x="2375"/>
        <item x="2184"/>
        <item x="336"/>
        <item x="3656"/>
        <item x="2794"/>
        <item x="4097"/>
        <item x="1047"/>
        <item x="3457"/>
        <item x="4649"/>
        <item x="1023"/>
        <item x="3520"/>
        <item x="1631"/>
        <item x="4094"/>
        <item x="3963"/>
        <item x="4363"/>
        <item x="3596"/>
        <item x="147"/>
        <item x="3860"/>
        <item x="1205"/>
        <item x="2287"/>
        <item x="1434"/>
        <item x="2742"/>
        <item x="2028"/>
        <item x="1564"/>
        <item x="4570"/>
        <item x="103"/>
        <item x="1591"/>
        <item x="1391"/>
        <item x="1903"/>
        <item x="4039"/>
        <item x="902"/>
        <item x="501"/>
        <item x="2260"/>
        <item x="3907"/>
        <item x="1490"/>
        <item x="717"/>
        <item x="1750"/>
        <item x="1763"/>
        <item x="2390"/>
        <item x="3671"/>
        <item x="2516"/>
        <item x="2414"/>
        <item x="3535"/>
        <item x="2289"/>
        <item x="3334"/>
        <item x="581"/>
        <item x="3911"/>
        <item x="3116"/>
        <item x="357"/>
        <item x="4646"/>
        <item x="3083"/>
        <item x="3327"/>
        <item x="2345"/>
        <item x="1965"/>
        <item x="3150"/>
        <item x="3041"/>
        <item x="1349"/>
        <item x="2743"/>
        <item x="4638"/>
        <item x="3562"/>
        <item x="3533"/>
        <item x="2755"/>
        <item x="2359"/>
        <item x="2244"/>
        <item x="1722"/>
        <item x="2847"/>
        <item x="1669"/>
        <item x="1118"/>
        <item x="1877"/>
        <item x="4096"/>
        <item x="25"/>
        <item x="2763"/>
        <item x="4408"/>
        <item x="2693"/>
        <item x="4294"/>
        <item x="1127"/>
        <item x="2106"/>
        <item x="3531"/>
        <item x="1880"/>
        <item x="3753"/>
        <item x="1404"/>
        <item x="569"/>
        <item x="4605"/>
        <item x="4183"/>
        <item x="2105"/>
        <item x="4010"/>
        <item x="4050"/>
        <item x="4366"/>
        <item x="4276"/>
        <item x="1741"/>
        <item x="2599"/>
        <item x="1891"/>
        <item x="4350"/>
        <item x="2489"/>
        <item x="3708"/>
        <item x="3593"/>
        <item x="3085"/>
        <item x="2541"/>
        <item x="2498"/>
        <item x="1843"/>
        <item x="2754"/>
        <item x="370"/>
        <item x="4179"/>
        <item x="70"/>
        <item x="2231"/>
        <item x="1274"/>
        <item x="113"/>
        <item x="997"/>
        <item x="2579"/>
        <item x="747"/>
        <item x="101"/>
        <item x="4302"/>
        <item x="1345"/>
        <item x="595"/>
        <item x="880"/>
        <item x="3731"/>
        <item x="2908"/>
        <item x="4172"/>
        <item x="2443"/>
        <item x="4464"/>
        <item x="4411"/>
        <item x="659"/>
        <item x="3436"/>
        <item x="2365"/>
        <item x="4174"/>
        <item x="3678"/>
        <item x="451"/>
        <item x="1272"/>
        <item x="1400"/>
        <item x="1396"/>
        <item x="1033"/>
        <item x="1727"/>
        <item x="3854"/>
        <item x="3151"/>
        <item x="922"/>
        <item x="1437"/>
        <item x="2681"/>
        <item x="2836"/>
        <item x="1064"/>
        <item x="827"/>
        <item x="4581"/>
        <item x="2366"/>
        <item x="2540"/>
        <item x="3451"/>
        <item x="2477"/>
        <item x="1885"/>
        <item x="1538"/>
        <item x="3184"/>
        <item x="745"/>
        <item x="4301"/>
        <item x="458"/>
        <item x="3267"/>
        <item x="3467"/>
        <item x="4170"/>
        <item x="2583"/>
        <item x="4456"/>
        <item x="3543"/>
        <item x="4139"/>
        <item x="3932"/>
        <item x="3472"/>
        <item x="2719"/>
        <item x="4483"/>
        <item x="3097"/>
        <item x="1572"/>
        <item x="4479"/>
        <item x="3697"/>
        <item x="2310"/>
        <item x="3051"/>
        <item x="618"/>
        <item x="498"/>
        <item x="4552"/>
        <item x="2677"/>
        <item x="4219"/>
        <item x="4330"/>
        <item x="3522"/>
        <item x="1439"/>
        <item x="2134"/>
        <item x="2643"/>
        <item x="1025"/>
        <item x="1244"/>
        <item x="3244"/>
        <item x="3227"/>
        <item x="2885"/>
        <item x="3839"/>
        <item x="1224"/>
        <item x="4200"/>
        <item x="2853"/>
        <item x="1463"/>
        <item x="201"/>
        <item x="485"/>
        <item x="2589"/>
        <item x="380"/>
        <item x="1968"/>
        <item x="2470"/>
        <item x="285"/>
        <item x="3556"/>
        <item x="405"/>
        <item x="325"/>
        <item x="631"/>
        <item x="1459"/>
        <item x="3711"/>
        <item x="735"/>
        <item x="3240"/>
        <item x="689"/>
        <item x="2296"/>
        <item x="2557"/>
        <item x="1515"/>
        <item x="230"/>
        <item x="3146"/>
        <item x="3223"/>
        <item x="1180"/>
        <item x="1335"/>
        <item x="534"/>
        <item x="874"/>
        <item x="3410"/>
        <item x="3358"/>
        <item x="4180"/>
        <item x="3058"/>
        <item x="572"/>
        <item x="221"/>
        <item x="1789"/>
        <item x="3602"/>
        <item x="438"/>
        <item x="4320"/>
        <item x="2076"/>
        <item x="2086"/>
        <item x="4079"/>
        <item x="3980"/>
        <item x="7"/>
        <item x="892"/>
        <item x="114"/>
        <item x="1333"/>
        <item x="3585"/>
        <item x="4295"/>
        <item x="387"/>
        <item x="562"/>
        <item x="4452"/>
        <item x="3450"/>
        <item x="4273"/>
        <item x="596"/>
        <item x="3047"/>
        <item x="2781"/>
        <item x="3588"/>
        <item x="741"/>
        <item x="3268"/>
        <item x="4521"/>
        <item x="1191"/>
        <item x="350"/>
        <item x="12"/>
        <item x="1771"/>
        <item x="19"/>
        <item x="2662"/>
        <item x="296"/>
        <item x="807"/>
        <item x="1982"/>
        <item x="2432"/>
        <item x="1819"/>
        <item x="1514"/>
        <item x="1425"/>
        <item x="4013"/>
        <item x="1517"/>
        <item x="832"/>
        <item x="2615"/>
        <item x="3727"/>
        <item x="651"/>
        <item x="2525"/>
        <item x="701"/>
        <item x="695"/>
        <item x="2147"/>
        <item x="608"/>
        <item x="305"/>
        <item x="2156"/>
        <item x="628"/>
        <item x="3021"/>
        <item x="872"/>
        <item x="4435"/>
        <item x="4035"/>
        <item x="2575"/>
        <item x="161"/>
        <item x="3775"/>
        <item x="2563"/>
        <item x="621"/>
        <item x="2399"/>
        <item x="1298"/>
        <item x="3459"/>
        <item x="2528"/>
        <item x="3402"/>
        <item x="1566"/>
        <item x="2251"/>
        <item x="1375"/>
        <item x="998"/>
        <item x="3391"/>
        <item x="2849"/>
        <item x="1998"/>
        <item x="2225"/>
        <item x="4117"/>
        <item x="4403"/>
        <item x="4346"/>
        <item x="1713"/>
        <item x="1042"/>
        <item x="3124"/>
        <item x="3772"/>
        <item x="4210"/>
        <item x="971"/>
        <item x="2328"/>
        <item x="682"/>
        <item x="4314"/>
        <item x="4091"/>
        <item x="640"/>
        <item x="2292"/>
        <item x="3367"/>
        <item x="127"/>
        <item x="3189"/>
        <item x="2866"/>
        <item x="1933"/>
        <item x="1266"/>
        <item x="1744"/>
        <item x="4619"/>
        <item x="413"/>
        <item x="1995"/>
        <item x="2017"/>
        <item x="1079"/>
        <item x="423"/>
        <item x="2220"/>
        <item x="4486"/>
        <item x="2819"/>
        <item x="376"/>
        <item x="299"/>
        <item x="3365"/>
        <item x="1"/>
        <item x="470"/>
        <item x="3544"/>
        <item x="2932"/>
        <item x="1507"/>
        <item x="2912"/>
        <item x="691"/>
        <item x="11"/>
        <item x="2513"/>
        <item x="3599"/>
        <item x="3026"/>
        <item x="3112"/>
        <item x="3798"/>
        <item x="3194"/>
        <item x="3364"/>
        <item x="2535"/>
        <item x="3677"/>
        <item x="2092"/>
        <item x="3702"/>
        <item x="3441"/>
        <item x="4498"/>
        <item x="3218"/>
        <item x="1709"/>
        <item x="2234"/>
        <item x="4119"/>
        <item x="3834"/>
        <item x="1816"/>
        <item x="3767"/>
        <item x="2712"/>
        <item x="2661"/>
        <item x="416"/>
        <item x="3325"/>
        <item x="686"/>
        <item x="515"/>
        <item x="2075"/>
        <item x="4377"/>
        <item x="3340"/>
        <item x="2121"/>
        <item x="378"/>
        <item x="2808"/>
        <item x="3204"/>
        <item x="1075"/>
        <item x="3067"/>
        <item x="4067"/>
        <item x="2319"/>
        <item x="2605"/>
        <item x="3896"/>
        <item x="308"/>
        <item x="2437"/>
        <item x="3104"/>
        <item x="3355"/>
        <item x="4262"/>
        <item x="3953"/>
        <item x="3848"/>
        <item x="2357"/>
        <item x="2190"/>
        <item x="1147"/>
        <item x="2227"/>
        <item x="4648"/>
        <item x="931"/>
        <item x="3277"/>
        <item x="1752"/>
        <item x="365"/>
        <item x="938"/>
        <item x="4008"/>
        <item x="833"/>
        <item x="4381"/>
        <item x="503"/>
        <item x="4639"/>
        <item x="3329"/>
        <item x="2321"/>
        <item x="1443"/>
        <item x="1767"/>
        <item x="2772"/>
        <item x="2492"/>
        <item x="2324"/>
        <item x="3262"/>
        <item x="35"/>
        <item x="473"/>
        <item x="3509"/>
        <item x="2050"/>
        <item x="4523"/>
        <item x="2802"/>
        <item x="2977"/>
        <item x="4269"/>
        <item x="932"/>
        <item x="1322"/>
        <item x="3730"/>
        <item x="2573"/>
        <item x="157"/>
        <item x="3869"/>
        <item x="1812"/>
        <item x="739"/>
        <item x="3063"/>
        <item x="3231"/>
        <item x="1609"/>
        <item x="3210"/>
        <item x="3554"/>
        <item x="2956"/>
        <item x="2968"/>
        <item x="4345"/>
        <item x="1747"/>
        <item x="2664"/>
        <item x="4611"/>
        <item x="2412"/>
        <item x="4559"/>
        <item x="3959"/>
        <item x="1279"/>
        <item x="525"/>
        <item x="4579"/>
        <item x="2297"/>
        <item x="3915"/>
        <item x="3826"/>
        <item x="3960"/>
        <item x="1045"/>
        <item x="1327"/>
        <item x="2301"/>
        <item x="2545"/>
        <item x="869"/>
        <item x="4318"/>
        <item x="2582"/>
        <item x="4230"/>
        <item x="1185"/>
        <item x="2523"/>
        <item x="1758"/>
        <item x="2331"/>
        <item x="2125"/>
        <item x="793"/>
        <item x="2897"/>
        <item x="2230"/>
        <item x="593"/>
        <item x="2926"/>
        <item x="711"/>
        <item x="4429"/>
        <item x="3972"/>
        <item x="615"/>
        <item x="1605"/>
        <item x="3891"/>
        <item x="2153"/>
        <item x="3790"/>
        <item x="425"/>
        <item x="3791"/>
        <item x="2697"/>
        <item x="2532"/>
        <item x="2298"/>
        <item x="1852"/>
        <item x="1234"/>
        <item x="1500"/>
        <item x="3969"/>
        <item x="4223"/>
        <item x="2838"/>
        <item x="1105"/>
        <item x="1236"/>
        <item x="797"/>
        <item x="4600"/>
        <item x="516"/>
        <item x="790"/>
        <item x="1319"/>
        <item x="893"/>
        <item x="3390"/>
        <item x="1307"/>
        <item x="2236"/>
        <item x="4114"/>
        <item x="2258"/>
        <item x="3174"/>
        <item x="2383"/>
        <item x="3470"/>
        <item x="3917"/>
        <item x="4372"/>
        <item x="1479"/>
        <item x="4613"/>
        <item x="4643"/>
        <item x="2294"/>
        <item x="1200"/>
        <item x="4515"/>
        <item x="3431"/>
        <item x="1451"/>
        <item x="496"/>
        <item x="4323"/>
        <item x="1643"/>
        <item x="3868"/>
        <item x="2283"/>
        <item x="2843"/>
        <item x="4437"/>
        <item x="2398"/>
        <item x="1505"/>
        <item x="3360"/>
        <item x="2148"/>
        <item x="661"/>
        <item x="2051"/>
        <item x="3841"/>
        <item x="3559"/>
        <item x="3417"/>
        <item x="2350"/>
        <item x="4258"/>
        <item x="4441"/>
        <item x="2429"/>
        <item x="1589"/>
        <item x="2268"/>
        <item x="3942"/>
        <item x="4158"/>
        <item x="2013"/>
        <item x="45"/>
        <item x="4612"/>
        <item x="2208"/>
        <item x="954"/>
        <item x="952"/>
        <item x="3884"/>
        <item x="3382"/>
        <item x="1108"/>
        <item x="261"/>
        <item x="52"/>
        <item x="1948"/>
        <item x="1239"/>
        <item x="3098"/>
        <item x="3991"/>
        <item x="421"/>
        <item x="3778"/>
        <item x="3849"/>
        <item x="1935"/>
        <item x="4194"/>
        <item x="4583"/>
        <item x="1467"/>
        <item x="2776"/>
        <item x="3352"/>
        <item x="2335"/>
        <item x="2213"/>
        <item x="295"/>
        <item x="1104"/>
        <item x="4661"/>
        <item x="1217"/>
        <item x="1255"/>
        <item x="3280"/>
        <item x="588"/>
        <item x="92"/>
        <item x="4419"/>
        <item x="3126"/>
        <item x="1438"/>
        <item x="269"/>
        <item x="1759"/>
        <item x="859"/>
        <item x="662"/>
        <item x="1276"/>
        <item x="3532"/>
        <item x="278"/>
        <item x="2385"/>
        <item x="476"/>
        <item x="1184"/>
        <item x="252"/>
        <item x="2235"/>
        <item x="1733"/>
        <item x="4622"/>
        <item x="2608"/>
        <item x="4011"/>
        <item x="367"/>
        <item x="1240"/>
        <item x="791"/>
        <item x="363"/>
        <item x="2276"/>
        <item x="2139"/>
        <item x="555"/>
        <item x="4650"/>
        <item x="3653"/>
        <item x="2339"/>
        <item x="3301"/>
        <item x="385"/>
        <item x="4603"/>
        <item x="3316"/>
        <item x="375"/>
        <item x="1666"/>
        <item x="4432"/>
        <item x="3673"/>
        <item x="2823"/>
        <item x="1805"/>
        <item x="1928"/>
        <item x="638"/>
        <item x="3565"/>
        <item x="4334"/>
        <item x="179"/>
        <item x="3424"/>
        <item x="3093"/>
        <item x="2164"/>
        <item x="752"/>
        <item x="3797"/>
        <item x="1749"/>
        <item x="4375"/>
        <item x="2323"/>
        <item x="2073"/>
        <item x="1800"/>
        <item x="988"/>
        <item x="634"/>
        <item x="2337"/>
        <item x="1034"/>
        <item x="3385"/>
        <item x="4150"/>
        <item x="1931"/>
        <item x="4596"/>
        <item x="1576"/>
        <item x="160"/>
        <item x="2992"/>
        <item x="326"/>
        <item x="4387"/>
        <item x="4461"/>
        <item x="2304"/>
        <item x="2509"/>
        <item x="4115"/>
        <item x="2082"/>
        <item x="3858"/>
        <item x="3620"/>
        <item x="1448"/>
        <item x="889"/>
        <item x="1455"/>
        <item x="3724"/>
        <item x="1939"/>
        <item x="2998"/>
        <item x="1693"/>
        <item x="274"/>
        <item x="1737"/>
        <item x="2272"/>
        <item x="1979"/>
        <item x="4636"/>
        <item x="2702"/>
        <item x="2835"/>
        <item x="2163"/>
        <item x="1078"/>
        <item x="4490"/>
        <item x="1990"/>
        <item x="1219"/>
        <item x="3303"/>
        <item x="1134"/>
        <item x="1442"/>
        <item x="964"/>
        <item x="3226"/>
        <item x="1892"/>
        <item x="1811"/>
        <item x="673"/>
        <item x="1475"/>
        <item x="3879"/>
        <item x="2761"/>
        <item x="2278"/>
        <item x="4405"/>
        <item x="2960"/>
        <item x="2537"/>
        <item x="1559"/>
        <item x="3407"/>
        <item x="727"/>
        <item x="212"/>
        <item x="1915"/>
        <item x="626"/>
        <item x="3832"/>
        <item x="4663"/>
        <item x="426"/>
        <item x="1619"/>
        <item x="2247"/>
        <item x="566"/>
        <item x="4256"/>
        <item x="837"/>
        <item x="3374"/>
        <item x="693"/>
        <item x="3361"/>
        <item x="1913"/>
        <item x="234"/>
        <item x="4495"/>
        <item x="3081"/>
        <item x="1881"/>
        <item x="4542"/>
        <item x="4297"/>
        <item x="2257"/>
        <item x="1109"/>
        <item x="4655"/>
        <item x="4343"/>
        <item x="2434"/>
        <item x="3012"/>
        <item x="2039"/>
        <item x="2098"/>
        <item x="2273"/>
        <item x="4662"/>
        <item x="1604"/>
        <item x="2116"/>
        <item x="1031"/>
        <item x="1441"/>
        <item x="1909"/>
        <item x="3823"/>
        <item x="2087"/>
        <item x="1081"/>
        <item x="2696"/>
        <item x="3855"/>
        <item x="2211"/>
        <item x="3706"/>
        <item x="3830"/>
        <item x="4229"/>
        <item x="1607"/>
        <item x="1046"/>
        <item x="59"/>
        <item x="2088"/>
        <item x="1012"/>
        <item x="683"/>
        <item x="1043"/>
        <item x="4430"/>
        <item x="3137"/>
        <item x="178"/>
        <item x="2848"/>
        <item x="275"/>
        <item x="4309"/>
        <item x="2198"/>
        <item x="4563"/>
        <item x="3052"/>
        <item x="2025"/>
        <item x="3581"/>
        <item x="3307"/>
        <item x="1111"/>
        <item x="4146"/>
        <item x="1196"/>
        <item x="1131"/>
        <item x="1549"/>
        <item x="4410"/>
        <item x="901"/>
        <item x="1004"/>
        <item x="1151"/>
        <item x="300"/>
        <item x="1601"/>
        <item x="2558"/>
        <item x="2391"/>
        <item x="3630"/>
        <item x="2534"/>
        <item x="920"/>
        <item x="1796"/>
        <item x="1402"/>
        <item x="3961"/>
        <item x="1310"/>
        <item x="1299"/>
        <item x="563"/>
        <item x="4630"/>
        <item x="4042"/>
        <item x="3654"/>
        <item x="951"/>
        <item x="1250"/>
        <item x="488"/>
        <item x="1731"/>
        <item x="2504"/>
        <item x="1149"/>
        <item x="1853"/>
        <item x="2710"/>
        <item x="1543"/>
        <item x="3704"/>
        <item x="213"/>
        <item x="2374"/>
        <item x="1902"/>
        <item x="1914"/>
        <item x="1746"/>
        <item x="1428"/>
        <item x="3524"/>
        <item x="1287"/>
        <item x="1570"/>
        <item x="1961"/>
        <item x="3255"/>
        <item x="768"/>
        <item x="4610"/>
        <item x="3824"/>
        <item x="3557"/>
        <item x="401"/>
        <item x="1807"/>
        <item x="1289"/>
        <item x="4324"/>
        <item x="2744"/>
        <item x="3454"/>
        <item x="3578"/>
        <item x="950"/>
        <item x="4305"/>
        <item x="1016"/>
        <item x="3118"/>
        <item x="3393"/>
        <item x="121"/>
        <item x="4609"/>
        <item x="2367"/>
        <item x="2010"/>
        <item x="2701"/>
        <item x="3954"/>
        <item x="3941"/>
        <item x="478"/>
        <item x="2368"/>
        <item x="2384"/>
        <item x="2695"/>
        <item x="51"/>
        <item x="472"/>
        <item x="2784"/>
        <item x="4026"/>
        <item x="3833"/>
        <item x="4187"/>
        <item x="2760"/>
        <item x="2507"/>
        <item x="4285"/>
        <item x="1647"/>
        <item x="785"/>
        <item x="3536"/>
        <item x="3068"/>
        <item x="1996"/>
        <item x="1632"/>
        <item x="335"/>
        <item x="3178"/>
        <item x="1291"/>
        <item x="4438"/>
        <item x="3746"/>
        <item x="3259"/>
        <item x="281"/>
        <item x="1019"/>
        <item x="345"/>
        <item x="3723"/>
        <item x="3971"/>
        <item x="2958"/>
        <item x="2694"/>
        <item x="1943"/>
        <item x="2127"/>
        <item x="4476"/>
        <item x="533"/>
        <item x="264"/>
        <item x="1311"/>
        <item x="2400"/>
        <item x="3511"/>
        <item x="352"/>
        <item x="2101"/>
        <item x="2299"/>
        <item x="3878"/>
        <item x="4268"/>
        <item x="3323"/>
        <item x="2102"/>
        <item x="2054"/>
        <item x="1371"/>
        <item x="1929"/>
        <item x="2944"/>
        <item x="4287"/>
        <item x="1626"/>
        <item x="66"/>
        <item x="1645"/>
        <item x="302"/>
        <item x="3338"/>
        <item x="1257"/>
        <item x="2128"/>
        <item x="1415"/>
        <item x="104"/>
        <item x="2620"/>
        <item x="3061"/>
        <item x="4497"/>
        <item x="1423"/>
        <item x="4533"/>
        <item x="1267"/>
        <item x="3951"/>
        <item x="1358"/>
        <item x="2009"/>
        <item x="4"/>
        <item x="865"/>
        <item x="173"/>
        <item x="4361"/>
        <item x="3627"/>
        <item x="1057"/>
        <item x="3712"/>
        <item x="2986"/>
        <item x="3705"/>
        <item x="2099"/>
        <item x="1286"/>
        <item x="293"/>
        <item x="4597"/>
        <item x="2623"/>
        <item x="3136"/>
        <item x="1638"/>
        <item x="80"/>
        <item x="1697"/>
        <item x="1765"/>
        <item x="100"/>
        <item x="3349"/>
        <item x="3064"/>
        <item x="1639"/>
        <item x="3108"/>
        <item x="757"/>
        <item x="4034"/>
        <item x="1518"/>
        <item x="429"/>
        <item x="276"/>
        <item x="3153"/>
        <item x="1769"/>
        <item x="1768"/>
        <item x="2445"/>
        <item x="2720"/>
        <item x="4105"/>
        <item x="4522"/>
        <item x="3843"/>
        <item x="1694"/>
        <item x="197"/>
        <item x="1030"/>
        <item x="585"/>
        <item x="706"/>
        <item x="751"/>
        <item x="399"/>
        <item x="2465"/>
        <item x="4519"/>
        <item x="960"/>
        <item x="2171"/>
        <item x="372"/>
        <item x="1238"/>
        <item x="3758"/>
        <item x="343"/>
        <item x="2951"/>
        <item x="2622"/>
        <item x="188"/>
        <item x="1052"/>
        <item x="1182"/>
        <item x="3037"/>
        <item x="822"/>
        <item x="3423"/>
        <item x="1181"/>
        <item x="4553"/>
        <item x="3880"/>
        <item x="1069"/>
        <item x="4488"/>
        <item x="9"/>
        <item x="3414"/>
        <item x="2427"/>
        <item x="2472"/>
        <item x="854"/>
        <item x="4472"/>
        <item x="4654"/>
        <item x="2210"/>
        <item x="2084"/>
        <item x="1833"/>
        <item x="2100"/>
        <item x="888"/>
        <item x="630"/>
        <item x="915"/>
        <item x="2267"/>
        <item x="3113"/>
        <item x="1254"/>
        <item x="3200"/>
        <item x="2616"/>
        <item x="3595"/>
        <item x="1458"/>
        <item x="1736"/>
        <item x="1020"/>
        <item x="1834"/>
        <item x="536"/>
        <item x="3668"/>
        <item x="3784"/>
        <item x="2888"/>
        <item x="2395"/>
        <item x="2315"/>
        <item x="2457"/>
        <item x="2451"/>
        <item x="3013"/>
        <item x="3647"/>
        <item x="1481"/>
        <item x="2006"/>
        <item x="143"/>
        <item x="1661"/>
        <item x="2668"/>
        <item x="776"/>
        <item x="2686"/>
        <item x="1099"/>
        <item x="3157"/>
        <item x="655"/>
        <item x="3077"/>
        <item x="670"/>
        <item x="1260"/>
        <item x="1660"/>
        <item x="4626"/>
        <item x="2825"/>
        <item x="419"/>
        <item x="4290"/>
        <item x="2889"/>
        <item x="678"/>
        <item x="3271"/>
        <item x="3908"/>
        <item x="1107"/>
        <item x="1848"/>
        <item x="3480"/>
        <item x="3368"/>
        <item x="2666"/>
        <item x="1588"/>
        <item x="379"/>
        <item x="907"/>
        <item x="2440"/>
        <item x="3747"/>
        <item x="1855"/>
        <item x="974"/>
        <item x="4355"/>
        <item x="2964"/>
        <item x="4027"/>
        <item x="4374"/>
        <item x="2826"/>
        <item x="1480"/>
        <item x="528"/>
        <item x="4398"/>
        <item x="1198"/>
        <item x="1314"/>
        <item x="2667"/>
        <item x="1325"/>
        <item x="1757"/>
        <item x="1373"/>
        <item x="3616"/>
        <item x="2798"/>
        <item x="2786"/>
        <item x="328"/>
        <item x="3160"/>
        <item x="3069"/>
        <item x="1420"/>
        <item x="1940"/>
        <item x="1453"/>
        <item x="1408"/>
        <item x="4528"/>
        <item x="4445"/>
        <item x="2223"/>
        <item x="4243"/>
        <item x="4272"/>
        <item x="168"/>
        <item x="495"/>
        <item x="2176"/>
        <item x="4373"/>
        <item x="605"/>
        <item x="4481"/>
        <item x="1687"/>
        <item x="2996"/>
        <item x="4660"/>
        <item x="1093"/>
        <item x="1097"/>
        <item x="2876"/>
        <item x="1315"/>
        <item x="3946"/>
        <item x="4175"/>
        <item x="4406"/>
        <item x="2922"/>
        <item x="4571"/>
        <item x="3725"/>
        <item x="280"/>
        <item x="1868"/>
        <item x="1018"/>
        <item x="2416"/>
        <item x="87"/>
        <item x="2497"/>
        <item x="2186"/>
        <item x="2601"/>
        <item x="4657"/>
        <item x="1997"/>
        <item x="1962"/>
        <item x="2237"/>
        <item x="4113"/>
        <item x="2590"/>
        <item x="499"/>
        <item x="4116"/>
        <item x="3694"/>
        <item x="2939"/>
        <item x="3029"/>
        <item x="1394"/>
        <item x="1806"/>
        <item x="1938"/>
        <item x="2560"/>
        <item x="26"/>
        <item x="3445"/>
        <item x="2949"/>
        <item x="3977"/>
        <item x="2275"/>
        <item x="2868"/>
        <item x="99"/>
        <item x="903"/>
        <item x="2978"/>
        <item x="3290"/>
        <item x="4143"/>
        <item x="712"/>
        <item x="2896"/>
        <item x="3309"/>
        <item x="3999"/>
        <item x="3163"/>
        <item x="3538"/>
        <item x="4221"/>
        <item x="1506"/>
        <item x="4089"/>
        <item x="2954"/>
        <item x="22"/>
        <item x="3982"/>
        <item x="1926"/>
        <item x="3133"/>
        <item x="1520"/>
        <item x="3938"/>
        <item x="1486"/>
        <item x="1981"/>
        <item x="3754"/>
        <item x="4055"/>
        <item x="3165"/>
        <item x="1883"/>
        <item x="4391"/>
        <item x="1707"/>
        <item x="4664"/>
        <item x="3952"/>
        <item x="4195"/>
        <item x="4308"/>
        <item x="36"/>
        <item x="374"/>
        <item x="1280"/>
        <item x="2"/>
        <item x="687"/>
        <item x="2527"/>
        <item x="848"/>
        <item x="2316"/>
        <item x="1772"/>
        <item x="2775"/>
        <item x="3279"/>
        <item x="4510"/>
        <item x="4544"/>
        <item x="2320"/>
        <item x="3191"/>
        <item x="2450"/>
        <item x="2490"/>
        <item x="118"/>
        <item x="37"/>
        <item x="1007"/>
        <item x="3989"/>
        <item x="3752"/>
        <item x="3434"/>
        <item x="1484"/>
        <item x="2935"/>
        <item x="996"/>
        <item x="67"/>
        <item x="2104"/>
        <item x="2083"/>
        <item x="4104"/>
        <item x="294"/>
        <item x="1793"/>
        <item x="2732"/>
        <item x="970"/>
        <item x="3892"/>
        <item x="1398"/>
        <item x="2807"/>
        <item x="3560"/>
        <item x="3392"/>
        <item x="976"/>
        <item x="4196"/>
        <item x="256"/>
        <item x="1259"/>
        <item x="4356"/>
        <item x="4181"/>
        <item x="4316"/>
        <item x="260"/>
        <item x="2020"/>
        <item x="3924"/>
        <item x="441"/>
        <item x="3442"/>
        <item x="4012"/>
        <item x="2593"/>
        <item x="1900"/>
        <item x="956"/>
        <item x="1168"/>
        <item x="3496"/>
        <item x="4084"/>
        <item x="290"/>
        <item x="2334"/>
        <item x="4543"/>
        <item x="1426"/>
        <item x="77"/>
        <item x="975"/>
        <item x="1920"/>
        <item x="4072"/>
        <item x="1585"/>
        <item x="4048"/>
        <item x="97"/>
        <item x="2158"/>
        <item x="152"/>
        <item x="3756"/>
        <item x="2685"/>
        <item x="3540"/>
        <item x="1450"/>
        <item x="1910"/>
        <item x="1708"/>
        <item x="3008"/>
        <item x="1334"/>
        <item x="2795"/>
        <item x="3525"/>
        <item x="2562"/>
        <item x="1478"/>
        <item x="732"/>
        <item x="1123"/>
        <item x="884"/>
        <item x="1682"/>
        <item x="3155"/>
        <item x="1065"/>
        <item x="2044"/>
        <item x="491"/>
        <item x="4368"/>
        <item x="2796"/>
        <item x="1143"/>
        <item x="107"/>
        <item x="2063"/>
        <item x="186"/>
        <item x="1994"/>
        <item x="716"/>
        <item x="3248"/>
        <item x="3523"/>
        <item x="2019"/>
        <item x="2660"/>
        <item x="1170"/>
        <item x="3587"/>
        <item x="72"/>
        <item x="2851"/>
        <item x="1958"/>
        <item x="3439"/>
        <item x="2281"/>
        <item x="3640"/>
        <item x="3859"/>
        <item x="3274"/>
        <item x="3138"/>
        <item x="583"/>
        <item x="3177"/>
        <item x="1952"/>
        <item x="1356"/>
        <item x="1368"/>
        <item x="598"/>
        <item x="3622"/>
        <item x="1550"/>
        <item x="1942"/>
        <item x="2265"/>
        <item x="3768"/>
        <item x="251"/>
        <item x="1491"/>
        <item x="3660"/>
        <item x="1655"/>
        <item x="3905"/>
        <item x="759"/>
        <item x="700"/>
        <item x="1146"/>
        <item x="1815"/>
        <item x="3519"/>
        <item x="2174"/>
        <item x="688"/>
        <item x="3363"/>
        <item x="641"/>
        <item x="283"/>
        <item x="1552"/>
        <item x="3030"/>
        <item x="191"/>
        <item x="2097"/>
        <item x="2459"/>
        <item x="2123"/>
        <item x="2341"/>
        <item x="1153"/>
        <item x="4282"/>
        <item x="1695"/>
        <item x="3850"/>
        <item x="3899"/>
        <item x="3162"/>
        <item x="2245"/>
        <item x="2325"/>
        <item x="4103"/>
        <item x="3463"/>
        <item x="2699"/>
        <item x="3857"/>
        <item x="2305"/>
        <item x="3897"/>
        <item x="1776"/>
        <item x="1215"/>
        <item x="1832"/>
        <item x="4126"/>
        <item x="4198"/>
        <item x="958"/>
        <item x="2875"/>
        <item x="2862"/>
        <item x="1558"/>
        <item x="675"/>
        <item x="1379"/>
        <item x="240"/>
        <item x="3840"/>
        <item x="1225"/>
        <item x="2957"/>
        <item x="4085"/>
        <item x="3912"/>
        <item x="1470"/>
        <item x="1100"/>
        <item x="814"/>
        <item x="4582"/>
        <item x="1908"/>
        <item x="784"/>
        <item x="3583"/>
        <item x="145"/>
        <item x="3129"/>
        <item x="2829"/>
        <item x="2970"/>
        <item x="4312"/>
        <item x="4467"/>
        <item x="703"/>
        <item x="637"/>
        <item x="612"/>
        <item x="1264"/>
        <item x="3614"/>
        <item x="2765"/>
        <item x="3074"/>
        <item x="56"/>
        <item x="4007"/>
        <item x="3710"/>
        <item x="3149"/>
        <item x="2141"/>
        <item x="537"/>
        <item x="2253"/>
        <item x="306"/>
        <item x="2332"/>
        <item x="4383"/>
        <item x="1457"/>
        <item x="3875"/>
        <item x="1884"/>
        <item x="4145"/>
        <item x="4036"/>
        <item x="1156"/>
        <item x="4659"/>
        <item x="354"/>
        <item x="2043"/>
        <item x="2420"/>
        <item x="2049"/>
        <item x="3193"/>
        <item x="460"/>
        <item x="1125"/>
        <item x="2603"/>
        <item x="1560"/>
        <item x="2511"/>
        <item x="4475"/>
        <item x="2690"/>
        <item x="4457"/>
        <item x="3948"/>
        <item x="4487"/>
        <item x="2618"/>
        <item x="2495"/>
        <item x="2859"/>
        <item x="4608"/>
        <item x="2425"/>
        <item x="1826"/>
        <item x="1261"/>
        <item x="4185"/>
        <item x="2834"/>
        <item x="810"/>
        <item x="4442"/>
        <item x="2600"/>
        <item x="227"/>
        <item x="169"/>
        <item x="3494"/>
        <item x="132"/>
        <item x="2064"/>
        <item x="3016"/>
        <item x="1824"/>
        <item x="55"/>
        <item x="4485"/>
        <item x="602"/>
        <item x="3871"/>
        <item x="3065"/>
        <item x="3420"/>
        <item x="2293"/>
        <item x="3447"/>
        <item x="3629"/>
        <item x="3490"/>
        <item x="4577"/>
        <item x="3886"/>
        <item x="2229"/>
        <item x="542"/>
        <item x="4005"/>
        <item x="622"/>
        <item x="3889"/>
        <item x="1539"/>
        <item x="4071"/>
        <item x="3495"/>
        <item x="4412"/>
        <item x="3928"/>
        <item x="955"/>
        <item x="2313"/>
        <item x="410"/>
        <item x="2684"/>
        <item x="3679"/>
        <item x="3099"/>
        <item x="3380"/>
        <item x="3415"/>
        <item x="4235"/>
        <item x="2036"/>
        <item x="4253"/>
        <item x="2480"/>
        <item x="994"/>
        <item x="3180"/>
        <item x="3947"/>
        <item x="577"/>
        <item x="1662"/>
        <item x="3376"/>
        <item x="2717"/>
        <item x="4514"/>
        <item x="1051"/>
        <item x="3820"/>
        <item x="494"/>
        <item x="3246"/>
        <item x="1361"/>
        <item x="4572"/>
        <item x="3995"/>
        <item x="3107"/>
        <item x="4214"/>
        <item x="1773"/>
        <item x="3249"/>
        <item x="4171"/>
        <item x="1735"/>
        <item x="4526"/>
        <item x="4075"/>
        <item x="3608"/>
        <item x="2748"/>
        <item x="58"/>
        <item x="229"/>
        <item x="3312"/>
        <item x="1038"/>
        <item x="329"/>
        <item x="1232"/>
        <item x="2285"/>
        <item x="2078"/>
        <item x="3381"/>
        <item x="1732"/>
        <item x="1652"/>
        <item x="4621"/>
        <item x="3406"/>
        <item x="825"/>
        <item x="1975"/>
        <item x="3017"/>
        <item x="3691"/>
        <item x="1685"/>
        <item x="2683"/>
        <item x="4237"/>
        <item x="694"/>
        <item x="120"/>
        <item x="2181"/>
        <item x="2644"/>
        <item x="4625"/>
        <item x="2883"/>
        <item x="1214"/>
        <item x="124"/>
        <item x="2842"/>
        <item x="4299"/>
        <item x="3455"/>
        <item x="2361"/>
        <item x="3095"/>
        <item x="2879"/>
        <item x="3981"/>
        <item x="122"/>
        <item x="4202"/>
        <item x="1924"/>
        <item x="4238"/>
        <item x="1465"/>
        <item x="270"/>
        <item x="1670"/>
        <item x="4049"/>
        <item x="2881"/>
        <item x="2461"/>
        <item x="1551"/>
        <item x="1956"/>
        <item x="3902"/>
        <item x="3874"/>
        <item x="1788"/>
        <item x="1162"/>
        <item x="2005"/>
        <item x="3328"/>
        <item x="4538"/>
        <item x="2096"/>
        <item x="786"/>
        <item x="2256"/>
        <item x="972"/>
        <item x="1210"/>
        <item x="808"/>
        <item x="3258"/>
        <item x="3437"/>
        <item x="1206"/>
        <item x="771"/>
        <item x="3158"/>
        <item x="2733"/>
        <item x="4378"/>
        <item x="140"/>
        <item x="3318"/>
        <item x="2300"/>
        <item x="984"/>
        <item x="2279"/>
        <item x="14"/>
        <item x="3247"/>
        <item x="1172"/>
        <item x="1861"/>
        <item x="2982"/>
        <item x="1839"/>
        <item x="330"/>
        <item x="3920"/>
        <item x="3788"/>
        <item x="85"/>
        <item x="847"/>
        <item x="567"/>
        <item x="3120"/>
        <item x="1535"/>
        <item x="2418"/>
        <item x="2369"/>
        <item x="2594"/>
        <item x="1076"/>
        <item x="4261"/>
        <item x="1991"/>
        <item x="4501"/>
        <item x="1841"/>
        <item x="3910"/>
        <item x="2248"/>
        <item x="3243"/>
        <item x="1070"/>
        <item x="2880"/>
        <item x="1978"/>
        <item x="3722"/>
        <item x="3637"/>
        <item x="1989"/>
        <item x="2152"/>
        <item x="2969"/>
        <item x="2907"/>
        <item x="4022"/>
        <item x="2456"/>
        <item x="1152"/>
        <item x="3190"/>
        <item x="42"/>
        <item x="4333"/>
        <item x="3621"/>
        <item x="2899"/>
        <item x="4539"/>
        <item x="3943"/>
        <item x="1148"/>
        <item x="3106"/>
        <item x="965"/>
        <item x="2424"/>
        <item x="1870"/>
        <item x="4529"/>
        <item x="2526"/>
        <item x="3699"/>
        <item x="2566"/>
        <item x="1785"/>
        <item x="2727"/>
        <item x="4337"/>
        <item x="3810"/>
        <item x="4354"/>
        <item x="2199"/>
        <item x="1628"/>
        <item x="597"/>
        <item x="90"/>
        <item x="3626"/>
        <item x="2850"/>
        <item x="1712"/>
        <item x="314"/>
        <item x="1392"/>
        <item x="442"/>
        <item x="3350"/>
        <item x="4222"/>
        <item x="1692"/>
        <item x="1207"/>
        <item x="1779"/>
        <item x="4392"/>
        <item x="1059"/>
        <item x="2746"/>
        <item x="2406"/>
        <item x="1864"/>
        <item x="4082"/>
        <item x="4628"/>
        <item x="2682"/>
        <item x="1571"/>
        <item x="3801"/>
        <item x="1416"/>
        <item x="3186"/>
        <item x="3485"/>
        <item x="576"/>
        <item x="3195"/>
        <item x="2788"/>
        <item x="1837"/>
        <item x="4329"/>
        <item x="3273"/>
        <item x="2041"/>
        <item x="2981"/>
        <item x="968"/>
        <item x="1874"/>
        <item x="2705"/>
        <item x="1561"/>
        <item x="4431"/>
        <item x="1927"/>
        <item x="2659"/>
        <item x="4352"/>
        <item x="2716"/>
        <item x="3101"/>
        <item x="310"/>
        <item x="3276"/>
        <item x="182"/>
        <item x="2704"/>
        <item x="3570"/>
        <item x="3642"/>
        <item x="2360"/>
        <item x="838"/>
        <item x="2722"/>
        <item x="4503"/>
        <item x="1863"/>
        <item x="4234"/>
        <item x="239"/>
        <item x="1389"/>
        <item x="4121"/>
        <item x="4462"/>
        <item x="2269"/>
        <item x="2916"/>
        <item x="4451"/>
        <item x="3890"/>
        <item x="731"/>
        <item x="1386"/>
        <item x="2356"/>
        <item x="2948"/>
        <item x="1621"/>
        <item x="3015"/>
        <item x="3914"/>
        <item x="1829"/>
        <item x="2855"/>
        <item x="1977"/>
        <item x="1696"/>
        <item x="487"/>
        <item x="1521"/>
        <item x="2621"/>
        <item x="18"/>
        <item x="262"/>
        <item x="3550"/>
        <item x="3315"/>
        <item x="29"/>
        <item x="4173"/>
        <item x="642"/>
        <item x="985"/>
        <item x="3666"/>
        <item x="2718"/>
        <item x="3033"/>
        <item x="2022"/>
        <item x="436"/>
        <item x="4278"/>
        <item x="2962"/>
        <item x="1092"/>
        <item x="3651"/>
        <item x="2094"/>
        <item x="4000"/>
        <item x="1080"/>
        <item x="4632"/>
        <item x="4137"/>
        <item x="1161"/>
        <item x="3121"/>
        <item x="4063"/>
        <item x="2756"/>
        <item x="1395"/>
        <item x="2543"/>
        <item x="2636"/>
        <item x="3526"/>
        <item x="3534"/>
        <item x="2216"/>
        <item x="4161"/>
        <item x="4240"/>
        <item x="2501"/>
        <item x="1872"/>
        <item x="1568"/>
        <item x="2745"/>
        <item x="1413"/>
        <item x="2641"/>
        <item x="1970"/>
        <item x="159"/>
        <item x="1212"/>
        <item x="709"/>
        <item x="3909"/>
        <item x="2270"/>
        <item x="3302"/>
        <item x="134"/>
        <item x="4266"/>
        <item x="3636"/>
        <item x="1879"/>
        <item x="78"/>
        <item x="3401"/>
        <item x="1061"/>
        <item x="1671"/>
        <item x="303"/>
        <item x="439"/>
        <item x="3007"/>
        <item x="4209"/>
        <item x="404"/>
        <item x="4041"/>
        <item x="2454"/>
        <item x="723"/>
        <item x="3199"/>
        <item x="4424"/>
        <item x="1563"/>
        <item x="3221"/>
        <item x="4453"/>
        <item x="3254"/>
        <item x="4068"/>
        <item x="4070"/>
        <item x="4562"/>
        <item x="1218"/>
        <item x="3188"/>
        <item x="2067"/>
        <item x="3759"/>
        <item x="288"/>
        <item x="4556"/>
        <item x="4656"/>
        <item x="4593"/>
        <item x="1536"/>
        <item x="540"/>
        <item x="4217"/>
        <item x="1430"/>
        <item x="2252"/>
        <item x="4561"/>
        <item x="4052"/>
        <item x="3650"/>
        <item x="2909"/>
        <item x="2606"/>
        <item x="1399"/>
        <item x="3792"/>
        <item x="3681"/>
        <item x="1221"/>
        <item x="4162"/>
        <item x="2858"/>
        <item x="3060"/>
        <item x="4555"/>
        <item x="524"/>
        <item x="1657"/>
        <item x="2800"/>
        <item x="2413"/>
        <item x="4149"/>
        <item x="4019"/>
        <item x="2894"/>
        <item x="1542"/>
        <item x="1590"/>
        <item x="2749"/>
        <item x="2580"/>
        <item x="2488"/>
        <item x="158"/>
        <item x="4112"/>
        <item x="203"/>
        <item x="4216"/>
        <item x="223"/>
        <item x="1294"/>
        <item x="1704"/>
        <item x="898"/>
        <item x="258"/>
        <item x="3838"/>
        <item x="163"/>
        <item x="987"/>
        <item x="4564"/>
        <item x="1472"/>
        <item x="1949"/>
        <item x="2458"/>
        <item x="1124"/>
        <item x="1138"/>
        <item x="2812"/>
        <item x="815"/>
        <item x="4468"/>
        <item x="4353"/>
        <item x="1192"/>
        <item x="3930"/>
        <item t="default"/>
      </items>
    </pivotField>
    <pivotField showAll="0"/>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5">
    <i>
      <x/>
    </i>
    <i>
      <x v="1"/>
    </i>
    <i>
      <x v="2"/>
    </i>
    <i>
      <x v="3"/>
    </i>
    <i t="grand">
      <x/>
    </i>
  </rowItems>
  <colFields count="1">
    <field x="-2"/>
  </colFields>
  <colItems count="2">
    <i>
      <x/>
    </i>
    <i i="1">
      <x v="1"/>
    </i>
  </colItems>
  <dataFields count="2">
    <dataField name="Sum of Sales" fld="5" baseField="0" baseItem="0"/>
    <dataField name="Sum of Profit"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C0E2BB-0571-4C5F-9060-5E36D95013E3}" name="ps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2:O15" firstHeaderRow="0" firstDataRow="1" firstDataCol="1"/>
  <pivotFields count="12">
    <pivotField showAll="0"/>
    <pivotField numFmtId="14" showAll="0">
      <items count="1081">
        <item x="646"/>
        <item x="340"/>
        <item x="229"/>
        <item x="740"/>
        <item x="832"/>
        <item x="715"/>
        <item x="586"/>
        <item x="963"/>
        <item x="166"/>
        <item x="345"/>
        <item x="223"/>
        <item x="527"/>
        <item x="463"/>
        <item x="1065"/>
        <item x="720"/>
        <item x="219"/>
        <item x="82"/>
        <item x="423"/>
        <item x="711"/>
        <item x="986"/>
        <item x="77"/>
        <item x="958"/>
        <item x="688"/>
        <item x="807"/>
        <item x="944"/>
        <item x="139"/>
        <item x="365"/>
        <item x="284"/>
        <item x="404"/>
        <item x="502"/>
        <item x="413"/>
        <item x="461"/>
        <item x="432"/>
        <item x="853"/>
        <item x="418"/>
        <item x="733"/>
        <item x="133"/>
        <item x="721"/>
        <item x="929"/>
        <item x="668"/>
        <item x="64"/>
        <item x="522"/>
        <item x="891"/>
        <item x="218"/>
        <item x="745"/>
        <item x="334"/>
        <item x="379"/>
        <item x="904"/>
        <item x="887"/>
        <item x="1058"/>
        <item x="347"/>
        <item x="725"/>
        <item x="176"/>
        <item x="299"/>
        <item x="251"/>
        <item x="122"/>
        <item x="861"/>
        <item x="857"/>
        <item x="591"/>
        <item x="790"/>
        <item x="537"/>
        <item x="652"/>
        <item x="520"/>
        <item x="549"/>
        <item x="698"/>
        <item x="318"/>
        <item x="73"/>
        <item x="548"/>
        <item x="990"/>
        <item x="391"/>
        <item x="686"/>
        <item x="239"/>
        <item x="425"/>
        <item x="361"/>
        <item x="862"/>
        <item x="890"/>
        <item x="506"/>
        <item x="592"/>
        <item x="273"/>
        <item x="66"/>
        <item x="523"/>
        <item x="1051"/>
        <item x="974"/>
        <item x="230"/>
        <item x="658"/>
        <item x="1061"/>
        <item x="746"/>
        <item x="786"/>
        <item x="71"/>
        <item x="125"/>
        <item x="417"/>
        <item x="298"/>
        <item x="738"/>
        <item x="17"/>
        <item x="493"/>
        <item x="859"/>
        <item x="165"/>
        <item x="534"/>
        <item x="544"/>
        <item x="110"/>
        <item x="255"/>
        <item x="962"/>
        <item x="695"/>
        <item x="1039"/>
        <item x="748"/>
        <item x="936"/>
        <item x="770"/>
        <item x="185"/>
        <item x="501"/>
        <item x="292"/>
        <item x="137"/>
        <item x="987"/>
        <item x="624"/>
        <item x="424"/>
        <item x="665"/>
        <item x="707"/>
        <item x="192"/>
        <item x="190"/>
        <item x="414"/>
        <item x="632"/>
        <item x="528"/>
        <item x="275"/>
        <item x="89"/>
        <item x="305"/>
        <item x="545"/>
        <item x="708"/>
        <item x="221"/>
        <item x="274"/>
        <item x="984"/>
        <item x="46"/>
        <item x="878"/>
        <item x="691"/>
        <item x="114"/>
        <item x="882"/>
        <item x="399"/>
        <item x="112"/>
        <item x="4"/>
        <item x="422"/>
        <item x="234"/>
        <item x="881"/>
        <item x="607"/>
        <item x="44"/>
        <item x="246"/>
        <item x="655"/>
        <item x="270"/>
        <item x="104"/>
        <item x="735"/>
        <item x="458"/>
        <item x="163"/>
        <item x="508"/>
        <item x="87"/>
        <item x="1074"/>
        <item x="885"/>
        <item x="1031"/>
        <item x="1043"/>
        <item x="496"/>
        <item x="344"/>
        <item x="750"/>
        <item x="749"/>
        <item x="1041"/>
        <item x="411"/>
        <item x="354"/>
        <item x="906"/>
        <item x="781"/>
        <item x="105"/>
        <item x="376"/>
        <item x="983"/>
        <item x="1013"/>
        <item x="0"/>
        <item x="338"/>
        <item x="769"/>
        <item x="268"/>
        <item x="964"/>
        <item x="813"/>
        <item x="416"/>
        <item x="265"/>
        <item x="573"/>
        <item x="916"/>
        <item x="307"/>
        <item x="587"/>
        <item x="1055"/>
        <item x="50"/>
        <item x="794"/>
        <item x="5"/>
        <item x="289"/>
        <item x="18"/>
        <item x="653"/>
        <item x="1045"/>
        <item x="315"/>
        <item x="968"/>
        <item x="477"/>
        <item x="758"/>
        <item x="863"/>
        <item x="462"/>
        <item x="957"/>
        <item x="198"/>
        <item x="931"/>
        <item x="62"/>
        <item x="629"/>
        <item x="840"/>
        <item x="161"/>
        <item x="430"/>
        <item x="123"/>
        <item x="21"/>
        <item x="162"/>
        <item x="893"/>
        <item x="756"/>
        <item x="1"/>
        <item x="744"/>
        <item x="179"/>
        <item x="638"/>
        <item x="352"/>
        <item x="535"/>
        <item x="208"/>
        <item x="466"/>
        <item x="635"/>
        <item x="504"/>
        <item x="703"/>
        <item x="366"/>
        <item x="555"/>
        <item x="676"/>
        <item x="818"/>
        <item x="778"/>
        <item x="53"/>
        <item x="742"/>
        <item x="817"/>
        <item x="509"/>
        <item x="1034"/>
        <item x="680"/>
        <item x="644"/>
        <item x="938"/>
        <item x="574"/>
        <item x="378"/>
        <item x="419"/>
        <item x="563"/>
        <item x="22"/>
        <item x="283"/>
        <item x="719"/>
        <item x="475"/>
        <item x="196"/>
        <item x="800"/>
        <item x="317"/>
        <item x="28"/>
        <item x="988"/>
        <item x="282"/>
        <item x="396"/>
        <item x="195"/>
        <item x="953"/>
        <item x="898"/>
        <item x="1000"/>
        <item x="932"/>
        <item x="420"/>
        <item x="142"/>
        <item x="304"/>
        <item x="741"/>
        <item x="699"/>
        <item x="97"/>
        <item x="636"/>
        <item x="765"/>
        <item x="253"/>
        <item x="1066"/>
        <item x="32"/>
        <item x="197"/>
        <item x="19"/>
        <item x="975"/>
        <item x="507"/>
        <item x="212"/>
        <item x="870"/>
        <item x="92"/>
        <item x="242"/>
        <item x="1062"/>
        <item x="474"/>
        <item x="512"/>
        <item x="736"/>
        <item x="14"/>
        <item x="277"/>
        <item x="588"/>
        <item x="917"/>
        <item x="569"/>
        <item x="747"/>
        <item x="532"/>
        <item x="903"/>
        <item x="1021"/>
        <item x="206"/>
        <item x="119"/>
        <item x="993"/>
        <item x="346"/>
        <item x="245"/>
        <item x="401"/>
        <item x="533"/>
        <item x="609"/>
        <item x="531"/>
        <item x="167"/>
        <item x="773"/>
        <item x="276"/>
        <item x="743"/>
        <item x="1052"/>
        <item x="737"/>
        <item x="996"/>
        <item x="150"/>
        <item x="626"/>
        <item x="860"/>
        <item x="594"/>
        <item x="459"/>
        <item x="74"/>
        <item x="1017"/>
        <item x="40"/>
        <item x="1009"/>
        <item x="704"/>
        <item x="547"/>
        <item x="203"/>
        <item x="308"/>
        <item x="681"/>
        <item x="833"/>
        <item x="844"/>
        <item x="561"/>
        <item x="222"/>
        <item x="999"/>
        <item x="945"/>
        <item x="469"/>
        <item x="472"/>
        <item x="772"/>
        <item x="1025"/>
        <item x="991"/>
        <item x="559"/>
        <item x="761"/>
        <item x="180"/>
        <item x="560"/>
        <item x="822"/>
        <item x="780"/>
        <item x="613"/>
        <item x="908"/>
        <item x="342"/>
        <item x="186"/>
        <item x="505"/>
        <item x="364"/>
        <item x="171"/>
        <item x="375"/>
        <item x="1057"/>
        <item x="443"/>
        <item x="468"/>
        <item x="11"/>
        <item x="30"/>
        <item x="1042"/>
        <item x="710"/>
        <item x="921"/>
        <item x="995"/>
        <item x="249"/>
        <item x="819"/>
        <item x="51"/>
        <item x="543"/>
        <item x="392"/>
        <item x="826"/>
        <item x="143"/>
        <item x="199"/>
        <item x="940"/>
        <item x="1033"/>
        <item x="473"/>
        <item x="263"/>
        <item x="943"/>
        <item x="78"/>
        <item x="339"/>
        <item x="766"/>
        <item x="301"/>
        <item x="630"/>
        <item x="672"/>
        <item x="814"/>
        <item x="138"/>
        <item x="262"/>
        <item x="565"/>
        <item x="796"/>
        <item x="869"/>
        <item x="151"/>
        <item x="164"/>
        <item x="101"/>
        <item x="611"/>
        <item x="377"/>
        <item x="382"/>
        <item x="830"/>
        <item x="697"/>
        <item x="595"/>
        <item x="926"/>
        <item x="954"/>
        <item x="316"/>
        <item x="431"/>
        <item x="174"/>
        <item x="645"/>
        <item x="836"/>
        <item x="518"/>
        <item x="621"/>
        <item x="499"/>
        <item x="583"/>
        <item x="1018"/>
        <item x="777"/>
        <item x="604"/>
        <item x="1059"/>
        <item x="582"/>
        <item x="590"/>
        <item x="1063"/>
        <item x="149"/>
        <item x="211"/>
        <item x="1075"/>
        <item x="491"/>
        <item x="978"/>
        <item x="319"/>
        <item x="181"/>
        <item x="471"/>
        <item x="1002"/>
        <item x="834"/>
        <item x="439"/>
        <item x="650"/>
        <item x="825"/>
        <item x="843"/>
        <item x="847"/>
        <item x="478"/>
        <item x="933"/>
        <item x="385"/>
        <item x="930"/>
        <item x="258"/>
        <item x="90"/>
        <item x="941"/>
        <item x="584"/>
        <item x="713"/>
        <item x="103"/>
        <item x="34"/>
        <item x="927"/>
        <item x="677"/>
        <item x="839"/>
        <item x="421"/>
        <item x="620"/>
        <item x="296"/>
        <item x="666"/>
        <item x="440"/>
        <item x="782"/>
        <item x="683"/>
        <item x="1028"/>
        <item x="671"/>
        <item x="409"/>
        <item x="100"/>
        <item x="43"/>
        <item x="961"/>
        <item x="821"/>
        <item x="873"/>
        <item x="838"/>
        <item x="1016"/>
        <item x="572"/>
        <item x="647"/>
        <item x="664"/>
        <item x="130"/>
        <item x="102"/>
        <item x="524"/>
        <item x="886"/>
        <item x="771"/>
        <item x="775"/>
        <item x="558"/>
        <item x="617"/>
        <item x="405"/>
        <item x="784"/>
        <item x="802"/>
        <item x="578"/>
        <item x="337"/>
        <item x="567"/>
        <item x="328"/>
        <item x="41"/>
        <item x="835"/>
        <item x="470"/>
        <item x="201"/>
        <item x="1069"/>
        <item x="194"/>
        <item x="562"/>
        <item x="225"/>
        <item x="244"/>
        <item x="597"/>
        <item x="902"/>
        <item x="264"/>
        <item x="774"/>
        <item x="714"/>
        <item x="372"/>
        <item x="183"/>
        <item x="901"/>
        <item x="27"/>
        <item x="227"/>
        <item x="985"/>
        <item x="402"/>
        <item x="842"/>
        <item x="1012"/>
        <item x="154"/>
        <item x="846"/>
        <item x="616"/>
        <item x="132"/>
        <item x="678"/>
        <item x="801"/>
        <item x="285"/>
        <item x="965"/>
        <item x="648"/>
        <item x="494"/>
        <item x="388"/>
        <item x="374"/>
        <item x="717"/>
        <item x="946"/>
        <item x="384"/>
        <item x="827"/>
        <item x="850"/>
        <item x="808"/>
        <item x="387"/>
        <item x="281"/>
        <item x="429"/>
        <item x="482"/>
        <item x="815"/>
        <item x="976"/>
        <item x="427"/>
        <item x="86"/>
        <item x="415"/>
        <item x="476"/>
        <item x="798"/>
        <item x="349"/>
        <item x="896"/>
        <item x="726"/>
        <item x="76"/>
        <item x="1076"/>
        <item x="300"/>
        <item x="397"/>
        <item x="625"/>
        <item x="864"/>
        <item x="693"/>
        <item x="937"/>
        <item x="128"/>
        <item x="935"/>
        <item x="805"/>
        <item x="57"/>
        <item x="108"/>
        <item x="682"/>
        <item x="1006"/>
        <item x="484"/>
        <item x="529"/>
        <item x="851"/>
        <item x="326"/>
        <item x="111"/>
        <item x="511"/>
        <item x="606"/>
        <item x="386"/>
        <item x="126"/>
        <item x="848"/>
        <item x="536"/>
        <item x="1011"/>
        <item x="934"/>
        <item x="348"/>
        <item x="979"/>
        <item x="601"/>
        <item x="214"/>
        <item x="121"/>
        <item x="841"/>
        <item x="998"/>
        <item x="969"/>
        <item x="124"/>
        <item x="649"/>
        <item x="257"/>
        <item x="888"/>
        <item x="240"/>
        <item x="7"/>
        <item x="69"/>
        <item x="731"/>
        <item x="674"/>
        <item x="992"/>
        <item x="514"/>
        <item x="1044"/>
        <item x="663"/>
        <item x="131"/>
        <item x="579"/>
        <item x="295"/>
        <item x="716"/>
        <item x="510"/>
        <item x="80"/>
        <item x="9"/>
        <item x="93"/>
        <item x="173"/>
        <item x="220"/>
        <item x="232"/>
        <item x="820"/>
        <item x="233"/>
        <item x="899"/>
        <item x="633"/>
        <item x="489"/>
        <item x="408"/>
        <item x="286"/>
        <item x="109"/>
        <item x="503"/>
        <item x="1072"/>
        <item x="577"/>
        <item x="755"/>
        <item x="216"/>
        <item x="1037"/>
        <item x="456"/>
        <item x="949"/>
        <item x="272"/>
        <item x="552"/>
        <item x="875"/>
        <item x="540"/>
        <item x="465"/>
        <item x="13"/>
        <item x="541"/>
        <item x="83"/>
        <item x="481"/>
        <item x="789"/>
        <item x="107"/>
        <item x="209"/>
        <item x="497"/>
        <item x="445"/>
        <item x="752"/>
        <item x="966"/>
        <item x="889"/>
        <item x="539"/>
        <item x="709"/>
        <item x="490"/>
        <item x="973"/>
        <item x="363"/>
        <item x="63"/>
        <item x="1015"/>
        <item x="622"/>
        <item x="689"/>
        <item x="811"/>
        <item x="85"/>
        <item x="148"/>
        <item x="530"/>
        <item x="312"/>
        <item x="971"/>
        <item x="297"/>
        <item x="182"/>
        <item x="168"/>
        <item x="876"/>
        <item x="1040"/>
        <item x="453"/>
        <item x="116"/>
        <item x="892"/>
        <item x="627"/>
        <item x="1027"/>
        <item x="854"/>
        <item x="1005"/>
        <item x="956"/>
        <item x="610"/>
        <item x="1001"/>
        <item x="823"/>
        <item x="1068"/>
        <item x="829"/>
        <item x="618"/>
        <item x="521"/>
        <item x="241"/>
        <item x="852"/>
        <item x="406"/>
        <item x="845"/>
        <item x="729"/>
        <item x="791"/>
        <item x="383"/>
        <item x="730"/>
        <item x="1079"/>
        <item x="997"/>
        <item x="140"/>
        <item x="141"/>
        <item x="373"/>
        <item x="260"/>
        <item x="37"/>
        <item x="500"/>
        <item x="728"/>
        <item x="236"/>
        <item x="113"/>
        <item x="959"/>
        <item x="250"/>
        <item x="673"/>
        <item x="897"/>
        <item x="6"/>
        <item x="353"/>
        <item x="700"/>
        <item x="1007"/>
        <item x="1077"/>
        <item x="1047"/>
        <item x="455"/>
        <item x="960"/>
        <item x="718"/>
        <item x="42"/>
        <item x="324"/>
        <item x="920"/>
        <item x="1070"/>
        <item x="10"/>
        <item x="910"/>
        <item x="925"/>
        <item x="231"/>
        <item x="883"/>
        <item x="589"/>
        <item x="989"/>
        <item x="380"/>
        <item x="360"/>
        <item x="701"/>
        <item x="1078"/>
        <item x="117"/>
        <item x="26"/>
        <item x="856"/>
        <item x="60"/>
        <item x="279"/>
        <item x="204"/>
        <item x="486"/>
        <item x="228"/>
        <item x="454"/>
        <item x="134"/>
        <item x="538"/>
        <item x="612"/>
        <item x="812"/>
        <item x="33"/>
        <item x="435"/>
        <item x="48"/>
        <item x="367"/>
        <item x="394"/>
        <item x="712"/>
        <item x="129"/>
        <item x="187"/>
        <item x="614"/>
        <item x="81"/>
        <item x="96"/>
        <item x="915"/>
        <item x="287"/>
        <item x="24"/>
        <item x="982"/>
        <item x="256"/>
        <item x="877"/>
        <item x="641"/>
        <item x="634"/>
        <item x="16"/>
        <item x="724"/>
        <item x="553"/>
        <item x="1073"/>
        <item x="880"/>
        <item x="980"/>
        <item x="184"/>
        <item x="939"/>
        <item x="15"/>
        <item x="1022"/>
        <item x="495"/>
        <item x="52"/>
        <item x="290"/>
        <item x="515"/>
        <item x="865"/>
        <item x="412"/>
        <item x="332"/>
        <item x="763"/>
        <item x="325"/>
        <item x="441"/>
        <item x="605"/>
        <item x="580"/>
        <item x="355"/>
        <item x="438"/>
        <item x="596"/>
        <item x="331"/>
        <item x="38"/>
        <item x="29"/>
        <item x="922"/>
        <item x="793"/>
        <item x="546"/>
        <item x="172"/>
        <item x="732"/>
        <item x="1026"/>
        <item x="1024"/>
        <item x="754"/>
        <item x="20"/>
        <item x="302"/>
        <item x="776"/>
        <item x="905"/>
        <item x="35"/>
        <item x="437"/>
        <item x="336"/>
        <item x="335"/>
        <item x="205"/>
        <item x="767"/>
        <item x="189"/>
        <item x="662"/>
        <item x="867"/>
        <item x="1019"/>
        <item x="291"/>
        <item x="434"/>
        <item x="810"/>
        <item x="751"/>
        <item x="858"/>
        <item x="519"/>
        <item x="55"/>
        <item x="526"/>
        <item x="460"/>
        <item x="568"/>
        <item x="977"/>
        <item x="895"/>
        <item x="1071"/>
        <item x="170"/>
        <item x="288"/>
        <item x="694"/>
        <item x="271"/>
        <item x="310"/>
        <item x="872"/>
        <item x="498"/>
        <item x="95"/>
        <item x="303"/>
        <item x="628"/>
        <item x="1060"/>
        <item x="68"/>
        <item x="67"/>
        <item x="643"/>
        <item x="696"/>
        <item x="952"/>
        <item x="675"/>
        <item x="320"/>
        <item x="371"/>
        <item x="309"/>
        <item x="426"/>
        <item x="1050"/>
        <item x="39"/>
        <item x="795"/>
        <item x="47"/>
        <item x="955"/>
        <item x="623"/>
        <item x="446"/>
        <item x="407"/>
        <item x="551"/>
        <item x="400"/>
        <item x="919"/>
        <item x="451"/>
        <item x="768"/>
        <item x="322"/>
        <item x="608"/>
        <item x="327"/>
        <item x="981"/>
        <item x="654"/>
        <item x="45"/>
        <item x="542"/>
        <item x="343"/>
        <item x="661"/>
        <item x="785"/>
        <item x="739"/>
        <item x="213"/>
        <item x="248"/>
        <item x="684"/>
        <item x="381"/>
        <item x="369"/>
        <item x="202"/>
        <item x="639"/>
        <item x="866"/>
        <item x="146"/>
        <item x="357"/>
        <item x="447"/>
        <item x="914"/>
        <item x="557"/>
        <item x="554"/>
        <item x="1054"/>
        <item x="1023"/>
        <item x="1008"/>
        <item x="403"/>
        <item x="224"/>
        <item x="118"/>
        <item x="670"/>
        <item x="967"/>
        <item x="72"/>
        <item x="152"/>
        <item x="259"/>
        <item x="849"/>
        <item x="657"/>
        <item x="280"/>
        <item x="1048"/>
        <item x="894"/>
        <item x="831"/>
        <item x="972"/>
        <item x="667"/>
        <item x="706"/>
        <item x="603"/>
        <item x="900"/>
        <item x="238"/>
        <item x="449"/>
        <item x="485"/>
        <item x="464"/>
        <item x="593"/>
        <item x="294"/>
        <item x="950"/>
        <item x="1030"/>
        <item x="911"/>
        <item x="779"/>
        <item x="247"/>
        <item x="467"/>
        <item x="215"/>
        <item x="56"/>
        <item x="909"/>
        <item x="75"/>
        <item x="200"/>
        <item x="705"/>
        <item x="136"/>
        <item x="619"/>
        <item x="398"/>
        <item x="267"/>
        <item x="410"/>
        <item x="602"/>
        <item x="269"/>
        <item x="237"/>
        <item x="23"/>
        <item x="321"/>
        <item x="266"/>
        <item x="31"/>
        <item x="942"/>
        <item x="313"/>
        <item x="757"/>
        <item x="1003"/>
        <item x="159"/>
        <item x="631"/>
        <item x="91"/>
        <item x="370"/>
        <item x="314"/>
        <item x="79"/>
        <item x="516"/>
        <item x="436"/>
        <item x="1064"/>
        <item x="359"/>
        <item x="2"/>
        <item x="651"/>
        <item x="188"/>
        <item x="685"/>
        <item x="157"/>
        <item x="824"/>
        <item x="1014"/>
        <item x="457"/>
        <item x="753"/>
        <item x="924"/>
        <item x="797"/>
        <item x="923"/>
        <item x="341"/>
        <item x="487"/>
        <item x="492"/>
        <item x="816"/>
        <item x="1046"/>
        <item x="907"/>
        <item x="804"/>
        <item x="517"/>
        <item x="702"/>
        <item x="571"/>
        <item x="120"/>
        <item x="98"/>
        <item x="788"/>
        <item x="1029"/>
        <item x="871"/>
        <item x="99"/>
        <item x="1067"/>
        <item x="762"/>
        <item x="193"/>
        <item x="368"/>
        <item x="261"/>
        <item x="155"/>
        <item x="144"/>
        <item x="65"/>
        <item x="217"/>
        <item x="483"/>
        <item x="928"/>
        <item x="525"/>
        <item x="884"/>
        <item x="70"/>
        <item x="115"/>
        <item x="84"/>
        <item x="306"/>
        <item x="1036"/>
        <item x="759"/>
        <item x="1035"/>
        <item x="362"/>
        <item x="874"/>
        <item x="550"/>
        <item x="687"/>
        <item x="564"/>
        <item x="226"/>
        <item x="1053"/>
        <item x="879"/>
        <item x="659"/>
        <item x="792"/>
        <item x="837"/>
        <item x="252"/>
        <item x="3"/>
        <item x="178"/>
        <item x="581"/>
        <item x="311"/>
        <item x="330"/>
        <item x="191"/>
        <item x="450"/>
        <item x="1056"/>
        <item x="175"/>
        <item x="156"/>
        <item x="358"/>
        <item x="210"/>
        <item x="153"/>
        <item x="637"/>
        <item x="448"/>
        <item x="207"/>
        <item x="918"/>
        <item x="1004"/>
        <item x="323"/>
        <item x="722"/>
        <item x="293"/>
        <item x="585"/>
        <item x="351"/>
        <item x="912"/>
        <item x="868"/>
        <item x="12"/>
        <item x="799"/>
        <item x="1049"/>
        <item x="576"/>
        <item x="642"/>
        <item x="660"/>
        <item x="442"/>
        <item x="1032"/>
        <item x="94"/>
        <item x="690"/>
        <item x="147"/>
        <item x="393"/>
        <item x="145"/>
        <item x="913"/>
        <item x="787"/>
        <item x="855"/>
        <item x="783"/>
        <item x="106"/>
        <item x="760"/>
        <item x="734"/>
        <item x="333"/>
        <item x="158"/>
        <item x="235"/>
        <item x="948"/>
        <item x="727"/>
        <item x="556"/>
        <item x="723"/>
        <item x="36"/>
        <item x="479"/>
        <item x="513"/>
        <item x="88"/>
        <item x="329"/>
        <item x="679"/>
        <item x="395"/>
        <item x="994"/>
        <item x="764"/>
        <item x="127"/>
        <item x="600"/>
        <item x="428"/>
        <item x="951"/>
        <item x="452"/>
        <item x="480"/>
        <item x="575"/>
        <item x="135"/>
        <item x="598"/>
        <item x="350"/>
        <item x="160"/>
        <item x="433"/>
        <item x="54"/>
        <item x="488"/>
        <item x="59"/>
        <item x="970"/>
        <item x="656"/>
        <item x="389"/>
        <item x="254"/>
        <item x="1020"/>
        <item x="8"/>
        <item x="640"/>
        <item x="828"/>
        <item x="58"/>
        <item x="169"/>
        <item x="809"/>
        <item x="669"/>
        <item x="599"/>
        <item x="570"/>
        <item x="243"/>
        <item x="947"/>
        <item x="692"/>
        <item x="615"/>
        <item x="390"/>
        <item x="444"/>
        <item x="806"/>
        <item x="356"/>
        <item x="177"/>
        <item x="25"/>
        <item x="566"/>
        <item x="278"/>
        <item x="49"/>
        <item x="1010"/>
        <item x="803"/>
        <item x="1038"/>
        <item x="61"/>
        <item t="default"/>
      </items>
    </pivotField>
    <pivotField showAll="0"/>
    <pivotField showAll="0"/>
    <pivotField showAll="0"/>
    <pivotField dataField="1" showAll="0">
      <items count="4923">
        <item x="1997"/>
        <item x="4005"/>
        <item x="1347"/>
        <item x="941"/>
        <item x="2747"/>
        <item x="1104"/>
        <item x="3601"/>
        <item x="2525"/>
        <item x="745"/>
        <item x="2267"/>
        <item x="803"/>
        <item x="532"/>
        <item x="1699"/>
        <item x="2939"/>
        <item x="3564"/>
        <item x="217"/>
        <item x="1595"/>
        <item x="3635"/>
        <item x="1587"/>
        <item x="4405"/>
        <item x="1423"/>
        <item x="1155"/>
        <item x="1302"/>
        <item x="1952"/>
        <item x="757"/>
        <item x="1389"/>
        <item x="3620"/>
        <item x="1708"/>
        <item x="3166"/>
        <item x="2847"/>
        <item x="2935"/>
        <item x="3737"/>
        <item x="3247"/>
        <item x="1713"/>
        <item x="2809"/>
        <item x="4007"/>
        <item x="2249"/>
        <item x="915"/>
        <item x="2125"/>
        <item x="3829"/>
        <item x="2056"/>
        <item x="1717"/>
        <item x="3291"/>
        <item x="1340"/>
        <item x="1393"/>
        <item x="2981"/>
        <item x="4481"/>
        <item x="1496"/>
        <item x="4849"/>
        <item x="3415"/>
        <item x="675"/>
        <item x="3235"/>
        <item x="2017"/>
        <item x="1185"/>
        <item x="723"/>
        <item x="4513"/>
        <item x="1209"/>
        <item x="1562"/>
        <item x="1789"/>
        <item x="2395"/>
        <item x="3314"/>
        <item x="2037"/>
        <item x="2917"/>
        <item x="1233"/>
        <item x="3310"/>
        <item x="647"/>
        <item x="979"/>
        <item x="324"/>
        <item x="181"/>
        <item x="93"/>
        <item x="2418"/>
        <item x="838"/>
        <item x="3402"/>
        <item x="2562"/>
        <item x="955"/>
        <item x="105"/>
        <item x="4028"/>
        <item x="3677"/>
        <item x="3336"/>
        <item x="2605"/>
        <item x="4760"/>
        <item x="1888"/>
        <item x="909"/>
        <item x="939"/>
        <item x="111"/>
        <item x="3453"/>
        <item x="676"/>
        <item x="609"/>
        <item x="1392"/>
        <item x="3931"/>
        <item x="4459"/>
        <item x="442"/>
        <item x="1883"/>
        <item x="1226"/>
        <item x="1395"/>
        <item x="3113"/>
        <item x="4577"/>
        <item x="4280"/>
        <item x="3193"/>
        <item x="3755"/>
        <item x="1778"/>
        <item x="2785"/>
        <item x="3384"/>
        <item x="4838"/>
        <item x="2895"/>
        <item x="2826"/>
        <item x="4013"/>
        <item x="3951"/>
        <item x="1210"/>
        <item x="3367"/>
        <item x="2109"/>
        <item x="1615"/>
        <item x="3482"/>
        <item x="4372"/>
        <item x="3469"/>
        <item x="4111"/>
        <item x="3521"/>
        <item x="1344"/>
        <item x="1736"/>
        <item x="2285"/>
        <item x="865"/>
        <item x="128"/>
        <item x="4611"/>
        <item x="728"/>
        <item x="3952"/>
        <item x="4365"/>
        <item x="4046"/>
        <item x="770"/>
        <item x="2638"/>
        <item x="4776"/>
        <item x="432"/>
        <item x="3139"/>
        <item x="1762"/>
        <item x="4337"/>
        <item x="198"/>
        <item x="1172"/>
        <item x="139"/>
        <item x="1819"/>
        <item x="854"/>
        <item x="3599"/>
        <item x="4834"/>
        <item x="1756"/>
        <item x="2091"/>
        <item x="2319"/>
        <item x="1618"/>
        <item x="4886"/>
        <item x="2269"/>
        <item x="3074"/>
        <item x="517"/>
        <item x="3066"/>
        <item x="716"/>
        <item x="2318"/>
        <item x="4516"/>
        <item x="2906"/>
        <item x="1946"/>
        <item x="3833"/>
        <item x="3593"/>
        <item x="1244"/>
        <item x="1807"/>
        <item x="452"/>
        <item x="1704"/>
        <item x="2868"/>
        <item x="1150"/>
        <item x="3419"/>
        <item x="484"/>
        <item x="1221"/>
        <item x="3214"/>
        <item x="2738"/>
        <item x="4373"/>
        <item x="3701"/>
        <item x="495"/>
        <item x="2820"/>
        <item x="3574"/>
        <item x="1874"/>
        <item x="2713"/>
        <item x="4833"/>
        <item x="863"/>
        <item x="2941"/>
        <item x="632"/>
        <item x="846"/>
        <item x="4779"/>
        <item x="3958"/>
        <item x="1321"/>
        <item x="2381"/>
        <item x="2143"/>
        <item x="1271"/>
        <item x="4099"/>
        <item x="3605"/>
        <item x="1739"/>
        <item x="3711"/>
        <item x="2169"/>
        <item x="4216"/>
        <item x="1558"/>
        <item x="2907"/>
        <item x="4777"/>
        <item x="4077"/>
        <item x="4243"/>
        <item x="1492"/>
        <item x="2413"/>
        <item x="0"/>
        <item x="267"/>
        <item x="1505"/>
        <item x="3172"/>
        <item x="3396"/>
        <item x="4595"/>
        <item x="3153"/>
        <item x="4664"/>
        <item x="1644"/>
        <item x="836"/>
        <item x="3050"/>
        <item x="3141"/>
        <item x="4895"/>
        <item x="2996"/>
        <item x="1032"/>
        <item x="689"/>
        <item x="1259"/>
        <item x="687"/>
        <item x="257"/>
        <item x="4152"/>
        <item x="4773"/>
        <item x="4843"/>
        <item x="4309"/>
        <item x="3248"/>
        <item x="76"/>
        <item x="4134"/>
        <item x="1072"/>
        <item x="4335"/>
        <item x="3108"/>
        <item x="3788"/>
        <item x="2225"/>
        <item x="83"/>
        <item x="2733"/>
        <item x="2052"/>
        <item x="624"/>
        <item x="2599"/>
        <item x="1866"/>
        <item x="1485"/>
        <item x="546"/>
        <item x="4278"/>
        <item x="3004"/>
        <item x="1947"/>
        <item x="1581"/>
        <item x="3718"/>
        <item x="4036"/>
        <item x="1053"/>
        <item x="209"/>
        <item x="3026"/>
        <item x="995"/>
        <item x="4628"/>
        <item x="2641"/>
        <item x="2070"/>
        <item x="3308"/>
        <item x="1219"/>
        <item x="3844"/>
        <item x="2655"/>
        <item x="919"/>
        <item x="2516"/>
        <item x="2731"/>
        <item x="733"/>
        <item x="4191"/>
        <item x="867"/>
        <item x="3989"/>
        <item x="3019"/>
        <item x="4889"/>
        <item x="4547"/>
        <item x="1768"/>
        <item x="3754"/>
        <item x="3722"/>
        <item x="4657"/>
        <item x="3648"/>
        <item x="1613"/>
        <item x="4428"/>
        <item x="4888"/>
        <item x="1078"/>
        <item x="4758"/>
        <item x="2914"/>
        <item x="2423"/>
        <item x="706"/>
        <item x="2039"/>
        <item x="171"/>
        <item x="3986"/>
        <item x="3719"/>
        <item x="3016"/>
        <item x="1721"/>
        <item x="4675"/>
        <item x="2512"/>
        <item x="809"/>
        <item x="561"/>
        <item x="2434"/>
        <item x="4488"/>
        <item x="4906"/>
        <item x="2114"/>
        <item x="2811"/>
        <item x="3891"/>
        <item x="361"/>
        <item x="435"/>
        <item x="3433"/>
        <item x="3607"/>
        <item x="4868"/>
        <item x="3914"/>
        <item x="1437"/>
        <item x="2356"/>
        <item x="4025"/>
        <item x="275"/>
        <item x="416"/>
        <item x="2031"/>
        <item x="1267"/>
        <item x="2955"/>
        <item x="3151"/>
        <item x="1102"/>
        <item x="2619"/>
        <item x="49"/>
        <item x="3226"/>
        <item x="4213"/>
        <item x="1095"/>
        <item x="4559"/>
        <item x="3049"/>
        <item x="3848"/>
        <item x="462"/>
        <item x="4709"/>
        <item x="1885"/>
        <item x="165"/>
        <item x="414"/>
        <item x="334"/>
        <item x="4835"/>
        <item x="3385"/>
        <item x="4716"/>
        <item x="2807"/>
        <item x="1982"/>
        <item x="1658"/>
        <item x="3572"/>
        <item x="617"/>
        <item x="698"/>
        <item x="2903"/>
        <item x="3819"/>
        <item x="326"/>
        <item x="226"/>
        <item x="880"/>
        <item x="659"/>
        <item x="2915"/>
        <item x="4107"/>
        <item x="2830"/>
        <item x="2969"/>
        <item x="3030"/>
        <item x="1670"/>
        <item x="256"/>
        <item x="4331"/>
        <item x="2983"/>
        <item x="567"/>
        <item x="4361"/>
        <item x="1835"/>
        <item x="4691"/>
        <item x="1427"/>
        <item x="2081"/>
        <item x="3490"/>
        <item x="4789"/>
        <item x="2289"/>
        <item x="923"/>
        <item x="978"/>
        <item x="54"/>
        <item x="1693"/>
        <item x="4301"/>
        <item x="3994"/>
        <item x="1515"/>
        <item x="3267"/>
        <item x="200"/>
        <item x="3043"/>
        <item x="2628"/>
        <item x="3429"/>
        <item x="2045"/>
        <item x="1386"/>
        <item x="2740"/>
        <item x="2453"/>
        <item x="1125"/>
        <item x="2240"/>
        <item x="3063"/>
        <item x="934"/>
        <item x="2131"/>
        <item x="4808"/>
        <item x="1914"/>
        <item x="1563"/>
        <item x="3801"/>
        <item x="3569"/>
        <item x="4053"/>
        <item x="1703"/>
        <item x="3441"/>
        <item x="2138"/>
        <item x="3012"/>
        <item x="3227"/>
        <item x="2276"/>
        <item x="1842"/>
        <item x="1364"/>
        <item x="4472"/>
        <item x="3486"/>
        <item x="1664"/>
        <item x="4484"/>
        <item x="1727"/>
        <item x="201"/>
        <item x="196"/>
        <item x="2610"/>
        <item x="3934"/>
        <item x="3703"/>
        <item x="2170"/>
        <item x="671"/>
        <item x="1320"/>
        <item x="3358"/>
        <item x="2771"/>
        <item x="2827"/>
        <item x="1023"/>
        <item x="1872"/>
        <item x="2926"/>
        <item x="1224"/>
        <item x="322"/>
        <item x="777"/>
        <item x="3979"/>
        <item x="270"/>
        <item x="461"/>
        <item x="3852"/>
        <item x="2205"/>
        <item x="4034"/>
        <item x="2658"/>
        <item x="2268"/>
        <item x="1715"/>
        <item x="3552"/>
        <item x="3051"/>
        <item x="4726"/>
        <item x="936"/>
        <item x="2892"/>
        <item x="3515"/>
        <item x="2297"/>
        <item x="2053"/>
        <item x="4683"/>
        <item x="3059"/>
        <item x="2645"/>
        <item x="2087"/>
        <item x="3399"/>
        <item x="156"/>
        <item x="2463"/>
        <item x="1805"/>
        <item x="564"/>
        <item x="1463"/>
        <item x="4766"/>
        <item x="176"/>
        <item x="2139"/>
        <item x="255"/>
        <item x="3984"/>
        <item x="3933"/>
        <item x="1356"/>
        <item x="663"/>
        <item x="3980"/>
        <item x="4256"/>
        <item x="1206"/>
        <item x="4326"/>
        <item x="1935"/>
        <item x="1753"/>
        <item x="894"/>
        <item x="2992"/>
        <item x="250"/>
        <item x="469"/>
        <item x="4333"/>
        <item x="1091"/>
        <item x="1532"/>
        <item x="2647"/>
        <item x="10"/>
        <item x="2541"/>
        <item x="503"/>
        <item x="1460"/>
        <item x="1044"/>
        <item x="3437"/>
        <item x="329"/>
        <item x="1861"/>
        <item x="371"/>
        <item x="4822"/>
        <item x="1112"/>
        <item x="3587"/>
        <item x="2739"/>
        <item x="3520"/>
        <item x="1189"/>
        <item x="2873"/>
        <item x="2455"/>
        <item x="3624"/>
        <item x="4432"/>
        <item x="3432"/>
        <item x="3167"/>
        <item x="3805"/>
        <item x="195"/>
        <item x="3428"/>
        <item x="491"/>
        <item x="1199"/>
        <item x="3088"/>
        <item x="244"/>
        <item x="4537"/>
        <item x="3758"/>
        <item x="2191"/>
        <item x="3534"/>
        <item x="4616"/>
        <item x="1663"/>
        <item x="116"/>
        <item x="1358"/>
        <item x="3001"/>
        <item x="3452"/>
        <item x="3145"/>
        <item x="3876"/>
        <item x="3902"/>
        <item x="3928"/>
        <item x="940"/>
        <item x="314"/>
        <item x="486"/>
        <item x="1396"/>
        <item x="3417"/>
        <item x="2127"/>
        <item x="3899"/>
        <item x="4655"/>
        <item x="566"/>
        <item x="3091"/>
        <item x="1858"/>
        <item x="1414"/>
        <item x="1588"/>
        <item x="3942"/>
        <item x="3781"/>
        <item x="2551"/>
        <item x="823"/>
        <item x="4762"/>
        <item x="4813"/>
        <item x="4232"/>
        <item x="274"/>
        <item x="653"/>
        <item x="451"/>
        <item x="3413"/>
        <item x="2452"/>
        <item x="3184"/>
        <item x="1740"/>
        <item x="2542"/>
        <item x="2651"/>
        <item x="2404"/>
        <item x="878"/>
        <item x="2850"/>
        <item x="2330"/>
        <item x="185"/>
        <item x="3656"/>
        <item x="20"/>
        <item x="1608"/>
        <item x="4155"/>
        <item x="4449"/>
        <item x="4662"/>
        <item x="2676"/>
        <item x="2653"/>
        <item x="2228"/>
        <item x="3528"/>
        <item x="4010"/>
        <item x="4354"/>
        <item x="717"/>
        <item x="4084"/>
        <item x="4334"/>
        <item x="3967"/>
        <item x="3481"/>
        <item x="3993"/>
        <item x="4001"/>
        <item x="1318"/>
        <item x="4493"/>
        <item x="2858"/>
        <item x="959"/>
        <item x="3567"/>
        <item x="1648"/>
        <item x="4631"/>
        <item x="3916"/>
        <item x="15"/>
        <item x="2694"/>
        <item x="2572"/>
        <item x="4145"/>
        <item x="3760"/>
        <item x="3794"/>
        <item x="4801"/>
        <item x="673"/>
        <item x="3674"/>
        <item x="1433"/>
        <item x="4086"/>
        <item x="4188"/>
        <item x="4852"/>
        <item x="1446"/>
        <item x="869"/>
        <item x="4560"/>
        <item x="1577"/>
        <item x="1627"/>
        <item x="3991"/>
        <item x="1749"/>
        <item x="3610"/>
        <item x="2414"/>
        <item x="3295"/>
        <item x="2389"/>
        <item x="3112"/>
        <item x="4759"/>
        <item x="585"/>
        <item x="3222"/>
        <item x="1479"/>
        <item x="3046"/>
        <item x="1444"/>
        <item x="4575"/>
        <item x="2662"/>
        <item x="1654"/>
        <item x="3907"/>
        <item x="4645"/>
        <item x="4590"/>
        <item x="824"/>
        <item x="1441"/>
        <item x="571"/>
        <item x="313"/>
        <item x="3216"/>
        <item x="2117"/>
        <item x="4348"/>
        <item x="568"/>
        <item x="138"/>
        <item x="2538"/>
        <item x="768"/>
        <item x="2259"/>
        <item x="2894"/>
        <item x="1012"/>
        <item x="2480"/>
        <item x="3378"/>
        <item x="1313"/>
        <item x="3598"/>
        <item x="3268"/>
        <item x="2426"/>
        <item x="1818"/>
        <item x="4276"/>
        <item x="764"/>
        <item x="2723"/>
        <item x="4502"/>
        <item x="3180"/>
        <item x="4707"/>
        <item x="4652"/>
        <item x="1936"/>
        <item x="515"/>
        <item x="2005"/>
        <item x="412"/>
        <item x="2869"/>
        <item x="2930"/>
        <item x="455"/>
        <item x="851"/>
        <item x="877"/>
        <item x="4300"/>
        <item x="3474"/>
        <item x="321"/>
        <item x="2307"/>
        <item x="4717"/>
        <item x="3558"/>
        <item x="4518"/>
        <item x="1949"/>
        <item x="3568"/>
        <item x="4544"/>
        <item x="3710"/>
        <item x="4444"/>
        <item x="340"/>
        <item x="1003"/>
        <item x="154"/>
        <item x="2633"/>
        <item x="912"/>
        <item x="2471"/>
        <item x="3174"/>
        <item x="1041"/>
        <item x="3846"/>
        <item x="1498"/>
        <item x="4712"/>
        <item x="4222"/>
        <item x="575"/>
        <item x="2704"/>
        <item x="2292"/>
        <item x="3602"/>
        <item x="1372"/>
        <item x="2583"/>
        <item x="1529"/>
        <item x="4130"/>
        <item x="2822"/>
        <item x="4311"/>
        <item x="142"/>
        <item x="529"/>
        <item x="3212"/>
        <item x="1294"/>
        <item x="984"/>
        <item x="1544"/>
        <item x="445"/>
        <item x="2730"/>
        <item x="4008"/>
        <item x="4100"/>
        <item x="4790"/>
        <item x="1694"/>
        <item x="3507"/>
        <item x="487"/>
        <item x="346"/>
        <item x="3191"/>
        <item x="5"/>
        <item x="2468"/>
        <item x="4169"/>
        <item x="2499"/>
        <item x="4811"/>
        <item x="1122"/>
        <item x="1363"/>
        <item x="1310"/>
        <item x="1659"/>
        <item x="2624"/>
        <item x="3997"/>
        <item x="4249"/>
        <item x="450"/>
        <item x="656"/>
        <item x="2433"/>
        <item x="2883"/>
        <item x="4384"/>
        <item x="3968"/>
        <item x="1461"/>
        <item x="3114"/>
        <item x="1481"/>
        <item x="3800"/>
        <item x="952"/>
        <item x="3209"/>
        <item x="4225"/>
        <item x="3438"/>
        <item x="1938"/>
        <item x="4312"/>
        <item x="3955"/>
        <item x="3594"/>
        <item x="4346"/>
        <item x="3394"/>
        <item x="417"/>
        <item x="3375"/>
        <item x="3023"/>
        <item x="3695"/>
        <item x="269"/>
        <item x="4504"/>
        <item x="2893"/>
        <item x="2965"/>
        <item x="485"/>
        <item x="641"/>
        <item x="512"/>
        <item x="2750"/>
        <item x="234"/>
        <item x="2116"/>
        <item x="1955"/>
        <item x="3319"/>
        <item x="4850"/>
        <item x="4173"/>
        <item x="1225"/>
        <item x="358"/>
        <item x="2003"/>
        <item x="1059"/>
        <item x="3510"/>
        <item x="1791"/>
        <item x="1803"/>
        <item x="4220"/>
        <item x="2000"/>
        <item x="1157"/>
        <item x="1995"/>
        <item x="4735"/>
        <item x="207"/>
        <item x="2219"/>
        <item x="3860"/>
        <item x="4310"/>
        <item x="2014"/>
        <item x="1719"/>
        <item x="1523"/>
        <item x="2302"/>
        <item x="793"/>
        <item x="2278"/>
        <item x="1848"/>
        <item x="4424"/>
        <item x="2190"/>
        <item x="2982"/>
        <item x="2022"/>
        <item x="1893"/>
        <item x="2766"/>
        <item x="2101"/>
        <item x="411"/>
        <item x="1855"/>
        <item x="1959"/>
        <item x="4563"/>
        <item x="281"/>
        <item x="247"/>
        <item x="1570"/>
        <item x="2582"/>
        <item x="3504"/>
        <item x="315"/>
        <item x="468"/>
        <item x="3792"/>
        <item x="1489"/>
        <item x="682"/>
        <item x="2722"/>
        <item x="1352"/>
        <item x="4443"/>
        <item x="597"/>
        <item x="926"/>
        <item x="3070"/>
        <item x="2283"/>
        <item x="1325"/>
        <item x="2257"/>
        <item x="3565"/>
        <item x="680"/>
        <item x="370"/>
        <item x="2968"/>
        <item x="453"/>
        <item x="1339"/>
        <item x="2179"/>
        <item x="466"/>
        <item x="4287"/>
        <item x="4734"/>
        <item x="3194"/>
        <item x="4473"/>
        <item x="920"/>
        <item x="931"/>
        <item x="149"/>
        <item x="4044"/>
        <item x="2323"/>
        <item x="268"/>
        <item x="1590"/>
        <item x="791"/>
        <item x="32"/>
        <item x="4746"/>
        <item x="3124"/>
        <item x="1669"/>
        <item x="1520"/>
        <item x="4919"/>
        <item x="3119"/>
        <item x="4120"/>
        <item x="3444"/>
        <item x="2700"/>
        <item x="1567"/>
        <item x="2916"/>
        <item x="3753"/>
        <item x="1640"/>
        <item x="1370"/>
        <item x="1821"/>
        <item x="1963"/>
        <item x="2687"/>
        <item x="4314"/>
        <item x="3339"/>
        <item x="2024"/>
        <item x="3861"/>
        <item x="252"/>
        <item x="4159"/>
        <item x="4719"/>
        <item x="2210"/>
        <item x="2539"/>
        <item x="4321"/>
        <item x="2934"/>
        <item x="300"/>
        <item x="1388"/>
        <item x="1231"/>
        <item x="1342"/>
        <item x="2803"/>
        <item x="2445"/>
        <item x="4772"/>
        <item x="2424"/>
        <item x="1366"/>
        <item x="4618"/>
        <item x="2863"/>
        <item x="2412"/>
        <item x="4253"/>
        <item x="856"/>
        <item x="3996"/>
        <item x="396"/>
        <item x="2616"/>
        <item x="4483"/>
        <item x="1586"/>
        <item x="1878"/>
        <item x="3150"/>
        <item x="2229"/>
        <item x="4320"/>
        <item x="2824"/>
        <item x="1250"/>
        <item x="172"/>
        <item x="3223"/>
        <item x="933"/>
        <item x="3863"/>
        <item x="3411"/>
        <item x="1315"/>
        <item x="3516"/>
        <item x="4199"/>
        <item x="81"/>
        <item x="2113"/>
        <item x="2443"/>
        <item x="807"/>
        <item x="1786"/>
        <item x="3922"/>
        <item x="391"/>
        <item x="2805"/>
        <item x="3199"/>
        <item x="876"/>
        <item x="783"/>
        <item x="4803"/>
        <item x="4231"/>
        <item x="4842"/>
        <item x="4467"/>
        <item x="373"/>
        <item x="3426"/>
        <item x="4755"/>
        <item x="3799"/>
        <item x="4154"/>
        <item x="843"/>
        <item x="3826"/>
        <item x="273"/>
        <item x="2767"/>
        <item x="190"/>
        <item x="3715"/>
        <item x="790"/>
        <item x="2417"/>
        <item x="401"/>
        <item x="2753"/>
        <item x="1030"/>
        <item x="33"/>
        <item x="2373"/>
        <item x="4698"/>
        <item x="3915"/>
        <item x="1058"/>
        <item x="8"/>
        <item x="1282"/>
        <item x="921"/>
        <item x="4479"/>
        <item x="897"/>
        <item x="2055"/>
        <item x="2989"/>
        <item x="1238"/>
        <item x="1863"/>
        <item x="4455"/>
        <item x="1027"/>
        <item x="1073"/>
        <item x="3536"/>
        <item x="2879"/>
        <item x="2203"/>
        <item x="3256"/>
        <item x="829"/>
        <item x="4515"/>
        <item x="1161"/>
        <item x="2355"/>
        <item x="2429"/>
        <item x="467"/>
        <item x="3461"/>
        <item x="3756"/>
        <item x="2023"/>
        <item x="4441"/>
        <item x="3900"/>
        <item x="1202"/>
        <item x="3335"/>
        <item x="2068"/>
        <item x="1006"/>
        <item x="4055"/>
        <item x="3858"/>
        <item x="1880"/>
        <item x="350"/>
        <item x="1710"/>
        <item x="1831"/>
        <item x="3211"/>
        <item x="3609"/>
        <item x="2666"/>
        <item x="1823"/>
        <item x="2279"/>
        <item x="1702"/>
        <item x="1159"/>
        <item x="167"/>
        <item x="4601"/>
        <item x="2735"/>
        <item x="1381"/>
        <item x="771"/>
        <item x="1849"/>
        <item x="454"/>
        <item x="4292"/>
        <item x="4358"/>
        <item x="474"/>
        <item x="4463"/>
        <item x="2974"/>
        <item x="595"/>
        <item x="749"/>
        <item x="3095"/>
        <item x="2506"/>
        <item x="3851"/>
        <item x="4303"/>
        <item x="1402"/>
        <item x="4704"/>
        <item x="818"/>
        <item x="1656"/>
        <item x="2504"/>
        <item x="4602"/>
        <item x="1724"/>
        <item x="1109"/>
        <item x="811"/>
        <item x="2111"/>
        <item x="3940"/>
        <item x="2483"/>
        <item x="4696"/>
        <item x="4290"/>
        <item x="4651"/>
        <item x="1559"/>
        <item x="3036"/>
        <item x="2001"/>
        <item x="610"/>
        <item x="3054"/>
        <item x="3470"/>
        <item x="1507"/>
        <item x="4528"/>
        <item x="4211"/>
        <item x="3086"/>
        <item x="3450"/>
        <item x="1107"/>
        <item x="1792"/>
        <item x="4302"/>
        <item x="1040"/>
        <item x="1649"/>
        <item x="2184"/>
        <item x="2244"/>
        <item x="1709"/>
        <item x="3815"/>
        <item x="4241"/>
        <item x="550"/>
        <item x="1197"/>
        <item x="413"/>
        <item x="3905"/>
        <item x="3744"/>
        <item x="2507"/>
        <item x="4580"/>
        <item x="778"/>
        <item x="3651"/>
        <item x="794"/>
        <item x="261"/>
        <item x="309"/>
        <item x="630"/>
        <item x="2973"/>
        <item x="152"/>
        <item x="2234"/>
        <item x="57"/>
        <item x="3640"/>
        <item x="423"/>
        <item x="133"/>
        <item x="1475"/>
        <item x="4672"/>
        <item x="615"/>
        <item x="4815"/>
        <item x="4400"/>
        <item x="224"/>
        <item x="1815"/>
        <item x="759"/>
        <item x="862"/>
        <item x="3978"/>
        <item x="4298"/>
        <item x="4684"/>
        <item x="3644"/>
        <item x="4676"/>
        <item x="3508"/>
        <item x="2034"/>
        <item x="2374"/>
        <item x="482"/>
        <item x="1009"/>
        <item x="700"/>
        <item x="4556"/>
        <item x="719"/>
        <item x="1743"/>
        <item x="1833"/>
        <item x="4540"/>
        <item x="1253"/>
        <item x="4468"/>
        <item x="3724"/>
        <item x="2889"/>
        <item x="2668"/>
        <item x="1971"/>
        <item x="2020"/>
        <item x="527"/>
        <item x="1473"/>
        <item x="668"/>
        <item x="4617"/>
        <item x="436"/>
        <item x="3636"/>
        <item x="781"/>
        <item x="3038"/>
        <item x="3442"/>
        <item x="227"/>
        <item x="3034"/>
        <item x="840"/>
        <item x="640"/>
        <item x="3473"/>
        <item x="1794"/>
        <item x="3652"/>
        <item x="765"/>
        <item x="551"/>
        <item x="1729"/>
        <item x="4417"/>
        <item x="4327"/>
        <item x="1683"/>
        <item x="1248"/>
        <item x="4442"/>
        <item x="4907"/>
        <item x="2675"/>
        <item x="3031"/>
        <item x="587"/>
        <item x="472"/>
        <item x="4345"/>
        <item x="2726"/>
        <item x="730"/>
        <item x="1758"/>
        <item x="2422"/>
        <item x="3159"/>
        <item x="3908"/>
        <item x="1573"/>
        <item x="4908"/>
        <item x="4573"/>
        <item x="2636"/>
        <item x="3374"/>
        <item x="2361"/>
        <item x="708"/>
        <item x="471"/>
        <item x="4744"/>
        <item x="4089"/>
        <item x="1633"/>
        <item x="1114"/>
        <item x="4592"/>
        <item x="2149"/>
        <item x="752"/>
        <item x="3110"/>
        <item x="3370"/>
        <item x="3650"/>
        <item x="63"/>
        <item x="193"/>
        <item x="62"/>
        <item x="2925"/>
        <item x="548"/>
        <item x="4584"/>
        <item x="3882"/>
        <item x="4450"/>
        <item x="775"/>
        <item x="3561"/>
        <item x="2531"/>
        <item x="248"/>
        <item x="1661"/>
        <item x="4871"/>
        <item x="1322"/>
        <item x="4534"/>
        <item x="4261"/>
        <item x="2449"/>
        <item x="3326"/>
        <item x="1766"/>
        <item x="739"/>
        <item x="2469"/>
        <item x="2612"/>
        <item x="2255"/>
        <item x="832"/>
        <item x="4596"/>
        <item x="1429"/>
        <item x="479"/>
        <item x="4274"/>
        <item x="1685"/>
        <item x="4129"/>
        <item x="3496"/>
        <item x="3734"/>
        <item x="4288"/>
        <item x="2622"/>
        <item x="3455"/>
        <item x="2491"/>
        <item x="3299"/>
        <item x="3527"/>
        <item x="3768"/>
        <item x="3699"/>
        <item x="3389"/>
        <item x="3713"/>
        <item x="828"/>
        <item x="3271"/>
        <item x="1007"/>
        <item x="2580"/>
        <item x="3811"/>
        <item x="1726"/>
        <item x="4196"/>
        <item x="1163"/>
        <item x="3932"/>
        <item x="1179"/>
        <item x="870"/>
        <item x="2151"/>
        <item x="440"/>
        <item x="3783"/>
        <item x="2677"/>
        <item x="1245"/>
        <item x="3138"/>
        <item x="4613"/>
        <item x="3796"/>
        <item x="2679"/>
        <item x="4882"/>
        <item x="2498"/>
        <item x="4634"/>
        <item x="2947"/>
        <item x="3298"/>
        <item x="2487"/>
        <item x="3836"/>
        <item x="2196"/>
        <item x="2754"/>
        <item x="2800"/>
        <item x="3266"/>
        <item x="1028"/>
        <item x="1944"/>
        <item x="1459"/>
        <item x="3149"/>
        <item x="4814"/>
        <item x="3368"/>
        <item x="3786"/>
        <item x="4574"/>
        <item x="246"/>
        <item x="2502"/>
        <item x="3231"/>
        <item x="891"/>
        <item x="168"/>
        <item x="17"/>
        <item x="906"/>
        <item x="2559"/>
        <item x="208"/>
        <item x="1651"/>
        <item x="4069"/>
        <item x="970"/>
        <item x="3921"/>
        <item x="3037"/>
        <item x="2093"/>
        <item x="3072"/>
        <item x="996"/>
        <item x="3898"/>
        <item x="4440"/>
        <item x="3822"/>
        <item x="3393"/>
        <item x="2964"/>
        <item x="2103"/>
        <item x="685"/>
        <item x="2217"/>
        <item x="3761"/>
        <item x="4338"/>
        <item x="552"/>
        <item x="335"/>
        <item x="2135"/>
        <item x="4323"/>
        <item x="3659"/>
        <item x="2891"/>
        <item x="3847"/>
        <item x="4878"/>
        <item x="792"/>
        <item x="2011"/>
        <item x="1610"/>
        <item x="1217"/>
        <item x="3612"/>
        <item x="961"/>
        <item x="3856"/>
        <item x="2904"/>
        <item x="2325"/>
        <item x="2178"/>
        <item x="1967"/>
        <item x="348"/>
        <item x="3658"/>
        <item x="1761"/>
        <item x="2765"/>
        <item x="1799"/>
        <item x="1354"/>
        <item x="1508"/>
        <item x="2421"/>
        <item x="3667"/>
        <item x="3821"/>
        <item x="3714"/>
        <item x="592"/>
        <item x="4221"/>
        <item x="2719"/>
        <item x="3357"/>
        <item x="3643"/>
        <item x="2305"/>
        <item x="1905"/>
        <item x="1965"/>
        <item x="1329"/>
        <item x="2369"/>
        <item x="2435"/>
        <item x="3841"/>
        <item x="4501"/>
        <item x="3006"/>
        <item x="882"/>
        <item x="2015"/>
        <item x="2595"/>
        <item x="2168"/>
        <item x="1215"/>
        <item x="249"/>
        <item x="4299"/>
        <item x="1143"/>
        <item x="294"/>
        <item x="4407"/>
        <item x="1920"/>
        <item x="1432"/>
        <item x="1080"/>
        <item x="460"/>
        <item x="3909"/>
        <item x="637"/>
        <item x="74"/>
        <item x="4339"/>
        <item x="1336"/>
        <item x="3233"/>
        <item x="2579"/>
        <item x="2585"/>
        <item x="3346"/>
        <item x="1996"/>
        <item x="1912"/>
        <item x="351"/>
        <item x="855"/>
        <item x="2667"/>
        <item x="1759"/>
        <item x="2594"/>
        <item x="1249"/>
        <item x="539"/>
        <item x="1086"/>
        <item x="1474"/>
        <item x="4567"/>
        <item x="4360"/>
        <item x="3203"/>
        <item x="1186"/>
        <item x="963"/>
        <item x="2406"/>
        <item x="2732"/>
        <item x="2678"/>
        <item x="1671"/>
        <item x="2313"/>
        <item x="1400"/>
        <item x="4591"/>
        <item x="4329"/>
        <item x="4571"/>
        <item x="2741"/>
        <item x="2402"/>
        <item x="2118"/>
        <item x="3239"/>
        <item x="1870"/>
        <item x="2943"/>
        <item x="4738"/>
        <item x="1509"/>
        <item x="1269"/>
        <item x="2510"/>
        <item x="3416"/>
        <item x="1850"/>
        <item x="1968"/>
        <item x="1684"/>
        <item x="4648"/>
        <item x="3423"/>
        <item x="3"/>
        <item x="4108"/>
        <item x="536"/>
        <item x="488"/>
        <item x="1116"/>
        <item x="581"/>
        <item x="2036"/>
        <item x="3884"/>
        <item x="2098"/>
        <item x="3897"/>
        <item x="3161"/>
        <item x="2128"/>
        <item x="3198"/>
        <item x="4202"/>
        <item x="3363"/>
        <item x="4370"/>
        <item x="2686"/>
        <item x="2761"/>
        <item x="3509"/>
        <item x="4867"/>
        <item x="4913"/>
        <item x="1335"/>
        <item x="3874"/>
        <item x="1195"/>
        <item x="4048"/>
        <item x="4390"/>
        <item x="392"/>
        <item x="1017"/>
        <item x="3704"/>
        <item x="4622"/>
        <item x="3883"/>
        <item x="4627"/>
        <item x="3032"/>
        <item x="1090"/>
        <item x="1010"/>
        <item x="4859"/>
        <item x="1008"/>
        <item x="1029"/>
        <item x="4447"/>
        <item x="4056"/>
        <item x="577"/>
        <item x="2819"/>
        <item x="734"/>
        <item x="1374"/>
        <item x="3885"/>
        <item x="2788"/>
        <item x="885"/>
        <item x="3158"/>
        <item x="4369"/>
        <item x="3333"/>
        <item x="4539"/>
        <item x="1483"/>
        <item x="815"/>
        <item x="3296"/>
        <item x="2451"/>
        <item x="69"/>
        <item x="2094"/>
        <item x="2476"/>
        <item x="3881"/>
        <item x="4163"/>
        <item x="2085"/>
        <item x="1601"/>
        <item x="3048"/>
        <item x="3171"/>
        <item x="1154"/>
        <item x="805"/>
        <item x="2959"/>
        <item x="1991"/>
        <item x="2825"/>
        <item x="962"/>
        <item x="1468"/>
        <item x="3954"/>
        <item x="582"/>
        <item x="1141"/>
        <item x="4647"/>
        <item x="3297"/>
        <item x="4433"/>
        <item x="2096"/>
        <item x="2567"/>
        <item x="3210"/>
        <item x="2372"/>
        <item x="4239"/>
        <item x="1560"/>
        <item x="929"/>
        <item x="98"/>
        <item x="612"/>
        <item x="1369"/>
        <item x="3985"/>
        <item x="2260"/>
        <item x="2745"/>
        <item x="3586"/>
        <item x="4695"/>
        <item x="2160"/>
        <item x="4426"/>
        <item x="4252"/>
        <item x="616"/>
        <item x="3589"/>
        <item x="4223"/>
        <item x="4168"/>
        <item x="175"/>
        <item x="4250"/>
        <item x="3127"/>
        <item x="3746"/>
        <item x="219"/>
        <item x="3906"/>
        <item x="3773"/>
        <item x="319"/>
        <item x="4749"/>
        <item x="1196"/>
        <item x="1780"/>
        <item x="1164"/>
        <item x="3456"/>
        <item x="1738"/>
        <item x="784"/>
        <item x="2556"/>
        <item x="4656"/>
        <item x="1457"/>
        <item x="4742"/>
        <item x="1902"/>
        <item x="3627"/>
        <item x="950"/>
        <item x="4660"/>
        <item x="914"/>
        <item x="4398"/>
        <item x="1757"/>
        <item x="1722"/>
        <item x="2795"/>
        <item x="4104"/>
        <item x="692"/>
        <item x="4325"/>
        <item x="526"/>
        <item x="4262"/>
        <item x="4215"/>
        <item x="1379"/>
        <item x="2049"/>
        <item x="3784"/>
        <item x="2281"/>
        <item x="3025"/>
        <item x="4633"/>
        <item x="2688"/>
        <item x="3146"/>
        <item x="650"/>
        <item x="3312"/>
        <item x="1526"/>
        <item x="1527"/>
        <item x="2065"/>
        <item x="2493"/>
        <item x="731"/>
        <item x="3060"/>
        <item x="2948"/>
        <item x="2266"/>
        <item x="3738"/>
        <item x="3340"/>
        <item x="4896"/>
        <item x="1557"/>
        <item x="4827"/>
        <item x="3107"/>
        <item x="1398"/>
        <item x="4724"/>
        <item x="2038"/>
        <item x="86"/>
        <item x="1923"/>
        <item x="2472"/>
        <item x="3475"/>
        <item x="184"/>
        <item x="1535"/>
        <item x="163"/>
        <item x="2061"/>
        <item x="557"/>
        <item x="2327"/>
        <item x="4074"/>
        <item x="1934"/>
        <item x="4350"/>
        <item x="4470"/>
        <item x="4394"/>
        <item x="2689"/>
        <item x="91"/>
        <item x="1201"/>
        <item x="2553"/>
        <item x="1545"/>
        <item x="4620"/>
        <item x="3526"/>
        <item x="953"/>
        <item x="2193"/>
        <item x="525"/>
        <item x="344"/>
        <item x="2727"/>
        <item x="2698"/>
        <item x="2919"/>
        <item x="3634"/>
        <item x="1276"/>
        <item x="4685"/>
        <item x="3041"/>
        <item x="3017"/>
        <item x="2115"/>
        <item x="1514"/>
        <item x="2835"/>
        <item x="1257"/>
        <item x="1275"/>
        <item x="3116"/>
        <item x="2642"/>
        <item x="115"/>
        <item x="1373"/>
        <item x="2306"/>
        <item x="714"/>
        <item x="591"/>
        <item x="1416"/>
        <item x="943"/>
        <item x="303"/>
        <item x="96"/>
        <item x="4375"/>
        <item x="61"/>
        <item x="71"/>
        <item x="494"/>
        <item x="3741"/>
        <item x="150"/>
        <item x="3479"/>
        <item x="3726"/>
        <item x="1755"/>
        <item x="905"/>
        <item x="1300"/>
        <item x="2341"/>
        <item x="68"/>
        <item x="38"/>
        <item x="2885"/>
        <item x="1020"/>
        <item x="946"/>
        <item x="4636"/>
        <item x="1827"/>
        <item x="1980"/>
        <item x="4884"/>
        <item x="4149"/>
        <item x="4630"/>
        <item x="4153"/>
        <item x="2010"/>
        <item x="2804"/>
        <item x="2821"/>
        <item x="3027"/>
        <item x="3148"/>
        <item x="3274"/>
        <item x="3533"/>
        <item x="1645"/>
        <item x="4451"/>
        <item x="3390"/>
        <item x="4679"/>
        <item x="1844"/>
        <item x="606"/>
        <item x="1092"/>
        <item x="2508"/>
        <item x="1628"/>
        <item x="4399"/>
        <item x="605"/>
        <item x="2566"/>
        <item x="896"/>
        <item x="3522"/>
        <item x="3079"/>
        <item x="1317"/>
        <item x="3962"/>
        <item x="3641"/>
        <item x="3938"/>
        <item x="4374"/>
        <item x="363"/>
        <item x="23"/>
        <item x="631"/>
        <item x="4797"/>
        <item x="449"/>
        <item x="4788"/>
        <item x="3307"/>
        <item x="2912"/>
        <item x="654"/>
        <item x="4486"/>
        <item x="1954"/>
        <item x="3137"/>
        <item x="743"/>
        <item x="2574"/>
        <item x="1434"/>
        <item x="1668"/>
        <item x="2853"/>
        <item x="4535"/>
        <item x="1781"/>
        <item x="626"/>
        <item x="2462"/>
        <item x="817"/>
        <item x="3477"/>
        <item x="2086"/>
        <item x="4124"/>
        <item x="4702"/>
        <item x="3498"/>
        <item x="2533"/>
        <item x="4460"/>
        <item x="1255"/>
        <item x="2690"/>
        <item x="2233"/>
        <item x="864"/>
        <item x="2166"/>
        <item x="3838"/>
        <item x="1692"/>
        <item x="4049"/>
        <item x="4718"/>
        <item x="2513"/>
        <item x="3463"/>
        <item x="528"/>
        <item x="2062"/>
        <item x="2444"/>
        <item x="2282"/>
        <item x="1637"/>
        <item x="1139"/>
        <item x="237"/>
        <item x="1764"/>
        <item x="3975"/>
        <item x="1554"/>
        <item x="3020"/>
        <item x="4545"/>
        <item x="3420"/>
        <item x="1065"/>
        <item x="3272"/>
        <item x="2783"/>
        <item x="3347"/>
        <item x="3349"/>
        <item x="2836"/>
        <item x="1045"/>
        <item x="473"/>
        <item x="957"/>
        <item x="3101"/>
        <item x="151"/>
        <item x="2933"/>
        <item x="2419"/>
        <item x="2430"/>
        <item x="1565"/>
        <item x="1864"/>
        <item x="4037"/>
        <item x="4854"/>
        <item x="4900"/>
        <item x="4520"/>
        <item x="1216"/>
        <item x="1566"/>
        <item x="2870"/>
        <item x="1350"/>
        <item x="4581"/>
        <item x="3289"/>
        <item x="4641"/>
        <item x="2481"/>
        <item x="1376"/>
        <item x="4071"/>
        <item x="558"/>
        <item x="810"/>
        <item x="3008"/>
        <item x="3764"/>
        <item x="841"/>
        <item x="2464"/>
        <item x="651"/>
        <item x="2896"/>
        <item x="146"/>
        <item x="2256"/>
        <item x="2672"/>
        <item x="4259"/>
        <item x="3085"/>
        <item x="3344"/>
        <item x="3539"/>
        <item x="427"/>
        <item x="239"/>
        <item x="1900"/>
        <item x="2543"/>
        <item x="3343"/>
        <item x="1477"/>
        <item x="1367"/>
        <item x="4853"/>
        <item x="2630"/>
        <item x="1403"/>
        <item x="2886"/>
        <item x="693"/>
        <item x="288"/>
        <item x="800"/>
        <item x="799"/>
        <item x="4065"/>
        <item x="144"/>
        <item x="2239"/>
        <item x="4297"/>
        <item x="4017"/>
        <item x="4708"/>
        <item x="1933"/>
        <item x="4059"/>
        <item x="2104"/>
        <item x="2770"/>
        <item x="3622"/>
        <item x="1712"/>
        <item x="2162"/>
        <item x="2027"/>
        <item x="243"/>
        <item x="875"/>
        <item x="1895"/>
        <item x="538"/>
        <item x="1251"/>
        <item x="3176"/>
        <item x="2231"/>
        <item x="2167"/>
        <item x="3614"/>
        <item x="4897"/>
        <item x="429"/>
        <item x="1907"/>
        <item x="4359"/>
        <item x="705"/>
        <item x="1838"/>
        <item x="830"/>
        <item x="1018"/>
        <item x="339"/>
        <item x="4669"/>
        <item x="1631"/>
        <item x="3647"/>
        <item x="136"/>
        <item x="902"/>
        <item x="2304"/>
        <item x="3345"/>
        <item x="3189"/>
        <item x="3365"/>
        <item x="2353"/>
        <item x="1327"/>
        <item x="4892"/>
        <item x="1854"/>
        <item x="3732"/>
        <item x="780"/>
        <item x="4635"/>
        <item x="213"/>
        <item x="2837"/>
        <item x="786"/>
        <item x="4523"/>
        <item x="722"/>
        <item x="2957"/>
        <item x="2004"/>
        <item x="2706"/>
        <item x="458"/>
        <item x="323"/>
        <item x="3547"/>
        <item x="359"/>
        <item x="3675"/>
        <item x="4812"/>
        <item x="3309"/>
        <item x="3493"/>
        <item x="4344"/>
        <item x="1212"/>
        <item x="4388"/>
        <item x="2637"/>
        <item x="2987"/>
        <item x="4308"/>
        <item x="3044"/>
        <item x="155"/>
        <item x="1235"/>
        <item x="3666"/>
        <item x="2568"/>
        <item x="2703"/>
        <item x="1490"/>
        <item x="48"/>
        <item x="3096"/>
        <item x="2711"/>
        <item x="223"/>
        <item x="754"/>
        <item x="1288"/>
        <item x="1926"/>
        <item x="4557"/>
        <item x="4623"/>
        <item x="3621"/>
        <item x="4051"/>
        <item x="2683"/>
        <item x="3403"/>
        <item x="844"/>
        <item x="1455"/>
        <item x="1918"/>
        <item x="1754"/>
        <item x="1103"/>
        <item x="2549"/>
        <item x="3751"/>
        <item x="1176"/>
        <item x="2603"/>
        <item x="4901"/>
        <item x="2942"/>
        <item x="3287"/>
        <item x="1375"/>
        <item x="2442"/>
        <item x="3591"/>
        <item x="3849"/>
        <item x="2377"/>
        <item x="751"/>
        <item x="1151"/>
        <item x="4283"/>
        <item x="4594"/>
        <item x="1365"/>
        <item x="1016"/>
        <item x="2758"/>
        <item x="4353"/>
        <item x="738"/>
        <item x="1555"/>
        <item x="4423"/>
        <item x="1903"/>
        <item x="1687"/>
        <item x="4002"/>
        <item x="2565"/>
        <item x="3104"/>
        <item x="563"/>
        <item x="3285"/>
        <item x="2663"/>
        <item x="3681"/>
        <item x="535"/>
        <item x="4498"/>
        <item x="3253"/>
        <item x="944"/>
        <item x="520"/>
        <item x="3241"/>
        <item x="4341"/>
        <item x="3913"/>
        <item x="3421"/>
        <item x="1060"/>
        <item x="3960"/>
        <item x="1533"/>
        <item x="1349"/>
        <item x="2328"/>
        <item x="2748"/>
        <item x="3369"/>
        <item x="3590"/>
        <item x="744"/>
        <item x="4466"/>
        <item x="2254"/>
        <item x="1553"/>
        <item x="4728"/>
        <item x="1891"/>
        <item x="2742"/>
        <item x="956"/>
        <item x="3840"/>
        <item x="177"/>
        <item x="2165"/>
        <item x="212"/>
        <item x="4832"/>
        <item x="4178"/>
        <item x="2640"/>
        <item x="3843"/>
        <item x="874"/>
        <item x="3585"/>
        <item x="2728"/>
        <item x="1763"/>
        <item x="4035"/>
        <item x="667"/>
        <item x="600"/>
        <item x="658"/>
        <item x="1449"/>
        <item x="3930"/>
        <item x="1700"/>
        <item x="3424"/>
        <item x="4826"/>
        <item x="4227"/>
        <item x="4176"/>
        <item x="1779"/>
        <item x="831"/>
        <item x="3383"/>
        <item x="2901"/>
        <item x="4767"/>
        <item x="3816"/>
        <item x="2751"/>
        <item x="580"/>
        <item x="1074"/>
        <item x="399"/>
        <item x="64"/>
        <item x="2547"/>
        <item x="3957"/>
        <item x="2454"/>
        <item x="1909"/>
        <item x="1273"/>
        <item x="3279"/>
        <item x="756"/>
        <item x="2564"/>
        <item x="839"/>
        <item x="3573"/>
        <item x="1152"/>
        <item x="1916"/>
        <item x="3869"/>
        <item x="2592"/>
        <item x="422"/>
        <item x="3903"/>
        <item x="3716"/>
        <item x="3467"/>
        <item x="2908"/>
        <item x="4047"/>
        <item x="2831"/>
        <item x="1747"/>
        <item x="1464"/>
        <item x="3995"/>
        <item x="101"/>
        <item x="3007"/>
        <item x="4377"/>
        <item x="2774"/>
        <item x="3361"/>
        <item x="4347"/>
        <item x="4016"/>
        <item x="3401"/>
        <item x="1359"/>
        <item x="2410"/>
        <item x="1579"/>
        <item x="2106"/>
        <item x="4392"/>
        <item x="456"/>
        <item x="420"/>
        <item x="2335"/>
        <item x="4839"/>
        <item x="4266"/>
        <item x="887"/>
        <item x="4598"/>
        <item x="4689"/>
        <item x="443"/>
        <item x="3560"/>
        <item x="3398"/>
        <item x="1688"/>
        <item x="2375"/>
        <item x="325"/>
        <item x="4189"/>
        <item x="2832"/>
        <item x="3702"/>
        <item x="129"/>
        <item x="2189"/>
        <item x="4286"/>
        <item x="1401"/>
        <item x="1445"/>
        <item x="4193"/>
        <item x="3240"/>
        <item x="1167"/>
        <item x="88"/>
        <item x="2544"/>
        <item x="3354"/>
        <item x="3492"/>
        <item x="1431"/>
        <item x="1193"/>
        <item x="2057"/>
        <item x="4319"/>
        <item x="4201"/>
        <item x="1144"/>
        <item x="4371"/>
        <item x="3657"/>
        <item x="2555"/>
        <item x="747"/>
        <item x="3076"/>
        <item x="3282"/>
        <item x="3225"/>
        <item x="4530"/>
        <item x="1678"/>
        <item x="4653"/>
        <item x="2198"/>
        <item x="1860"/>
        <item x="2872"/>
        <item x="228"/>
        <item x="627"/>
        <item x="1390"/>
        <item x="113"/>
        <item x="2484"/>
        <item x="1465"/>
        <item x="3083"/>
        <item x="3937"/>
        <item x="2367"/>
        <item x="735"/>
        <item x="2554"/>
        <item x="2241"/>
        <item x="2815"/>
        <item x="713"/>
        <item x="1629"/>
        <item x="3752"/>
        <item x="1404"/>
        <item x="3619"/>
        <item x="1422"/>
        <item x="2794"/>
        <item x="3206"/>
        <item x="4597"/>
        <item x="701"/>
        <item x="3483"/>
        <item x="1068"/>
        <item x="6"/>
        <item x="40"/>
        <item x="317"/>
        <item x="4230"/>
        <item x="812"/>
        <item x="3243"/>
        <item x="4072"/>
        <item x="222"/>
        <item x="4681"/>
        <item x="4257"/>
        <item x="3062"/>
        <item x="3462"/>
        <item x="3683"/>
        <item x="2881"/>
        <item x="1647"/>
        <item x="1279"/>
        <item x="688"/>
        <item x="2194"/>
        <item x="106"/>
        <item x="1811"/>
        <item x="2288"/>
        <item x="2840"/>
        <item x="186"/>
        <item x="1630"/>
        <item x="3630"/>
        <item x="1748"/>
        <item x="3747"/>
        <item x="1892"/>
        <item x="1368"/>
        <item x="3894"/>
        <item x="44"/>
        <item x="2548"/>
        <item x="1140"/>
        <item x="178"/>
        <item x="3430"/>
        <item x="4687"/>
        <item x="1066"/>
        <item x="1543"/>
        <item x="210"/>
        <item x="191"/>
        <item x="3103"/>
        <item x="593"/>
        <item x="4793"/>
        <item x="126"/>
        <item x="4113"/>
        <item x="2230"/>
        <item x="2088"/>
        <item x="4151"/>
        <item x="2861"/>
        <item x="1015"/>
        <item x="3269"/>
        <item x="4115"/>
        <item x="2250"/>
        <item x="523"/>
        <item x="2018"/>
        <item x="511"/>
        <item x="1737"/>
        <item x="4643"/>
        <item x="1711"/>
        <item x="306"/>
        <item x="1100"/>
        <item x="620"/>
        <item x="4328"/>
        <item x="3782"/>
        <item x="2697"/>
        <item x="1782"/>
        <item x="299"/>
        <item x="1776"/>
        <item x="4661"/>
        <item x="2997"/>
        <item x="1751"/>
        <item x="1331"/>
        <item x="3542"/>
        <item x="2132"/>
        <item x="298"/>
        <item x="2852"/>
        <item x="2526"/>
        <item x="4247"/>
        <item x="4414"/>
        <item x="3617"/>
        <item x="2284"/>
        <item x="3642"/>
        <item x="4471"/>
        <item x="3014"/>
        <item x="3743"/>
        <item x="3759"/>
        <item x="4753"/>
        <item x="1270"/>
        <item x="4383"/>
        <item x="3278"/>
        <item x="2437"/>
        <item x="1385"/>
        <item x="4847"/>
        <item x="2882"/>
        <item x="2867"/>
        <item x="4165"/>
        <item x="3140"/>
        <item x="628"/>
        <item x="966"/>
        <item x="2929"/>
        <item x="607"/>
        <item x="884"/>
        <item x="2025"/>
        <item x="888"/>
        <item x="2182"/>
        <item x="379"/>
        <item x="3422"/>
        <item x="4774"/>
        <item x="1265"/>
        <item x="336"/>
        <item x="1612"/>
        <item x="410"/>
        <item x="3669"/>
        <item x="2352"/>
        <item x="1131"/>
        <item x="3551"/>
        <item x="3892"/>
        <item x="1129"/>
        <item x="3696"/>
        <item x="3616"/>
        <item x="2273"/>
        <item x="1409"/>
        <item x="1130"/>
        <item x="4118"/>
        <item x="52"/>
        <item x="1760"/>
        <item x="4551"/>
        <item x="3332"/>
        <item x="2921"/>
        <item x="2287"/>
        <item x="1879"/>
        <item x="3348"/>
        <item x="1530"/>
        <item x="4821"/>
        <item x="2460"/>
        <item x="3645"/>
        <item x="4870"/>
        <item x="1578"/>
        <item x="4291"/>
        <item x="1290"/>
        <item x="2450"/>
        <item x="1242"/>
        <item x="1466"/>
        <item x="3941"/>
        <item x="2817"/>
        <item x="110"/>
        <item x="1024"/>
        <item x="537"/>
        <item x="3092"/>
        <item x="2657"/>
        <item x="3414"/>
        <item x="4273"/>
        <item x="2294"/>
        <item x="188"/>
        <item x="4668"/>
        <item x="652"/>
        <item x="3600"/>
        <item x="384"/>
        <item x="141"/>
        <item x="2148"/>
        <item x="4376"/>
        <item x="3451"/>
        <item x="813"/>
        <item x="2631"/>
        <item x="2246"/>
        <item x="1898"/>
        <item x="3890"/>
        <item x="4810"/>
        <item x="2247"/>
        <item x="360"/>
        <item x="1054"/>
        <item x="2181"/>
        <item x="1187"/>
        <item x="2518"/>
        <item x="4861"/>
        <item x="1256"/>
        <item x="755"/>
        <item x="2066"/>
        <item x="3200"/>
        <item x="858"/>
        <item x="4697"/>
        <item x="4161"/>
        <item x="3555"/>
        <item x="3373"/>
        <item x="1718"/>
        <item x="2314"/>
        <item x="4612"/>
        <item x="271"/>
        <item x="428"/>
        <item x="3963"/>
        <item x="3052"/>
        <item x="3386"/>
        <item x="3118"/>
        <item x="357"/>
        <item x="1085"/>
        <item x="4692"/>
        <item x="3164"/>
        <item x="4604"/>
        <item x="4117"/>
        <item x="2787"/>
        <item x="1857"/>
        <item x="2522"/>
        <item x="3924"/>
        <item x="2457"/>
        <item x="240"/>
        <item x="1960"/>
        <item x="1985"/>
        <item x="4207"/>
        <item x="1536"/>
        <item x="1135"/>
        <item x="2016"/>
        <item x="3901"/>
        <item x="3115"/>
        <item x="4464"/>
        <item x="1862"/>
        <item x="4670"/>
        <item x="2299"/>
        <item x="508"/>
        <item x="367"/>
        <item x="3427"/>
        <item x="1611"/>
        <item x="2385"/>
        <item x="1752"/>
        <item x="545"/>
        <item x="1501"/>
        <item x="4332"/>
        <item x="3835"/>
        <item x="3331"/>
        <item x="173"/>
        <item x="2911"/>
        <item x="157"/>
        <item x="4439"/>
        <item x="2300"/>
        <item x="2398"/>
        <item x="4699"/>
        <item x="2932"/>
        <item x="2878"/>
        <item x="79"/>
        <item x="1493"/>
        <item x="4018"/>
        <item x="3355"/>
        <item x="2342"/>
        <item x="2126"/>
        <item x="2391"/>
        <item x="1868"/>
        <item x="4646"/>
        <item x="2509"/>
        <item x="4391"/>
        <item x="2660"/>
        <item x="2380"/>
        <item x="3608"/>
        <item x="4140"/>
        <item x="125"/>
        <item x="182"/>
        <item x="881"/>
        <item x="4157"/>
        <item x="3723"/>
        <item x="4765"/>
        <item x="1614"/>
        <item x="504"/>
        <item x="670"/>
        <item x="158"/>
        <item x="4000"/>
        <item x="1859"/>
        <item x="2810"/>
        <item x="2993"/>
        <item x="1984"/>
        <item x="1798"/>
        <item x="509"/>
        <item x="2364"/>
        <item x="388"/>
        <item x="3162"/>
        <item x="2080"/>
        <item x="2620"/>
        <item x="480"/>
        <item x="60"/>
        <item x="4379"/>
        <item x="3270"/>
        <item x="3557"/>
        <item x="724"/>
        <item x="408"/>
        <item x="893"/>
        <item x="218"/>
        <item x="3208"/>
        <item x="4508"/>
        <item x="3435"/>
        <item x="1639"/>
        <item x="2871"/>
        <item x="3689"/>
        <item x="4198"/>
        <item x="3447"/>
        <item x="2699"/>
        <item x="4454"/>
        <item x="204"/>
        <item x="463"/>
        <item x="2855"/>
        <item x="4295"/>
        <item x="4150"/>
        <item x="3418"/>
        <item x="3324"/>
        <item x="3259"/>
        <item x="3720"/>
        <item x="4238"/>
        <item x="1650"/>
        <item x="3939"/>
        <item x="4175"/>
        <item x="4228"/>
        <item x="513"/>
        <item x="3556"/>
        <item x="773"/>
        <item x="1869"/>
        <item x="2634"/>
        <item x="4846"/>
        <item x="4558"/>
        <item x="4122"/>
        <item x="2047"/>
        <item x="27"/>
        <item x="3947"/>
        <item x="3973"/>
        <item x="849"/>
        <item x="1690"/>
        <item x="1169"/>
        <item x="3003"/>
        <item x="1890"/>
        <item x="1622"/>
        <item x="4156"/>
        <item x="3232"/>
        <item x="1785"/>
        <item x="2185"/>
        <item x="758"/>
        <item x="3873"/>
        <item x="4680"/>
        <item x="2724"/>
        <item x="1924"/>
        <item x="3888"/>
        <item x="901"/>
        <item x="707"/>
        <item x="3325"/>
        <item x="221"/>
        <item x="3362"/>
        <item x="3188"/>
        <item x="1062"/>
        <item x="690"/>
        <item x="2075"/>
        <item x="3867"/>
        <item x="565"/>
        <item x="1698"/>
        <item x="622"/>
        <item x="407"/>
        <item x="2041"/>
        <item x="3727"/>
        <item x="4848"/>
        <item x="742"/>
        <item x="2077"/>
        <item x="572"/>
        <item x="3971"/>
        <item x="2420"/>
        <item x="3611"/>
        <item x="506"/>
        <item x="3169"/>
        <item x="997"/>
        <item x="2195"/>
        <item x="808"/>
        <item x="4903"/>
        <item x="3774"/>
        <item x="2251"/>
        <item x="4673"/>
        <item x="1665"/>
        <item x="2208"/>
        <item x="1978"/>
        <item x="1925"/>
        <item x="2524"/>
        <item x="2180"/>
        <item x="385"/>
        <item x="476"/>
        <item x="4820"/>
        <item x="2945"/>
        <item x="1314"/>
        <item x="2123"/>
        <item x="3679"/>
        <item x="2971"/>
        <item x="459"/>
        <item x="4158"/>
        <item x="3943"/>
        <item x="1438"/>
        <item x="3055"/>
        <item x="2360"/>
        <item x="1047"/>
        <item x="1788"/>
        <item x="82"/>
        <item x="4434"/>
        <item x="259"/>
        <item x="4482"/>
        <item x="4891"/>
        <item x="2702"/>
        <item x="1802"/>
        <item x="729"/>
        <item x="2448"/>
        <item x="3125"/>
        <item x="2220"/>
        <item x="3834"/>
        <item x="2425"/>
        <item x="1180"/>
        <item x="1652"/>
        <item x="762"/>
        <item x="123"/>
        <item x="1843"/>
        <item x="2486"/>
        <item x="39"/>
        <item x="3854"/>
        <item x="1450"/>
        <item x="2625"/>
        <item x="2473"/>
        <item x="2253"/>
        <item x="4550"/>
        <item x="1328"/>
        <item x="4079"/>
        <item x="1828"/>
        <item x="438"/>
        <item x="553"/>
        <item x="2611"/>
        <item x="393"/>
        <item x="3405"/>
        <item x="3972"/>
        <item x="1293"/>
        <item x="4224"/>
        <item x="2643"/>
        <item x="1964"/>
        <item x="1772"/>
        <item x="4917"/>
        <item x="586"/>
        <item x="1426"/>
        <item x="3649"/>
        <item x="1546"/>
        <item x="1497"/>
        <item x="4902"/>
        <item x="3919"/>
        <item x="1666"/>
        <item x="3548"/>
        <item x="430"/>
        <item x="4785"/>
        <item x="3408"/>
        <item x="835"/>
        <item x="1961"/>
        <item x="4840"/>
        <item x="2520"/>
        <item x="3251"/>
        <item x="684"/>
        <item x="4874"/>
        <item x="4103"/>
        <item x="514"/>
        <item x="1067"/>
        <item x="1055"/>
        <item x="1472"/>
        <item x="1705"/>
        <item x="3872"/>
        <item x="3855"/>
        <item x="1361"/>
        <item x="4875"/>
        <item x="779"/>
        <item x="2171"/>
        <item x="4921"/>
        <item x="50"/>
        <item x="3664"/>
        <item x="3770"/>
        <item x="533"/>
        <item x="3655"/>
        <item x="3238"/>
        <item x="3128"/>
        <item x="405"/>
        <item x="2490"/>
        <item x="555"/>
        <item x="4791"/>
        <item x="1636"/>
        <item x="4863"/>
        <item x="1922"/>
        <item x="3342"/>
        <item x="2102"/>
        <item x="421"/>
        <item x="804"/>
        <item x="763"/>
        <item x="3155"/>
        <item x="2035"/>
        <item x="1188"/>
        <item x="1"/>
        <item x="3105"/>
        <item x="3910"/>
        <item x="761"/>
        <item x="2909"/>
        <item x="1120"/>
        <item x="3729"/>
        <item x="286"/>
        <item x="2415"/>
        <item x="2271"/>
        <item x="2137"/>
        <item x="2130"/>
        <item x="976"/>
        <item x="3372"/>
        <item x="666"/>
        <item x="2505"/>
        <item x="490"/>
        <item x="3808"/>
        <item x="4898"/>
        <item x="3136"/>
        <item x="1089"/>
        <item x="3170"/>
        <item x="1767"/>
        <item x="873"/>
        <item x="2206"/>
        <item x="1326"/>
        <item x="542"/>
        <item x="3117"/>
        <item x="4422"/>
        <item x="3631"/>
        <item x="4893"/>
        <item x="1950"/>
        <item x="3571"/>
        <item x="4639"/>
        <item x="2465"/>
        <item x="4242"/>
        <item x="1262"/>
        <item x="1744"/>
        <item x="3220"/>
        <item x="489"/>
        <item x="3777"/>
        <item x="635"/>
        <item x="4208"/>
        <item x="3178"/>
        <item x="238"/>
        <item x="4828"/>
        <item x="3691"/>
        <item x="235"/>
        <item x="502"/>
        <item x="4529"/>
        <item x="911"/>
        <item x="4703"/>
        <item x="3785"/>
        <item x="174"/>
        <item x="2793"/>
        <item x="3778"/>
        <item x="2272"/>
        <item x="4080"/>
        <item x="2461"/>
        <item x="1970"/>
        <item x="657"/>
        <item x="4030"/>
        <item x="596"/>
        <item x="1634"/>
        <item x="3464"/>
        <item x="1616"/>
        <item x="948"/>
        <item x="1043"/>
        <item x="4183"/>
        <item x="31"/>
        <item x="2129"/>
        <item x="4578"/>
        <item x="4015"/>
        <item x="1728"/>
        <item x="1589"/>
        <item x="726"/>
        <item x="1638"/>
        <item x="4796"/>
        <item x="1304"/>
        <item x="137"/>
        <item x="2649"/>
        <item x="3668"/>
        <item x="3341"/>
        <item x="3577"/>
        <item x="2365"/>
        <item x="3581"/>
        <item x="4254"/>
        <item x="4576"/>
        <item x="215"/>
        <item x="354"/>
        <item x="677"/>
        <item x="760"/>
        <item x="2399"/>
        <item x="4761"/>
        <item x="4582"/>
        <item x="3877"/>
        <item x="372"/>
        <item x="2338"/>
        <item x="3294"/>
        <item x="4204"/>
        <item x="1137"/>
        <item x="1836"/>
        <item x="1930"/>
        <item x="1769"/>
        <item x="3646"/>
        <item x="2223"/>
        <item x="2874"/>
        <item x="1042"/>
        <item x="1499"/>
        <item x="2744"/>
        <item x="1246"/>
        <item x="664"/>
        <item x="560"/>
        <item x="2362"/>
        <item x="4"/>
        <item x="1158"/>
        <item x="2063"/>
        <item x="4705"/>
        <item x="4549"/>
        <item x="4446"/>
        <item x="2308"/>
        <item x="419"/>
        <item x="1338"/>
        <item x="365"/>
        <item x="3281"/>
        <item x="4754"/>
        <item x="395"/>
        <item x="4489"/>
        <item x="95"/>
        <item x="1962"/>
        <item x="4050"/>
        <item x="24"/>
        <item x="3541"/>
        <item x="2264"/>
        <item x="2791"/>
        <item x="954"/>
        <item x="2627"/>
        <item x="214"/>
        <item x="3329"/>
        <item x="1105"/>
        <item x="2656"/>
        <item x="1019"/>
        <item x="2405"/>
        <item x="589"/>
        <item x="3316"/>
        <item x="2529"/>
        <item x="686"/>
        <item x="3893"/>
        <item x="4555"/>
        <item x="4918"/>
        <item x="2156"/>
        <item x="2563"/>
        <item x="1299"/>
        <item x="166"/>
        <item x="406"/>
        <item x="1462"/>
        <item x="400"/>
        <item x="4562"/>
        <item x="3707"/>
        <item x="4362"/>
        <item x="3234"/>
        <item x="559"/>
        <item x="2976"/>
        <item x="4904"/>
        <item x="2856"/>
        <item x="562"/>
        <item x="3964"/>
        <item x="3661"/>
        <item x="1915"/>
        <item x="2187"/>
        <item x="1810"/>
        <item x="263"/>
        <item x="497"/>
        <item x="3029"/>
        <item x="4126"/>
        <item x="2145"/>
        <item x="3123"/>
        <item x="3397"/>
        <item x="4425"/>
        <item x="4052"/>
        <item x="4642"/>
        <item x="310"/>
        <item x="2838"/>
        <item x="3693"/>
        <item x="426"/>
        <item x="3495"/>
        <item x="352"/>
        <item x="4125"/>
        <item x="3966"/>
        <item x="4401"/>
        <item x="4638"/>
        <item x="4864"/>
        <item x="1928"/>
        <item x="1623"/>
        <item x="2382"/>
        <item x="478"/>
        <item x="1334"/>
        <item x="2714"/>
        <item x="2635"/>
        <item x="84"/>
        <item x="3078"/>
        <item x="2258"/>
        <item x="1617"/>
        <item x="4603"/>
        <item x="4682"/>
        <item x="1853"/>
        <item x="3739"/>
        <item x="1346"/>
        <item x="4783"/>
        <item x="4385"/>
        <item x="1957"/>
        <item x="3135"/>
        <item x="1148"/>
        <item x="1953"/>
        <item x="971"/>
        <item x="1605"/>
        <item x="1676"/>
        <item x="2949"/>
        <item x="3304"/>
        <item x="3090"/>
        <item x="4916"/>
        <item x="3767"/>
        <item x="4343"/>
        <item x="2550"/>
        <item x="2354"/>
        <item x="390"/>
        <item x="3024"/>
        <item x="3100"/>
        <item x="619"/>
        <item x="4554"/>
        <item x="3749"/>
        <item x="2841"/>
        <item x="1348"/>
        <item x="3283"/>
        <item x="1714"/>
        <item x="787"/>
        <item x="4751"/>
        <item x="4862"/>
        <item x="1308"/>
        <item x="3912"/>
        <item x="3977"/>
        <item x="4782"/>
        <item x="3780"/>
        <item x="2370"/>
        <item x="2161"/>
        <item x="13"/>
        <item x="521"/>
        <item x="991"/>
        <item x="3653"/>
        <item x="1241"/>
        <item x="4006"/>
        <item x="199"/>
        <item x="1274"/>
        <item x="2720"/>
        <item x="4747"/>
        <item x="2446"/>
        <item x="2347"/>
        <item x="320"/>
        <item x="4060"/>
        <item x="621"/>
        <item x="2200"/>
        <item x="3537"/>
        <item x="2263"/>
        <item x="3202"/>
        <item x="3583"/>
        <item x="1408"/>
        <item x="1528"/>
        <item x="3981"/>
        <item x="639"/>
        <item x="727"/>
        <item x="3213"/>
        <item x="1307"/>
        <item x="2202"/>
        <item x="1981"/>
        <item x="4713"/>
        <item x="1556"/>
        <item x="4568"/>
        <item x="3538"/>
        <item x="1377"/>
        <item x="1333"/>
        <item x="3787"/>
        <item x="2140"/>
        <item x="425"/>
        <item x="866"/>
        <item x="25"/>
        <item x="2428"/>
        <item x="4067"/>
        <item x="3056"/>
        <item x="1162"/>
        <item x="4087"/>
        <item x="578"/>
        <item x="2523"/>
        <item x="711"/>
        <item x="3261"/>
        <item x="3862"/>
        <item x="2349"/>
        <item x="2082"/>
        <item x="2032"/>
        <item x="2458"/>
        <item x="2844"/>
        <item x="2459"/>
        <item x="3371"/>
        <item x="1476"/>
        <item x="3360"/>
        <item x="4429"/>
        <item x="161"/>
        <item x="284"/>
        <item x="3687"/>
        <item x="1096"/>
        <item x="964"/>
        <item x="2043"/>
        <item x="2792"/>
        <item x="4546"/>
        <item x="2343"/>
        <item x="3944"/>
        <item x="2924"/>
        <item x="4566"/>
        <item x="1771"/>
        <item x="66"/>
        <item x="4750"/>
        <item x="3686"/>
        <item x="99"/>
        <item x="4769"/>
        <item x="378"/>
        <item x="1128"/>
        <item x="2876"/>
        <item x="4137"/>
        <item x="3302"/>
        <item x="3484"/>
        <item x="4720"/>
        <item x="2762"/>
        <item x="2204"/>
        <item x="4105"/>
        <item x="1239"/>
        <item x="853"/>
        <item x="2393"/>
        <item x="30"/>
        <item x="1108"/>
        <item x="4807"/>
        <item x="330"/>
        <item x="2475"/>
        <item x="4237"/>
        <item x="1887"/>
        <item x="3740"/>
        <item x="276"/>
        <item x="4511"/>
        <item x="2721"/>
        <item x="2177"/>
        <item x="4579"/>
        <item x="266"/>
        <item x="4041"/>
        <item x="232"/>
        <item x="3126"/>
        <item x="211"/>
        <item x="2615"/>
        <item x="3566"/>
        <item x="1716"/>
        <item x="2710"/>
        <item x="1846"/>
        <item x="3502"/>
        <item x="2571"/>
        <item x="3580"/>
        <item x="2192"/>
        <item x="1609"/>
        <item x="2368"/>
        <item x="1036"/>
        <item x="3524"/>
        <item x="3959"/>
        <item x="4181"/>
        <item x="1989"/>
        <item x="376"/>
        <item x="1097"/>
        <item x="3660"/>
        <item x="4366"/>
        <item x="4920"/>
        <item x="3356"/>
        <item x="311"/>
        <item x="1518"/>
        <item x="3546"/>
        <item x="2606"/>
        <item x="382"/>
        <item x="2252"/>
        <item x="3173"/>
        <item x="4269"/>
        <item x="2560"/>
        <item x="4180"/>
        <item x="92"/>
        <item x="1410"/>
        <item x="3950"/>
        <item x="816"/>
        <item x="1341"/>
        <item x="262"/>
        <item x="2146"/>
        <item x="236"/>
        <item x="2639"/>
        <item x="697"/>
        <item x="1941"/>
        <item x="4474"/>
        <item x="977"/>
        <item x="2920"/>
        <item x="570"/>
        <item x="3185"/>
        <item x="1592"/>
        <item x="3288"/>
        <item x="1287"/>
        <item x="362"/>
        <item x="4915"/>
        <item x="1824"/>
        <item x="4061"/>
        <item x="646"/>
        <item x="2051"/>
        <item x="981"/>
        <item x="4102"/>
        <item x="916"/>
        <item x="3969"/>
        <item x="80"/>
        <item x="2998"/>
        <item x="1075"/>
        <item x="1830"/>
        <item x="1033"/>
        <item x="4542"/>
        <item x="431"/>
        <item x="1000"/>
        <item x="3179"/>
        <item x="634"/>
        <item x="4255"/>
        <item x="1297"/>
        <item x="4029"/>
        <item x="1480"/>
        <item x="3377"/>
        <item x="611"/>
        <item x="2558"/>
        <item x="1793"/>
        <item x="2769"/>
        <item x="3895"/>
        <item x="1264"/>
        <item x="3425"/>
        <item x="3824"/>
        <item x="4336"/>
        <item x="3654"/>
        <item x="1840"/>
        <item x="2215"/>
        <item x="710"/>
        <item x="1646"/>
        <item x="2798"/>
        <item x="3075"/>
        <item x="4174"/>
        <item x="1604"/>
        <item x="3812"/>
        <item x="3887"/>
        <item x="845"/>
        <item x="135"/>
        <item x="53"/>
        <item x="721"/>
        <item x="3953"/>
        <item x="1988"/>
        <item x="119"/>
        <item x="1800"/>
        <item x="3459"/>
        <item x="4625"/>
        <item x="2008"/>
        <item x="3889"/>
        <item x="2614"/>
        <item x="2110"/>
        <item x="1417"/>
        <item x="2980"/>
        <item x="4741"/>
        <item x="2857"/>
        <item x="4445"/>
        <item x="3080"/>
        <item x="1121"/>
        <item x="318"/>
        <item x="4608"/>
        <item x="2133"/>
        <item x="2799"/>
        <item x="3676"/>
        <item x="4045"/>
        <item x="19"/>
        <item x="1345"/>
        <item x="4396"/>
        <item x="4667"/>
        <item x="2718"/>
        <item x="534"/>
        <item x="1725"/>
        <item x="245"/>
        <item x="2340"/>
        <item x="507"/>
        <item x="4711"/>
        <item x="1384"/>
        <item x="3857"/>
        <item x="753"/>
        <item x="169"/>
        <item x="2834"/>
        <item x="3945"/>
        <item x="67"/>
        <item x="11"/>
        <item x="4139"/>
        <item x="2207"/>
        <item x="1113"/>
        <item x="2995"/>
        <item x="4462"/>
        <item x="4715"/>
        <item x="3904"/>
        <item x="4110"/>
        <item x="669"/>
        <item x="3690"/>
        <item x="1945"/>
        <item x="4686"/>
        <item x="2213"/>
        <item x="3798"/>
        <item x="4004"/>
        <item x="343"/>
        <item x="3499"/>
        <item x="1298"/>
        <item x="741"/>
        <item x="3665"/>
        <item x="2172"/>
        <item x="2661"/>
        <item x="1621"/>
        <item x="3697"/>
        <item x="1211"/>
        <item x="4404"/>
        <item x="4778"/>
        <item x="4081"/>
        <item x="3765"/>
        <item x="1133"/>
        <item x="4304"/>
        <item x="4042"/>
        <item x="4817"/>
        <item x="945"/>
        <item x="1746"/>
        <item x="2013"/>
        <item x="3512"/>
        <item x="3685"/>
        <item x="2972"/>
        <item x="883"/>
        <item x="522"/>
        <item x="1025"/>
        <item x="3258"/>
        <item x="4219"/>
        <item x="293"/>
        <item x="34"/>
        <item x="3457"/>
        <item x="2441"/>
        <item x="4786"/>
        <item x="3491"/>
        <item x="1382"/>
        <item x="1439"/>
        <item x="1258"/>
        <item x="638"/>
        <item x="900"/>
        <item x="3196"/>
        <item x="94"/>
        <item x="1005"/>
        <item x="990"/>
        <item x="3330"/>
        <item x="3998"/>
        <item x="2816"/>
        <item x="3290"/>
        <item x="2147"/>
        <item x="1420"/>
        <item x="524"/>
        <item x="2897"/>
        <item x="2877"/>
        <item x="2650"/>
        <item x="4091"/>
        <item x="993"/>
        <item x="2725"/>
        <item x="279"/>
        <item x="4305"/>
        <item x="4233"/>
        <item x="2960"/>
        <item x="3237"/>
        <item x="2578"/>
        <item x="2613"/>
        <item x="2221"/>
        <item x="3187"/>
        <item x="4677"/>
        <item x="661"/>
        <item x="342"/>
        <item x="2485"/>
        <item x="4258"/>
        <item x="2938"/>
        <item x="3352"/>
        <item x="4740"/>
        <item x="1252"/>
        <item x="2141"/>
        <item x="4356"/>
        <item x="1205"/>
        <item x="75"/>
        <item x="4185"/>
        <item x="3578"/>
        <item x="4435"/>
        <item x="806"/>
        <item x="947"/>
        <item x="4164"/>
        <item x="967"/>
        <item x="3468"/>
        <item x="516"/>
        <item x="4564"/>
        <item x="4541"/>
        <item x="2120"/>
        <item x="1084"/>
        <item x="180"/>
        <item x="202"/>
        <item x="4607"/>
        <item x="3021"/>
        <item x="2517"/>
        <item x="3249"/>
        <item x="3252"/>
        <item x="2478"/>
        <item x="2296"/>
        <item x="2384"/>
        <item x="4671"/>
        <item x="1203"/>
        <item x="992"/>
        <item x="3404"/>
        <item x="4172"/>
        <item x="308"/>
        <item x="2626"/>
        <item x="21"/>
        <item x="1516"/>
        <item x="960"/>
        <item x="4148"/>
        <item x="2309"/>
        <item x="598"/>
        <item x="4039"/>
        <item x="389"/>
        <item x="483"/>
        <item x="4524"/>
        <item x="1877"/>
        <item x="4026"/>
        <item x="907"/>
        <item x="4184"/>
        <item x="3793"/>
        <item x="1115"/>
        <item x="1571"/>
        <item x="3725"/>
        <item x="1022"/>
        <item x="1484"/>
        <item x="1337"/>
        <item x="1549"/>
        <item x="4090"/>
        <item x="3613"/>
        <item x="1278"/>
        <item x="1852"/>
        <item x="1470"/>
        <item x="1939"/>
        <item x="3845"/>
        <item x="1657"/>
        <item x="117"/>
        <item x="4093"/>
        <item x="418"/>
        <item x="203"/>
        <item x="302"/>
        <item x="4465"/>
        <item x="1448"/>
        <item x="895"/>
        <item x="2163"/>
        <item x="3009"/>
        <item x="278"/>
        <item x="3775"/>
        <item x="2764"/>
        <item x="1281"/>
        <item x="145"/>
        <item x="1031"/>
        <item x="3084"/>
        <item x="1309"/>
        <item x="4693"/>
        <item x="3731"/>
        <item x="4764"/>
        <item x="4640"/>
        <item x="720"/>
        <item x="3254"/>
        <item x="4406"/>
        <item x="2880"/>
        <item x="633"/>
        <item x="2248"/>
        <item x="2866"/>
        <item x="531"/>
        <item x="1487"/>
        <item x="3705"/>
        <item x="2648"/>
        <item x="3535"/>
        <item x="1966"/>
        <item x="1851"/>
        <item x="2363"/>
        <item x="932"/>
        <item x="2134"/>
        <item x="3275"/>
        <item x="2898"/>
        <item x="2797"/>
        <item x="265"/>
        <item x="2716"/>
        <item x="2979"/>
        <item x="4027"/>
        <item x="2495"/>
        <item x="2664"/>
        <item x="394"/>
        <item x="4851"/>
        <item x="1913"/>
        <item x="1166"/>
        <item x="1672"/>
        <item x="2952"/>
        <item x="4795"/>
        <item x="1603"/>
        <item x="1643"/>
        <item x="3766"/>
        <item x="1076"/>
        <item x="1223"/>
        <item x="772"/>
        <item x="3936"/>
        <item x="1277"/>
        <item x="899"/>
        <item x="3769"/>
        <item x="3305"/>
        <item x="2044"/>
        <item x="2090"/>
        <item x="3831"/>
        <item x="3476"/>
        <item x="296"/>
        <item x="3134"/>
        <item x="2357"/>
        <item x="1901"/>
        <item x="97"/>
        <item x="2913"/>
        <item x="16"/>
        <item x="3165"/>
        <item x="2235"/>
        <item x="662"/>
        <item x="1881"/>
        <item x="4317"/>
        <item x="3639"/>
        <item x="4572"/>
        <item x="3440"/>
        <item x="3061"/>
        <item x="4721"/>
        <item x="3553"/>
        <item x="4748"/>
        <item x="917"/>
        <item x="821"/>
        <item x="2214"/>
        <item x="1039"/>
        <item x="3047"/>
        <item x="4265"/>
        <item x="4650"/>
        <item x="4492"/>
        <item x="3880"/>
        <item x="4845"/>
        <item x="1873"/>
        <item x="4665"/>
        <item x="4082"/>
        <item x="364"/>
        <item x="253"/>
        <item x="1452"/>
        <item x="1021"/>
        <item x="1371"/>
        <item x="974"/>
        <item x="4412"/>
        <item x="1280"/>
        <item x="3466"/>
        <item x="448"/>
        <item x="1419"/>
        <item x="3597"/>
        <item x="1795"/>
        <item x="3439"/>
        <item x="3990"/>
        <item x="398"/>
        <item x="623"/>
        <item x="4507"/>
        <item x="636"/>
        <item x="1453"/>
        <item x="2329"/>
        <item x="4206"/>
        <item x="2107"/>
        <item x="2780"/>
        <item x="2324"/>
        <item x="4043"/>
        <item x="1391"/>
        <item x="942"/>
        <item x="1177"/>
        <item x="1208"/>
        <item x="2576"/>
        <item x="2600"/>
        <item x="629"/>
        <item x="3156"/>
        <item x="2376"/>
        <item x="890"/>
        <item x="3301"/>
        <item x="3045"/>
        <item x="3506"/>
        <item x="35"/>
        <item x="4829"/>
        <item x="37"/>
        <item x="3879"/>
        <item x="852"/>
        <item x="3217"/>
        <item x="2884"/>
        <item x="4352"/>
        <item x="1119"/>
        <item x="4092"/>
        <item x="3625"/>
        <item x="2403"/>
        <item x="1378"/>
        <item x="519"/>
        <item x="1998"/>
        <item x="2682"/>
        <item x="1101"/>
        <item x="130"/>
        <item x="2078"/>
        <item x="834"/>
        <item x="1804"/>
        <item x="3264"/>
        <item x="2416"/>
        <item x="4271"/>
        <item x="12"/>
        <item x="2954"/>
        <item x="1332"/>
        <item x="1990"/>
        <item x="1134"/>
        <item x="848"/>
        <item x="1837"/>
        <item x="2387"/>
        <item x="510"/>
        <item x="4725"/>
        <item x="1600"/>
        <item x="2712"/>
        <item x="375"/>
        <item x="4014"/>
        <item x="2261"/>
        <item x="1660"/>
        <item x="2321"/>
        <item x="965"/>
        <item x="4756"/>
        <item x="4020"/>
        <item x="601"/>
        <item x="3830"/>
        <item x="3154"/>
        <item x="3067"/>
        <item x="2072"/>
        <item x="147"/>
        <item x="333"/>
        <item x="1773"/>
        <item x="2466"/>
        <item x="397"/>
        <item x="1624"/>
        <item x="1975"/>
        <item x="3865"/>
        <item x="2"/>
        <item x="968"/>
        <item x="2224"/>
        <item x="229"/>
        <item x="2211"/>
        <item x="3708"/>
        <item x="3471"/>
        <item x="347"/>
        <item x="842"/>
        <item x="2348"/>
        <item x="2006"/>
        <item x="644"/>
        <item x="2918"/>
        <item x="3033"/>
        <item x="4437"/>
        <item x="3042"/>
        <item x="796"/>
        <item x="3603"/>
        <item x="3273"/>
        <item x="345"/>
        <item x="3192"/>
        <item x="2659"/>
        <item x="2717"/>
        <item x="2157"/>
        <item x="3306"/>
        <item x="2326"/>
        <item x="3698"/>
        <item x="2033"/>
        <item x="2519"/>
        <item x="4085"/>
        <item x="258"/>
        <item x="3532"/>
        <item x="1456"/>
        <item x="2977"/>
        <item x="2752"/>
        <item x="4831"/>
        <item x="918"/>
        <item x="58"/>
        <item x="2705"/>
        <item x="702"/>
        <item x="4012"/>
        <item x="3488"/>
        <item x="2784"/>
        <item x="2030"/>
        <item x="4142"/>
        <item x="2760"/>
        <item x="2286"/>
        <item x="387"/>
        <item x="1976"/>
        <item x="1847"/>
        <item x="1806"/>
        <item x="4395"/>
        <item x="1525"/>
        <item x="1547"/>
        <item x="3626"/>
        <item x="1263"/>
        <item x="2521"/>
        <item x="4070"/>
        <item x="501"/>
        <item x="1230"/>
        <item x="889"/>
        <item x="4784"/>
        <item x="3850"/>
        <item x="579"/>
        <item x="2990"/>
        <item x="1056"/>
        <item x="4389"/>
        <item x="1117"/>
        <item x="3318"/>
        <item x="871"/>
        <item x="4499"/>
        <item x="4475"/>
        <item x="1674"/>
        <item x="4503"/>
        <item x="4899"/>
        <item x="2746"/>
        <item x="655"/>
        <item x="2503"/>
        <item x="3632"/>
        <item x="2322"/>
        <item x="3680"/>
        <item x="2311"/>
        <item x="4109"/>
        <item x="748"/>
        <item x="3322"/>
        <item x="1524"/>
        <item x="4856"/>
        <item x="3525"/>
        <item x="3392"/>
        <item x="3102"/>
        <item x="122"/>
        <item x="2099"/>
        <item x="505"/>
        <item x="2584"/>
        <item x="1787"/>
        <item x="2602"/>
        <item x="496"/>
        <item x="2009"/>
        <item x="3992"/>
        <item x="1626"/>
        <item x="847"/>
        <item x="2999"/>
        <item x="4876"/>
        <item x="2121"/>
        <item x="404"/>
        <item x="3382"/>
        <item x="1145"/>
        <item x="2100"/>
        <item x="1948"/>
        <item x="282"/>
        <item x="3803"/>
        <item x="4160"/>
        <item x="4040"/>
        <item x="1442"/>
        <item x="4251"/>
        <item x="4732"/>
        <item x="958"/>
        <item x="3983"/>
        <item x="4880"/>
        <item x="3837"/>
        <item x="9"/>
        <item x="3832"/>
        <item x="1013"/>
        <item x="937"/>
        <item x="1584"/>
        <item x="4583"/>
        <item x="3820"/>
        <item x="4674"/>
        <item x="1680"/>
        <item x="2828"/>
        <item x="132"/>
        <item x="3733"/>
        <item x="112"/>
        <item x="2144"/>
        <item x="3431"/>
        <item x="4872"/>
        <item x="4246"/>
        <item x="4066"/>
        <item x="3391"/>
        <item x="4318"/>
        <item x="3517"/>
        <item x="1343"/>
        <item x="1839"/>
        <item x="802"/>
        <item x="1488"/>
        <item x="1052"/>
        <item x="1286"/>
        <item x="100"/>
        <item x="3454"/>
        <item x="1081"/>
        <item x="2591"/>
        <item x="4135"/>
        <item x="2931"/>
        <item x="2275"/>
        <item x="3351"/>
        <item x="1632"/>
        <item x="1383"/>
        <item x="788"/>
        <item x="289"/>
        <item x="4146"/>
        <item x="3864"/>
        <item x="750"/>
        <item x="1899"/>
        <item x="1071"/>
        <item x="2680"/>
        <item x="1136"/>
        <item x="4057"/>
        <item x="4170"/>
        <item x="1832"/>
        <item x="2756"/>
        <item x="3163"/>
        <item x="1063"/>
        <item x="3160"/>
        <item x="2153"/>
        <item x="124"/>
        <item x="3961"/>
        <item x="3550"/>
        <item x="614"/>
        <item x="3395"/>
        <item x="4448"/>
        <item x="4543"/>
        <item x="3692"/>
        <item x="4019"/>
        <item x="1111"/>
        <item x="879"/>
        <item x="4114"/>
        <item x="1082"/>
        <item x="3670"/>
        <item x="4098"/>
        <item x="3688"/>
        <item x="3186"/>
        <item x="338"/>
        <item x="4632"/>
        <item x="746"/>
        <item x="679"/>
        <item x="725"/>
        <item x="3448"/>
        <item x="3750"/>
        <item x="4315"/>
        <item x="3563"/>
        <item x="2396"/>
        <item x="4136"/>
        <item x="3638"/>
        <item x="703"/>
        <item x="4284"/>
        <item x="2479"/>
        <item x="1697"/>
        <item x="4413"/>
        <item x="356"/>
        <item x="109"/>
        <item x="4538"/>
        <item x="4866"/>
        <item x="301"/>
        <item x="4865"/>
        <item x="3089"/>
        <item x="3878"/>
        <item x="4023"/>
        <item x="2546"/>
        <item x="4485"/>
        <item x="4780"/>
        <item x="1816"/>
        <item x="1829"/>
        <item x="1118"/>
        <item x="1582"/>
        <item x="231"/>
        <item x="349"/>
        <item x="2772"/>
        <item x="1301"/>
        <item x="3618"/>
        <item x="3596"/>
        <item x="4458"/>
        <item x="403"/>
        <item x="3818"/>
        <item x="3122"/>
        <item x="4234"/>
        <item x="4477"/>
        <item x="1478"/>
        <item x="2447"/>
        <item x="774"/>
        <item x="3772"/>
        <item x="439"/>
        <item x="1834"/>
        <item x="3742"/>
        <item x="2808"/>
        <item x="4858"/>
        <item x="1906"/>
        <item x="2737"/>
        <item x="975"/>
        <item x="4775"/>
        <item x="1357"/>
        <item x="4825"/>
        <item x="2337"/>
        <item x="3257"/>
        <item x="2940"/>
        <item x="1171"/>
        <item x="4289"/>
        <item x="3678"/>
        <item x="1517"/>
        <item x="3069"/>
        <item x="2201"/>
        <item x="148"/>
        <item x="2888"/>
        <item x="4739"/>
        <item x="1856"/>
        <item x="3684"/>
        <item x="1190"/>
        <item x="4357"/>
        <item x="500"/>
        <item x="2775"/>
        <item x="2570"/>
        <item x="3523"/>
        <item x="769"/>
        <item x="3505"/>
        <item x="2119"/>
        <item x="1132"/>
        <item x="2310"/>
        <item x="3277"/>
        <item x="2899"/>
        <item x="4844"/>
        <item x="85"/>
        <item x="2400"/>
        <item x="4855"/>
        <item x="2848"/>
        <item x="951"/>
        <item x="2358"/>
        <item x="699"/>
        <item x="28"/>
        <item x="857"/>
        <item x="2265"/>
        <item x="4123"/>
        <item x="1198"/>
        <item x="1817"/>
        <item x="2019"/>
        <item x="3810"/>
        <item x="1228"/>
        <item x="3529"/>
        <item x="826"/>
        <item x="2026"/>
        <item x="3087"/>
        <item x="2598"/>
        <item x="3303"/>
        <item x="1232"/>
        <item x="1825"/>
        <item x="2701"/>
        <item x="3058"/>
        <item x="2864"/>
        <item x="2763"/>
        <item x="4723"/>
        <item x="4245"/>
        <item x="383"/>
        <item x="801"/>
        <item x="709"/>
        <item x="2759"/>
        <item x="1521"/>
        <item x="4409"/>
        <item x="1986"/>
        <item x="2390"/>
        <item x="4397"/>
        <item x="2150"/>
        <item x="4260"/>
        <item x="4267"/>
        <item x="3501"/>
        <item x="983"/>
        <item x="3144"/>
        <item x="2438"/>
        <item x="904"/>
        <item x="4629"/>
        <item x="1564"/>
        <item x="2470"/>
        <item x="3376"/>
        <item x="465"/>
        <item x="4505"/>
        <item x="56"/>
        <item x="2298"/>
        <item x="1598"/>
        <item x="3244"/>
        <item x="4569"/>
        <item x="1937"/>
        <item x="197"/>
        <item x="2557"/>
        <item x="374"/>
        <item x="1165"/>
        <item x="4133"/>
        <item x="4322"/>
        <item x="47"/>
        <item x="2002"/>
        <item x="2386"/>
        <item x="4733"/>
        <item x="3168"/>
        <item x="1723"/>
        <item x="973"/>
        <item x="1653"/>
        <item x="4031"/>
        <item x="2806"/>
        <item x="3143"/>
        <item x="1733"/>
        <item x="3410"/>
        <item x="4009"/>
        <item x="3388"/>
        <item x="4792"/>
        <item x="3935"/>
        <item x="4408"/>
        <item x="980"/>
        <item x="1548"/>
        <item x="2371"/>
        <item x="3142"/>
        <item x="1406"/>
        <item x="45"/>
        <item x="162"/>
        <item x="2757"/>
        <item x="1083"/>
        <item x="108"/>
        <item x="46"/>
        <item x="1399"/>
        <item x="2978"/>
        <item x="457"/>
        <item x="369"/>
        <item x="316"/>
        <item x="3205"/>
        <item x="1591"/>
        <item x="4700"/>
        <item x="2069"/>
        <item x="1522"/>
        <item x="4666"/>
        <item x="2350"/>
        <item x="2351"/>
        <item x="1305"/>
        <item x="4644"/>
        <item x="1026"/>
        <item x="402"/>
        <item x="1360"/>
        <item x="1088"/>
        <item x="3099"/>
        <item x="2860"/>
        <item x="3559"/>
        <item x="822"/>
        <item x="4166"/>
        <item x="4621"/>
        <item x="1599"/>
        <item x="4658"/>
        <item x="4476"/>
        <item x="3094"/>
        <item x="1730"/>
        <item x="3201"/>
        <item x="3230"/>
        <item x="3582"/>
        <item x="3570"/>
        <item x="4106"/>
        <item x="2467"/>
        <item x="1979"/>
        <item x="1168"/>
        <item x="1732"/>
        <item x="4736"/>
        <item x="3595"/>
        <item x="4349"/>
        <item x="4190"/>
        <item x="90"/>
        <item x="4480"/>
        <item x="819"/>
        <item x="3518"/>
        <item x="2779"/>
        <item x="2408"/>
        <item x="1977"/>
        <item x="332"/>
        <item x="4722"/>
        <item x="380"/>
        <item x="2392"/>
        <item x="3364"/>
        <item x="1765"/>
        <item x="1471"/>
        <item x="1973"/>
        <item x="1897"/>
        <item x="1106"/>
        <item x="4096"/>
        <item x="1380"/>
        <item x="4771"/>
        <item x="1841"/>
        <item x="833"/>
        <item x="1323"/>
        <item x="3350"/>
        <item x="2497"/>
        <item x="3925"/>
        <item x="2112"/>
        <item x="3465"/>
        <item x="4281"/>
        <item x="1093"/>
        <item x="1001"/>
        <item x="1123"/>
        <item x="1502"/>
        <item x="2951"/>
        <item x="1882"/>
        <item x="2843"/>
        <item x="3409"/>
        <item x="2707"/>
        <item x="4187"/>
        <item x="4022"/>
        <item x="1451"/>
        <item x="910"/>
        <item x="903"/>
        <item x="42"/>
        <item x="2270"/>
        <item x="2789"/>
        <item x="1994"/>
        <item x="3948"/>
        <item x="230"/>
        <item x="4599"/>
        <item x="3379"/>
        <item x="4824"/>
        <item x="1182"/>
        <item x="2142"/>
        <item x="3637"/>
        <item x="4837"/>
        <item x="4416"/>
        <item x="1291"/>
        <item x="4097"/>
        <item x="434"/>
        <item x="643"/>
        <item x="935"/>
        <item x="4205"/>
        <item x="55"/>
        <item x="4218"/>
        <item x="2440"/>
        <item x="1911"/>
        <item x="2232"/>
        <item x="353"/>
        <item x="4293"/>
        <item x="1353"/>
        <item x="3842"/>
        <item x="648"/>
        <item x="3671"/>
        <item x="2237"/>
        <item x="1495"/>
        <item x="437"/>
        <item x="1675"/>
        <item x="1124"/>
        <item x="2818"/>
        <item x="3970"/>
        <item x="3974"/>
        <item x="65"/>
        <item x="4649"/>
        <item x="3530"/>
        <item x="3207"/>
        <item x="3412"/>
        <item x="859"/>
        <item x="4438"/>
        <item x="4275"/>
        <item x="4548"/>
        <item x="1972"/>
        <item x="1153"/>
        <item x="3485"/>
        <item x="312"/>
        <item x="2277"/>
        <item x="1750"/>
        <item x="4804"/>
        <item x="3497"/>
        <item x="2436"/>
        <item x="3022"/>
        <item x="4186"/>
        <item x="1330"/>
        <item x="2155"/>
        <item x="291"/>
        <item x="2164"/>
        <item x="4167"/>
        <item x="2262"/>
        <item x="3519"/>
        <item x="4663"/>
        <item x="2984"/>
        <item x="4678"/>
        <item x="1486"/>
        <item x="1227"/>
        <item x="4873"/>
        <item x="3064"/>
        <item x="1619"/>
        <item x="1917"/>
        <item x="1876"/>
        <item x="2991"/>
        <item x="1908"/>
        <item x="216"/>
        <item x="4393"/>
        <item x="789"/>
        <item x="3065"/>
        <item x="446"/>
        <item x="153"/>
        <item x="3870"/>
        <item x="3886"/>
        <item x="1311"/>
        <item x="1875"/>
        <item x="2401"/>
        <item x="3292"/>
        <item x="4282"/>
        <item x="3011"/>
        <item x="3242"/>
        <item x="4132"/>
        <item x="3721"/>
        <item x="908"/>
        <item x="1540"/>
        <item x="886"/>
        <item x="2136"/>
        <item x="543"/>
        <item x="1491"/>
        <item x="3514"/>
        <item x="625"/>
        <item x="2587"/>
        <item x="4869"/>
        <item x="2537"/>
        <item x="1607"/>
        <item x="1701"/>
        <item x="2749"/>
        <item x="3976"/>
        <item x="3081"/>
        <item x="2488"/>
        <item x="4497"/>
        <item x="2617"/>
        <item x="4688"/>
        <item x="1011"/>
        <item x="2500"/>
        <item x="4510"/>
        <item x="366"/>
        <item x="3606"/>
        <item x="1720"/>
        <item x="3098"/>
        <item x="2383"/>
        <item x="1099"/>
        <item x="2331"/>
        <item x="131"/>
        <item x="2923"/>
        <item x="107"/>
        <item x="4490"/>
        <item x="603"/>
        <item x="4730"/>
        <item x="608"/>
        <item x="2597"/>
        <item x="1312"/>
        <item x="2344"/>
        <item x="3068"/>
        <item x="4587"/>
        <item x="1127"/>
        <item x="4143"/>
        <item x="2159"/>
        <item x="2333"/>
        <item x="4179"/>
        <item x="998"/>
        <item x="1958"/>
        <item x="3147"/>
        <item x="36"/>
        <item x="2623"/>
        <item x="2552"/>
        <item x="4058"/>
        <item x="481"/>
        <item x="2596"/>
        <item x="2790"/>
        <item x="2768"/>
        <item x="3814"/>
        <item x="3956"/>
        <item x="498"/>
        <item x="3700"/>
        <item x="1430"/>
        <item x="1303"/>
        <item x="2652"/>
        <item x="2890"/>
        <item x="2540"/>
        <item x="3500"/>
        <item x="4452"/>
        <item x="1436"/>
        <item x="2975"/>
        <item x="2586"/>
        <item x="985"/>
        <item x="2315"/>
        <item x="2317"/>
        <item x="4823"/>
        <item x="3323"/>
        <item x="2665"/>
        <item x="2674"/>
        <item x="1272"/>
        <item x="1506"/>
        <item x="2849"/>
        <item x="1689"/>
        <item x="4609"/>
        <item x="4914"/>
        <item x="2946"/>
        <item x="1896"/>
        <item x="2067"/>
        <item x="678"/>
        <item x="2388"/>
        <item x="712"/>
        <item x="4088"/>
        <item x="3827"/>
        <item x="4731"/>
        <item x="4610"/>
        <item x="2242"/>
        <item x="285"/>
        <item x="3927"/>
        <item x="2646"/>
        <item x="2644"/>
        <item x="2527"/>
        <item x="1774"/>
        <item x="4570"/>
        <item x="2814"/>
        <item x="3779"/>
        <item x="2608"/>
        <item x="4340"/>
        <item x="2097"/>
        <item x="4063"/>
        <item x="220"/>
        <item x="549"/>
        <item x="949"/>
        <item x="999"/>
        <item x="2953"/>
        <item x="3762"/>
        <item x="1580"/>
        <item x="1574"/>
        <item x="569"/>
        <item x="4532"/>
        <item x="3728"/>
        <item x="3018"/>
        <item x="2963"/>
        <item x="2695"/>
        <item x="2743"/>
        <item x="424"/>
        <item x="4494"/>
        <item x="1094"/>
        <item x="1593"/>
        <item x="554"/>
        <item x="798"/>
        <item x="3434"/>
        <item x="3250"/>
        <item x="4277"/>
        <item x="194"/>
        <item x="694"/>
        <item x="464"/>
        <item x="2245"/>
        <item x="1904"/>
        <item x="4654"/>
        <item x="924"/>
        <item x="4162"/>
        <item x="4910"/>
        <item x="4119"/>
        <item x="2048"/>
        <item x="3443"/>
        <item x="3828"/>
        <item x="1576"/>
        <item x="499"/>
        <item x="4229"/>
        <item x="2910"/>
        <item x="26"/>
        <item x="4757"/>
        <item x="102"/>
        <item x="441"/>
        <item x="2197"/>
        <item x="3735"/>
        <item x="4453"/>
        <item x="4506"/>
        <item x="2046"/>
        <item x="292"/>
        <item x="3918"/>
        <item x="4011"/>
        <item x="3543"/>
        <item x="540"/>
        <item x="4197"/>
        <item x="1942"/>
        <item x="2216"/>
        <item x="2320"/>
        <item x="2173"/>
        <item x="4032"/>
        <item x="1822"/>
        <item x="1213"/>
        <item x="2833"/>
        <item x="1808"/>
        <item x="3260"/>
        <item x="2927"/>
        <item x="4745"/>
        <item x="3228"/>
        <item x="4003"/>
        <item x="3757"/>
        <item x="2397"/>
        <item x="1572"/>
        <item x="4306"/>
        <item x="1538"/>
        <item x="3771"/>
        <item x="820"/>
        <item x="715"/>
        <item x="642"/>
        <item x="2432"/>
        <item x="2862"/>
        <item x="1642"/>
        <item x="3157"/>
        <item x="1775"/>
        <item x="860"/>
        <item x="3673"/>
        <item x="3694"/>
        <item x="2218"/>
        <item x="337"/>
        <item x="328"/>
        <item x="2839"/>
        <item x="381"/>
        <item x="1174"/>
        <item x="3802"/>
        <item x="1191"/>
        <item x="3503"/>
        <item x="18"/>
        <item x="4768"/>
        <item x="3813"/>
        <item x="4075"/>
        <item x="3005"/>
        <item x="2905"/>
        <item x="1865"/>
        <item x="872"/>
        <item x="1034"/>
        <item x="4561"/>
        <item x="1184"/>
        <item x="2685"/>
        <item x="1218"/>
        <item x="3053"/>
        <item x="1561"/>
        <item x="649"/>
        <item x="4606"/>
        <item x="2411"/>
        <item x="4469"/>
        <item x="2301"/>
        <item x="927"/>
        <item x="4272"/>
        <item x="4427"/>
        <item x="3182"/>
        <item x="691"/>
        <item x="1707"/>
        <item x="4244"/>
        <item x="982"/>
        <item x="1801"/>
        <item x="2042"/>
        <item x="4101"/>
        <item x="4364"/>
        <item x="4182"/>
        <item x="2379"/>
        <item x="4857"/>
        <item x="3265"/>
        <item x="2012"/>
        <item x="3224"/>
        <item x="2773"/>
        <item x="2050"/>
        <item x="254"/>
        <item x="4487"/>
        <item x="4495"/>
        <item x="2494"/>
        <item x="4296"/>
        <item x="1247"/>
        <item x="4127"/>
        <item x="2887"/>
        <item x="4203"/>
        <item x="2071"/>
        <item x="4121"/>
        <item x="160"/>
        <item x="2530"/>
        <item x="1655"/>
        <item x="3562"/>
        <item x="3628"/>
        <item x="2083"/>
        <item x="2781"/>
        <item x="4830"/>
        <item x="3082"/>
        <item x="2345"/>
        <item x="2654"/>
        <item x="3109"/>
        <item x="2958"/>
        <item x="1454"/>
        <item x="1237"/>
        <item x="51"/>
        <item x="3077"/>
        <item x="3280"/>
        <item x="989"/>
        <item x="233"/>
        <item x="470"/>
        <item x="118"/>
        <item x="3629"/>
        <item x="3817"/>
        <item x="2492"/>
        <item x="2105"/>
        <item x="2534"/>
        <item x="368"/>
        <item x="1295"/>
        <item x="2535"/>
        <item x="3672"/>
        <item x="2988"/>
        <item x="3406"/>
        <item x="1585"/>
        <item x="2409"/>
        <item x="3776"/>
        <item x="4536"/>
        <item x="3039"/>
        <item x="674"/>
        <item x="1943"/>
        <item x="3183"/>
        <item x="1296"/>
        <item x="861"/>
        <item x="2186"/>
        <item x="2064"/>
        <item x="59"/>
        <item x="4593"/>
        <item x="1002"/>
        <item x="3204"/>
        <item x="2956"/>
        <item x="114"/>
        <item x="415"/>
        <item x="3057"/>
        <item x="2709"/>
        <item x="3002"/>
        <item x="4235"/>
        <item x="3797"/>
        <item x="2477"/>
        <item x="189"/>
        <item x="3575"/>
        <item x="4192"/>
        <item x="3458"/>
        <item x="695"/>
        <item x="3133"/>
        <item x="4894"/>
        <item x="618"/>
        <item x="4033"/>
        <item x="3748"/>
        <item x="2092"/>
        <item x="3035"/>
        <item x="1734"/>
        <item x="2950"/>
        <item x="4605"/>
        <item x="4763"/>
        <item x="121"/>
        <item x="2293"/>
        <item x="1447"/>
        <item x="3584"/>
        <item x="1539"/>
        <item x="3286"/>
        <item x="2577"/>
        <item x="4887"/>
        <item x="2601"/>
        <item x="187"/>
        <item x="4351"/>
        <item x="1413"/>
        <item x="4171"/>
        <item x="541"/>
        <item x="4819"/>
        <item x="2394"/>
        <item x="3911"/>
        <item x="2936"/>
        <item x="1285"/>
        <item x="1620"/>
        <item x="2152"/>
        <item x="986"/>
        <item x="4263"/>
        <item x="4531"/>
        <item x="4727"/>
        <item x="2236"/>
        <item x="2089"/>
        <item x="683"/>
        <item x="4410"/>
        <item x="2801"/>
        <item x="3511"/>
        <item x="3132"/>
        <item x="2059"/>
        <item x="868"/>
        <item x="295"/>
        <item x="1886"/>
        <item x="2243"/>
        <item x="1542"/>
        <item x="2900"/>
        <item x="766"/>
        <item x="3633"/>
        <item x="4419"/>
        <item x="1974"/>
        <item x="3381"/>
        <item x="4147"/>
        <item x="2734"/>
        <item x="645"/>
        <item x="1932"/>
        <item x="3276"/>
        <item x="665"/>
        <item x="588"/>
        <item x="2937"/>
        <item x="3545"/>
        <item x="2590"/>
        <item x="3236"/>
        <item x="4054"/>
        <item x="4743"/>
        <item x="2632"/>
        <item x="4519"/>
        <item x="3130"/>
        <item x="2407"/>
        <item x="277"/>
        <item x="4624"/>
        <item x="1405"/>
        <item x="1504"/>
        <item x="4210"/>
        <item x="3338"/>
        <item x="3946"/>
        <item x="2922"/>
        <item x="2692"/>
        <item x="1234"/>
        <item x="972"/>
        <item x="599"/>
        <item x="4626"/>
        <item x="1284"/>
        <item x="1889"/>
        <item x="3588"/>
        <item x="4214"/>
        <item x="1992"/>
        <item x="3197"/>
        <item x="3790"/>
        <item x="2994"/>
        <item x="1594"/>
        <item x="2084"/>
        <item x="1987"/>
        <item x="544"/>
        <item x="1070"/>
        <item x="736"/>
        <item x="1394"/>
        <item x="2226"/>
        <item x="3987"/>
        <item x="355"/>
        <item x="2854"/>
        <item x="2875"/>
        <item x="3868"/>
        <item x="331"/>
        <item x="3387"/>
        <item x="2378"/>
        <item x="1268"/>
        <item x="103"/>
        <item x="3730"/>
        <item x="4200"/>
        <item x="2174"/>
        <item x="1602"/>
        <item x="2669"/>
        <item x="2966"/>
        <item x="3489"/>
        <item x="718"/>
        <item x="4526"/>
        <item x="304"/>
        <item x="251"/>
        <item x="1355"/>
        <item x="2501"/>
        <item x="2575"/>
        <item x="3709"/>
        <item x="2095"/>
        <item x="4403"/>
        <item x="4226"/>
        <item x="988"/>
        <item x="4083"/>
        <item x="672"/>
        <item x="1407"/>
        <item x="1087"/>
        <item x="3736"/>
        <item x="1050"/>
        <item x="1681"/>
        <item x="3317"/>
        <item x="1500"/>
        <item x="2629"/>
        <item x="3120"/>
        <item x="1940"/>
        <item x="287"/>
        <item x="1534"/>
        <item x="2618"/>
        <item x="3920"/>
        <item x="1919"/>
        <item x="3896"/>
        <item x="4533"/>
        <item x="4500"/>
        <item x="1207"/>
        <item x="4418"/>
        <item x="2427"/>
        <item x="2593"/>
        <item x="3446"/>
        <item x="4799"/>
        <item x="1292"/>
        <item x="280"/>
        <item x="3472"/>
        <item x="297"/>
        <item x="3195"/>
        <item x="2961"/>
        <item x="2108"/>
        <item x="2928"/>
        <item x="1662"/>
        <item x="1421"/>
        <item x="4552"/>
        <item x="493"/>
        <item x="1051"/>
        <item x="3576"/>
        <item x="2684"/>
        <item x="4095"/>
        <item x="4860"/>
        <item x="2561"/>
        <item x="2985"/>
        <item x="2122"/>
        <item x="3623"/>
        <item x="1777"/>
        <item x="4805"/>
        <item x="785"/>
        <item x="4209"/>
        <item x="2175"/>
        <item x="4141"/>
        <item x="4316"/>
        <item x="192"/>
        <item x="4264"/>
        <item x="4240"/>
        <item x="4270"/>
        <item x="814"/>
        <item x="4076"/>
        <item x="2944"/>
        <item x="1138"/>
        <item x="4800"/>
        <item x="3229"/>
        <item x="4421"/>
        <item x="4614"/>
        <item x="444"/>
        <item x="41"/>
        <item x="4268"/>
        <item x="4386"/>
        <item x="2040"/>
        <item x="1929"/>
        <item x="3255"/>
        <item x="3982"/>
        <item x="2514"/>
        <item x="2588"/>
        <item x="3320"/>
        <item x="2280"/>
        <item x="3806"/>
        <item x="3875"/>
        <item x="4236"/>
        <item x="4064"/>
        <item x="3097"/>
        <item x="1510"/>
        <item x="1061"/>
        <item x="2079"/>
        <item x="1550"/>
        <item x="3334"/>
        <item x="283"/>
        <item x="1316"/>
        <item x="576"/>
        <item x="1635"/>
        <item x="3073"/>
        <item x="1415"/>
        <item x="1686"/>
        <item x="327"/>
        <item x="78"/>
        <item x="1596"/>
        <item x="2777"/>
        <item x="2346"/>
        <item x="4342"/>
        <item x="1797"/>
        <item x="1048"/>
        <item x="1469"/>
        <item x="4818"/>
        <item x="447"/>
        <item x="1222"/>
        <item x="2366"/>
        <item x="70"/>
        <item x="4217"/>
        <item x="3917"/>
        <item x="29"/>
        <item x="4514"/>
        <item x="3380"/>
        <item x="2058"/>
        <item x="4285"/>
        <item x="72"/>
        <item x="3717"/>
        <item x="2621"/>
        <item x="1969"/>
        <item x="1512"/>
        <item x="4517"/>
        <item x="4194"/>
        <item x="2609"/>
        <item x="795"/>
        <item x="2845"/>
        <item x="3513"/>
        <item x="4522"/>
        <item x="4527"/>
        <item x="1220"/>
        <item x="4367"/>
        <item x="4307"/>
        <item x="3487"/>
        <item x="4659"/>
        <item x="776"/>
        <item x="1552"/>
        <item x="574"/>
        <item x="22"/>
        <item x="4816"/>
        <item x="2290"/>
        <item x="1411"/>
        <item x="2589"/>
        <item x="4078"/>
        <item x="4068"/>
        <item x="2515"/>
        <item x="3218"/>
        <item x="2158"/>
        <item x="1181"/>
        <item x="1796"/>
        <item x="1362"/>
        <item x="4877"/>
        <item x="3028"/>
        <item x="2474"/>
        <item x="1037"/>
        <item x="2060"/>
        <item x="2708"/>
        <item x="4701"/>
        <item x="3175"/>
        <item x="4094"/>
        <item x="1038"/>
        <item x="4144"/>
        <item x="4324"/>
        <item x="3000"/>
        <item x="594"/>
        <item x="1531"/>
        <item x="1261"/>
        <item x="2802"/>
        <item x="3923"/>
        <item x="1735"/>
        <item x="4279"/>
        <item x="264"/>
        <item x="518"/>
        <item x="127"/>
        <item x="1813"/>
        <item x="3763"/>
        <item x="4368"/>
        <item x="409"/>
        <item x="3839"/>
        <item x="2021"/>
        <item x="3246"/>
        <item x="2532"/>
        <item x="3615"/>
        <item x="1079"/>
        <item x="2696"/>
        <item x="4402"/>
        <item x="3712"/>
        <item x="4881"/>
        <item x="2359"/>
        <item x="2489"/>
        <item x="797"/>
        <item x="4478"/>
        <item x="4381"/>
        <item x="825"/>
        <item x="2829"/>
        <item x="3093"/>
        <item x="183"/>
        <item x="4615"/>
        <item x="241"/>
        <item x="4038"/>
        <item x="3745"/>
        <item x="3311"/>
        <item x="3449"/>
        <item x="1541"/>
        <item x="2755"/>
        <item x="2813"/>
        <item x="922"/>
        <item x="2334"/>
        <item x="140"/>
        <item x="2183"/>
        <item x="4431"/>
        <item x="4128"/>
        <item x="4387"/>
        <item x="2295"/>
        <item x="4491"/>
        <item x="1175"/>
        <item x="1049"/>
        <item x="2786"/>
        <item x="3327"/>
        <item x="2339"/>
        <item x="43"/>
        <item x="1679"/>
        <item x="104"/>
        <item x="4600"/>
        <item x="732"/>
        <item x="4694"/>
        <item x="1625"/>
        <item x="2227"/>
        <item x="2865"/>
        <item x="1387"/>
        <item x="4802"/>
        <item x="3663"/>
        <item x="3795"/>
        <item x="1956"/>
        <item x="3407"/>
        <item x="3321"/>
        <item x="3662"/>
        <item x="4885"/>
        <item x="3926"/>
        <item x="477"/>
        <item x="89"/>
        <item x="2482"/>
        <item x="225"/>
        <item x="1149"/>
        <item x="307"/>
        <item x="134"/>
        <item x="2842"/>
        <item x="1871"/>
        <item x="2715"/>
        <item x="1931"/>
        <item x="3965"/>
        <item x="530"/>
        <item x="3400"/>
        <item x="1494"/>
        <item x="1412"/>
        <item x="2776"/>
        <item x="3219"/>
        <item x="2693"/>
        <item x="3804"/>
        <item x="1178"/>
        <item x="2456"/>
        <item x="2439"/>
        <item x="1513"/>
        <item x="1440"/>
        <item x="3328"/>
        <item x="492"/>
        <item x="4509"/>
        <item x="1236"/>
        <item x="4589"/>
        <item x="2823"/>
        <item x="3293"/>
        <item x="4378"/>
        <item x="2209"/>
        <item x="1731"/>
        <item x="3111"/>
        <item x="2986"/>
        <item x="2336"/>
        <item x="930"/>
        <item x="3988"/>
        <item x="1142"/>
        <item x="1194"/>
        <item x="4112"/>
        <item x="681"/>
        <item x="1110"/>
        <item x="1156"/>
        <item x="1741"/>
        <item x="3263"/>
        <item x="1126"/>
        <item x="1845"/>
        <item x="4411"/>
        <item x="3859"/>
        <item x="1064"/>
        <item x="3540"/>
        <item x="2199"/>
        <item x="4909"/>
        <item x="159"/>
        <item x="3152"/>
        <item x="3015"/>
        <item x="2312"/>
        <item x="260"/>
        <item x="77"/>
        <item x="1435"/>
        <item x="4841"/>
        <item x="3809"/>
        <item x="377"/>
        <item x="3706"/>
        <item x="143"/>
        <item x="4355"/>
        <item x="3181"/>
        <item x="4021"/>
        <item x="3866"/>
        <item x="2029"/>
        <item x="3284"/>
        <item x="1667"/>
        <item x="2028"/>
        <item x="4905"/>
        <item x="1147"/>
        <item x="3592"/>
        <item x="87"/>
        <item x="3190"/>
        <item x="4787"/>
        <item x="1910"/>
        <item x="1784"/>
        <item x="2222"/>
        <item x="3106"/>
        <item x="2796"/>
        <item x="4836"/>
        <item x="3010"/>
        <item x="1790"/>
        <item x="2303"/>
        <item x="1597"/>
        <item x="1999"/>
        <item x="2076"/>
        <item x="3807"/>
        <item x="2545"/>
        <item x="1575"/>
        <item x="1894"/>
        <item x="3825"/>
        <item x="1503"/>
        <item x="206"/>
        <item x="205"/>
        <item x="2670"/>
        <item x="1289"/>
        <item x="4806"/>
        <item x="3129"/>
        <item x="2581"/>
        <item x="1192"/>
        <item x="3579"/>
        <item x="3460"/>
        <item x="4912"/>
        <item x="3071"/>
        <item x="3823"/>
        <item x="1418"/>
        <item x="4553"/>
        <item x="4798"/>
        <item x="2729"/>
        <item x="179"/>
        <item x="767"/>
        <item x="4794"/>
        <item x="242"/>
        <item x="2528"/>
        <item x="2007"/>
        <item x="1884"/>
        <item x="4195"/>
        <item x="341"/>
        <item x="4313"/>
        <item x="4883"/>
        <item x="1673"/>
        <item x="4177"/>
        <item x="1397"/>
        <item x="4690"/>
        <item x="1004"/>
        <item x="1260"/>
        <item x="1569"/>
        <item x="4420"/>
        <item x="1173"/>
        <item x="1696"/>
        <item x="898"/>
        <item x="1820"/>
        <item x="987"/>
        <item x="827"/>
        <item x="4729"/>
        <item x="4382"/>
        <item x="2859"/>
        <item x="613"/>
        <item x="573"/>
        <item x="1691"/>
        <item x="1812"/>
        <item x="3929"/>
        <item x="3791"/>
        <item x="1160"/>
        <item x="3544"/>
        <item x="913"/>
        <item x="4619"/>
        <item x="3554"/>
        <item x="4781"/>
        <item x="892"/>
        <item x="3478"/>
        <item x="1229"/>
        <item x="120"/>
        <item x="3436"/>
        <item x="3445"/>
        <item x="2316"/>
        <item x="2962"/>
        <item x="2967"/>
        <item x="2681"/>
        <item x="73"/>
        <item x="2846"/>
        <item x="1324"/>
        <item x="1568"/>
        <item x="1826"/>
        <item x="3531"/>
        <item x="3604"/>
        <item x="4714"/>
        <item x="1424"/>
        <item x="4062"/>
        <item x="850"/>
        <item x="4436"/>
        <item x="3313"/>
        <item x="3040"/>
        <item x="928"/>
        <item x="7"/>
        <item x="3013"/>
        <item x="3300"/>
        <item x="2291"/>
        <item x="290"/>
        <item x="1993"/>
        <item x="4461"/>
        <item x="2604"/>
        <item x="2902"/>
        <item x="1183"/>
        <item x="3682"/>
        <item x="4496"/>
        <item x="4565"/>
        <item x="3215"/>
        <item x="3177"/>
        <item x="4737"/>
        <item x="4363"/>
        <item x="2188"/>
        <item x="1098"/>
        <item x="2176"/>
        <item x="1551"/>
        <item x="4706"/>
        <item x="1283"/>
        <item x="584"/>
        <item x="4248"/>
        <item x="782"/>
        <item x="1783"/>
        <item x="1927"/>
        <item x="3999"/>
        <item x="2607"/>
        <item x="4024"/>
        <item x="938"/>
        <item x="2212"/>
        <item x="4512"/>
        <item x="3353"/>
        <item x="3221"/>
        <item x="4457"/>
        <item x="164"/>
        <item x="2736"/>
        <item x="1204"/>
        <item x="1458"/>
        <item x="3315"/>
        <item x="1319"/>
        <item x="2154"/>
        <item x="1677"/>
        <item x="272"/>
        <item x="1482"/>
        <item x="1306"/>
        <item x="1014"/>
        <item x="1814"/>
        <item x="1443"/>
        <item x="1695"/>
        <item x="1425"/>
        <item x="2851"/>
        <item x="1511"/>
        <item x="1606"/>
        <item x="604"/>
        <item x="3245"/>
        <item x="969"/>
        <item x="2238"/>
        <item x="2970"/>
        <item x="4710"/>
        <item x="1921"/>
        <item x="1537"/>
        <item x="1682"/>
        <item x="1200"/>
        <item x="1770"/>
        <item x="1951"/>
        <item x="433"/>
        <item x="4521"/>
        <item x="2673"/>
        <item x="4637"/>
        <item x="4430"/>
        <item x="2536"/>
        <item x="170"/>
        <item x="4752"/>
        <item x="590"/>
        <item x="3359"/>
        <item x="1706"/>
        <item x="1057"/>
        <item x="602"/>
        <item x="3494"/>
        <item x="475"/>
        <item x="1214"/>
        <item x="4073"/>
        <item x="305"/>
        <item x="1035"/>
        <item x="2511"/>
        <item x="3853"/>
        <item x="3871"/>
        <item x="704"/>
        <item x="1745"/>
        <item x="1146"/>
        <item x="660"/>
        <item x="3337"/>
        <item x="4911"/>
        <item x="1983"/>
        <item x="547"/>
        <item x="2569"/>
        <item x="837"/>
        <item x="740"/>
        <item x="1069"/>
        <item x="2671"/>
        <item x="1351"/>
        <item x="3121"/>
        <item x="1266"/>
        <item x="4890"/>
        <item x="2074"/>
        <item x="1046"/>
        <item x="925"/>
        <item x="386"/>
        <item x="4294"/>
        <item x="2073"/>
        <item x="4116"/>
        <item x="4131"/>
        <item x="3366"/>
        <item x="2496"/>
        <item x="4415"/>
        <item x="2431"/>
        <item x="1583"/>
        <item x="2778"/>
        <item x="4588"/>
        <item x="3789"/>
        <item x="583"/>
        <item x="3480"/>
        <item x="1467"/>
        <item x="1742"/>
        <item x="4456"/>
        <item x="737"/>
        <item x="2332"/>
        <item x="1809"/>
        <item x="4586"/>
        <item x="4809"/>
        <item x="2274"/>
        <item x="2054"/>
        <item x="14"/>
        <item x="4330"/>
        <item x="4770"/>
        <item x="3131"/>
        <item x="1867"/>
        <item x="3262"/>
        <item x="1240"/>
        <item x="4380"/>
        <item x="1243"/>
        <item x="1519"/>
        <item x="3549"/>
        <item x="2812"/>
        <item x="2782"/>
        <item x="1254"/>
        <item x="1641"/>
        <item x="4212"/>
        <item x="994"/>
        <item x="4138"/>
        <item x="2691"/>
        <item x="2573"/>
        <item x="1077"/>
        <item x="1170"/>
        <item x="2124"/>
        <item x="3949"/>
        <item x="556"/>
        <item x="4585"/>
        <item x="696"/>
        <item x="4525"/>
        <item x="1428"/>
        <item x="4879"/>
        <item t="default"/>
      </items>
    </pivotField>
    <pivotField showAll="0">
      <items count="4667">
        <item x="1664"/>
        <item x="748"/>
        <item x="3590"/>
        <item x="3049"/>
        <item x="2833"/>
        <item x="1277"/>
        <item x="3827"/>
        <item x="3281"/>
        <item x="1086"/>
        <item x="3075"/>
        <item x="1947"/>
        <item x="4590"/>
        <item x="2053"/>
        <item x="3825"/>
        <item x="3094"/>
        <item x="1672"/>
        <item x="939"/>
        <item x="4534"/>
        <item x="926"/>
        <item x="3166"/>
        <item x="2839"/>
        <item x="2628"/>
        <item x="714"/>
        <item x="3111"/>
        <item x="2447"/>
        <item x="1986"/>
        <item x="1150"/>
        <item x="3425"/>
        <item x="1204"/>
        <item x="2203"/>
        <item x="2963"/>
        <item x="1838"/>
        <item x="3571"/>
        <item x="900"/>
        <item x="3458"/>
        <item x="2619"/>
        <item x="526"/>
        <item x="2910"/>
        <item x="128"/>
        <item x="170"/>
        <item x="624"/>
        <item x="1751"/>
        <item x="679"/>
        <item x="1562"/>
        <item x="2837"/>
        <item x="2552"/>
        <item x="1904"/>
        <item x="427"/>
        <item x="1980"/>
        <item x="3812"/>
        <item x="1199"/>
        <item x="2793"/>
        <item x="3853"/>
        <item x="4439"/>
        <item x="853"/>
        <item x="93"/>
        <item x="3269"/>
        <item x="2085"/>
        <item x="2877"/>
        <item x="736"/>
        <item x="3460"/>
        <item x="1740"/>
        <item x="4165"/>
        <item x="834"/>
        <item x="611"/>
        <item x="2652"/>
        <item x="4078"/>
        <item x="2348"/>
        <item x="2724"/>
        <item x="3477"/>
        <item x="1321"/>
        <item x="4100"/>
        <item x="437"/>
        <item x="4155"/>
        <item x="3000"/>
        <item x="1367"/>
        <item x="2815"/>
        <item x="3530"/>
        <item x="4546"/>
        <item x="1483"/>
        <item x="2187"/>
        <item x="3345"/>
        <item x="3831"/>
        <item x="2913"/>
        <item x="4108"/>
        <item x="2327"/>
        <item x="4640"/>
        <item x="4380"/>
        <item x="924"/>
        <item x="1610"/>
        <item x="792"/>
        <item x="0"/>
        <item x="3187"/>
        <item x="4166"/>
        <item x="2689"/>
        <item x="3662"/>
        <item x="2110"/>
        <item x="2524"/>
        <item x="3183"/>
        <item x="3025"/>
        <item x="2111"/>
        <item x="559"/>
        <item x="1820"/>
        <item x="2462"/>
        <item x="1689"/>
        <item x="1867"/>
        <item x="961"/>
        <item x="1094"/>
        <item x="1366"/>
        <item x="4286"/>
        <item x="4197"/>
        <item x="3676"/>
        <item x="215"/>
        <item x="3234"/>
        <item x="1222"/>
        <item x="3846"/>
        <item x="1677"/>
        <item x="322"/>
        <item x="242"/>
        <item x="1554"/>
        <item x="1360"/>
        <item x="3605"/>
        <item x="3551"/>
        <item x="668"/>
        <item x="850"/>
        <item x="2730"/>
        <item x="1966"/>
        <item x="1167"/>
        <item x="254"/>
        <item x="3737"/>
        <item x="1397"/>
        <item x="3649"/>
        <item x="2713"/>
        <item x="1005"/>
        <item x="1999"/>
        <item x="1363"/>
        <item x="3252"/>
        <item x="3027"/>
        <item x="3492"/>
        <item x="3713"/>
        <item x="490"/>
        <item x="1054"/>
        <item x="2804"/>
        <item x="4358"/>
        <item x="430"/>
        <item x="2750"/>
        <item x="4471"/>
        <item x="2941"/>
        <item x="138"/>
        <item x="2355"/>
        <item x="1840"/>
        <item x="3452"/>
        <item x="450"/>
        <item x="667"/>
        <item x="4518"/>
        <item x="155"/>
        <item x="3672"/>
        <item x="4024"/>
        <item x="4537"/>
        <item x="1629"/>
        <item x="2547"/>
        <item x="2561"/>
        <item x="464"/>
        <item x="4289"/>
        <item x="3038"/>
        <item x="2942"/>
        <item x="3225"/>
        <item x="4384"/>
        <item x="942"/>
        <item x="2314"/>
        <item x="2212"/>
        <item x="1249"/>
        <item x="4446"/>
        <item x="4257"/>
        <item x="2767"/>
        <item x="1842"/>
        <item x="3466"/>
        <item x="2887"/>
        <item x="1907"/>
        <item x="2715"/>
        <item x="4053"/>
        <item x="962"/>
        <item x="826"/>
        <item x="894"/>
        <item x="3122"/>
        <item x="3564"/>
        <item x="1580"/>
        <item x="1715"/>
        <item x="1338"/>
        <item x="2016"/>
        <item x="1808"/>
        <item x="2130"/>
        <item x="3251"/>
        <item x="447"/>
        <item x="1133"/>
        <item x="1313"/>
        <item x="4520"/>
        <item x="2003"/>
        <item x="1128"/>
        <item x="697"/>
        <item x="195"/>
        <item x="4635"/>
        <item x="1701"/>
        <item x="1583"/>
        <item x="368"/>
        <item x="4394"/>
        <item x="1452"/>
        <item x="3336"/>
        <item x="1466"/>
        <item x="2567"/>
        <item x="1724"/>
        <item x="4454"/>
        <item x="2726"/>
        <item x="2069"/>
        <item x="4344"/>
        <item x="1211"/>
        <item x="324"/>
        <item x="3464"/>
        <item x="4535"/>
        <item x="1186"/>
        <item x="2654"/>
        <item x="4291"/>
        <item x="3505"/>
        <item x="3641"/>
        <item x="3527"/>
        <item x="811"/>
        <item x="1932"/>
        <item x="4422"/>
        <item x="180"/>
        <item x="4030"/>
        <item x="2995"/>
        <item x="3805"/>
        <item x="3925"/>
        <item x="2803"/>
        <item x="4263"/>
        <item x="2709"/>
        <item x="1462"/>
        <item x="3378"/>
        <item x="2439"/>
        <item x="2555"/>
        <item x="1718"/>
        <item x="4159"/>
        <item x="2388"/>
        <item x="1668"/>
        <item x="1527"/>
        <item x="3426"/>
        <item x="3726"/>
        <item x="633"/>
        <item x="1318"/>
        <item x="3284"/>
        <item x="1163"/>
        <item x="539"/>
        <item x="3469"/>
        <item x="4524"/>
        <item x="2574"/>
        <item x="1679"/>
        <item x="1636"/>
        <item x="639"/>
        <item x="2352"/>
        <item x="3646"/>
        <item x="3913"/>
        <item x="672"/>
        <item x="2035"/>
        <item x="2917"/>
        <item x="708"/>
        <item x="406"/>
        <item x="3291"/>
        <item x="936"/>
        <item x="105"/>
        <item x="2518"/>
        <item x="3366"/>
        <item x="1013"/>
        <item x="4255"/>
        <item x="3997"/>
        <item x="369"/>
        <item x="2791"/>
        <item x="171"/>
        <item x="2640"/>
        <item x="273"/>
        <item x="3035"/>
        <item x="2865"/>
        <item x="4576"/>
        <item x="4386"/>
        <item x="3804"/>
        <item x="1794"/>
        <item x="1911"/>
        <item x="3645"/>
        <item x="4110"/>
        <item x="1035"/>
        <item x="740"/>
        <item x="3351"/>
        <item x="3786"/>
        <item x="842"/>
        <item x="4132"/>
        <item x="4080"/>
        <item x="3967"/>
        <item x="3851"/>
        <item x="1711"/>
        <item x="4397"/>
        <item x="3606"/>
        <item x="4021"/>
        <item x="1555"/>
        <item x="1537"/>
        <item x="268"/>
        <item x="4493"/>
        <item x="2481"/>
        <item x="3734"/>
        <item x="904"/>
        <item x="1435"/>
        <item x="3934"/>
        <item x="3076"/>
        <item x="207"/>
        <item x="3435"/>
        <item x="2612"/>
        <item x="205"/>
        <item x="111"/>
        <item x="603"/>
        <item x="3568"/>
        <item x="3703"/>
        <item x="3862"/>
        <item x="196"/>
        <item x="812"/>
        <item x="4586"/>
        <item x="1651"/>
        <item x="3921"/>
        <item x="1296"/>
        <item x="824"/>
        <item x="1187"/>
        <item x="2290"/>
        <item x="2811"/>
        <item x="1369"/>
        <item x="1202"/>
        <item x="49"/>
        <item x="175"/>
        <item x="1698"/>
        <item x="578"/>
        <item x="3413"/>
        <item x="3575"/>
        <item x="3870"/>
        <item x="995"/>
        <item x="2979"/>
        <item x="2604"/>
        <item x="760"/>
        <item x="2734"/>
        <item x="4130"/>
        <item x="1417"/>
        <item x="2638"/>
        <item x="4428"/>
        <item x="407"/>
        <item x="509"/>
        <item x="4530"/>
        <item x="1474"/>
        <item x="719"/>
        <item x="2645"/>
        <item x="3639"/>
        <item x="2159"/>
        <item x="3266"/>
        <item x="796"/>
        <item x="3749"/>
        <item x="839"/>
        <item x="265"/>
        <item x="449"/>
        <item x="2671"/>
        <item x="486"/>
        <item x="2080"/>
        <item x="164"/>
        <item x="2646"/>
        <item x="3957"/>
        <item x="3872"/>
        <item x="511"/>
        <item x="707"/>
        <item x="3331"/>
        <item x="3181"/>
        <item x="3816"/>
        <item x="409"/>
        <item x="1346"/>
        <item x="1295"/>
        <item x="4028"/>
        <item x="4492"/>
        <item x="2221"/>
        <item x="3689"/>
        <item x="4379"/>
        <item x="1606"/>
        <item x="3369"/>
        <item x="3370"/>
        <item x="3885"/>
        <item x="4477"/>
        <item x="3546"/>
        <item x="3900"/>
        <item x="4215"/>
        <item x="1898"/>
        <item x="4046"/>
        <item x="3803"/>
        <item x="3780"/>
        <item x="863"/>
        <item x="139"/>
        <item x="4382"/>
        <item x="3332"/>
        <item x="1534"/>
        <item x="2254"/>
        <item x="1778"/>
        <item x="2955"/>
        <item x="3607"/>
        <item x="4531"/>
        <item x="3828"/>
        <item x="4340"/>
        <item x="1330"/>
        <item x="2165"/>
        <item x="831"/>
        <item x="3794"/>
        <item x="244"/>
        <item x="2870"/>
        <item x="2000"/>
        <item x="4004"/>
        <item x="2255"/>
        <item x="1258"/>
        <item x="991"/>
        <item x="663"/>
        <item x="1899"/>
        <item x="4338"/>
        <item x="3172"/>
        <item x="978"/>
        <item x="2529"/>
        <item x="3055"/>
        <item x="1418"/>
        <item x="4587"/>
        <item x="1077"/>
        <item x="320"/>
        <item x="2852"/>
        <item x="1847"/>
        <item x="1620"/>
        <item x="2898"/>
        <item x="359"/>
        <item x="2205"/>
        <item x="4651"/>
        <item x="1573"/>
        <item x="1659"/>
        <item x="3105"/>
        <item x="3829"/>
        <item x="481"/>
        <item x="3468"/>
        <item x="2307"/>
        <item x="1060"/>
        <item x="3263"/>
        <item x="2861"/>
        <item x="3036"/>
        <item x="1312"/>
        <item x="2633"/>
        <item x="1691"/>
        <item x="1237"/>
        <item x="3493"/>
        <item x="665"/>
        <item x="3508"/>
        <item x="8"/>
        <item x="3764"/>
        <item x="2344"/>
        <item x="479"/>
        <item x="681"/>
        <item x="2864"/>
        <item x="167"/>
        <item x="561"/>
        <item x="412"/>
        <item x="1332"/>
        <item x="3082"/>
        <item x="4054"/>
        <item x="332"/>
        <item x="1557"/>
        <item x="3553"/>
        <item x="3375"/>
        <item x="2136"/>
        <item x="798"/>
        <item x="3686"/>
        <item x="617"/>
        <item x="2131"/>
        <item x="3635"/>
        <item x="4502"/>
        <item x="142"/>
        <item x="1971"/>
        <item x="3383"/>
        <item x="4058"/>
        <item x="4227"/>
        <item x="4602"/>
        <item x="4440"/>
        <item x="1624"/>
        <item x="2343"/>
        <item x="1614"/>
        <item x="3453"/>
        <item x="266"/>
        <item x="3766"/>
        <item x="710"/>
        <item x="1964"/>
        <item x="2559"/>
        <item x="1801"/>
        <item x="1887"/>
        <item x="3567"/>
        <item x="724"/>
        <item x="2047"/>
        <item x="2890"/>
        <item x="272"/>
        <item x="3964"/>
        <item x="184"/>
        <item x="3024"/>
        <item x="333"/>
        <item x="770"/>
        <item x="1495"/>
        <item x="4420"/>
        <item x="4364"/>
        <item x="953"/>
        <item x="371"/>
        <item x="568"/>
        <item x="2242"/>
        <item x="1197"/>
        <item x="1548"/>
        <item x="1195"/>
        <item x="1531"/>
        <item x="1173"/>
        <item x="4133"/>
        <item x="3842"/>
        <item x="2828"/>
        <item x="1482"/>
        <item x="2493"/>
        <item x="1026"/>
        <item x="3644"/>
        <item x="3817"/>
        <item x="1649"/>
        <item x="1446"/>
        <item x="1858"/>
        <item x="2393"/>
        <item x="1226"/>
        <item x="554"/>
        <item x="3066"/>
        <item x="5"/>
        <item x="805"/>
        <item x="3319"/>
        <item x="4327"/>
        <item x="235"/>
        <item x="1132"/>
        <item x="1825"/>
        <item x="656"/>
        <item x="921"/>
        <item x="3864"/>
        <item x="2771"/>
        <item x="76"/>
        <item x="2687"/>
        <item x="4426"/>
        <item x="3128"/>
        <item x="198"/>
        <item x="2074"/>
        <item x="3432"/>
        <item x="1456"/>
        <item x="1328"/>
        <item x="4516"/>
        <item x="2824"/>
        <item x="864"/>
        <item x="2431"/>
        <item x="253"/>
        <item x="2378"/>
        <item x="446"/>
        <item x="2598"/>
        <item x="255"/>
        <item x="4087"/>
        <item x="1432"/>
        <item x="3123"/>
        <item x="2711"/>
        <item x="2463"/>
        <item x="4213"/>
        <item x="4326"/>
        <item x="83"/>
        <item x="1683"/>
        <item x="2058"/>
        <item x="2976"/>
        <item x="560"/>
        <item x="772"/>
        <item x="1702"/>
        <item x="4111"/>
        <item x="4595"/>
        <item x="1073"/>
        <item x="1764"/>
        <item x="4153"/>
        <item x="3170"/>
        <item x="2515"/>
        <item x="2920"/>
        <item x="2478"/>
        <item x="2014"/>
        <item x="4591"/>
        <item x="3096"/>
        <item x="319"/>
        <item x="3428"/>
        <item x="2961"/>
        <item x="911"/>
        <item x="754"/>
        <item x="919"/>
        <item x="2363"/>
        <item x="3998"/>
        <item x="2878"/>
        <item x="677"/>
        <item x="4251"/>
        <item x="1501"/>
        <item x="3145"/>
        <item x="4275"/>
        <item x="1370"/>
        <item x="1918"/>
        <item x="755"/>
        <item x="4092"/>
        <item x="3865"/>
        <item x="879"/>
        <item x="1533"/>
        <item x="1504"/>
        <item x="1353"/>
        <item x="3299"/>
        <item x="3761"/>
        <item x="4598"/>
        <item x="456"/>
        <item x="3305"/>
        <item x="908"/>
        <item x="4246"/>
        <item x="224"/>
        <item x="881"/>
        <item x="3050"/>
        <item x="2145"/>
        <item x="2396"/>
        <item x="4212"/>
        <item x="3945"/>
        <item x="477"/>
        <item x="2204"/>
        <item x="3348"/>
        <item x="2027"/>
        <item x="1269"/>
        <item x="3658"/>
        <item x="4342"/>
        <item x="4417"/>
        <item x="3011"/>
        <item x="2397"/>
        <item x="2569"/>
        <item x="3795"/>
        <item x="1468"/>
        <item x="1922"/>
        <item x="3395"/>
        <item x="1050"/>
        <item x="2906"/>
        <item x="1667"/>
        <item x="3698"/>
        <item x="2585"/>
        <item x="690"/>
        <item x="116"/>
        <item x="2801"/>
        <item x="3809"/>
        <item x="4099"/>
        <item x="3720"/>
        <item x="1388"/>
        <item x="1797"/>
        <item x="54"/>
        <item x="2759"/>
        <item x="1988"/>
        <item x="3408"/>
        <item x="2780"/>
        <item x="1141"/>
        <item x="4620"/>
        <item x="1849"/>
        <item x="2404"/>
        <item x="2675"/>
        <item x="279"/>
        <item x="4317"/>
        <item x="1600"/>
        <item x="1960"/>
        <item x="1945"/>
        <item x="3771"/>
        <item x="1730"/>
        <item x="4228"/>
        <item x="4226"/>
        <item x="2008"/>
        <item x="2813"/>
        <item x="3237"/>
        <item x="1178"/>
        <item x="685"/>
        <item x="2841"/>
        <item x="758"/>
        <item x="1233"/>
        <item x="2435"/>
        <item x="2150"/>
        <item x="1650"/>
        <item x="3372"/>
        <item x="2999"/>
        <item x="411"/>
        <item x="3142"/>
        <item x="4176"/>
        <item x="3173"/>
        <item x="2536"/>
        <item x="3740"/>
        <item x="4029"/>
        <item x="1223"/>
        <item x="1285"/>
        <item x="2542"/>
        <item x="623"/>
        <item x="3572"/>
        <item x="3419"/>
        <item x="3110"/>
        <item x="3814"/>
        <item x="550"/>
        <item x="2650"/>
        <item x="600"/>
        <item x="327"/>
        <item x="3944"/>
        <item x="3974"/>
        <item x="743"/>
        <item x="1886"/>
        <item x="4460"/>
        <item x="3693"/>
        <item x="1130"/>
        <item x="3031"/>
        <item x="1544"/>
        <item x="4588"/>
        <item x="2927"/>
        <item x="1245"/>
        <item x="3287"/>
        <item x="2503"/>
        <item x="402"/>
        <item x="3800"/>
        <item x="3389"/>
        <item x="3418"/>
        <item x="2226"/>
        <item x="344"/>
        <item x="507"/>
        <item x="2706"/>
        <item x="1401"/>
        <item x="2081"/>
        <item x="2233"/>
        <item x="1074"/>
        <item x="3032"/>
        <item x="4307"/>
        <item x="1410"/>
        <item x="469"/>
        <item x="3721"/>
        <item x="2446"/>
        <item x="1055"/>
        <item x="652"/>
        <item x="1431"/>
        <item x="1630"/>
        <item x="574"/>
        <item x="2938"/>
        <item x="457"/>
        <item x="1575"/>
        <item x="3577"/>
        <item x="4288"/>
        <item x="2430"/>
        <item x="3059"/>
        <item x="3297"/>
        <item x="3528"/>
        <item x="1950"/>
        <item x="3261"/>
        <item x="2658"/>
        <item x="4284"/>
        <item x="3818"/>
        <item x="4484"/>
        <item x="3500"/>
        <item x="4470"/>
        <item x="1587"/>
        <item x="1171"/>
        <item x="564"/>
        <item x="3732"/>
        <item x="3272"/>
        <item x="3430"/>
        <item x="1084"/>
        <item x="4232"/>
        <item x="1916"/>
        <item x="2931"/>
        <item x="1680"/>
        <item x="225"/>
        <item x="2271"/>
        <item x="2595"/>
        <item x="4218"/>
        <item x="2045"/>
        <item x="2243"/>
        <item x="4647"/>
        <item x="3609"/>
        <item x="440"/>
        <item x="2138"/>
        <item x="4658"/>
        <item x="2322"/>
        <item x="2428"/>
        <item x="4127"/>
        <item x="4248"/>
        <item x="2596"/>
        <item x="3659"/>
        <item x="4260"/>
        <item x="2790"/>
        <item x="3682"/>
        <item x="3394"/>
        <item x="3765"/>
        <item x="2380"/>
        <item x="3006"/>
        <item x="866"/>
        <item x="2950"/>
        <item x="3143"/>
        <item x="3057"/>
        <item x="2179"/>
        <item x="1706"/>
        <item x="2924"/>
        <item x="1822"/>
        <item x="1433"/>
        <item x="2895"/>
        <item x="3102"/>
        <item x="4274"/>
        <item x="1613"/>
        <item x="1684"/>
        <item x="3783"/>
        <item x="918"/>
        <item x="783"/>
        <item x="1041"/>
        <item x="1183"/>
        <item x="1512"/>
        <item x="1635"/>
        <item x="2630"/>
        <item x="3709"/>
        <item x="2830"/>
        <item x="2124"/>
        <item x="4199"/>
        <item x="3117"/>
        <item x="2026"/>
        <item x="199"/>
        <item x="312"/>
        <item x="646"/>
        <item x="2777"/>
        <item x="3214"/>
        <item x="2725"/>
        <item x="4109"/>
        <item x="1010"/>
        <item x="1414"/>
        <item x="2351"/>
        <item x="355"/>
        <item x="1723"/>
        <item x="3089"/>
        <item x="705"/>
        <item x="1341"/>
        <item x="992"/>
        <item x="3558"/>
        <item x="3866"/>
        <item x="271"/>
        <item x="1323"/>
        <item x="2193"/>
        <item x="2387"/>
        <item x="2238"/>
        <item x="1347"/>
        <item x="669"/>
        <item x="3717"/>
        <item x="3514"/>
        <item x="3154"/>
        <item x="4083"/>
        <item x="4074"/>
        <item x="3979"/>
        <item x="4057"/>
        <item x="2782"/>
        <item x="1675"/>
        <item x="3836"/>
        <item x="860"/>
        <item x="3294"/>
        <item x="1634"/>
        <item x="3164"/>
        <item x="967"/>
        <item x="3748"/>
        <item x="2764"/>
        <item x="3293"/>
        <item x="248"/>
        <item x="1969"/>
        <item x="3714"/>
        <item x="2349"/>
        <item x="2037"/>
        <item x="2565"/>
        <item x="780"/>
        <item x="1953"/>
        <item x="1714"/>
        <item x="2556"/>
        <item x="20"/>
        <item x="4250"/>
        <item x="2739"/>
        <item x="801"/>
        <item x="4076"/>
        <item x="844"/>
        <item x="2201"/>
        <item x="3073"/>
        <item x="3755"/>
        <item x="2629"/>
        <item x="862"/>
        <item x="557"/>
        <item x="3918"/>
        <item x="2491"/>
        <item x="2984"/>
        <item x="887"/>
        <item x="2974"/>
        <item x="461"/>
        <item x="4156"/>
        <item x="1106"/>
        <item x="986"/>
        <item x="1901"/>
        <item x="3429"/>
        <item x="3652"/>
        <item x="4245"/>
        <item x="304"/>
        <item x="1766"/>
        <item x="1142"/>
        <item x="530"/>
        <item x="1777"/>
        <item x="3344"/>
        <item x="1830"/>
        <item x="1444"/>
        <item x="2728"/>
        <item x="4512"/>
        <item x="2846"/>
        <item x="4574"/>
        <item x="2731"/>
        <item x="3314"/>
        <item x="702"/>
        <item x="2884"/>
        <item x="4267"/>
        <item x="2971"/>
        <item x="2869"/>
        <item x="2168"/>
        <item x="1096"/>
        <item x="3171"/>
        <item x="2867"/>
        <item x="206"/>
        <item x="3317"/>
        <item x="2259"/>
        <item x="153"/>
        <item x="408"/>
        <item x="3887"/>
        <item x="1963"/>
        <item x="2655"/>
        <item x="3549"/>
        <item x="2266"/>
        <item x="1835"/>
        <item x="1089"/>
        <item x="2215"/>
        <item x="2471"/>
        <item x="3203"/>
        <item x="3461"/>
        <item x="133"/>
        <item x="3563"/>
        <item x="2551"/>
        <item x="389"/>
        <item x="2336"/>
        <item x="3478"/>
        <item x="2691"/>
        <item x="1954"/>
        <item x="4331"/>
        <item x="4369"/>
        <item x="4558"/>
        <item x="1406"/>
        <item x="2358"/>
        <item x="3197"/>
        <item x="194"/>
        <item x="349"/>
        <item x="3586"/>
        <item x="1405"/>
        <item x="2665"/>
        <item x="4568"/>
        <item x="4148"/>
        <item x="4482"/>
        <item x="420"/>
        <item x="4144"/>
        <item x="1823"/>
        <item x="189"/>
        <item x="1688"/>
        <item x="2071"/>
        <item x="241"/>
        <item x="3547"/>
        <item x="3757"/>
        <item x="4124"/>
        <item x="4088"/>
        <item x="587"/>
        <item x="4328"/>
        <item x="3282"/>
        <item x="4244"/>
        <item x="1126"/>
        <item x="2060"/>
        <item x="1755"/>
        <item x="2422"/>
        <item x="1256"/>
        <item x="3014"/>
        <item x="2209"/>
        <item x="4018"/>
        <item x="1983"/>
        <item x="3084"/>
        <item x="3159"/>
        <item x="3692"/>
        <item x="629"/>
        <item x="1974"/>
        <item x="3444"/>
        <item x="4123"/>
        <item x="3793"/>
        <item x="63"/>
        <item x="761"/>
        <item x="1799"/>
        <item x="4190"/>
        <item x="803"/>
        <item x="2967"/>
        <item x="767"/>
        <item x="3320"/>
        <item x="4359"/>
        <item x="3192"/>
        <item x="181"/>
        <item x="782"/>
        <item x="4547"/>
        <item x="177"/>
        <item x="4043"/>
        <item x="185"/>
        <item x="925"/>
        <item x="1374"/>
        <item x="4277"/>
        <item x="788"/>
        <item x="3379"/>
        <item x="692"/>
        <item x="1818"/>
        <item x="744"/>
        <item x="219"/>
        <item x="211"/>
        <item x="2133"/>
        <item x="3898"/>
        <item x="2157"/>
        <item x="1984"/>
        <item x="3743"/>
        <item x="3600"/>
        <item x="579"/>
        <item x="2068"/>
        <item x="3919"/>
        <item x="1593"/>
        <item x="1000"/>
        <item x="3695"/>
        <item x="3604"/>
        <item x="10"/>
        <item x="4513"/>
        <item x="2698"/>
        <item x="187"/>
        <item x="2195"/>
        <item x="1817"/>
        <item x="4313"/>
        <item x="2222"/>
        <item x="4517"/>
        <item x="3205"/>
        <item x="2061"/>
        <item x="3488"/>
        <item x="2570"/>
        <item x="33"/>
        <item x="2637"/>
        <item x="2959"/>
        <item x="4065"/>
        <item x="2946"/>
        <item x="2340"/>
        <item x="4152"/>
        <item x="71"/>
        <item x="2482"/>
        <item x="1810"/>
        <item x="4239"/>
        <item x="4220"/>
        <item x="3091"/>
        <item x="356"/>
        <item x="914"/>
        <item x="556"/>
        <item x="1293"/>
        <item x="1674"/>
        <item x="4141"/>
        <item x="2747"/>
        <item x="4203"/>
        <item x="1101"/>
        <item x="2103"/>
        <item x="348"/>
        <item x="3481"/>
        <item x="3384"/>
        <item x="551"/>
        <item x="1728"/>
        <item x="1489"/>
        <item x="3700"/>
        <item x="2994"/>
        <item x="1485"/>
        <item x="2997"/>
        <item x="4129"/>
        <item x="1447"/>
        <item x="247"/>
        <item x="1091"/>
        <item x="1112"/>
        <item x="2972"/>
        <item x="455"/>
        <item x="3503"/>
        <item x="944"/>
        <item x="38"/>
        <item x="856"/>
        <item x="765"/>
        <item x="17"/>
        <item x="4177"/>
        <item x="2626"/>
        <item x="3241"/>
        <item x="1890"/>
        <item x="4120"/>
        <item x="2411"/>
        <item x="1710"/>
        <item x="2817"/>
        <item x="529"/>
        <item x="3751"/>
        <item x="4389"/>
        <item x="4604"/>
        <item x="4231"/>
        <item x="3742"/>
        <item x="870"/>
        <item x="1821"/>
        <item x="1955"/>
        <item x="3539"/>
        <item x="3965"/>
        <item x="1592"/>
        <item x="3388"/>
        <item x="3416"/>
        <item x="1846"/>
        <item x="2354"/>
        <item x="855"/>
        <item x="98"/>
        <item x="238"/>
        <item x="3359"/>
        <item x="2200"/>
        <item x="4567"/>
        <item x="2144"/>
        <item x="3196"/>
        <item x="1780"/>
        <item x="3080"/>
        <item x="3498"/>
        <item x="3739"/>
        <item x="1403"/>
        <item x="3966"/>
        <item x="718"/>
        <item x="1231"/>
        <item x="1951"/>
        <item x="1014"/>
        <item x="2460"/>
        <item x="334"/>
        <item x="4242"/>
        <item x="1216"/>
        <item x="39"/>
        <item x="144"/>
        <item x="3515"/>
        <item x="2700"/>
        <item x="4415"/>
        <item x="4118"/>
        <item x="3245"/>
        <item x="3278"/>
        <item x="882"/>
        <item x="4182"/>
        <item x="482"/>
        <item x="4098"/>
        <item x="897"/>
        <item x="3796"/>
        <item x="4536"/>
        <item x="3053"/>
        <item x="4566"/>
        <item x="4447"/>
        <item x="2816"/>
        <item x="3308"/>
        <item x="2464"/>
        <item x="809"/>
        <item x="3109"/>
        <item x="609"/>
        <item x="1337"/>
        <item x="2502"/>
        <item x="4594"/>
        <item x="3396"/>
        <item x="2217"/>
        <item x="1813"/>
        <item x="3715"/>
        <item x="309"/>
        <item x="384"/>
        <item x="1946"/>
        <item x="1985"/>
        <item x="514"/>
        <item x="4532"/>
        <item x="3456"/>
        <item x="990"/>
        <item x="1316"/>
        <item x="28"/>
        <item x="1912"/>
        <item x="245"/>
        <item x="674"/>
        <item x="636"/>
        <item x="3092"/>
        <item x="4631"/>
        <item x="513"/>
        <item x="96"/>
        <item x="871"/>
        <item x="4279"/>
        <item x="806"/>
        <item x="571"/>
        <item x="4653"/>
        <item x="284"/>
        <item x="2207"/>
        <item x="32"/>
        <item x="3962"/>
        <item x="4449"/>
        <item x="2070"/>
        <item x="2386"/>
        <item x="2219"/>
        <item x="899"/>
        <item x="2066"/>
        <item x="2483"/>
        <item x="1027"/>
        <item x="1523"/>
        <item x="1273"/>
        <item x="2577"/>
        <item x="2674"/>
        <item x="2224"/>
        <item x="3256"/>
        <item x="2873"/>
        <item x="592"/>
        <item x="2487"/>
        <item x="3611"/>
        <item x="30"/>
        <item x="1085"/>
        <item x="3"/>
        <item x="2362"/>
        <item x="4023"/>
        <item x="2114"/>
        <item x="1734"/>
        <item x="2485"/>
        <item x="1242"/>
        <item x="3822"/>
        <item x="3140"/>
        <item x="2799"/>
        <item x="3669"/>
        <item x="3716"/>
        <item x="1497"/>
        <item x="1743"/>
        <item x="1804"/>
        <item x="584"/>
        <item x="2146"/>
        <item x="4548"/>
        <item x="4142"/>
        <item x="1941"/>
        <item x="4665"/>
        <item x="2591"/>
        <item x="174"/>
        <item x="4469"/>
        <item x="1888"/>
        <item x="3735"/>
        <item x="6"/>
        <item x="4473"/>
        <item x="341"/>
        <item x="2741"/>
        <item x="604"/>
        <item x="2389"/>
        <item x="4569"/>
        <item x="15"/>
        <item x="2135"/>
        <item x="1753"/>
        <item x="119"/>
        <item x="3201"/>
        <item x="575"/>
        <item x="1625"/>
        <item x="1300"/>
        <item x="3048"/>
        <item x="3202"/>
        <item x="323"/>
        <item x="1678"/>
        <item x="2792"/>
        <item x="2423"/>
        <item x="1203"/>
        <item x="232"/>
        <item x="448"/>
        <item x="2670"/>
        <item x="3286"/>
        <item x="781"/>
        <item x="1288"/>
        <item x="210"/>
        <item x="1681"/>
        <item x="840"/>
        <item x="916"/>
        <item x="2031"/>
        <item x="1087"/>
        <item x="3815"/>
        <item x="1873"/>
        <item x="434"/>
        <item x="764"/>
        <item x="3566"/>
        <item x="4265"/>
        <item x="3207"/>
        <item x="1445"/>
        <item x="3045"/>
        <item x="2614"/>
        <item x="1422"/>
        <item x="3696"/>
        <item x="2505"/>
        <item x="4421"/>
        <item x="108"/>
        <item x="1454"/>
        <item x="2353"/>
        <item x="891"/>
        <item x="1022"/>
        <item x="1179"/>
        <item x="1882"/>
        <item x="1227"/>
        <item x="3958"/>
        <item x="3665"/>
        <item x="4565"/>
        <item x="4306"/>
        <item x="635"/>
        <item x="4138"/>
        <item x="24"/>
        <item x="2046"/>
        <item x="1663"/>
        <item x="443"/>
        <item x="62"/>
        <item x="311"/>
        <item x="4136"/>
        <item x="243"/>
        <item x="828"/>
        <item x="4122"/>
        <item x="1297"/>
        <item x="4033"/>
        <item x="2554"/>
        <item x="1618"/>
        <item x="979"/>
        <item x="3198"/>
        <item x="1372"/>
        <item x="1513"/>
        <item x="1919"/>
        <item x="321"/>
        <item x="2651"/>
        <item x="1308"/>
        <item x="1787"/>
        <item x="4051"/>
        <item x="3785"/>
        <item x="267"/>
        <item x="4459"/>
        <item x="4233"/>
        <item x="2506"/>
        <item x="2228"/>
        <item x="338"/>
        <item x="1213"/>
        <item x="742"/>
        <item x="2409"/>
        <item x="1496"/>
        <item x="2586"/>
        <item x="721"/>
        <item x="2263"/>
        <item x="2475"/>
        <item x="297"/>
        <item x="2568"/>
        <item x="4009"/>
        <item x="4400"/>
        <item x="4395"/>
        <item x="3422"/>
        <item x="553"/>
        <item x="905"/>
        <item x="2261"/>
        <item x="3633"/>
        <item x="3161"/>
        <item x="4388"/>
        <item x="480"/>
        <item x="3591"/>
        <item x="523"/>
        <item x="1721"/>
        <item x="246"/>
        <item x="1157"/>
        <item x="3776"/>
        <item x="1957"/>
        <item x="2911"/>
        <item x="4167"/>
        <item x="1854"/>
        <item x="1992"/>
        <item x="1646"/>
        <item x="259"/>
        <item x="1350"/>
        <item x="3499"/>
        <item x="1725"/>
        <item x="2609"/>
        <item x="520"/>
        <item x="1331"/>
        <item x="2405"/>
        <item x="2394"/>
        <item x="726"/>
        <item x="4178"/>
        <item x="2752"/>
        <item x="3674"/>
        <item x="471"/>
        <item x="4211"/>
        <item x="57"/>
        <item x="1599"/>
        <item x="2520"/>
        <item x="3156"/>
        <item x="75"/>
        <item x="2241"/>
        <item x="3421"/>
        <item x="282"/>
        <item x="4006"/>
        <item x="1117"/>
        <item x="388"/>
        <item x="778"/>
        <item x="1103"/>
        <item x="649"/>
        <item x="896"/>
        <item x="3335"/>
        <item x="3242"/>
        <item x="2055"/>
        <item x="2484"/>
        <item x="1380"/>
        <item x="1494"/>
        <item x="2814"/>
        <item x="3718"/>
        <item x="846"/>
        <item x="492"/>
        <item x="1809"/>
        <item x="3931"/>
        <item x="1498"/>
        <item x="4090"/>
        <item x="3719"/>
        <item x="4545"/>
        <item x="3769"/>
        <item x="2983"/>
        <item x="2928"/>
        <item x="2002"/>
        <item x="1611"/>
        <item x="589"/>
        <item x="1791"/>
        <item x="277"/>
        <item x="1021"/>
        <item x="3655"/>
        <item x="3625"/>
        <item x="664"/>
        <item x="3856"/>
        <item x="2692"/>
        <item x="2581"/>
        <item x="3632"/>
        <item x="1253"/>
        <item x="2499"/>
        <item x="4300"/>
        <item x="4434"/>
        <item x="1029"/>
        <item x="4504"/>
        <item x="137"/>
        <item x="4494"/>
        <item x="2806"/>
        <item x="774"/>
        <item x="1284"/>
        <item x="84"/>
        <item x="2303"/>
        <item x="2436"/>
        <item x="2576"/>
        <item x="1248"/>
        <item x="431"/>
        <item x="3324"/>
        <item x="4436"/>
        <item x="3219"/>
        <item x="4131"/>
        <item x="1748"/>
        <item x="3449"/>
        <item x="2988"/>
        <item x="2930"/>
        <item x="1642"/>
        <item x="3634"/>
        <item x="3001"/>
        <item x="2214"/>
        <item x="3397"/>
        <item x="46"/>
        <item x="582"/>
        <item x="4192"/>
        <item x="313"/>
        <item x="2467"/>
        <item x="3265"/>
        <item x="2613"/>
        <item x="2832"/>
        <item x="422"/>
        <item x="2649"/>
        <item x="3217"/>
        <item x="3386"/>
        <item x="591"/>
        <item x="1390"/>
        <item x="2973"/>
        <item x="2500"/>
        <item x="463"/>
        <item x="4208"/>
        <item x="4056"/>
        <item x="2845"/>
        <item x="849"/>
        <item x="957"/>
        <item x="2952"/>
        <item x="16"/>
        <item x="1165"/>
        <item x="484"/>
        <item x="317"/>
        <item x="1972"/>
        <item x="4347"/>
        <item x="40"/>
        <item x="1135"/>
        <item x="3612"/>
        <item x="4448"/>
        <item x="660"/>
        <item x="2056"/>
        <item x="2822"/>
        <item x="4225"/>
        <item x="779"/>
        <item x="3114"/>
        <item x="4371"/>
        <item x="1068"/>
        <item x="1774"/>
        <item x="2544"/>
        <item x="1814"/>
        <item x="2407"/>
        <item x="4095"/>
        <item x="4466"/>
        <item x="445"/>
        <item x="2627"/>
        <item x="1492"/>
        <item x="3257"/>
        <item x="3403"/>
        <item x="565"/>
        <item x="3701"/>
        <item x="1290"/>
        <item x="2663"/>
        <item x="2886"/>
        <item x="3079"/>
        <item x="1342"/>
        <item x="3867"/>
        <item x="1795"/>
        <item x="3777"/>
        <item x="4480"/>
        <item x="2519"/>
        <item x="151"/>
        <item x="2925"/>
        <item x="580"/>
        <item x="462"/>
        <item x="2166"/>
        <item x="1049"/>
        <item x="3062"/>
        <item x="3487"/>
        <item x="3821"/>
        <item x="821"/>
        <item x="1556"/>
        <item x="1166"/>
        <item x="1612"/>
        <item x="3043"/>
        <item x="586"/>
        <item x="4168"/>
        <item x="1354"/>
        <item x="3298"/>
        <item x="1784"/>
        <item x="2642"/>
        <item x="3475"/>
        <item x="3994"/>
        <item x="21"/>
        <item x="512"/>
        <item x="2151"/>
        <item x="4321"/>
        <item x="3022"/>
        <item x="2688"/>
        <item x="208"/>
        <item x="1040"/>
        <item x="2371"/>
        <item x="222"/>
        <item x="4575"/>
        <item x="4645"/>
        <item x="3936"/>
        <item x="2415"/>
        <item x="1144"/>
        <item x="3212"/>
        <item x="506"/>
        <item x="4303"/>
        <item x="558"/>
        <item x="1856"/>
        <item x="1897"/>
        <item x="4527"/>
        <item x="3295"/>
        <item x="3601"/>
        <item x="1015"/>
        <item x="1304"/>
        <item x="4541"/>
        <item x="2410"/>
        <item x="2232"/>
        <item x="2531"/>
        <item x="2172"/>
        <item x="1648"/>
        <item x="4540"/>
        <item x="3802"/>
        <item x="4259"/>
        <item x="298"/>
        <item x="347"/>
        <item x="2936"/>
        <item x="4618"/>
        <item x="2538"/>
        <item x="1362"/>
        <item x="937"/>
        <item x="4399"/>
        <item x="1553"/>
        <item x="2787"/>
        <item x="4404"/>
        <item x="2901"/>
        <item x="2288"/>
        <item x="1905"/>
        <item x="3283"/>
        <item x="725"/>
        <item x="3270"/>
        <item x="3482"/>
        <item x="3675"/>
        <item x="1058"/>
        <item x="165"/>
        <item x="4396"/>
        <item x="1545"/>
        <item x="4393"/>
        <item x="3883"/>
        <item x="2648"/>
        <item x="3020"/>
        <item x="82"/>
        <item x="4496"/>
        <item x="2766"/>
        <item x="2119"/>
        <item x="2062"/>
        <item x="2469"/>
        <item x="81"/>
        <item x="2753"/>
        <item x="3927"/>
        <item x="913"/>
        <item x="2572"/>
        <item x="2452"/>
        <item x="4169"/>
        <item x="1726"/>
        <item x="1324"/>
        <item x="4633"/>
        <item x="4061"/>
        <item x="3687"/>
        <item x="2376"/>
        <item x="3667"/>
        <item x="1976"/>
        <item x="1351"/>
        <item x="4557"/>
        <item x="1208"/>
        <item x="444"/>
        <item x="2095"/>
        <item x="1502"/>
        <item x="601"/>
        <item x="1477"/>
        <item x="292"/>
        <item x="2309"/>
        <item x="2669"/>
        <item x="632"/>
        <item x="1705"/>
        <item x="1754"/>
        <item x="3070"/>
        <item x="3404"/>
        <item x="301"/>
        <item x="1340"/>
        <item x="3835"/>
        <item x="933"/>
        <item x="1169"/>
        <item x="1008"/>
        <item x="1836"/>
        <item x="1686"/>
        <item x="2240"/>
        <item x="2584"/>
        <item x="3988"/>
        <item x="417"/>
        <item x="2860"/>
        <item x="3615"/>
        <item x="1263"/>
        <item x="3750"/>
        <item x="3260"/>
        <item x="4370"/>
        <item x="1869"/>
        <item x="4204"/>
        <item x="3987"/>
        <item x="1326"/>
        <item x="817"/>
        <item x="3603"/>
        <item x="1616"/>
        <item x="2342"/>
        <item x="1973"/>
        <item x="1859"/>
        <item x="2347"/>
        <item x="1440"/>
        <item x="1889"/>
        <item x="4455"/>
        <item x="4189"/>
        <item x="2326"/>
        <item x="3357"/>
        <item x="699"/>
        <item x="1098"/>
        <item x="3745"/>
        <item x="432"/>
        <item x="316"/>
        <item x="1355"/>
        <item x="4038"/>
        <item x="2929"/>
        <item x="166"/>
        <item x="263"/>
        <item x="3222"/>
        <item x="1282"/>
        <item x="2188"/>
        <item x="172"/>
        <item x="935"/>
        <item x="149"/>
        <item x="307"/>
        <item x="3229"/>
        <item x="4339"/>
        <item x="3321"/>
        <item x="2549"/>
        <item x="966"/>
        <item x="544"/>
        <item x="1344"/>
        <item x="1209"/>
        <item x="2631"/>
        <item x="1228"/>
        <item x="4298"/>
        <item x="2057"/>
        <item x="4164"/>
        <item x="1516"/>
        <item x="607"/>
        <item x="1137"/>
        <item x="2330"/>
        <item x="1803"/>
        <item x="468"/>
        <item x="377"/>
        <item x="547"/>
        <item x="1129"/>
        <item x="3471"/>
        <item x="110"/>
        <item x="3433"/>
        <item x="3339"/>
        <item x="4362"/>
        <item x="3617"/>
        <item x="1412"/>
        <item x="1139"/>
        <item x="762"/>
        <item x="2723"/>
        <item x="483"/>
        <item x="2417"/>
        <item x="4507"/>
        <item x="250"/>
        <item x="610"/>
        <item x="3086"/>
        <item x="2588"/>
        <item x="396"/>
        <item x="3760"/>
        <item x="2945"/>
        <item x="2821"/>
        <item x="3479"/>
        <item x="2421"/>
        <item x="217"/>
        <item x="4045"/>
        <item x="527"/>
        <item x="2657"/>
        <item x="1383"/>
        <item x="2517"/>
        <item x="787"/>
        <item x="2317"/>
        <item x="1857"/>
        <item x="643"/>
        <item x="1987"/>
        <item x="3373"/>
        <item x="1522"/>
        <item x="684"/>
        <item x="3738"/>
        <item x="193"/>
        <item x="906"/>
        <item x="1519"/>
        <item x="4236"/>
        <item x="2178"/>
        <item x="4413"/>
        <item x="1627"/>
        <item x="3813"/>
        <item x="1615"/>
        <item x="4644"/>
        <item x="2023"/>
        <item x="518"/>
        <item x="220"/>
        <item x="43"/>
        <item x="1193"/>
        <item x="2011"/>
        <item x="2857"/>
        <item x="2900"/>
        <item x="843"/>
        <item x="3235"/>
        <item x="418"/>
        <item x="522"/>
        <item x="912"/>
        <item x="1090"/>
        <item x="2758"/>
        <item x="3131"/>
        <item x="4224"/>
        <item x="2113"/>
        <item x="202"/>
        <item x="1028"/>
        <item x="3322"/>
        <item x="886"/>
        <item x="654"/>
        <item x="3176"/>
        <item x="2578"/>
        <item x="3542"/>
        <item x="2155"/>
        <item x="552"/>
        <item x="728"/>
        <item x="3313"/>
        <item x="2024"/>
        <item x="68"/>
        <item x="4280"/>
        <item x="4642"/>
        <item x="1387"/>
        <item x="3552"/>
        <item x="2769"/>
        <item x="2919"/>
        <item x="4414"/>
        <item x="1175"/>
        <item x="4016"/>
        <item x="3337"/>
        <item x="1540"/>
        <item x="1024"/>
        <item x="2246"/>
        <item x="3573"/>
        <item x="3506"/>
        <item x="381"/>
        <item x="599"/>
        <item x="1567"/>
        <item x="1761"/>
        <item x="3501"/>
        <item x="3347"/>
        <item x="2918"/>
        <item x="3220"/>
        <item x="2737"/>
        <item x="3877"/>
        <item x="2262"/>
        <item x="1039"/>
        <item x="2143"/>
        <item x="1011"/>
        <item x="4206"/>
        <item x="3141"/>
        <item x="1309"/>
        <item x="3903"/>
        <item x="2707"/>
        <item x="358"/>
        <item x="4423"/>
        <item x="131"/>
        <item x="3139"/>
        <item x="989"/>
        <item x="1622"/>
        <item x="1623"/>
        <item x="3228"/>
        <item x="1120"/>
        <item x="3968"/>
        <item x="2863"/>
        <item x="3594"/>
        <item x="698"/>
        <item x="4573"/>
        <item x="890"/>
        <item x="517"/>
        <item x="3253"/>
        <item x="1745"/>
        <item x="4101"/>
        <item x="1790"/>
        <item x="2093"/>
        <item x="800"/>
        <item x="1343"/>
        <item x="433"/>
        <item x="4047"/>
        <item x="875"/>
        <item x="3762"/>
        <item x="1376"/>
        <item x="1574"/>
        <item x="403"/>
        <item x="4270"/>
        <item x="2449"/>
        <item x="750"/>
        <item x="538"/>
        <item x="112"/>
        <item x="993"/>
        <item x="3545"/>
        <item x="435"/>
        <item x="3592"/>
        <item x="867"/>
        <item x="2291"/>
        <item x="60"/>
        <item x="1594"/>
        <item x="162"/>
        <item x="1348"/>
        <item x="2089"/>
        <item x="3497"/>
        <item x="2167"/>
        <item x="873"/>
        <item x="2673"/>
        <item x="1529"/>
        <item x="1944"/>
        <item x="730"/>
        <item x="1247"/>
        <item x="2302"/>
        <item x="982"/>
        <item x="4580"/>
        <item x="546"/>
        <item x="1283"/>
        <item x="2295"/>
        <item x="2904"/>
        <item x="1851"/>
        <item x="2059"/>
        <item x="2379"/>
        <item x="362"/>
        <item x="2175"/>
        <item x="508"/>
        <item x="680"/>
        <item x="4606"/>
        <item x="4102"/>
        <item x="1113"/>
        <item x="4525"/>
        <item x="3300"/>
        <item x="4385"/>
        <item x="2539"/>
        <item x="4402"/>
        <item x="4360"/>
        <item x="2109"/>
        <item x="3230"/>
        <item x="531"/>
        <item x="1792"/>
        <item x="851"/>
        <item x="1782"/>
        <item x="2433"/>
        <item x="3670"/>
        <item x="3873"/>
        <item x="3916"/>
        <item x="1993"/>
        <item x="1174"/>
        <item x="2856"/>
        <item x="3799"/>
        <item x="1145"/>
        <item x="4157"/>
        <item x="789"/>
        <item x="1673"/>
        <item x="820"/>
        <item x="733"/>
        <item x="4425"/>
        <item x="3169"/>
        <item x="3144"/>
        <item x="3399"/>
        <item x="4325"/>
        <item x="1044"/>
        <item x="2940"/>
        <item x="3356"/>
        <item x="150"/>
        <item x="1364"/>
        <item x="2564"/>
        <item x="3346"/>
        <item x="963"/>
        <item x="3326"/>
        <item x="2112"/>
        <item x="3779"/>
        <item x="4634"/>
        <item x="3504"/>
        <item x="3728"/>
        <item x="2905"/>
        <item x="4465"/>
        <item x="1581"/>
        <item x="4652"/>
        <item x="715"/>
        <item x="1578"/>
        <item x="734"/>
        <item x="4357"/>
        <item x="1449"/>
        <item x="2676"/>
        <item x="2550"/>
        <item x="493"/>
        <item x="135"/>
        <item x="2703"/>
        <item x="4069"/>
        <item x="2333"/>
        <item x="4444"/>
        <item x="777"/>
        <item x="3844"/>
        <item x="4003"/>
        <item x="4081"/>
        <item x="3569"/>
        <item x="126"/>
        <item x="467"/>
        <item x="2249"/>
        <item x="1262"/>
        <item x="3233"/>
        <item x="4463"/>
        <item x="3474"/>
        <item x="2408"/>
        <item x="4249"/>
        <item x="2274"/>
        <item x="543"/>
        <item x="804"/>
        <item x="3409"/>
        <item x="983"/>
        <item x="3955"/>
        <item x="3733"/>
        <item x="4349"/>
        <item x="3628"/>
        <item x="548"/>
        <item x="2079"/>
        <item x="2173"/>
        <item x="3683"/>
        <item x="391"/>
        <item x="3023"/>
        <item x="4031"/>
        <item x="3956"/>
        <item x="2625"/>
        <item x="2180"/>
        <item x="1917"/>
        <item x="2091"/>
        <item x="545"/>
        <item x="3518"/>
        <item x="1742"/>
        <item x="2508"/>
        <item x="1119"/>
        <item x="346"/>
        <item x="466"/>
        <item x="2182"/>
        <item x="830"/>
        <item x="3125"/>
        <item x="3127"/>
        <item x="1528"/>
        <item x="474"/>
        <item x="192"/>
        <item x="31"/>
        <item x="459"/>
        <item x="141"/>
        <item x="23"/>
        <item x="4427"/>
        <item x="64"/>
        <item x="3004"/>
        <item x="4332"/>
        <item x="671"/>
        <item x="130"/>
        <item x="497"/>
        <item x="4508"/>
        <item x="4311"/>
        <item x="453"/>
        <item x="2438"/>
        <item x="1845"/>
        <item x="606"/>
        <item x="1598"/>
        <item x="2770"/>
        <item x="2783"/>
        <item x="4059"/>
        <item x="4351"/>
        <item x="1407"/>
        <item x="74"/>
        <item x="2329"/>
        <item x="2768"/>
        <item x="2090"/>
        <item x="3343"/>
        <item x="521"/>
        <item x="231"/>
        <item x="2206"/>
        <item x="3555"/>
        <item x="4627"/>
        <item x="861"/>
        <item x="4154"/>
        <item x="1617"/>
        <item x="2953"/>
        <item x="1579"/>
        <item x="4002"/>
        <item x="4283"/>
        <item x="4184"/>
        <item x="619"/>
        <item x="1850"/>
        <item x="289"/>
        <item x="773"/>
        <item x="4140"/>
        <item x="3306"/>
        <item x="3462"/>
        <item x="3949"/>
        <item x="3510"/>
        <item x="3688"/>
        <item x="3333"/>
        <item x="4458"/>
        <item x="2827"/>
        <item x="2512"/>
        <item x="233"/>
        <item x="3774"/>
        <item x="1700"/>
        <item x="360"/>
        <item x="594"/>
        <item x="4641"/>
        <item x="4554"/>
        <item x="2607"/>
        <item x="1720"/>
        <item x="125"/>
        <item x="3215"/>
        <item x="50"/>
        <item x="3115"/>
        <item x="3707"/>
        <item x="2021"/>
        <item x="1177"/>
        <item x="1896"/>
        <item x="4506"/>
        <item x="4341"/>
        <item x="190"/>
        <item x="1160"/>
        <item x="1336"/>
        <item x="1136"/>
        <item x="3512"/>
        <item x="1190"/>
        <item x="2441"/>
        <item x="1357"/>
        <item x="1906"/>
        <item x="2933"/>
        <item x="2308"/>
        <item x="2510"/>
        <item x="1595"/>
        <item x="3507"/>
        <item x="1006"/>
        <item x="1278"/>
        <item x="3486"/>
        <item x="3861"/>
        <item x="204"/>
        <item x="1275"/>
        <item x="4040"/>
        <item x="3304"/>
        <item x="2107"/>
        <item x="2030"/>
        <item x="2015"/>
        <item x="535"/>
        <item x="2902"/>
        <item x="3132"/>
        <item x="2486"/>
        <item x="2872"/>
        <item x="1411"/>
        <item x="1756"/>
        <item x="4322"/>
        <item x="3882"/>
        <item x="109"/>
        <item x="2714"/>
        <item x="4017"/>
        <item x="1717"/>
        <item x="3087"/>
        <item x="1586"/>
        <item x="4615"/>
        <item x="1110"/>
        <item x="3167"/>
        <item x="3922"/>
        <item x="1140"/>
        <item x="1738"/>
        <item x="3019"/>
        <item x="769"/>
        <item x="1072"/>
        <item x="3643"/>
        <item x="876"/>
        <item x="4499"/>
        <item x="2721"/>
        <item x="541"/>
        <item x="980"/>
        <item x="79"/>
        <item x="2029"/>
        <item x="2264"/>
        <item x="959"/>
        <item x="1786"/>
        <item x="2170"/>
        <item x="1088"/>
        <item x="1608"/>
        <item x="4201"/>
        <item x="4500"/>
        <item x="1270"/>
        <item x="2018"/>
        <item x="2915"/>
        <item x="315"/>
        <item x="3310"/>
        <item x="342"/>
        <item x="1641"/>
        <item x="823"/>
        <item x="4014"/>
        <item x="3521"/>
        <item x="4511"/>
        <item x="3078"/>
        <item x="2882"/>
        <item x="4617"/>
        <item x="500"/>
        <item x="3342"/>
        <item x="766"/>
        <item x="2934"/>
        <item x="3976"/>
        <item x="2338"/>
        <item x="653"/>
        <item x="115"/>
        <item x="489"/>
        <item x="94"/>
        <item x="214"/>
        <item x="4365"/>
        <item x="4025"/>
        <item x="236"/>
        <item x="878"/>
        <item x="2494"/>
        <item x="1828"/>
        <item x="4066"/>
        <item x="2656"/>
        <item x="1158"/>
        <item x="2191"/>
        <item x="816"/>
        <item x="738"/>
        <item x="2197"/>
        <item x="3529"/>
        <item x="2077"/>
        <item x="3845"/>
        <item x="3680"/>
        <item x="3983"/>
        <item x="4491"/>
        <item x="1476"/>
        <item x="2065"/>
        <item x="4550"/>
        <item x="1393"/>
        <item x="1009"/>
        <item x="2132"/>
        <item x="1320"/>
        <item x="2453"/>
        <item x="1281"/>
        <item x="2382"/>
        <item x="2736"/>
        <item x="945"/>
        <item x="3400"/>
        <item x="176"/>
        <item x="3371"/>
        <item x="1421"/>
        <item x="2185"/>
        <item x="3438"/>
        <item x="2840"/>
        <item x="666"/>
        <item x="1876"/>
        <item x="4032"/>
        <item x="818"/>
        <item x="1582"/>
        <item x="868"/>
        <item x="749"/>
        <item x="3285"/>
        <item x="2729"/>
        <item x="3893"/>
        <item x="1895"/>
        <item x="183"/>
        <item x="2048"/>
        <item x="3576"/>
        <item x="3018"/>
        <item x="2530"/>
        <item x="1508"/>
        <item x="4044"/>
        <item x="2306"/>
        <item x="4134"/>
        <item x="4578"/>
        <item x="3664"/>
        <item x="3152"/>
        <item x="3473"/>
        <item x="2653"/>
        <item x="2473"/>
        <item x="106"/>
        <item x="4376"/>
        <item x="1471"/>
        <item x="1597"/>
        <item x="1436"/>
        <item x="2514"/>
        <item x="3398"/>
        <item x="2444"/>
        <item x="415"/>
        <item x="2370"/>
        <item x="1653"/>
        <item x="397"/>
        <item x="3377"/>
        <item x="4001"/>
        <item x="3618"/>
        <item x="1862"/>
        <item x="2117"/>
        <item x="1365"/>
        <item x="3996"/>
        <item x="4254"/>
        <item x="1602"/>
        <item x="2120"/>
        <item x="3292"/>
        <item x="2479"/>
        <item x="3353"/>
        <item x="883"/>
        <item x="3090"/>
        <item x="1017"/>
        <item x="1082"/>
        <item x="2311"/>
        <item x="3513"/>
        <item x="1665"/>
        <item x="2587"/>
        <item x="4549"/>
        <item x="836"/>
        <item x="102"/>
        <item x="4592"/>
        <item x="1875"/>
        <item x="2364"/>
        <item x="532"/>
        <item x="2989"/>
        <item x="917"/>
        <item x="4252"/>
        <item x="573"/>
        <item x="1703"/>
        <item x="2522"/>
        <item x="3130"/>
        <item x="1427"/>
        <item x="4037"/>
        <item x="2466"/>
        <item x="4015"/>
        <item x="1339"/>
        <item x="3782"/>
        <item x="2250"/>
        <item x="4367"/>
        <item x="3039"/>
        <item x="4193"/>
        <item x="1541"/>
        <item x="2177"/>
        <item x="2871"/>
        <item x="3147"/>
        <item x="4607"/>
        <item x="704"/>
        <item x="4188"/>
        <item x="946"/>
        <item x="1102"/>
        <item x="549"/>
        <item x="1159"/>
        <item x="2779"/>
        <item x="3135"/>
        <item x="216"/>
        <item x="2042"/>
        <item x="1155"/>
        <item x="835"/>
        <item x="3863"/>
        <item x="4281"/>
        <item x="4296"/>
        <item x="647"/>
        <item x="1959"/>
        <item x="2947"/>
        <item x="4601"/>
        <item x="4616"/>
        <item x="4614"/>
        <item x="4443"/>
        <item x="620"/>
        <item x="4589"/>
        <item x="3993"/>
        <item x="746"/>
        <item x="1352"/>
        <item x="763"/>
        <item x="4409"/>
        <item x="3808"/>
        <item x="2426"/>
        <item x="3056"/>
        <item x="3517"/>
        <item x="1303"/>
        <item x="1062"/>
        <item x="2624"/>
        <item x="1934"/>
        <item x="1317"/>
        <item x="4478"/>
        <item x="3876"/>
        <item x="3541"/>
        <item x="4151"/>
        <item x="2680"/>
        <item x="3837"/>
        <item x="2943"/>
        <item x="977"/>
        <item x="3806"/>
        <item x="2820"/>
        <item x="3516"/>
        <item x="73"/>
        <item x="3405"/>
        <item x="1230"/>
        <item x="841"/>
        <item x="136"/>
        <item x="398"/>
        <item x="2402"/>
        <item x="339"/>
        <item x="2129"/>
        <item x="331"/>
        <item x="1658"/>
        <item x="1654"/>
        <item x="2442"/>
        <item x="1265"/>
        <item x="713"/>
        <item x="2548"/>
        <item x="2610"/>
        <item x="947"/>
        <item x="858"/>
        <item x="3690"/>
        <item x="3579"/>
        <item x="414"/>
        <item x="361"/>
        <item x="390"/>
        <item x="1967"/>
        <item x="941"/>
        <item x="1121"/>
        <item x="4062"/>
        <item x="1577"/>
        <item x="3685"/>
        <item x="852"/>
        <item x="1220"/>
        <item x="1381"/>
        <item x="2154"/>
        <item x="1547"/>
        <item x="3744"/>
        <item x="3362"/>
        <item x="1936"/>
        <item x="2975"/>
        <item x="3939"/>
        <item x="4093"/>
        <item x="1565"/>
        <item x="2189"/>
        <item x="2818"/>
        <item x="454"/>
        <item x="2805"/>
        <item x="2789"/>
        <item x="4433"/>
        <item x="3288"/>
        <item x="3250"/>
        <item x="4128"/>
        <item x="4450"/>
        <item x="2280"/>
        <item x="3610"/>
        <item x="949"/>
        <item x="2239"/>
        <item x="676"/>
        <item x="2893"/>
        <item x="2990"/>
        <item x="1775"/>
        <item x="775"/>
        <item x="1637"/>
        <item x="929"/>
        <item x="3937"/>
        <item x="1424"/>
        <item x="3548"/>
        <item x="2751"/>
        <item x="3741"/>
        <item x="2286"/>
        <item x="857"/>
        <item x="2634"/>
        <item x="3412"/>
        <item x="4629"/>
        <item x="3597"/>
        <item x="4060"/>
        <item x="364"/>
        <item x="1584"/>
        <item x="2202"/>
        <item x="1268"/>
        <item x="1866"/>
        <item x="3208"/>
        <item x="1116"/>
        <item x="2891"/>
        <item x="340"/>
        <item x="2774"/>
        <item x="61"/>
        <item x="2040"/>
        <item x="3211"/>
        <item x="720"/>
        <item x="4293"/>
        <item x="4416"/>
        <item x="2218"/>
        <item x="3970"/>
        <item x="3182"/>
        <item x="3631"/>
        <item x="1930"/>
        <item x="3986"/>
        <item x="1893"/>
        <item x="1292"/>
        <item x="1923"/>
        <item x="1066"/>
        <item x="3623"/>
        <item x="382"/>
        <item x="1546"/>
        <item x="934"/>
        <item x="2810"/>
        <item x="4551"/>
        <item x="2122"/>
        <item x="753"/>
        <item x="4160"/>
        <item x="3175"/>
        <item x="4599"/>
        <item x="1114"/>
        <item x="3491"/>
        <item x="2401"/>
        <item x="3589"/>
        <item x="1603"/>
        <item x="3933"/>
        <item x="3787"/>
        <item x="1831"/>
        <item x="2496"/>
        <item x="4315"/>
        <item x="4623"/>
        <item x="2038"/>
        <item x="657"/>
        <item x="1377"/>
        <item x="3224"/>
        <item x="4163"/>
        <item x="1229"/>
        <item x="386"/>
        <item x="1164"/>
        <item x="802"/>
        <item x="510"/>
        <item x="2635"/>
        <item x="627"/>
        <item x="502"/>
        <item x="41"/>
        <item x="819"/>
        <item x="3561"/>
        <item x="1509"/>
        <item x="4348"/>
        <item x="4106"/>
        <item x="465"/>
        <item x="337"/>
        <item x="154"/>
        <item x="1188"/>
        <item x="2740"/>
        <item x="2993"/>
        <item x="923"/>
        <item x="4073"/>
        <item x="209"/>
        <item x="89"/>
        <item x="4310"/>
        <item x="2639"/>
        <item x="3888"/>
        <item x="1865"/>
        <item x="3781"/>
        <item x="373"/>
        <item x="3034"/>
        <item x="1385"/>
        <item x="3619"/>
        <item x="2052"/>
        <item x="829"/>
        <item x="613"/>
        <item x="2161"/>
        <item x="813"/>
        <item x="2647"/>
        <item x="4205"/>
        <item x="3476"/>
        <item x="1048"/>
        <item x="1037"/>
        <item x="4247"/>
        <item x="4335"/>
        <item x="1194"/>
        <item x="3638"/>
        <item x="4390"/>
        <item x="148"/>
        <item x="3440"/>
        <item x="2597"/>
        <item x="1503"/>
        <item x="4125"/>
        <item x="3773"/>
        <item x="3584"/>
        <item x="218"/>
        <item x="1510"/>
        <item x="3448"/>
        <item x="648"/>
        <item x="2797"/>
        <item x="392"/>
        <item x="4086"/>
        <item x="2277"/>
        <item x="644"/>
        <item x="1384"/>
        <item x="2476"/>
        <item x="3148"/>
        <item x="48"/>
        <item x="2738"/>
        <item x="1246"/>
        <item x="2809"/>
        <item x="928"/>
        <item x="2312"/>
        <item x="2149"/>
        <item x="2980"/>
        <item x="3684"/>
        <item x="3613"/>
        <item x="3736"/>
        <item x="3071"/>
        <item x="1243"/>
        <item x="69"/>
        <item x="3054"/>
        <item x="2318"/>
        <item x="3819"/>
        <item x="4401"/>
        <item x="1154"/>
        <item x="1493"/>
        <item x="53"/>
        <item x="3978"/>
        <item x="156"/>
        <item x="2844"/>
        <item x="1460"/>
        <item x="2194"/>
        <item x="1063"/>
        <item x="393"/>
        <item x="47"/>
        <item x="3770"/>
        <item x="2632"/>
        <item x="3311"/>
        <item x="1115"/>
        <item x="3483"/>
        <item x="3582"/>
        <item x="1860"/>
        <item x="2546"/>
        <item x="3661"/>
        <item x="228"/>
        <item x="3072"/>
        <item x="3044"/>
        <item x="3341"/>
        <item x="4584"/>
        <item x="3763"/>
        <item x="2004"/>
        <item x="2571"/>
        <item x="3275"/>
        <item x="88"/>
        <item x="3042"/>
        <item x="3950"/>
        <item x="2448"/>
        <item x="3010"/>
        <item x="570"/>
        <item x="4637"/>
        <item x="981"/>
        <item x="2072"/>
        <item x="2785"/>
        <item x="1305"/>
        <item x="424"/>
        <item x="4505"/>
        <item x="3216"/>
        <item x="394"/>
        <item x="2012"/>
        <item x="2617"/>
        <item x="2373"/>
        <item x="287"/>
        <item x="1511"/>
        <item x="4407"/>
        <item x="3103"/>
        <item x="4509"/>
        <item x="1306"/>
        <item x="1894"/>
        <item x="286"/>
        <item x="2115"/>
        <item x="2346"/>
        <item x="3040"/>
        <item x="1235"/>
        <item x="1032"/>
        <item x="1378"/>
        <item x="3185"/>
        <item x="1036"/>
        <item x="95"/>
        <item x="696"/>
        <item x="400"/>
        <item x="3789"/>
        <item x="1002"/>
        <item x="1499"/>
        <item x="1469"/>
        <item x="729"/>
        <item x="737"/>
        <item x="2533"/>
        <item x="27"/>
        <item x="2985"/>
        <item x="910"/>
        <item x="2735"/>
        <item x="3984"/>
        <item x="2757"/>
        <item x="3574"/>
        <item x="1937"/>
        <item x="2778"/>
        <item x="1071"/>
        <item x="2183"/>
        <item x="3663"/>
        <item x="3330"/>
        <item x="2284"/>
        <item x="930"/>
        <item x="3729"/>
        <item x="722"/>
        <item x="291"/>
        <item x="3179"/>
        <item x="1488"/>
        <item x="1781"/>
        <item x="4336"/>
        <item x="590"/>
        <item x="146"/>
        <item x="3929"/>
        <item x="1760"/>
        <item x="3206"/>
        <item x="1095"/>
        <item x="2553"/>
        <item x="4418"/>
        <item x="794"/>
        <item x="2611"/>
        <item x="3005"/>
        <item x="4241"/>
        <item x="86"/>
        <item x="428"/>
        <item x="44"/>
        <item x="475"/>
        <item x="3926"/>
        <item x="4020"/>
        <item x="4624"/>
        <item x="1719"/>
        <item x="895"/>
        <item x="3028"/>
        <item x="2921"/>
        <item x="1083"/>
        <item x="3134"/>
        <item x="318"/>
        <item x="2372"/>
        <item x="2162"/>
        <item x="3168"/>
        <item x="3990"/>
        <item x="927"/>
        <item x="1530"/>
        <item x="1798"/>
        <item x="3906"/>
        <item x="1003"/>
        <item x="2192"/>
        <item x="3847"/>
        <item x="1569"/>
        <item x="3465"/>
        <item x="3119"/>
        <item x="1461"/>
        <item x="3232"/>
        <item x="226"/>
        <item x="2419"/>
        <item x="2403"/>
        <item x="2592"/>
        <item x="4292"/>
        <item x="2196"/>
        <item x="1001"/>
        <item x="4585"/>
        <item x="909"/>
        <item x="4147"/>
        <item x="3209"/>
        <item x="2118"/>
        <item x="2672"/>
        <item x="34"/>
        <item x="2874"/>
        <item x="3923"/>
        <item x="1690"/>
        <item x="3088"/>
        <item x="3446"/>
        <item x="969"/>
        <item x="3894"/>
        <item x="1429"/>
        <item x="123"/>
        <item x="452"/>
        <item x="3427"/>
        <item x="2892"/>
        <item x="1716"/>
        <item x="1526"/>
        <item x="3807"/>
        <item x="2468"/>
        <item x="3648"/>
        <item x="1532"/>
        <item x="519"/>
        <item x="505"/>
        <item x="2126"/>
        <item x="1189"/>
        <item x="756"/>
        <item x="1729"/>
        <item x="1201"/>
        <item x="2937"/>
        <item x="3985"/>
        <item x="3657"/>
        <item x="999"/>
        <item x="4064"/>
        <item x="1676"/>
        <item x="973"/>
        <item x="1419"/>
        <item x="91"/>
        <item x="1301"/>
        <item x="3624"/>
        <item x="4304"/>
        <item x="2455"/>
        <item x="1067"/>
        <item x="2392"/>
        <item x="65"/>
        <item x="1656"/>
        <item x="2521"/>
        <item x="3484"/>
        <item x="3264"/>
        <item x="3901"/>
        <item x="1473"/>
        <item x="2032"/>
        <item x="3502"/>
        <item x="614"/>
        <item x="4077"/>
        <item x="2001"/>
        <item x="4191"/>
        <item x="3002"/>
        <item x="1699"/>
        <item x="1640"/>
        <item x="2140"/>
        <item x="3289"/>
        <item x="1644"/>
        <item x="2034"/>
        <item x="1524"/>
        <item x="616"/>
        <item x="3354"/>
        <item x="3992"/>
        <item x="795"/>
        <item x="2923"/>
        <item x="4319"/>
        <item x="351"/>
        <item x="200"/>
        <item x="2903"/>
        <item x="3003"/>
        <item x="3100"/>
        <item x="2762"/>
        <item x="3236"/>
        <item x="3973"/>
        <item x="1122"/>
        <item x="3238"/>
        <item x="2282"/>
        <item x="249"/>
        <item x="2831"/>
        <item x="4135"/>
        <item x="1464"/>
        <item x="3296"/>
        <item x="4271"/>
        <item x="2381"/>
        <item x="1921"/>
        <item x="2033"/>
        <item x="4186"/>
        <item x="3904"/>
        <item x="2991"/>
        <item x="1871"/>
        <item x="383"/>
        <item x="2854"/>
        <item x="940"/>
        <item x="3935"/>
        <item x="3411"/>
        <item x="885"/>
        <item x="845"/>
        <item x="1329"/>
        <item x="2142"/>
        <item x="366"/>
        <item x="3239"/>
        <item x="948"/>
        <item x="353"/>
        <item x="3489"/>
        <item x="257"/>
        <item x="1770"/>
        <item x="1633"/>
        <item x="2914"/>
        <item x="3580"/>
        <item x="1487"/>
        <item x="1053"/>
        <item x="1783"/>
        <item x="395"/>
        <item x="3046"/>
        <item x="2474"/>
        <item x="1802"/>
        <item x="3387"/>
        <item x="1739"/>
        <item x="3975"/>
        <item x="2679"/>
        <item x="2965"/>
        <item x="2169"/>
        <item x="3213"/>
        <item x="2007"/>
        <item x="3537"/>
        <item x="4264"/>
        <item x="1878"/>
        <item x="1382"/>
        <item x="3852"/>
        <item x="2708"/>
        <item x="877"/>
        <item x="1251"/>
        <item x="1271"/>
        <item x="4207"/>
        <item x="1827"/>
        <item x="3009"/>
        <item x="504"/>
        <item x="2966"/>
        <item x="1359"/>
        <item x="2160"/>
        <item x="3895"/>
        <item x="2678"/>
        <item x="1762"/>
        <item x="2377"/>
        <item x="658"/>
        <item x="1252"/>
        <item x="3940"/>
        <item x="1056"/>
        <item x="4560"/>
        <item x="1241"/>
        <item x="1176"/>
        <item x="3598"/>
        <item x="13"/>
        <item x="1302"/>
        <item x="2602"/>
        <item x="1409"/>
        <item x="129"/>
        <item x="645"/>
        <item x="4489"/>
        <item x="799"/>
        <item x="2987"/>
        <item x="3881"/>
        <item x="3811"/>
        <item x="2108"/>
        <item x="237"/>
        <item x="4107"/>
        <item x="1925"/>
        <item x="2137"/>
        <item x="1525"/>
        <item x="625"/>
        <item x="2773"/>
        <item x="650"/>
        <item x="4474"/>
        <item x="1596"/>
        <item x="1844"/>
        <item x="3443"/>
        <item x="943"/>
        <item x="117"/>
        <item x="2375"/>
        <item x="2184"/>
        <item x="336"/>
        <item x="3656"/>
        <item x="2794"/>
        <item x="4097"/>
        <item x="1047"/>
        <item x="3457"/>
        <item x="4649"/>
        <item x="1023"/>
        <item x="3520"/>
        <item x="1631"/>
        <item x="4094"/>
        <item x="3963"/>
        <item x="4363"/>
        <item x="3596"/>
        <item x="147"/>
        <item x="3860"/>
        <item x="1205"/>
        <item x="2287"/>
        <item x="1434"/>
        <item x="2742"/>
        <item x="2028"/>
        <item x="1564"/>
        <item x="4570"/>
        <item x="103"/>
        <item x="1591"/>
        <item x="1391"/>
        <item x="1903"/>
        <item x="4039"/>
        <item x="902"/>
        <item x="501"/>
        <item x="2260"/>
        <item x="3907"/>
        <item x="1490"/>
        <item x="717"/>
        <item x="1750"/>
        <item x="1763"/>
        <item x="2390"/>
        <item x="3671"/>
        <item x="2516"/>
        <item x="2414"/>
        <item x="3535"/>
        <item x="2289"/>
        <item x="3334"/>
        <item x="581"/>
        <item x="3911"/>
        <item x="3116"/>
        <item x="357"/>
        <item x="4646"/>
        <item x="3083"/>
        <item x="3327"/>
        <item x="2345"/>
        <item x="1965"/>
        <item x="3150"/>
        <item x="3041"/>
        <item x="1349"/>
        <item x="2743"/>
        <item x="4638"/>
        <item x="3562"/>
        <item x="3533"/>
        <item x="2755"/>
        <item x="2359"/>
        <item x="2244"/>
        <item x="1722"/>
        <item x="2847"/>
        <item x="1669"/>
        <item x="1118"/>
        <item x="1877"/>
        <item x="4096"/>
        <item x="25"/>
        <item x="2763"/>
        <item x="4408"/>
        <item x="2693"/>
        <item x="4294"/>
        <item x="1127"/>
        <item x="2106"/>
        <item x="3531"/>
        <item x="1880"/>
        <item x="3753"/>
        <item x="1404"/>
        <item x="569"/>
        <item x="4605"/>
        <item x="4183"/>
        <item x="2105"/>
        <item x="4010"/>
        <item x="4050"/>
        <item x="4366"/>
        <item x="4276"/>
        <item x="1741"/>
        <item x="2599"/>
        <item x="1891"/>
        <item x="4350"/>
        <item x="2489"/>
        <item x="3708"/>
        <item x="3593"/>
        <item x="3085"/>
        <item x="2541"/>
        <item x="2498"/>
        <item x="1843"/>
        <item x="2754"/>
        <item x="370"/>
        <item x="4179"/>
        <item x="70"/>
        <item x="2231"/>
        <item x="1274"/>
        <item x="113"/>
        <item x="997"/>
        <item x="2579"/>
        <item x="747"/>
        <item x="101"/>
        <item x="4302"/>
        <item x="1345"/>
        <item x="595"/>
        <item x="880"/>
        <item x="3731"/>
        <item x="2908"/>
        <item x="4172"/>
        <item x="2443"/>
        <item x="4464"/>
        <item x="4411"/>
        <item x="659"/>
        <item x="3436"/>
        <item x="2365"/>
        <item x="4174"/>
        <item x="3678"/>
        <item x="451"/>
        <item x="1272"/>
        <item x="1400"/>
        <item x="1396"/>
        <item x="1033"/>
        <item x="1727"/>
        <item x="3854"/>
        <item x="3151"/>
        <item x="922"/>
        <item x="1437"/>
        <item x="2681"/>
        <item x="2836"/>
        <item x="1064"/>
        <item x="827"/>
        <item x="4581"/>
        <item x="2366"/>
        <item x="2540"/>
        <item x="3451"/>
        <item x="2477"/>
        <item x="1885"/>
        <item x="1538"/>
        <item x="3184"/>
        <item x="745"/>
        <item x="4301"/>
        <item x="458"/>
        <item x="3267"/>
        <item x="3467"/>
        <item x="4170"/>
        <item x="2583"/>
        <item x="4456"/>
        <item x="3543"/>
        <item x="4139"/>
        <item x="3932"/>
        <item x="3472"/>
        <item x="2719"/>
        <item x="4483"/>
        <item x="3097"/>
        <item x="1572"/>
        <item x="4479"/>
        <item x="3697"/>
        <item x="2310"/>
        <item x="3051"/>
        <item x="618"/>
        <item x="498"/>
        <item x="4552"/>
        <item x="2677"/>
        <item x="4219"/>
        <item x="4330"/>
        <item x="3522"/>
        <item x="1439"/>
        <item x="2134"/>
        <item x="2643"/>
        <item x="1025"/>
        <item x="1244"/>
        <item x="3244"/>
        <item x="3227"/>
        <item x="2885"/>
        <item x="3839"/>
        <item x="1224"/>
        <item x="4200"/>
        <item x="2853"/>
        <item x="1463"/>
        <item x="201"/>
        <item x="485"/>
        <item x="2589"/>
        <item x="380"/>
        <item x="1968"/>
        <item x="2470"/>
        <item x="285"/>
        <item x="3556"/>
        <item x="405"/>
        <item x="325"/>
        <item x="631"/>
        <item x="1459"/>
        <item x="3711"/>
        <item x="735"/>
        <item x="3240"/>
        <item x="689"/>
        <item x="2296"/>
        <item x="2557"/>
        <item x="1515"/>
        <item x="230"/>
        <item x="3146"/>
        <item x="3223"/>
        <item x="1180"/>
        <item x="1335"/>
        <item x="534"/>
        <item x="874"/>
        <item x="3410"/>
        <item x="3358"/>
        <item x="4180"/>
        <item x="3058"/>
        <item x="572"/>
        <item x="221"/>
        <item x="1789"/>
        <item x="3602"/>
        <item x="438"/>
        <item x="4320"/>
        <item x="2076"/>
        <item x="2086"/>
        <item x="4079"/>
        <item x="3980"/>
        <item x="7"/>
        <item x="892"/>
        <item x="114"/>
        <item x="1333"/>
        <item x="3585"/>
        <item x="4295"/>
        <item x="387"/>
        <item x="562"/>
        <item x="4452"/>
        <item x="3450"/>
        <item x="4273"/>
        <item x="596"/>
        <item x="3047"/>
        <item x="2781"/>
        <item x="3588"/>
        <item x="741"/>
        <item x="3268"/>
        <item x="4521"/>
        <item x="1191"/>
        <item x="350"/>
        <item x="12"/>
        <item x="1771"/>
        <item x="19"/>
        <item x="2662"/>
        <item x="296"/>
        <item x="807"/>
        <item x="1982"/>
        <item x="2432"/>
        <item x="1819"/>
        <item x="1514"/>
        <item x="1425"/>
        <item x="4013"/>
        <item x="1517"/>
        <item x="832"/>
        <item x="2615"/>
        <item x="3727"/>
        <item x="651"/>
        <item x="2525"/>
        <item x="701"/>
        <item x="695"/>
        <item x="2147"/>
        <item x="608"/>
        <item x="305"/>
        <item x="2156"/>
        <item x="628"/>
        <item x="3021"/>
        <item x="872"/>
        <item x="4435"/>
        <item x="4035"/>
        <item x="2575"/>
        <item x="161"/>
        <item x="3775"/>
        <item x="2563"/>
        <item x="621"/>
        <item x="2399"/>
        <item x="1298"/>
        <item x="3459"/>
        <item x="2528"/>
        <item x="3402"/>
        <item x="1566"/>
        <item x="2251"/>
        <item x="1375"/>
        <item x="998"/>
        <item x="3391"/>
        <item x="2849"/>
        <item x="1998"/>
        <item x="2225"/>
        <item x="4117"/>
        <item x="4403"/>
        <item x="4346"/>
        <item x="1713"/>
        <item x="1042"/>
        <item x="3124"/>
        <item x="3772"/>
        <item x="4210"/>
        <item x="971"/>
        <item x="2328"/>
        <item x="682"/>
        <item x="4314"/>
        <item x="4091"/>
        <item x="640"/>
        <item x="2292"/>
        <item x="3367"/>
        <item x="127"/>
        <item x="3189"/>
        <item x="2866"/>
        <item x="1933"/>
        <item x="1266"/>
        <item x="1744"/>
        <item x="4619"/>
        <item x="413"/>
        <item x="1995"/>
        <item x="2017"/>
        <item x="1079"/>
        <item x="423"/>
        <item x="2220"/>
        <item x="4486"/>
        <item x="2819"/>
        <item x="376"/>
        <item x="299"/>
        <item x="3365"/>
        <item x="1"/>
        <item x="470"/>
        <item x="3544"/>
        <item x="2932"/>
        <item x="1507"/>
        <item x="2912"/>
        <item x="691"/>
        <item x="11"/>
        <item x="2513"/>
        <item x="3599"/>
        <item x="3026"/>
        <item x="3112"/>
        <item x="3798"/>
        <item x="3194"/>
        <item x="3364"/>
        <item x="2535"/>
        <item x="3677"/>
        <item x="2092"/>
        <item x="3702"/>
        <item x="3441"/>
        <item x="4498"/>
        <item x="3218"/>
        <item x="1709"/>
        <item x="2234"/>
        <item x="4119"/>
        <item x="3834"/>
        <item x="1816"/>
        <item x="3767"/>
        <item x="2712"/>
        <item x="2661"/>
        <item x="416"/>
        <item x="3325"/>
        <item x="686"/>
        <item x="515"/>
        <item x="2075"/>
        <item x="4377"/>
        <item x="3340"/>
        <item x="2121"/>
        <item x="378"/>
        <item x="2808"/>
        <item x="3204"/>
        <item x="1075"/>
        <item x="3067"/>
        <item x="4067"/>
        <item x="2319"/>
        <item x="2605"/>
        <item x="3896"/>
        <item x="308"/>
        <item x="2437"/>
        <item x="3104"/>
        <item x="3355"/>
        <item x="4262"/>
        <item x="3953"/>
        <item x="3848"/>
        <item x="2357"/>
        <item x="2190"/>
        <item x="1147"/>
        <item x="2227"/>
        <item x="4648"/>
        <item x="931"/>
        <item x="3277"/>
        <item x="1752"/>
        <item x="365"/>
        <item x="938"/>
        <item x="4008"/>
        <item x="833"/>
        <item x="4381"/>
        <item x="503"/>
        <item x="4639"/>
        <item x="3329"/>
        <item x="2321"/>
        <item x="1443"/>
        <item x="1767"/>
        <item x="2772"/>
        <item x="2492"/>
        <item x="2324"/>
        <item x="3262"/>
        <item x="35"/>
        <item x="473"/>
        <item x="3509"/>
        <item x="2050"/>
        <item x="4523"/>
        <item x="2802"/>
        <item x="2977"/>
        <item x="4269"/>
        <item x="932"/>
        <item x="1322"/>
        <item x="3730"/>
        <item x="2573"/>
        <item x="157"/>
        <item x="3869"/>
        <item x="1812"/>
        <item x="739"/>
        <item x="3063"/>
        <item x="3231"/>
        <item x="1609"/>
        <item x="3210"/>
        <item x="3554"/>
        <item x="2956"/>
        <item x="2968"/>
        <item x="4345"/>
        <item x="1747"/>
        <item x="2664"/>
        <item x="4611"/>
        <item x="2412"/>
        <item x="4559"/>
        <item x="3959"/>
        <item x="1279"/>
        <item x="525"/>
        <item x="4579"/>
        <item x="2297"/>
        <item x="3915"/>
        <item x="3826"/>
        <item x="3960"/>
        <item x="1045"/>
        <item x="1327"/>
        <item x="2301"/>
        <item x="2545"/>
        <item x="869"/>
        <item x="4318"/>
        <item x="2582"/>
        <item x="4230"/>
        <item x="1185"/>
        <item x="2523"/>
        <item x="1758"/>
        <item x="2331"/>
        <item x="2125"/>
        <item x="793"/>
        <item x="2897"/>
        <item x="2230"/>
        <item x="593"/>
        <item x="2926"/>
        <item x="711"/>
        <item x="4429"/>
        <item x="3972"/>
        <item x="615"/>
        <item x="1605"/>
        <item x="3891"/>
        <item x="2153"/>
        <item x="3790"/>
        <item x="425"/>
        <item x="3791"/>
        <item x="2697"/>
        <item x="2532"/>
        <item x="2298"/>
        <item x="1852"/>
        <item x="1234"/>
        <item x="1500"/>
        <item x="3969"/>
        <item x="4223"/>
        <item x="2838"/>
        <item x="1105"/>
        <item x="1236"/>
        <item x="797"/>
        <item x="4600"/>
        <item x="516"/>
        <item x="790"/>
        <item x="1319"/>
        <item x="893"/>
        <item x="3390"/>
        <item x="1307"/>
        <item x="2236"/>
        <item x="4114"/>
        <item x="2258"/>
        <item x="3174"/>
        <item x="2383"/>
        <item x="3470"/>
        <item x="3917"/>
        <item x="4372"/>
        <item x="1479"/>
        <item x="4613"/>
        <item x="4643"/>
        <item x="2294"/>
        <item x="1200"/>
        <item x="4515"/>
        <item x="3431"/>
        <item x="1451"/>
        <item x="496"/>
        <item x="4323"/>
        <item x="1643"/>
        <item x="3868"/>
        <item x="2283"/>
        <item x="2843"/>
        <item x="4437"/>
        <item x="2398"/>
        <item x="1505"/>
        <item x="3360"/>
        <item x="2148"/>
        <item x="661"/>
        <item x="2051"/>
        <item x="3841"/>
        <item x="3559"/>
        <item x="3417"/>
        <item x="2350"/>
        <item x="4258"/>
        <item x="4441"/>
        <item x="2429"/>
        <item x="1589"/>
        <item x="2268"/>
        <item x="3942"/>
        <item x="4158"/>
        <item x="2013"/>
        <item x="45"/>
        <item x="4612"/>
        <item x="2208"/>
        <item x="954"/>
        <item x="952"/>
        <item x="3884"/>
        <item x="3382"/>
        <item x="1108"/>
        <item x="261"/>
        <item x="52"/>
        <item x="1948"/>
        <item x="1239"/>
        <item x="3098"/>
        <item x="3991"/>
        <item x="421"/>
        <item x="3778"/>
        <item x="3849"/>
        <item x="1935"/>
        <item x="4194"/>
        <item x="4583"/>
        <item x="1467"/>
        <item x="2776"/>
        <item x="3352"/>
        <item x="2335"/>
        <item x="2213"/>
        <item x="295"/>
        <item x="1104"/>
        <item x="4661"/>
        <item x="1217"/>
        <item x="1255"/>
        <item x="3280"/>
        <item x="588"/>
        <item x="92"/>
        <item x="4419"/>
        <item x="3126"/>
        <item x="1438"/>
        <item x="269"/>
        <item x="1759"/>
        <item x="859"/>
        <item x="662"/>
        <item x="1276"/>
        <item x="3532"/>
        <item x="278"/>
        <item x="2385"/>
        <item x="476"/>
        <item x="1184"/>
        <item x="252"/>
        <item x="2235"/>
        <item x="1733"/>
        <item x="4622"/>
        <item x="2608"/>
        <item x="4011"/>
        <item x="367"/>
        <item x="1240"/>
        <item x="791"/>
        <item x="363"/>
        <item x="2276"/>
        <item x="2139"/>
        <item x="555"/>
        <item x="4650"/>
        <item x="3653"/>
        <item x="2339"/>
        <item x="3301"/>
        <item x="385"/>
        <item x="4603"/>
        <item x="3316"/>
        <item x="375"/>
        <item x="1666"/>
        <item x="4432"/>
        <item x="3673"/>
        <item x="2823"/>
        <item x="1805"/>
        <item x="1928"/>
        <item x="638"/>
        <item x="3565"/>
        <item x="4334"/>
        <item x="179"/>
        <item x="3424"/>
        <item x="3093"/>
        <item x="2164"/>
        <item x="752"/>
        <item x="3797"/>
        <item x="1749"/>
        <item x="4375"/>
        <item x="2323"/>
        <item x="2073"/>
        <item x="1800"/>
        <item x="988"/>
        <item x="634"/>
        <item x="2337"/>
        <item x="1034"/>
        <item x="3385"/>
        <item x="4150"/>
        <item x="1931"/>
        <item x="4596"/>
        <item x="1576"/>
        <item x="160"/>
        <item x="2992"/>
        <item x="326"/>
        <item x="4387"/>
        <item x="4461"/>
        <item x="2304"/>
        <item x="2509"/>
        <item x="4115"/>
        <item x="2082"/>
        <item x="3858"/>
        <item x="3620"/>
        <item x="1448"/>
        <item x="889"/>
        <item x="1455"/>
        <item x="3724"/>
        <item x="1939"/>
        <item x="2998"/>
        <item x="1693"/>
        <item x="274"/>
        <item x="1737"/>
        <item x="2272"/>
        <item x="1979"/>
        <item x="4636"/>
        <item x="2702"/>
        <item x="2835"/>
        <item x="2163"/>
        <item x="1078"/>
        <item x="4490"/>
        <item x="1990"/>
        <item x="1219"/>
        <item x="3303"/>
        <item x="1134"/>
        <item x="1442"/>
        <item x="964"/>
        <item x="3226"/>
        <item x="1892"/>
        <item x="1811"/>
        <item x="673"/>
        <item x="1475"/>
        <item x="3879"/>
        <item x="2761"/>
        <item x="2278"/>
        <item x="4405"/>
        <item x="2960"/>
        <item x="2537"/>
        <item x="1559"/>
        <item x="3407"/>
        <item x="727"/>
        <item x="212"/>
        <item x="1915"/>
        <item x="626"/>
        <item x="3832"/>
        <item x="4663"/>
        <item x="426"/>
        <item x="1619"/>
        <item x="2247"/>
        <item x="566"/>
        <item x="4256"/>
        <item x="837"/>
        <item x="3374"/>
        <item x="693"/>
        <item x="3361"/>
        <item x="1913"/>
        <item x="234"/>
        <item x="4495"/>
        <item x="3081"/>
        <item x="1881"/>
        <item x="4542"/>
        <item x="4297"/>
        <item x="2257"/>
        <item x="1109"/>
        <item x="4655"/>
        <item x="4343"/>
        <item x="2434"/>
        <item x="3012"/>
        <item x="2039"/>
        <item x="2098"/>
        <item x="2273"/>
        <item x="4662"/>
        <item x="1604"/>
        <item x="2116"/>
        <item x="1031"/>
        <item x="1441"/>
        <item x="1909"/>
        <item x="3823"/>
        <item x="2087"/>
        <item x="1081"/>
        <item x="2696"/>
        <item x="3855"/>
        <item x="2211"/>
        <item x="3706"/>
        <item x="3830"/>
        <item x="4229"/>
        <item x="1607"/>
        <item x="1046"/>
        <item x="59"/>
        <item x="2088"/>
        <item x="1012"/>
        <item x="683"/>
        <item x="1043"/>
        <item x="4430"/>
        <item x="3137"/>
        <item x="178"/>
        <item x="2848"/>
        <item x="275"/>
        <item x="4309"/>
        <item x="2198"/>
        <item x="4563"/>
        <item x="3052"/>
        <item x="2025"/>
        <item x="3581"/>
        <item x="3307"/>
        <item x="1111"/>
        <item x="4146"/>
        <item x="1196"/>
        <item x="1131"/>
        <item x="1549"/>
        <item x="4410"/>
        <item x="901"/>
        <item x="1004"/>
        <item x="1151"/>
        <item x="300"/>
        <item x="1601"/>
        <item x="2558"/>
        <item x="2391"/>
        <item x="3630"/>
        <item x="2534"/>
        <item x="920"/>
        <item x="1796"/>
        <item x="1402"/>
        <item x="3961"/>
        <item x="1310"/>
        <item x="1299"/>
        <item x="563"/>
        <item x="4630"/>
        <item x="4042"/>
        <item x="3654"/>
        <item x="951"/>
        <item x="1250"/>
        <item x="488"/>
        <item x="1731"/>
        <item x="2504"/>
        <item x="1149"/>
        <item x="1853"/>
        <item x="2710"/>
        <item x="1543"/>
        <item x="3704"/>
        <item x="213"/>
        <item x="2374"/>
        <item x="1902"/>
        <item x="1914"/>
        <item x="1746"/>
        <item x="1428"/>
        <item x="3524"/>
        <item x="1287"/>
        <item x="1570"/>
        <item x="1961"/>
        <item x="3255"/>
        <item x="768"/>
        <item x="4610"/>
        <item x="3824"/>
        <item x="3557"/>
        <item x="401"/>
        <item x="1807"/>
        <item x="1289"/>
        <item x="4324"/>
        <item x="2744"/>
        <item x="3454"/>
        <item x="3578"/>
        <item x="950"/>
        <item x="4305"/>
        <item x="1016"/>
        <item x="3118"/>
        <item x="3393"/>
        <item x="121"/>
        <item x="4609"/>
        <item x="2367"/>
        <item x="2010"/>
        <item x="2701"/>
        <item x="3954"/>
        <item x="3941"/>
        <item x="478"/>
        <item x="2368"/>
        <item x="2384"/>
        <item x="2695"/>
        <item x="51"/>
        <item x="472"/>
        <item x="2784"/>
        <item x="4026"/>
        <item x="3833"/>
        <item x="4187"/>
        <item x="2760"/>
        <item x="2507"/>
        <item x="4285"/>
        <item x="1647"/>
        <item x="785"/>
        <item x="3536"/>
        <item x="3068"/>
        <item x="1996"/>
        <item x="1632"/>
        <item x="335"/>
        <item x="3178"/>
        <item x="1291"/>
        <item x="4438"/>
        <item x="3746"/>
        <item x="3259"/>
        <item x="281"/>
        <item x="1019"/>
        <item x="345"/>
        <item x="3723"/>
        <item x="3971"/>
        <item x="2958"/>
        <item x="2694"/>
        <item x="1943"/>
        <item x="2127"/>
        <item x="4476"/>
        <item x="533"/>
        <item x="264"/>
        <item x="1311"/>
        <item x="2400"/>
        <item x="3511"/>
        <item x="352"/>
        <item x="2101"/>
        <item x="2299"/>
        <item x="3878"/>
        <item x="4268"/>
        <item x="3323"/>
        <item x="2102"/>
        <item x="2054"/>
        <item x="1371"/>
        <item x="1929"/>
        <item x="2944"/>
        <item x="4287"/>
        <item x="1626"/>
        <item x="66"/>
        <item x="1645"/>
        <item x="302"/>
        <item x="3338"/>
        <item x="1257"/>
        <item x="2128"/>
        <item x="1415"/>
        <item x="104"/>
        <item x="2620"/>
        <item x="3061"/>
        <item x="4497"/>
        <item x="1423"/>
        <item x="4533"/>
        <item x="1267"/>
        <item x="3951"/>
        <item x="1358"/>
        <item x="2009"/>
        <item x="4"/>
        <item x="865"/>
        <item x="173"/>
        <item x="4361"/>
        <item x="3627"/>
        <item x="1057"/>
        <item x="3712"/>
        <item x="2986"/>
        <item x="3705"/>
        <item x="2099"/>
        <item x="1286"/>
        <item x="293"/>
        <item x="4597"/>
        <item x="2623"/>
        <item x="3136"/>
        <item x="1638"/>
        <item x="80"/>
        <item x="1697"/>
        <item x="1765"/>
        <item x="100"/>
        <item x="3349"/>
        <item x="3064"/>
        <item x="1639"/>
        <item x="3108"/>
        <item x="757"/>
        <item x="4034"/>
        <item x="1518"/>
        <item x="429"/>
        <item x="276"/>
        <item x="3153"/>
        <item x="1769"/>
        <item x="1768"/>
        <item x="2445"/>
        <item x="2720"/>
        <item x="4105"/>
        <item x="4522"/>
        <item x="3843"/>
        <item x="1694"/>
        <item x="197"/>
        <item x="1030"/>
        <item x="585"/>
        <item x="706"/>
        <item x="751"/>
        <item x="399"/>
        <item x="2465"/>
        <item x="4519"/>
        <item x="960"/>
        <item x="2171"/>
        <item x="372"/>
        <item x="1238"/>
        <item x="3758"/>
        <item x="343"/>
        <item x="2951"/>
        <item x="2622"/>
        <item x="188"/>
        <item x="1052"/>
        <item x="1182"/>
        <item x="3037"/>
        <item x="822"/>
        <item x="3423"/>
        <item x="1181"/>
        <item x="4553"/>
        <item x="3880"/>
        <item x="1069"/>
        <item x="4488"/>
        <item x="9"/>
        <item x="3414"/>
        <item x="2427"/>
        <item x="2472"/>
        <item x="854"/>
        <item x="4472"/>
        <item x="4654"/>
        <item x="2210"/>
        <item x="2084"/>
        <item x="1833"/>
        <item x="2100"/>
        <item x="888"/>
        <item x="630"/>
        <item x="915"/>
        <item x="2267"/>
        <item x="3113"/>
        <item x="1254"/>
        <item x="3200"/>
        <item x="2616"/>
        <item x="3595"/>
        <item x="1458"/>
        <item x="1736"/>
        <item x="1020"/>
        <item x="1834"/>
        <item x="536"/>
        <item x="3668"/>
        <item x="3784"/>
        <item x="2888"/>
        <item x="2395"/>
        <item x="2315"/>
        <item x="2457"/>
        <item x="2451"/>
        <item x="3013"/>
        <item x="3647"/>
        <item x="1481"/>
        <item x="2006"/>
        <item x="143"/>
        <item x="1661"/>
        <item x="2668"/>
        <item x="776"/>
        <item x="2686"/>
        <item x="1099"/>
        <item x="3157"/>
        <item x="655"/>
        <item x="3077"/>
        <item x="670"/>
        <item x="1260"/>
        <item x="1660"/>
        <item x="4626"/>
        <item x="2825"/>
        <item x="419"/>
        <item x="4290"/>
        <item x="2889"/>
        <item x="678"/>
        <item x="3271"/>
        <item x="3908"/>
        <item x="1107"/>
        <item x="1848"/>
        <item x="3480"/>
        <item x="3368"/>
        <item x="2666"/>
        <item x="1588"/>
        <item x="379"/>
        <item x="907"/>
        <item x="2440"/>
        <item x="3747"/>
        <item x="1855"/>
        <item x="974"/>
        <item x="4355"/>
        <item x="2964"/>
        <item x="4027"/>
        <item x="4374"/>
        <item x="2826"/>
        <item x="1480"/>
        <item x="528"/>
        <item x="4398"/>
        <item x="1198"/>
        <item x="1314"/>
        <item x="2667"/>
        <item x="1325"/>
        <item x="1757"/>
        <item x="1373"/>
        <item x="3616"/>
        <item x="2798"/>
        <item x="2786"/>
        <item x="328"/>
        <item x="3160"/>
        <item x="3069"/>
        <item x="1420"/>
        <item x="1940"/>
        <item x="1453"/>
        <item x="1408"/>
        <item x="4528"/>
        <item x="4445"/>
        <item x="2223"/>
        <item x="4243"/>
        <item x="4272"/>
        <item x="168"/>
        <item x="495"/>
        <item x="2176"/>
        <item x="4373"/>
        <item x="605"/>
        <item x="4481"/>
        <item x="1687"/>
        <item x="2996"/>
        <item x="4660"/>
        <item x="1093"/>
        <item x="1097"/>
        <item x="2876"/>
        <item x="1315"/>
        <item x="3946"/>
        <item x="4175"/>
        <item x="4406"/>
        <item x="2922"/>
        <item x="4571"/>
        <item x="3725"/>
        <item x="280"/>
        <item x="1868"/>
        <item x="1018"/>
        <item x="2416"/>
        <item x="87"/>
        <item x="2497"/>
        <item x="2186"/>
        <item x="2601"/>
        <item x="4657"/>
        <item x="1997"/>
        <item x="1962"/>
        <item x="2237"/>
        <item x="4113"/>
        <item x="2590"/>
        <item x="499"/>
        <item x="4116"/>
        <item x="3694"/>
        <item x="2939"/>
        <item x="3029"/>
        <item x="1394"/>
        <item x="1806"/>
        <item x="1938"/>
        <item x="2560"/>
        <item x="26"/>
        <item x="3445"/>
        <item x="2949"/>
        <item x="3977"/>
        <item x="2275"/>
        <item x="2868"/>
        <item x="99"/>
        <item x="903"/>
        <item x="2978"/>
        <item x="3290"/>
        <item x="4143"/>
        <item x="712"/>
        <item x="2896"/>
        <item x="3309"/>
        <item x="3999"/>
        <item x="3163"/>
        <item x="3538"/>
        <item x="4221"/>
        <item x="1506"/>
        <item x="4089"/>
        <item x="2954"/>
        <item x="22"/>
        <item x="3982"/>
        <item x="1926"/>
        <item x="3133"/>
        <item x="1520"/>
        <item x="3938"/>
        <item x="1486"/>
        <item x="1981"/>
        <item x="3754"/>
        <item x="4055"/>
        <item x="3165"/>
        <item x="1883"/>
        <item x="4391"/>
        <item x="1707"/>
        <item x="4664"/>
        <item x="3952"/>
        <item x="4195"/>
        <item x="4308"/>
        <item x="36"/>
        <item x="374"/>
        <item x="1280"/>
        <item x="2"/>
        <item x="687"/>
        <item x="2527"/>
        <item x="848"/>
        <item x="2316"/>
        <item x="1772"/>
        <item x="2775"/>
        <item x="3279"/>
        <item x="4510"/>
        <item x="4544"/>
        <item x="2320"/>
        <item x="3191"/>
        <item x="2450"/>
        <item x="2490"/>
        <item x="118"/>
        <item x="37"/>
        <item x="1007"/>
        <item x="3989"/>
        <item x="3752"/>
        <item x="3434"/>
        <item x="1484"/>
        <item x="2935"/>
        <item x="996"/>
        <item x="67"/>
        <item x="2104"/>
        <item x="2083"/>
        <item x="4104"/>
        <item x="294"/>
        <item x="1793"/>
        <item x="2732"/>
        <item x="970"/>
        <item x="3892"/>
        <item x="1398"/>
        <item x="2807"/>
        <item x="3560"/>
        <item x="3392"/>
        <item x="976"/>
        <item x="4196"/>
        <item x="256"/>
        <item x="1259"/>
        <item x="4356"/>
        <item x="4181"/>
        <item x="4316"/>
        <item x="260"/>
        <item x="2020"/>
        <item x="3924"/>
        <item x="441"/>
        <item x="3442"/>
        <item x="4012"/>
        <item x="2593"/>
        <item x="1900"/>
        <item x="956"/>
        <item x="1168"/>
        <item x="3496"/>
        <item x="4084"/>
        <item x="290"/>
        <item x="2334"/>
        <item x="4543"/>
        <item x="1426"/>
        <item x="77"/>
        <item x="975"/>
        <item x="1920"/>
        <item x="4072"/>
        <item x="1585"/>
        <item x="4048"/>
        <item x="97"/>
        <item x="2158"/>
        <item x="152"/>
        <item x="3756"/>
        <item x="2685"/>
        <item x="3540"/>
        <item x="1450"/>
        <item x="1910"/>
        <item x="1708"/>
        <item x="3008"/>
        <item x="1334"/>
        <item x="2795"/>
        <item x="3525"/>
        <item x="2562"/>
        <item x="1478"/>
        <item x="732"/>
        <item x="1123"/>
        <item x="884"/>
        <item x="1682"/>
        <item x="3155"/>
        <item x="1065"/>
        <item x="2044"/>
        <item x="491"/>
        <item x="4368"/>
        <item x="2796"/>
        <item x="1143"/>
        <item x="107"/>
        <item x="2063"/>
        <item x="186"/>
        <item x="1994"/>
        <item x="716"/>
        <item x="3248"/>
        <item x="3523"/>
        <item x="2019"/>
        <item x="2660"/>
        <item x="1170"/>
        <item x="3587"/>
        <item x="72"/>
        <item x="2851"/>
        <item x="1958"/>
        <item x="3439"/>
        <item x="2281"/>
        <item x="3640"/>
        <item x="3859"/>
        <item x="3274"/>
        <item x="3138"/>
        <item x="583"/>
        <item x="3177"/>
        <item x="1952"/>
        <item x="1356"/>
        <item x="1368"/>
        <item x="598"/>
        <item x="3622"/>
        <item x="1550"/>
        <item x="1942"/>
        <item x="2265"/>
        <item x="3768"/>
        <item x="251"/>
        <item x="1491"/>
        <item x="3660"/>
        <item x="1655"/>
        <item x="3905"/>
        <item x="759"/>
        <item x="700"/>
        <item x="1146"/>
        <item x="1815"/>
        <item x="3519"/>
        <item x="2174"/>
        <item x="688"/>
        <item x="3363"/>
        <item x="641"/>
        <item x="283"/>
        <item x="1552"/>
        <item x="3030"/>
        <item x="191"/>
        <item x="2097"/>
        <item x="2459"/>
        <item x="2123"/>
        <item x="2341"/>
        <item x="1153"/>
        <item x="4282"/>
        <item x="1695"/>
        <item x="3850"/>
        <item x="3899"/>
        <item x="3162"/>
        <item x="2245"/>
        <item x="2325"/>
        <item x="4103"/>
        <item x="3463"/>
        <item x="2699"/>
        <item x="3857"/>
        <item x="2305"/>
        <item x="3897"/>
        <item x="1776"/>
        <item x="1215"/>
        <item x="1832"/>
        <item x="4126"/>
        <item x="4198"/>
        <item x="958"/>
        <item x="2875"/>
        <item x="2862"/>
        <item x="1558"/>
        <item x="675"/>
        <item x="1379"/>
        <item x="240"/>
        <item x="3840"/>
        <item x="1225"/>
        <item x="2957"/>
        <item x="4085"/>
        <item x="3912"/>
        <item x="1470"/>
        <item x="1100"/>
        <item x="814"/>
        <item x="4582"/>
        <item x="1908"/>
        <item x="784"/>
        <item x="3583"/>
        <item x="145"/>
        <item x="3129"/>
        <item x="2829"/>
        <item x="2970"/>
        <item x="4312"/>
        <item x="4467"/>
        <item x="703"/>
        <item x="637"/>
        <item x="612"/>
        <item x="1264"/>
        <item x="3614"/>
        <item x="2765"/>
        <item x="3074"/>
        <item x="56"/>
        <item x="4007"/>
        <item x="3710"/>
        <item x="3149"/>
        <item x="2141"/>
        <item x="537"/>
        <item x="2253"/>
        <item x="306"/>
        <item x="2332"/>
        <item x="4383"/>
        <item x="1457"/>
        <item x="3875"/>
        <item x="1884"/>
        <item x="4145"/>
        <item x="4036"/>
        <item x="1156"/>
        <item x="4659"/>
        <item x="354"/>
        <item x="2043"/>
        <item x="2420"/>
        <item x="2049"/>
        <item x="3193"/>
        <item x="460"/>
        <item x="1125"/>
        <item x="2603"/>
        <item x="1560"/>
        <item x="2511"/>
        <item x="4475"/>
        <item x="2690"/>
        <item x="4457"/>
        <item x="3948"/>
        <item x="4487"/>
        <item x="2618"/>
        <item x="2495"/>
        <item x="2859"/>
        <item x="4608"/>
        <item x="2425"/>
        <item x="1826"/>
        <item x="1261"/>
        <item x="4185"/>
        <item x="2834"/>
        <item x="810"/>
        <item x="4442"/>
        <item x="2600"/>
        <item x="227"/>
        <item x="169"/>
        <item x="3494"/>
        <item x="132"/>
        <item x="2064"/>
        <item x="3016"/>
        <item x="1824"/>
        <item x="55"/>
        <item x="4485"/>
        <item x="602"/>
        <item x="3871"/>
        <item x="3065"/>
        <item x="3420"/>
        <item x="2293"/>
        <item x="3447"/>
        <item x="3629"/>
        <item x="3490"/>
        <item x="4577"/>
        <item x="3886"/>
        <item x="2229"/>
        <item x="542"/>
        <item x="4005"/>
        <item x="622"/>
        <item x="3889"/>
        <item x="1539"/>
        <item x="4071"/>
        <item x="3495"/>
        <item x="4412"/>
        <item x="3928"/>
        <item x="955"/>
        <item x="2313"/>
        <item x="410"/>
        <item x="2684"/>
        <item x="3679"/>
        <item x="3099"/>
        <item x="3380"/>
        <item x="3415"/>
        <item x="4235"/>
        <item x="2036"/>
        <item x="4253"/>
        <item x="2480"/>
        <item x="994"/>
        <item x="3180"/>
        <item x="3947"/>
        <item x="577"/>
        <item x="1662"/>
        <item x="3376"/>
        <item x="2717"/>
        <item x="4514"/>
        <item x="1051"/>
        <item x="3820"/>
        <item x="494"/>
        <item x="3246"/>
        <item x="1361"/>
        <item x="4572"/>
        <item x="3995"/>
        <item x="3107"/>
        <item x="4214"/>
        <item x="1773"/>
        <item x="3249"/>
        <item x="4171"/>
        <item x="1735"/>
        <item x="4526"/>
        <item x="4075"/>
        <item x="3608"/>
        <item x="2748"/>
        <item x="58"/>
        <item x="229"/>
        <item x="3312"/>
        <item x="1038"/>
        <item x="329"/>
        <item x="1232"/>
        <item x="2285"/>
        <item x="2078"/>
        <item x="3381"/>
        <item x="1732"/>
        <item x="1652"/>
        <item x="4621"/>
        <item x="3406"/>
        <item x="825"/>
        <item x="1975"/>
        <item x="3017"/>
        <item x="3691"/>
        <item x="1685"/>
        <item x="2683"/>
        <item x="4237"/>
        <item x="694"/>
        <item x="120"/>
        <item x="2181"/>
        <item x="2644"/>
        <item x="4625"/>
        <item x="2883"/>
        <item x="1214"/>
        <item x="124"/>
        <item x="2842"/>
        <item x="4299"/>
        <item x="3455"/>
        <item x="2361"/>
        <item x="3095"/>
        <item x="2879"/>
        <item x="3981"/>
        <item x="122"/>
        <item x="4202"/>
        <item x="1924"/>
        <item x="4238"/>
        <item x="1465"/>
        <item x="270"/>
        <item x="1670"/>
        <item x="4049"/>
        <item x="2881"/>
        <item x="2461"/>
        <item x="1551"/>
        <item x="1956"/>
        <item x="3902"/>
        <item x="3874"/>
        <item x="1788"/>
        <item x="1162"/>
        <item x="2005"/>
        <item x="3328"/>
        <item x="4538"/>
        <item x="2096"/>
        <item x="786"/>
        <item x="2256"/>
        <item x="972"/>
        <item x="1210"/>
        <item x="808"/>
        <item x="3258"/>
        <item x="3437"/>
        <item x="1206"/>
        <item x="771"/>
        <item x="3158"/>
        <item x="2733"/>
        <item x="4378"/>
        <item x="140"/>
        <item x="3318"/>
        <item x="2300"/>
        <item x="984"/>
        <item x="2279"/>
        <item x="14"/>
        <item x="3247"/>
        <item x="1172"/>
        <item x="1861"/>
        <item x="2982"/>
        <item x="1839"/>
        <item x="330"/>
        <item x="3920"/>
        <item x="3788"/>
        <item x="85"/>
        <item x="847"/>
        <item x="567"/>
        <item x="3120"/>
        <item x="1535"/>
        <item x="2418"/>
        <item x="2369"/>
        <item x="2594"/>
        <item x="1076"/>
        <item x="4261"/>
        <item x="1991"/>
        <item x="4501"/>
        <item x="1841"/>
        <item x="3910"/>
        <item x="2248"/>
        <item x="3243"/>
        <item x="1070"/>
        <item x="2880"/>
        <item x="1978"/>
        <item x="3722"/>
        <item x="3637"/>
        <item x="1989"/>
        <item x="2152"/>
        <item x="2969"/>
        <item x="2907"/>
        <item x="4022"/>
        <item x="2456"/>
        <item x="1152"/>
        <item x="3190"/>
        <item x="42"/>
        <item x="4333"/>
        <item x="3621"/>
        <item x="2899"/>
        <item x="4539"/>
        <item x="3943"/>
        <item x="1148"/>
        <item x="3106"/>
        <item x="965"/>
        <item x="2424"/>
        <item x="1870"/>
        <item x="4529"/>
        <item x="2526"/>
        <item x="3699"/>
        <item x="2566"/>
        <item x="1785"/>
        <item x="2727"/>
        <item x="4337"/>
        <item x="3810"/>
        <item x="4354"/>
        <item x="2199"/>
        <item x="1628"/>
        <item x="597"/>
        <item x="90"/>
        <item x="3626"/>
        <item x="2850"/>
        <item x="1712"/>
        <item x="314"/>
        <item x="1392"/>
        <item x="442"/>
        <item x="3350"/>
        <item x="4222"/>
        <item x="1692"/>
        <item x="1207"/>
        <item x="1779"/>
        <item x="4392"/>
        <item x="1059"/>
        <item x="2746"/>
        <item x="2406"/>
        <item x="1864"/>
        <item x="4082"/>
        <item x="4628"/>
        <item x="2682"/>
        <item x="1571"/>
        <item x="3801"/>
        <item x="1416"/>
        <item x="3186"/>
        <item x="3485"/>
        <item x="576"/>
        <item x="3195"/>
        <item x="2788"/>
        <item x="1837"/>
        <item x="4329"/>
        <item x="3273"/>
        <item x="2041"/>
        <item x="2981"/>
        <item x="968"/>
        <item x="1874"/>
        <item x="2705"/>
        <item x="1561"/>
        <item x="4431"/>
        <item x="1927"/>
        <item x="2659"/>
        <item x="4352"/>
        <item x="2716"/>
        <item x="3101"/>
        <item x="310"/>
        <item x="3276"/>
        <item x="182"/>
        <item x="2704"/>
        <item x="3570"/>
        <item x="3642"/>
        <item x="2360"/>
        <item x="838"/>
        <item x="2722"/>
        <item x="4503"/>
        <item x="1863"/>
        <item x="4234"/>
        <item x="239"/>
        <item x="1389"/>
        <item x="4121"/>
        <item x="4462"/>
        <item x="2269"/>
        <item x="2916"/>
        <item x="4451"/>
        <item x="3890"/>
        <item x="731"/>
        <item x="1386"/>
        <item x="2356"/>
        <item x="2948"/>
        <item x="1621"/>
        <item x="3015"/>
        <item x="3914"/>
        <item x="1829"/>
        <item x="2855"/>
        <item x="1977"/>
        <item x="1696"/>
        <item x="487"/>
        <item x="1521"/>
        <item x="2621"/>
        <item x="18"/>
        <item x="262"/>
        <item x="3550"/>
        <item x="3315"/>
        <item x="29"/>
        <item x="4173"/>
        <item x="642"/>
        <item x="985"/>
        <item x="3666"/>
        <item x="2718"/>
        <item x="3033"/>
        <item x="2022"/>
        <item x="436"/>
        <item x="4278"/>
        <item x="2962"/>
        <item x="1092"/>
        <item x="3651"/>
        <item x="2094"/>
        <item x="4000"/>
        <item x="1080"/>
        <item x="4632"/>
        <item x="4137"/>
        <item x="1161"/>
        <item x="3121"/>
        <item x="4063"/>
        <item x="2756"/>
        <item x="1395"/>
        <item x="2543"/>
        <item x="2636"/>
        <item x="3526"/>
        <item x="3534"/>
        <item x="2216"/>
        <item x="4161"/>
        <item x="4240"/>
        <item x="2501"/>
        <item x="1872"/>
        <item x="1568"/>
        <item x="2745"/>
        <item x="1413"/>
        <item x="2641"/>
        <item x="1970"/>
        <item x="159"/>
        <item x="1212"/>
        <item x="709"/>
        <item x="3909"/>
        <item x="2270"/>
        <item x="3302"/>
        <item x="134"/>
        <item x="4266"/>
        <item x="3636"/>
        <item x="1879"/>
        <item x="78"/>
        <item x="3401"/>
        <item x="1061"/>
        <item x="1671"/>
        <item x="303"/>
        <item x="439"/>
        <item x="3007"/>
        <item x="4209"/>
        <item x="404"/>
        <item x="4041"/>
        <item x="2454"/>
        <item x="723"/>
        <item x="3199"/>
        <item x="4424"/>
        <item x="1563"/>
        <item x="3221"/>
        <item x="4453"/>
        <item x="3254"/>
        <item x="4068"/>
        <item x="4070"/>
        <item x="4562"/>
        <item x="1218"/>
        <item x="3188"/>
        <item x="2067"/>
        <item x="3759"/>
        <item x="288"/>
        <item x="4556"/>
        <item x="4656"/>
        <item x="4593"/>
        <item x="1536"/>
        <item x="540"/>
        <item x="4217"/>
        <item x="1430"/>
        <item x="2252"/>
        <item x="4561"/>
        <item x="4052"/>
        <item x="3650"/>
        <item x="2909"/>
        <item x="2606"/>
        <item x="1399"/>
        <item x="3792"/>
        <item x="3681"/>
        <item x="1221"/>
        <item x="4162"/>
        <item x="2858"/>
        <item x="3060"/>
        <item x="4555"/>
        <item x="524"/>
        <item x="1657"/>
        <item x="2800"/>
        <item x="2413"/>
        <item x="4149"/>
        <item x="4019"/>
        <item x="2894"/>
        <item x="1542"/>
        <item x="1590"/>
        <item x="2749"/>
        <item x="2580"/>
        <item x="2488"/>
        <item x="158"/>
        <item x="4112"/>
        <item x="203"/>
        <item x="4216"/>
        <item x="223"/>
        <item x="1294"/>
        <item x="1704"/>
        <item x="898"/>
        <item x="258"/>
        <item x="3838"/>
        <item x="163"/>
        <item x="987"/>
        <item x="4564"/>
        <item x="1472"/>
        <item x="1949"/>
        <item x="2458"/>
        <item x="1124"/>
        <item x="1138"/>
        <item x="2812"/>
        <item x="815"/>
        <item x="4468"/>
        <item x="4353"/>
        <item x="1192"/>
        <item x="3930"/>
        <item t="default"/>
      </items>
    </pivotField>
    <pivotField showAll="0"/>
    <pivotField showAll="0"/>
    <pivotField axis="axisRow" dataField="1"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Count of Months (Order Date)" fld="9" subtotal="count" baseField="0" baseItem="0"/>
    <dataField name="Sum of Sales"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34C2AB9-3587-424C-9894-ACA2C116E92D}" sourceName="Category">
  <pivotTables>
    <pivotTable tabId="4" name="ps1"/>
  </pivotTables>
  <data>
    <tabular pivotCacheId="70252603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D8A002DA-DFAE-4032-9D68-E507305C6A87}" sourceName="Payment Mode">
  <pivotTables>
    <pivotTable tabId="4" name="ps1"/>
  </pivotTables>
  <data>
    <tabular pivotCacheId="702526033">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BA8AFA-0937-40FE-90CE-4A32534C06A0}" sourceName="Region">
  <pivotTables>
    <pivotTable tabId="4" name="ps1"/>
  </pivotTables>
  <data>
    <tabular pivotCacheId="702526033">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BDA1603-B00E-4801-A4A7-93F1251B87F1}" cache="Slicer_Category" caption="Category" rowHeight="241300"/>
  <slicer name="Payment Mode" xr10:uid="{3E697BEA-BC22-4F8F-9CD9-31EDC32E55A5}" cache="Slicer_Payment_Mode" caption="Payment Mode" rowHeight="241300"/>
  <slicer name="Region" xr10:uid="{1BB6FA85-0A07-4C87-939B-7A4C505EFD86}"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2A520C-A3CB-4C50-92CB-07D77730709E}" name="Table2" displayName="Table2" ref="A1:I4987" totalsRowShown="0" headerRowDxfId="10" dataDxfId="9">
  <autoFilter ref="A1:I4987" xr:uid="{DC2A520C-A3CB-4C50-92CB-07D77730709E}"/>
  <tableColumns count="9">
    <tableColumn id="1" xr3:uid="{058C81A5-8E07-450E-9576-75C9A8614871}" name="Order ID" dataDxfId="8"/>
    <tableColumn id="2" xr3:uid="{4AC7E122-F8D3-4DDD-88C5-BFBFEF202051}" name="Order Date" dataDxfId="7"/>
    <tableColumn id="3" xr3:uid="{4EC881F3-70F5-4E9A-8CBE-C744E3FC392B}" name="Region" dataDxfId="6"/>
    <tableColumn id="4" xr3:uid="{118EE4B5-A421-45F9-9664-7561E1D57EC2}" name="Product" dataDxfId="5"/>
    <tableColumn id="5" xr3:uid="{09F8EC14-1ABF-403B-B16D-D4A73E2D3DF8}" name="Category" dataDxfId="4"/>
    <tableColumn id="6" xr3:uid="{729160C2-521F-4D8C-80AF-1DF8BF387197}" name="Sales" dataDxfId="3"/>
    <tableColumn id="7" xr3:uid="{3CDB4308-2A92-4A33-9704-F04532A91F86}" name="Profit" dataDxfId="2"/>
    <tableColumn id="8" xr3:uid="{B520727E-7E64-4B72-A752-3A1B3BD659BB}" name="Customer Segment" dataDxfId="1"/>
    <tableColumn id="9" xr3:uid="{7465F4B3-984A-46F4-9974-5D34B3130A92}" name="Payment Mode"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C207E-BD91-434C-B996-39FF8E9E4AE4}">
  <dimension ref="A1:I5001"/>
  <sheetViews>
    <sheetView workbookViewId="0">
      <selection activeCell="D11" sqref="D11"/>
    </sheetView>
  </sheetViews>
  <sheetFormatPr defaultColWidth="18.54296875" defaultRowHeight="14.5" x14ac:dyDescent="0.35"/>
  <sheetData>
    <row r="1" spans="1:9" x14ac:dyDescent="0.35">
      <c r="A1" t="s">
        <v>0</v>
      </c>
      <c r="B1" t="s">
        <v>1</v>
      </c>
      <c r="C1" t="s">
        <v>2</v>
      </c>
      <c r="D1" t="s">
        <v>3</v>
      </c>
      <c r="E1" t="s">
        <v>4</v>
      </c>
      <c r="F1" t="s">
        <v>5</v>
      </c>
      <c r="G1" t="s">
        <v>6</v>
      </c>
      <c r="H1" t="s">
        <v>7</v>
      </c>
      <c r="I1" t="s">
        <v>8</v>
      </c>
    </row>
    <row r="2" spans="1:9" x14ac:dyDescent="0.35">
      <c r="A2" t="s">
        <v>9</v>
      </c>
      <c r="B2" s="1">
        <v>44733</v>
      </c>
      <c r="C2" t="s">
        <v>10</v>
      </c>
      <c r="D2" t="s">
        <v>11</v>
      </c>
      <c r="E2" t="s">
        <v>12</v>
      </c>
      <c r="F2">
        <v>127.01</v>
      </c>
      <c r="G2">
        <v>12.08</v>
      </c>
      <c r="H2" t="s">
        <v>13</v>
      </c>
      <c r="I2" t="s">
        <v>14</v>
      </c>
    </row>
    <row r="3" spans="1:9" x14ac:dyDescent="0.35">
      <c r="A3" t="s">
        <v>15</v>
      </c>
      <c r="B3" s="1">
        <v>44773</v>
      </c>
      <c r="C3" t="s">
        <v>16</v>
      </c>
      <c r="D3" t="s">
        <v>17</v>
      </c>
      <c r="E3" t="s">
        <v>18</v>
      </c>
      <c r="F3">
        <v>1017.56</v>
      </c>
      <c r="G3">
        <v>228.82</v>
      </c>
      <c r="H3" t="s">
        <v>19</v>
      </c>
      <c r="I3" t="s">
        <v>20</v>
      </c>
    </row>
    <row r="4" spans="1:9" x14ac:dyDescent="0.35">
      <c r="A4" t="s">
        <v>21</v>
      </c>
      <c r="B4" s="1">
        <v>45490</v>
      </c>
      <c r="C4" t="s">
        <v>22</v>
      </c>
      <c r="D4" t="s">
        <v>23</v>
      </c>
      <c r="E4" t="s">
        <v>18</v>
      </c>
      <c r="F4">
        <v>1364.8</v>
      </c>
      <c r="G4">
        <v>340.45</v>
      </c>
      <c r="H4" t="s">
        <v>13</v>
      </c>
      <c r="I4" t="s">
        <v>14</v>
      </c>
    </row>
    <row r="5" spans="1:9" x14ac:dyDescent="0.35">
      <c r="A5" t="s">
        <v>24</v>
      </c>
      <c r="B5" s="1">
        <v>45551</v>
      </c>
      <c r="C5" t="s">
        <v>25</v>
      </c>
      <c r="D5" t="s">
        <v>26</v>
      </c>
      <c r="E5" t="s">
        <v>27</v>
      </c>
      <c r="F5">
        <v>564.85</v>
      </c>
      <c r="G5">
        <v>77.05</v>
      </c>
      <c r="H5" t="s">
        <v>28</v>
      </c>
      <c r="I5" t="s">
        <v>29</v>
      </c>
    </row>
    <row r="6" spans="1:9" x14ac:dyDescent="0.35">
      <c r="A6" t="s">
        <v>30</v>
      </c>
      <c r="B6" s="1">
        <v>44701</v>
      </c>
      <c r="C6" t="s">
        <v>10</v>
      </c>
      <c r="D6" t="s">
        <v>31</v>
      </c>
      <c r="E6" t="s">
        <v>12</v>
      </c>
      <c r="F6">
        <v>1076.21</v>
      </c>
      <c r="G6">
        <v>302.13</v>
      </c>
      <c r="H6" t="s">
        <v>19</v>
      </c>
      <c r="I6" t="s">
        <v>29</v>
      </c>
    </row>
    <row r="7" spans="1:9" x14ac:dyDescent="0.35">
      <c r="A7" t="s">
        <v>32</v>
      </c>
      <c r="B7" s="1">
        <v>44748</v>
      </c>
      <c r="C7" t="s">
        <v>16</v>
      </c>
      <c r="D7" t="s">
        <v>33</v>
      </c>
      <c r="E7" t="s">
        <v>18</v>
      </c>
      <c r="F7">
        <v>315.58</v>
      </c>
      <c r="G7">
        <v>37.22</v>
      </c>
      <c r="H7" t="s">
        <v>28</v>
      </c>
      <c r="I7" t="s">
        <v>34</v>
      </c>
    </row>
    <row r="8" spans="1:9" x14ac:dyDescent="0.35">
      <c r="A8" t="s">
        <v>35</v>
      </c>
      <c r="B8" s="1">
        <v>45242</v>
      </c>
      <c r="C8" t="s">
        <v>22</v>
      </c>
      <c r="D8" t="s">
        <v>33</v>
      </c>
      <c r="E8" t="s">
        <v>18</v>
      </c>
      <c r="F8">
        <v>824.43</v>
      </c>
      <c r="G8">
        <v>78.89</v>
      </c>
      <c r="H8" t="s">
        <v>13</v>
      </c>
      <c r="I8" t="s">
        <v>14</v>
      </c>
    </row>
    <row r="9" spans="1:9" x14ac:dyDescent="0.35">
      <c r="A9" t="s">
        <v>36</v>
      </c>
      <c r="B9" s="1">
        <v>45128</v>
      </c>
      <c r="C9" t="s">
        <v>10</v>
      </c>
      <c r="D9" t="s">
        <v>31</v>
      </c>
      <c r="E9" t="s">
        <v>12</v>
      </c>
      <c r="F9">
        <v>1935.14</v>
      </c>
      <c r="G9">
        <v>217.6</v>
      </c>
      <c r="H9" t="s">
        <v>13</v>
      </c>
      <c r="I9" t="s">
        <v>34</v>
      </c>
    </row>
    <row r="10" spans="1:9" x14ac:dyDescent="0.35">
      <c r="A10" t="s">
        <v>37</v>
      </c>
      <c r="B10" s="1">
        <v>45632</v>
      </c>
      <c r="C10" t="s">
        <v>16</v>
      </c>
      <c r="D10" t="s">
        <v>38</v>
      </c>
      <c r="E10" t="s">
        <v>12</v>
      </c>
      <c r="F10">
        <v>393.04</v>
      </c>
      <c r="G10">
        <v>31.91</v>
      </c>
      <c r="H10" t="s">
        <v>28</v>
      </c>
      <c r="I10" t="s">
        <v>29</v>
      </c>
    </row>
    <row r="11" spans="1:9" x14ac:dyDescent="0.35">
      <c r="A11" t="s">
        <v>39</v>
      </c>
      <c r="B11" s="1">
        <v>45142</v>
      </c>
      <c r="C11" t="s">
        <v>25</v>
      </c>
      <c r="D11" t="s">
        <v>31</v>
      </c>
      <c r="E11" t="s">
        <v>12</v>
      </c>
      <c r="F11">
        <v>1420.71</v>
      </c>
      <c r="G11">
        <v>310.47000000000003</v>
      </c>
      <c r="H11" t="s">
        <v>13</v>
      </c>
      <c r="I11" t="s">
        <v>34</v>
      </c>
    </row>
    <row r="12" spans="1:9" x14ac:dyDescent="0.35">
      <c r="A12" t="s">
        <v>40</v>
      </c>
      <c r="B12" s="1">
        <v>45256</v>
      </c>
      <c r="C12" t="s">
        <v>25</v>
      </c>
      <c r="D12" t="s">
        <v>41</v>
      </c>
      <c r="E12" t="s">
        <v>12</v>
      </c>
      <c r="F12">
        <v>225.02</v>
      </c>
      <c r="G12">
        <v>66.430000000000007</v>
      </c>
      <c r="H12" t="s">
        <v>19</v>
      </c>
      <c r="I12" t="s">
        <v>29</v>
      </c>
    </row>
    <row r="13" spans="1:9" x14ac:dyDescent="0.35">
      <c r="A13" t="s">
        <v>42</v>
      </c>
      <c r="B13" s="1">
        <v>44908</v>
      </c>
      <c r="C13" t="s">
        <v>25</v>
      </c>
      <c r="D13" t="s">
        <v>31</v>
      </c>
      <c r="E13" t="s">
        <v>12</v>
      </c>
      <c r="F13">
        <v>1228.8699999999999</v>
      </c>
      <c r="G13">
        <v>229.38</v>
      </c>
      <c r="H13" t="s">
        <v>28</v>
      </c>
      <c r="I13" t="s">
        <v>20</v>
      </c>
    </row>
    <row r="14" spans="1:9" x14ac:dyDescent="0.35">
      <c r="A14" t="s">
        <v>43</v>
      </c>
      <c r="B14" s="1">
        <v>45576</v>
      </c>
      <c r="C14" t="s">
        <v>22</v>
      </c>
      <c r="D14" t="s">
        <v>17</v>
      </c>
      <c r="E14" t="s">
        <v>18</v>
      </c>
      <c r="F14">
        <v>1351.99</v>
      </c>
      <c r="G14">
        <v>220.01</v>
      </c>
      <c r="H14" t="s">
        <v>13</v>
      </c>
      <c r="I14" t="s">
        <v>14</v>
      </c>
    </row>
    <row r="15" spans="1:9" x14ac:dyDescent="0.35">
      <c r="A15" t="s">
        <v>44</v>
      </c>
      <c r="B15" s="1">
        <v>45170</v>
      </c>
      <c r="C15" t="s">
        <v>25</v>
      </c>
      <c r="D15" t="s">
        <v>11</v>
      </c>
      <c r="E15" t="s">
        <v>12</v>
      </c>
      <c r="F15">
        <v>1130.9000000000001</v>
      </c>
      <c r="G15">
        <v>193.5</v>
      </c>
      <c r="H15" t="s">
        <v>19</v>
      </c>
      <c r="I15" t="s">
        <v>34</v>
      </c>
    </row>
    <row r="16" spans="1:9" x14ac:dyDescent="0.35">
      <c r="A16" t="s">
        <v>45</v>
      </c>
      <c r="B16" s="1">
        <v>44840</v>
      </c>
      <c r="C16" t="s">
        <v>10</v>
      </c>
      <c r="D16" t="s">
        <v>46</v>
      </c>
      <c r="E16" t="s">
        <v>18</v>
      </c>
      <c r="F16">
        <v>1990.3</v>
      </c>
      <c r="G16">
        <v>428.27</v>
      </c>
      <c r="H16" t="s">
        <v>28</v>
      </c>
      <c r="I16" t="s">
        <v>29</v>
      </c>
    </row>
    <row r="17" spans="1:9" x14ac:dyDescent="0.35">
      <c r="A17" t="s">
        <v>47</v>
      </c>
      <c r="B17" s="1">
        <v>45307</v>
      </c>
      <c r="C17" t="s">
        <v>16</v>
      </c>
      <c r="D17" t="s">
        <v>41</v>
      </c>
      <c r="E17" t="s">
        <v>12</v>
      </c>
      <c r="F17">
        <v>266.42</v>
      </c>
      <c r="G17">
        <v>79.459999999999994</v>
      </c>
      <c r="H17" t="s">
        <v>19</v>
      </c>
      <c r="I17" t="s">
        <v>34</v>
      </c>
    </row>
    <row r="18" spans="1:9" x14ac:dyDescent="0.35">
      <c r="A18" t="s">
        <v>48</v>
      </c>
      <c r="B18" s="1">
        <v>45299</v>
      </c>
      <c r="C18" t="s">
        <v>22</v>
      </c>
      <c r="D18" t="s">
        <v>33</v>
      </c>
      <c r="E18" t="s">
        <v>18</v>
      </c>
      <c r="F18">
        <v>1318.05</v>
      </c>
      <c r="G18">
        <v>93.25</v>
      </c>
      <c r="H18" t="s">
        <v>28</v>
      </c>
      <c r="I18" t="s">
        <v>34</v>
      </c>
    </row>
    <row r="19" spans="1:9" x14ac:dyDescent="0.35">
      <c r="A19" t="s">
        <v>49</v>
      </c>
      <c r="B19" s="1">
        <v>44658</v>
      </c>
      <c r="C19" t="s">
        <v>25</v>
      </c>
      <c r="D19" t="s">
        <v>50</v>
      </c>
      <c r="E19" t="s">
        <v>12</v>
      </c>
      <c r="F19">
        <v>506.59</v>
      </c>
      <c r="G19">
        <v>70.19</v>
      </c>
      <c r="H19" t="s">
        <v>13</v>
      </c>
      <c r="I19" t="s">
        <v>20</v>
      </c>
    </row>
    <row r="20" spans="1:9" x14ac:dyDescent="0.35">
      <c r="A20" t="s">
        <v>51</v>
      </c>
      <c r="B20" s="1">
        <v>44750</v>
      </c>
      <c r="C20" t="s">
        <v>16</v>
      </c>
      <c r="D20" t="s">
        <v>41</v>
      </c>
      <c r="E20" t="s">
        <v>12</v>
      </c>
      <c r="F20">
        <v>1684.6</v>
      </c>
      <c r="G20">
        <v>478.46</v>
      </c>
      <c r="H20" t="s">
        <v>19</v>
      </c>
      <c r="I20" t="s">
        <v>29</v>
      </c>
    </row>
    <row r="21" spans="1:9" x14ac:dyDescent="0.35">
      <c r="A21" t="s">
        <v>52</v>
      </c>
      <c r="B21" s="1">
        <v>44829</v>
      </c>
      <c r="C21" t="s">
        <v>22</v>
      </c>
      <c r="D21" t="s">
        <v>31</v>
      </c>
      <c r="E21" t="s">
        <v>12</v>
      </c>
      <c r="F21">
        <v>1222.8</v>
      </c>
      <c r="G21">
        <v>220.45</v>
      </c>
      <c r="H21" t="s">
        <v>28</v>
      </c>
      <c r="I21" t="s">
        <v>34</v>
      </c>
    </row>
    <row r="22" spans="1:9" x14ac:dyDescent="0.35">
      <c r="A22" t="s">
        <v>53</v>
      </c>
      <c r="B22" s="1">
        <v>45335</v>
      </c>
      <c r="C22" t="s">
        <v>16</v>
      </c>
      <c r="D22" t="s">
        <v>46</v>
      </c>
      <c r="E22" t="s">
        <v>18</v>
      </c>
      <c r="F22">
        <v>254.26</v>
      </c>
      <c r="G22">
        <v>56.58</v>
      </c>
      <c r="H22" t="s">
        <v>13</v>
      </c>
      <c r="I22" t="s">
        <v>14</v>
      </c>
    </row>
    <row r="23" spans="1:9" x14ac:dyDescent="0.35">
      <c r="A23" t="s">
        <v>54</v>
      </c>
      <c r="B23" s="1">
        <v>44769</v>
      </c>
      <c r="C23" t="s">
        <v>10</v>
      </c>
      <c r="D23" t="s">
        <v>23</v>
      </c>
      <c r="E23" t="s">
        <v>18</v>
      </c>
      <c r="F23">
        <v>1276.82</v>
      </c>
      <c r="G23">
        <v>97.08</v>
      </c>
      <c r="H23" t="s">
        <v>13</v>
      </c>
      <c r="I23" t="s">
        <v>14</v>
      </c>
    </row>
    <row r="24" spans="1:9" x14ac:dyDescent="0.35">
      <c r="A24" t="s">
        <v>55</v>
      </c>
      <c r="B24" s="1">
        <v>44801</v>
      </c>
      <c r="C24" t="s">
        <v>10</v>
      </c>
      <c r="D24" t="s">
        <v>17</v>
      </c>
      <c r="E24" t="s">
        <v>18</v>
      </c>
      <c r="F24">
        <v>1819.66</v>
      </c>
      <c r="G24">
        <v>337.37</v>
      </c>
      <c r="H24" t="s">
        <v>28</v>
      </c>
      <c r="I24" t="s">
        <v>29</v>
      </c>
    </row>
    <row r="25" spans="1:9" x14ac:dyDescent="0.35">
      <c r="A25" t="s">
        <v>56</v>
      </c>
      <c r="B25" s="1">
        <v>45472</v>
      </c>
      <c r="C25" t="s">
        <v>22</v>
      </c>
      <c r="D25" t="s">
        <v>57</v>
      </c>
      <c r="E25" t="s">
        <v>27</v>
      </c>
      <c r="F25">
        <v>669.73</v>
      </c>
      <c r="G25">
        <v>126.76</v>
      </c>
      <c r="H25" t="s">
        <v>19</v>
      </c>
      <c r="I25" t="s">
        <v>29</v>
      </c>
    </row>
    <row r="26" spans="1:9" x14ac:dyDescent="0.35">
      <c r="A26" t="s">
        <v>58</v>
      </c>
      <c r="B26" s="1">
        <v>45293</v>
      </c>
      <c r="C26" t="s">
        <v>16</v>
      </c>
      <c r="D26" t="s">
        <v>46</v>
      </c>
      <c r="E26" t="s">
        <v>18</v>
      </c>
      <c r="F26">
        <v>1085.69</v>
      </c>
      <c r="G26">
        <v>82.8</v>
      </c>
      <c r="H26" t="s">
        <v>28</v>
      </c>
      <c r="I26" t="s">
        <v>34</v>
      </c>
    </row>
    <row r="27" spans="1:9" x14ac:dyDescent="0.35">
      <c r="A27" t="s">
        <v>59</v>
      </c>
      <c r="B27" s="1">
        <v>45650</v>
      </c>
      <c r="C27" t="s">
        <v>16</v>
      </c>
      <c r="D27" t="s">
        <v>33</v>
      </c>
      <c r="E27" t="s">
        <v>18</v>
      </c>
      <c r="F27">
        <v>1146.71</v>
      </c>
      <c r="G27">
        <v>201.56</v>
      </c>
      <c r="H27" t="s">
        <v>19</v>
      </c>
      <c r="I27" t="s">
        <v>29</v>
      </c>
    </row>
    <row r="28" spans="1:9" x14ac:dyDescent="0.35">
      <c r="A28" t="s">
        <v>60</v>
      </c>
      <c r="B28" s="1">
        <v>45268</v>
      </c>
      <c r="C28" t="s">
        <v>16</v>
      </c>
      <c r="D28" t="s">
        <v>46</v>
      </c>
      <c r="E28" t="s">
        <v>18</v>
      </c>
      <c r="F28">
        <v>1663.45</v>
      </c>
      <c r="G28">
        <v>332.69</v>
      </c>
      <c r="H28" t="s">
        <v>28</v>
      </c>
      <c r="I28" t="s">
        <v>14</v>
      </c>
    </row>
    <row r="29" spans="1:9" x14ac:dyDescent="0.35">
      <c r="A29" t="s">
        <v>61</v>
      </c>
      <c r="B29" s="1">
        <v>45048</v>
      </c>
      <c r="C29" t="s">
        <v>16</v>
      </c>
      <c r="D29" t="s">
        <v>62</v>
      </c>
      <c r="E29" t="s">
        <v>27</v>
      </c>
      <c r="F29">
        <v>943.89</v>
      </c>
      <c r="G29">
        <v>173.66</v>
      </c>
      <c r="H29" t="s">
        <v>13</v>
      </c>
      <c r="I29" t="s">
        <v>29</v>
      </c>
    </row>
    <row r="30" spans="1:9" x14ac:dyDescent="0.35">
      <c r="A30" t="s">
        <v>63</v>
      </c>
      <c r="B30" s="1">
        <v>44808</v>
      </c>
      <c r="C30" t="s">
        <v>16</v>
      </c>
      <c r="D30" t="s">
        <v>11</v>
      </c>
      <c r="E30" t="s">
        <v>12</v>
      </c>
      <c r="F30">
        <v>1483.72</v>
      </c>
      <c r="G30">
        <v>75.2</v>
      </c>
      <c r="H30" t="s">
        <v>19</v>
      </c>
      <c r="I30" t="s">
        <v>20</v>
      </c>
    </row>
    <row r="31" spans="1:9" x14ac:dyDescent="0.35">
      <c r="A31" t="s">
        <v>64</v>
      </c>
      <c r="B31" s="1">
        <v>45326</v>
      </c>
      <c r="C31" t="s">
        <v>22</v>
      </c>
      <c r="D31" t="s">
        <v>46</v>
      </c>
      <c r="E31" t="s">
        <v>18</v>
      </c>
      <c r="F31">
        <v>1813.86</v>
      </c>
      <c r="G31">
        <v>479.71</v>
      </c>
      <c r="H31" t="s">
        <v>19</v>
      </c>
      <c r="I31" t="s">
        <v>34</v>
      </c>
    </row>
    <row r="32" spans="1:9" x14ac:dyDescent="0.35">
      <c r="A32" t="s">
        <v>65</v>
      </c>
      <c r="B32" s="1">
        <v>44909</v>
      </c>
      <c r="C32" t="s">
        <v>10</v>
      </c>
      <c r="D32" t="s">
        <v>57</v>
      </c>
      <c r="E32" t="s">
        <v>27</v>
      </c>
      <c r="F32">
        <v>1170.3699999999999</v>
      </c>
      <c r="G32">
        <v>77</v>
      </c>
      <c r="H32" t="s">
        <v>19</v>
      </c>
      <c r="I32" t="s">
        <v>20</v>
      </c>
    </row>
    <row r="33" spans="1:9" x14ac:dyDescent="0.35">
      <c r="A33" t="s">
        <v>66</v>
      </c>
      <c r="B33" s="1">
        <v>45475</v>
      </c>
      <c r="C33" t="s">
        <v>10</v>
      </c>
      <c r="D33" t="s">
        <v>33</v>
      </c>
      <c r="E33" t="s">
        <v>18</v>
      </c>
      <c r="F33">
        <v>1052.47</v>
      </c>
      <c r="G33">
        <v>126.64</v>
      </c>
      <c r="H33" t="s">
        <v>28</v>
      </c>
      <c r="I33" t="s">
        <v>29</v>
      </c>
    </row>
    <row r="34" spans="1:9" x14ac:dyDescent="0.35">
      <c r="A34" t="s">
        <v>67</v>
      </c>
      <c r="B34" s="1">
        <v>44827</v>
      </c>
      <c r="C34" t="s">
        <v>10</v>
      </c>
      <c r="D34" t="s">
        <v>50</v>
      </c>
      <c r="E34" t="s">
        <v>12</v>
      </c>
      <c r="F34">
        <v>358.24</v>
      </c>
      <c r="G34">
        <v>75.88</v>
      </c>
      <c r="H34" t="s">
        <v>13</v>
      </c>
      <c r="I34" t="s">
        <v>29</v>
      </c>
    </row>
    <row r="35" spans="1:9" x14ac:dyDescent="0.35">
      <c r="A35" t="s">
        <v>68</v>
      </c>
      <c r="B35" s="1">
        <v>45280</v>
      </c>
      <c r="C35" t="s">
        <v>10</v>
      </c>
      <c r="D35" t="s">
        <v>23</v>
      </c>
      <c r="E35" t="s">
        <v>18</v>
      </c>
      <c r="F35">
        <v>391.47</v>
      </c>
      <c r="G35">
        <v>67.34</v>
      </c>
      <c r="H35" t="s">
        <v>19</v>
      </c>
      <c r="I35" t="s">
        <v>20</v>
      </c>
    </row>
    <row r="36" spans="1:9" x14ac:dyDescent="0.35">
      <c r="A36" t="s">
        <v>69</v>
      </c>
      <c r="B36" s="1">
        <v>44991</v>
      </c>
      <c r="C36" t="s">
        <v>25</v>
      </c>
      <c r="D36" t="s">
        <v>33</v>
      </c>
      <c r="E36" t="s">
        <v>18</v>
      </c>
      <c r="F36">
        <v>1248.72</v>
      </c>
      <c r="G36">
        <v>180.19</v>
      </c>
      <c r="H36" t="s">
        <v>28</v>
      </c>
      <c r="I36" t="s">
        <v>20</v>
      </c>
    </row>
    <row r="37" spans="1:9" x14ac:dyDescent="0.35">
      <c r="A37" t="s">
        <v>70</v>
      </c>
      <c r="B37" s="1">
        <v>45339</v>
      </c>
      <c r="C37" t="s">
        <v>16</v>
      </c>
      <c r="D37" t="s">
        <v>33</v>
      </c>
      <c r="E37" t="s">
        <v>18</v>
      </c>
      <c r="F37">
        <v>1342.45</v>
      </c>
      <c r="G37">
        <v>237.85</v>
      </c>
      <c r="H37" t="s">
        <v>28</v>
      </c>
      <c r="I37" t="s">
        <v>29</v>
      </c>
    </row>
    <row r="38" spans="1:9" x14ac:dyDescent="0.35">
      <c r="A38" t="s">
        <v>71</v>
      </c>
      <c r="B38" s="1">
        <v>45603</v>
      </c>
      <c r="C38" t="s">
        <v>22</v>
      </c>
      <c r="D38" t="s">
        <v>38</v>
      </c>
      <c r="E38" t="s">
        <v>12</v>
      </c>
      <c r="F38">
        <v>1621.74</v>
      </c>
      <c r="G38">
        <v>340.08</v>
      </c>
      <c r="H38" t="s">
        <v>19</v>
      </c>
      <c r="I38" t="s">
        <v>29</v>
      </c>
    </row>
    <row r="39" spans="1:9" x14ac:dyDescent="0.35">
      <c r="A39" t="s">
        <v>72</v>
      </c>
      <c r="B39" s="1">
        <v>45233</v>
      </c>
      <c r="C39" t="s">
        <v>22</v>
      </c>
      <c r="D39" t="s">
        <v>73</v>
      </c>
      <c r="E39" t="s">
        <v>27</v>
      </c>
      <c r="F39">
        <v>1343.44</v>
      </c>
      <c r="G39">
        <v>343.59</v>
      </c>
      <c r="H39" t="s">
        <v>19</v>
      </c>
      <c r="I39" t="s">
        <v>34</v>
      </c>
    </row>
    <row r="40" spans="1:9" x14ac:dyDescent="0.35">
      <c r="A40" t="s">
        <v>74</v>
      </c>
      <c r="B40" s="1">
        <v>45325</v>
      </c>
      <c r="C40" t="s">
        <v>16</v>
      </c>
      <c r="D40" t="s">
        <v>31</v>
      </c>
      <c r="E40" t="s">
        <v>12</v>
      </c>
      <c r="F40">
        <v>654.63</v>
      </c>
      <c r="G40">
        <v>70.010000000000005</v>
      </c>
      <c r="H40" t="s">
        <v>13</v>
      </c>
      <c r="I40" t="s">
        <v>14</v>
      </c>
    </row>
    <row r="41" spans="1:9" x14ac:dyDescent="0.35">
      <c r="A41" t="s">
        <v>75</v>
      </c>
      <c r="B41" s="1">
        <v>44769</v>
      </c>
      <c r="C41" t="s">
        <v>22</v>
      </c>
      <c r="D41" t="s">
        <v>31</v>
      </c>
      <c r="E41" t="s">
        <v>12</v>
      </c>
      <c r="F41">
        <v>979.28</v>
      </c>
      <c r="G41">
        <v>72.91</v>
      </c>
      <c r="H41" t="s">
        <v>28</v>
      </c>
      <c r="I41" t="s">
        <v>34</v>
      </c>
    </row>
    <row r="42" spans="1:9" x14ac:dyDescent="0.35">
      <c r="A42" t="s">
        <v>76</v>
      </c>
      <c r="B42" s="1">
        <v>45385</v>
      </c>
      <c r="C42" t="s">
        <v>25</v>
      </c>
      <c r="D42" t="s">
        <v>38</v>
      </c>
      <c r="E42" t="s">
        <v>12</v>
      </c>
      <c r="F42">
        <v>824.64</v>
      </c>
      <c r="G42">
        <v>93.65</v>
      </c>
      <c r="H42" t="s">
        <v>13</v>
      </c>
      <c r="I42" t="s">
        <v>14</v>
      </c>
    </row>
    <row r="43" spans="1:9" x14ac:dyDescent="0.35">
      <c r="A43" t="s">
        <v>77</v>
      </c>
      <c r="B43" s="1">
        <v>44872</v>
      </c>
      <c r="C43" t="s">
        <v>22</v>
      </c>
      <c r="D43" t="s">
        <v>41</v>
      </c>
      <c r="E43" t="s">
        <v>12</v>
      </c>
      <c r="F43">
        <v>1798.68</v>
      </c>
      <c r="G43">
        <v>161.43</v>
      </c>
      <c r="H43" t="s">
        <v>19</v>
      </c>
      <c r="I43" t="s">
        <v>14</v>
      </c>
    </row>
    <row r="44" spans="1:9" x14ac:dyDescent="0.35">
      <c r="A44" t="s">
        <v>78</v>
      </c>
      <c r="B44" s="1">
        <v>45031</v>
      </c>
      <c r="C44" t="s">
        <v>25</v>
      </c>
      <c r="D44" t="s">
        <v>62</v>
      </c>
      <c r="E44" t="s">
        <v>27</v>
      </c>
      <c r="F44">
        <v>1558.59</v>
      </c>
      <c r="G44">
        <v>441.61</v>
      </c>
      <c r="H44" t="s">
        <v>28</v>
      </c>
      <c r="I44" t="s">
        <v>34</v>
      </c>
    </row>
    <row r="45" spans="1:9" x14ac:dyDescent="0.35">
      <c r="A45" t="s">
        <v>79</v>
      </c>
      <c r="B45" s="1">
        <v>45251</v>
      </c>
      <c r="C45" t="s">
        <v>25</v>
      </c>
      <c r="D45" t="s">
        <v>23</v>
      </c>
      <c r="E45" t="s">
        <v>18</v>
      </c>
      <c r="F45">
        <v>1853.26</v>
      </c>
      <c r="G45">
        <v>111.26</v>
      </c>
      <c r="H45" t="s">
        <v>28</v>
      </c>
      <c r="I45" t="s">
        <v>34</v>
      </c>
    </row>
    <row r="46" spans="1:9" x14ac:dyDescent="0.35">
      <c r="A46" t="s">
        <v>80</v>
      </c>
      <c r="B46" s="1">
        <v>45006</v>
      </c>
      <c r="C46" t="s">
        <v>10</v>
      </c>
      <c r="D46" t="s">
        <v>57</v>
      </c>
      <c r="E46" t="s">
        <v>27</v>
      </c>
      <c r="F46">
        <v>834.88</v>
      </c>
      <c r="G46">
        <v>176.52</v>
      </c>
      <c r="H46" t="s">
        <v>19</v>
      </c>
      <c r="I46" t="s">
        <v>34</v>
      </c>
    </row>
    <row r="47" spans="1:9" x14ac:dyDescent="0.35">
      <c r="A47" t="s">
        <v>81</v>
      </c>
      <c r="B47" s="1">
        <v>44706</v>
      </c>
      <c r="C47" t="s">
        <v>16</v>
      </c>
      <c r="D47" t="s">
        <v>31</v>
      </c>
      <c r="E47" t="s">
        <v>12</v>
      </c>
      <c r="F47">
        <v>1520.25</v>
      </c>
      <c r="G47">
        <v>254.22</v>
      </c>
      <c r="H47" t="s">
        <v>13</v>
      </c>
      <c r="I47" t="s">
        <v>34</v>
      </c>
    </row>
    <row r="48" spans="1:9" x14ac:dyDescent="0.35">
      <c r="A48" t="s">
        <v>82</v>
      </c>
      <c r="B48" s="1">
        <v>45402</v>
      </c>
      <c r="C48" t="s">
        <v>10</v>
      </c>
      <c r="D48" t="s">
        <v>26</v>
      </c>
      <c r="E48" t="s">
        <v>27</v>
      </c>
      <c r="F48">
        <v>1522.2</v>
      </c>
      <c r="G48">
        <v>91.83</v>
      </c>
      <c r="H48" t="s">
        <v>13</v>
      </c>
      <c r="I48" t="s">
        <v>34</v>
      </c>
    </row>
    <row r="49" spans="1:9" x14ac:dyDescent="0.35">
      <c r="A49" t="s">
        <v>83</v>
      </c>
      <c r="B49" s="1">
        <v>44694</v>
      </c>
      <c r="C49" t="s">
        <v>22</v>
      </c>
      <c r="D49" t="s">
        <v>11</v>
      </c>
      <c r="E49" t="s">
        <v>12</v>
      </c>
      <c r="F49">
        <v>1510.95</v>
      </c>
      <c r="G49">
        <v>168.6</v>
      </c>
      <c r="H49" t="s">
        <v>13</v>
      </c>
      <c r="I49" t="s">
        <v>29</v>
      </c>
    </row>
    <row r="50" spans="1:9" x14ac:dyDescent="0.35">
      <c r="A50" t="s">
        <v>84</v>
      </c>
      <c r="B50" s="1">
        <v>45387</v>
      </c>
      <c r="C50" t="s">
        <v>25</v>
      </c>
      <c r="D50" t="s">
        <v>50</v>
      </c>
      <c r="E50" t="s">
        <v>12</v>
      </c>
      <c r="F50">
        <v>741.56</v>
      </c>
      <c r="G50">
        <v>166.14</v>
      </c>
      <c r="H50" t="s">
        <v>19</v>
      </c>
      <c r="I50" t="s">
        <v>34</v>
      </c>
    </row>
    <row r="51" spans="1:9" x14ac:dyDescent="0.35">
      <c r="A51" t="s">
        <v>85</v>
      </c>
      <c r="B51" s="1">
        <v>45282</v>
      </c>
      <c r="C51" t="s">
        <v>25</v>
      </c>
      <c r="D51" t="s">
        <v>57</v>
      </c>
      <c r="E51" t="s">
        <v>27</v>
      </c>
      <c r="F51">
        <v>170.08</v>
      </c>
      <c r="G51">
        <v>25.09</v>
      </c>
      <c r="H51" t="s">
        <v>19</v>
      </c>
      <c r="I51" t="s">
        <v>29</v>
      </c>
    </row>
    <row r="52" spans="1:9" x14ac:dyDescent="0.35">
      <c r="A52" t="s">
        <v>86</v>
      </c>
      <c r="B52" s="1">
        <v>45653</v>
      </c>
      <c r="C52" t="s">
        <v>25</v>
      </c>
      <c r="D52" t="s">
        <v>31</v>
      </c>
      <c r="E52" t="s">
        <v>12</v>
      </c>
      <c r="F52">
        <v>1008.56</v>
      </c>
      <c r="G52">
        <v>131.28</v>
      </c>
      <c r="H52" t="s">
        <v>19</v>
      </c>
      <c r="I52" t="s">
        <v>34</v>
      </c>
    </row>
    <row r="53" spans="1:9" x14ac:dyDescent="0.35">
      <c r="A53" t="s">
        <v>87</v>
      </c>
      <c r="B53" s="1">
        <v>44746</v>
      </c>
      <c r="C53" t="s">
        <v>10</v>
      </c>
      <c r="D53" t="s">
        <v>50</v>
      </c>
      <c r="E53" t="s">
        <v>12</v>
      </c>
      <c r="F53">
        <v>1705.09</v>
      </c>
      <c r="G53">
        <v>291.25</v>
      </c>
      <c r="H53" t="s">
        <v>13</v>
      </c>
      <c r="I53" t="s">
        <v>20</v>
      </c>
    </row>
    <row r="54" spans="1:9" x14ac:dyDescent="0.35">
      <c r="A54" t="s">
        <v>88</v>
      </c>
      <c r="B54" s="1">
        <v>44916</v>
      </c>
      <c r="C54" t="s">
        <v>10</v>
      </c>
      <c r="D54" t="s">
        <v>38</v>
      </c>
      <c r="E54" t="s">
        <v>12</v>
      </c>
      <c r="F54">
        <v>870</v>
      </c>
      <c r="G54">
        <v>255.2</v>
      </c>
      <c r="H54" t="s">
        <v>28</v>
      </c>
      <c r="I54" t="s">
        <v>34</v>
      </c>
    </row>
    <row r="55" spans="1:9" x14ac:dyDescent="0.35">
      <c r="A55" t="s">
        <v>89</v>
      </c>
      <c r="B55" s="1">
        <v>45310</v>
      </c>
      <c r="C55" t="s">
        <v>16</v>
      </c>
      <c r="D55" t="s">
        <v>46</v>
      </c>
      <c r="E55" t="s">
        <v>18</v>
      </c>
      <c r="F55">
        <v>1213.26</v>
      </c>
      <c r="G55">
        <v>167.93</v>
      </c>
      <c r="H55" t="s">
        <v>28</v>
      </c>
      <c r="I55" t="s">
        <v>34</v>
      </c>
    </row>
    <row r="56" spans="1:9" x14ac:dyDescent="0.35">
      <c r="A56" t="s">
        <v>90</v>
      </c>
      <c r="B56" s="1">
        <v>44789</v>
      </c>
      <c r="C56" t="s">
        <v>16</v>
      </c>
      <c r="D56" t="s">
        <v>38</v>
      </c>
      <c r="E56" t="s">
        <v>12</v>
      </c>
      <c r="F56">
        <v>189.79</v>
      </c>
      <c r="G56">
        <v>44.07</v>
      </c>
      <c r="H56" t="s">
        <v>28</v>
      </c>
      <c r="I56" t="s">
        <v>34</v>
      </c>
    </row>
    <row r="57" spans="1:9" x14ac:dyDescent="0.35">
      <c r="A57" t="s">
        <v>91</v>
      </c>
      <c r="B57" s="1">
        <v>45624</v>
      </c>
      <c r="C57" t="s">
        <v>22</v>
      </c>
      <c r="D57" t="s">
        <v>41</v>
      </c>
      <c r="E57" t="s">
        <v>12</v>
      </c>
      <c r="F57">
        <v>1566.23</v>
      </c>
      <c r="G57">
        <v>393.82</v>
      </c>
      <c r="H57" t="s">
        <v>13</v>
      </c>
      <c r="I57" t="s">
        <v>34</v>
      </c>
    </row>
    <row r="58" spans="1:9" x14ac:dyDescent="0.35">
      <c r="A58" t="s">
        <v>92</v>
      </c>
      <c r="B58" s="1">
        <v>45355</v>
      </c>
      <c r="C58" t="s">
        <v>25</v>
      </c>
      <c r="D58" t="s">
        <v>57</v>
      </c>
      <c r="E58" t="s">
        <v>27</v>
      </c>
      <c r="F58">
        <v>1505.72</v>
      </c>
      <c r="G58">
        <v>380.79</v>
      </c>
      <c r="H58" t="s">
        <v>13</v>
      </c>
      <c r="I58" t="s">
        <v>20</v>
      </c>
    </row>
    <row r="59" spans="1:9" x14ac:dyDescent="0.35">
      <c r="A59" t="s">
        <v>93</v>
      </c>
      <c r="B59" s="1">
        <v>45459</v>
      </c>
      <c r="C59" t="s">
        <v>22</v>
      </c>
      <c r="D59" t="s">
        <v>26</v>
      </c>
      <c r="E59" t="s">
        <v>27</v>
      </c>
      <c r="F59">
        <v>439.11</v>
      </c>
      <c r="G59">
        <v>87.69</v>
      </c>
      <c r="H59" t="s">
        <v>19</v>
      </c>
      <c r="I59" t="s">
        <v>20</v>
      </c>
    </row>
    <row r="60" spans="1:9" x14ac:dyDescent="0.35">
      <c r="A60" t="s">
        <v>94</v>
      </c>
      <c r="B60" s="1">
        <v>45098</v>
      </c>
      <c r="C60" t="s">
        <v>10</v>
      </c>
      <c r="D60" t="s">
        <v>95</v>
      </c>
      <c r="E60" t="s">
        <v>18</v>
      </c>
      <c r="F60">
        <v>1383.08</v>
      </c>
      <c r="G60">
        <v>408.08</v>
      </c>
      <c r="H60" t="s">
        <v>19</v>
      </c>
      <c r="I60" t="s">
        <v>20</v>
      </c>
    </row>
    <row r="61" spans="1:9" x14ac:dyDescent="0.35">
      <c r="A61" t="s">
        <v>96</v>
      </c>
      <c r="B61" s="1">
        <v>45635</v>
      </c>
      <c r="C61" t="s">
        <v>25</v>
      </c>
      <c r="D61" t="s">
        <v>97</v>
      </c>
      <c r="E61" t="s">
        <v>27</v>
      </c>
      <c r="F61">
        <v>1715.39</v>
      </c>
      <c r="G61">
        <v>279.60000000000002</v>
      </c>
      <c r="H61" t="s">
        <v>19</v>
      </c>
      <c r="I61" t="s">
        <v>29</v>
      </c>
    </row>
    <row r="62" spans="1:9" x14ac:dyDescent="0.35">
      <c r="A62" t="s">
        <v>98</v>
      </c>
      <c r="B62" s="1">
        <v>45626</v>
      </c>
      <c r="C62" t="s">
        <v>10</v>
      </c>
      <c r="D62" t="s">
        <v>38</v>
      </c>
      <c r="E62" t="s">
        <v>12</v>
      </c>
      <c r="F62">
        <v>928.32</v>
      </c>
      <c r="G62">
        <v>117.72</v>
      </c>
      <c r="H62" t="s">
        <v>19</v>
      </c>
      <c r="I62" t="s">
        <v>29</v>
      </c>
    </row>
    <row r="63" spans="1:9" x14ac:dyDescent="0.35">
      <c r="A63" t="s">
        <v>99</v>
      </c>
      <c r="B63" s="1">
        <v>45270</v>
      </c>
      <c r="C63" t="s">
        <v>25</v>
      </c>
      <c r="D63" t="s">
        <v>17</v>
      </c>
      <c r="E63" t="s">
        <v>18</v>
      </c>
      <c r="F63">
        <v>651.29</v>
      </c>
      <c r="G63">
        <v>157.37</v>
      </c>
      <c r="H63" t="s">
        <v>19</v>
      </c>
      <c r="I63" t="s">
        <v>20</v>
      </c>
    </row>
    <row r="64" spans="1:9" x14ac:dyDescent="0.35">
      <c r="A64" t="s">
        <v>100</v>
      </c>
      <c r="B64" s="1">
        <v>45657</v>
      </c>
      <c r="C64" t="s">
        <v>25</v>
      </c>
      <c r="D64" t="s">
        <v>95</v>
      </c>
      <c r="E64" t="s">
        <v>18</v>
      </c>
      <c r="F64">
        <v>471.35</v>
      </c>
      <c r="G64">
        <v>83.11</v>
      </c>
      <c r="H64" t="s">
        <v>28</v>
      </c>
      <c r="I64" t="s">
        <v>29</v>
      </c>
    </row>
    <row r="65" spans="1:9" x14ac:dyDescent="0.35">
      <c r="A65" t="s">
        <v>101</v>
      </c>
      <c r="B65" s="1">
        <v>44763</v>
      </c>
      <c r="C65" t="s">
        <v>16</v>
      </c>
      <c r="D65" t="s">
        <v>73</v>
      </c>
      <c r="E65" t="s">
        <v>27</v>
      </c>
      <c r="F65">
        <v>470.71</v>
      </c>
      <c r="G65">
        <v>63.98</v>
      </c>
      <c r="H65" t="s">
        <v>28</v>
      </c>
      <c r="I65" t="s">
        <v>29</v>
      </c>
    </row>
    <row r="66" spans="1:9" x14ac:dyDescent="0.35">
      <c r="A66" t="s">
        <v>102</v>
      </c>
      <c r="B66" s="1">
        <v>45188</v>
      </c>
      <c r="C66" t="s">
        <v>22</v>
      </c>
      <c r="D66" t="s">
        <v>33</v>
      </c>
      <c r="E66" t="s">
        <v>18</v>
      </c>
      <c r="F66">
        <v>780</v>
      </c>
      <c r="G66">
        <v>126.9</v>
      </c>
      <c r="H66" t="s">
        <v>13</v>
      </c>
      <c r="I66" t="s">
        <v>34</v>
      </c>
    </row>
    <row r="67" spans="1:9" x14ac:dyDescent="0.35">
      <c r="A67" t="s">
        <v>103</v>
      </c>
      <c r="B67" s="1">
        <v>44603</v>
      </c>
      <c r="C67" t="s">
        <v>16</v>
      </c>
      <c r="D67" t="s">
        <v>33</v>
      </c>
      <c r="E67" t="s">
        <v>18</v>
      </c>
      <c r="F67">
        <v>1572.31</v>
      </c>
      <c r="G67">
        <v>183.32</v>
      </c>
      <c r="H67" t="s">
        <v>19</v>
      </c>
      <c r="I67" t="s">
        <v>14</v>
      </c>
    </row>
    <row r="68" spans="1:9" x14ac:dyDescent="0.35">
      <c r="A68" t="s">
        <v>104</v>
      </c>
      <c r="B68" s="1">
        <v>45526</v>
      </c>
      <c r="C68" t="s">
        <v>10</v>
      </c>
      <c r="D68" t="s">
        <v>17</v>
      </c>
      <c r="E68" t="s">
        <v>18</v>
      </c>
      <c r="F68">
        <v>1163.31</v>
      </c>
      <c r="G68">
        <v>299.69</v>
      </c>
      <c r="H68" t="s">
        <v>13</v>
      </c>
      <c r="I68" t="s">
        <v>29</v>
      </c>
    </row>
    <row r="69" spans="1:9" x14ac:dyDescent="0.35">
      <c r="A69" t="s">
        <v>105</v>
      </c>
      <c r="B69" s="1">
        <v>44644</v>
      </c>
      <c r="C69" t="s">
        <v>16</v>
      </c>
      <c r="D69" t="s">
        <v>62</v>
      </c>
      <c r="E69" t="s">
        <v>27</v>
      </c>
      <c r="F69">
        <v>1227.74</v>
      </c>
      <c r="G69">
        <v>345.26</v>
      </c>
      <c r="H69" t="s">
        <v>13</v>
      </c>
      <c r="I69" t="s">
        <v>14</v>
      </c>
    </row>
    <row r="70" spans="1:9" x14ac:dyDescent="0.35">
      <c r="A70" t="s">
        <v>106</v>
      </c>
      <c r="B70" s="1">
        <v>45375</v>
      </c>
      <c r="C70" t="s">
        <v>16</v>
      </c>
      <c r="D70" t="s">
        <v>17</v>
      </c>
      <c r="E70" t="s">
        <v>18</v>
      </c>
      <c r="F70">
        <v>653.83000000000004</v>
      </c>
      <c r="G70">
        <v>112.55</v>
      </c>
      <c r="H70" t="s">
        <v>13</v>
      </c>
      <c r="I70" t="s">
        <v>20</v>
      </c>
    </row>
    <row r="71" spans="1:9" x14ac:dyDescent="0.35">
      <c r="A71" t="s">
        <v>107</v>
      </c>
      <c r="B71" s="1">
        <v>45374</v>
      </c>
      <c r="C71" t="s">
        <v>25</v>
      </c>
      <c r="D71" t="s">
        <v>23</v>
      </c>
      <c r="E71" t="s">
        <v>18</v>
      </c>
      <c r="F71">
        <v>589.5</v>
      </c>
      <c r="G71">
        <v>167.28</v>
      </c>
      <c r="H71" t="s">
        <v>13</v>
      </c>
      <c r="I71" t="s">
        <v>34</v>
      </c>
    </row>
    <row r="72" spans="1:9" x14ac:dyDescent="0.35">
      <c r="A72" t="s">
        <v>108</v>
      </c>
      <c r="B72" s="1">
        <v>45129</v>
      </c>
      <c r="C72" t="s">
        <v>25</v>
      </c>
      <c r="D72" t="s">
        <v>11</v>
      </c>
      <c r="E72" t="s">
        <v>12</v>
      </c>
      <c r="F72">
        <v>1812.66</v>
      </c>
      <c r="G72">
        <v>204.75</v>
      </c>
      <c r="H72" t="s">
        <v>13</v>
      </c>
      <c r="I72" t="s">
        <v>14</v>
      </c>
    </row>
    <row r="73" spans="1:9" x14ac:dyDescent="0.35">
      <c r="A73" t="s">
        <v>109</v>
      </c>
      <c r="B73" s="1">
        <v>45532</v>
      </c>
      <c r="C73" t="s">
        <v>22</v>
      </c>
      <c r="D73" t="s">
        <v>33</v>
      </c>
      <c r="E73" t="s">
        <v>18</v>
      </c>
      <c r="F73">
        <v>651.38</v>
      </c>
      <c r="G73">
        <v>67.8</v>
      </c>
      <c r="H73" t="s">
        <v>13</v>
      </c>
      <c r="I73" t="s">
        <v>29</v>
      </c>
    </row>
    <row r="74" spans="1:9" x14ac:dyDescent="0.35">
      <c r="A74" t="s">
        <v>110</v>
      </c>
      <c r="B74" s="1">
        <v>44653</v>
      </c>
      <c r="C74" t="s">
        <v>22</v>
      </c>
      <c r="D74" t="s">
        <v>95</v>
      </c>
      <c r="E74" t="s">
        <v>18</v>
      </c>
      <c r="F74">
        <v>1814.64</v>
      </c>
      <c r="G74">
        <v>362.26</v>
      </c>
      <c r="H74" t="s">
        <v>28</v>
      </c>
      <c r="I74" t="s">
        <v>29</v>
      </c>
    </row>
    <row r="75" spans="1:9" x14ac:dyDescent="0.35">
      <c r="A75" t="s">
        <v>111</v>
      </c>
      <c r="B75" s="1">
        <v>45431</v>
      </c>
      <c r="C75" t="s">
        <v>22</v>
      </c>
      <c r="D75" t="s">
        <v>73</v>
      </c>
      <c r="E75" t="s">
        <v>27</v>
      </c>
      <c r="F75">
        <v>1928.2</v>
      </c>
      <c r="G75">
        <v>150.6</v>
      </c>
      <c r="H75" t="s">
        <v>19</v>
      </c>
      <c r="I75" t="s">
        <v>14</v>
      </c>
    </row>
    <row r="76" spans="1:9" x14ac:dyDescent="0.35">
      <c r="A76" t="s">
        <v>112</v>
      </c>
      <c r="B76" s="1">
        <v>44631</v>
      </c>
      <c r="C76" t="s">
        <v>22</v>
      </c>
      <c r="D76" t="s">
        <v>38</v>
      </c>
      <c r="E76" t="s">
        <v>12</v>
      </c>
      <c r="F76">
        <v>543.17999999999995</v>
      </c>
      <c r="G76">
        <v>128.22</v>
      </c>
      <c r="H76" t="s">
        <v>13</v>
      </c>
      <c r="I76" t="s">
        <v>29</v>
      </c>
    </row>
    <row r="77" spans="1:9" x14ac:dyDescent="0.35">
      <c r="A77" t="s">
        <v>113</v>
      </c>
      <c r="B77" s="1">
        <v>44870</v>
      </c>
      <c r="C77" t="s">
        <v>16</v>
      </c>
      <c r="D77" t="s">
        <v>95</v>
      </c>
      <c r="E77" t="s">
        <v>18</v>
      </c>
      <c r="F77">
        <v>1264.77</v>
      </c>
      <c r="G77">
        <v>87.97</v>
      </c>
      <c r="H77" t="s">
        <v>28</v>
      </c>
      <c r="I77" t="s">
        <v>20</v>
      </c>
    </row>
    <row r="78" spans="1:9" x14ac:dyDescent="0.35">
      <c r="A78" t="s">
        <v>114</v>
      </c>
      <c r="B78" s="1">
        <v>45461</v>
      </c>
      <c r="C78" t="s">
        <v>16</v>
      </c>
      <c r="D78" t="s">
        <v>41</v>
      </c>
      <c r="E78" t="s">
        <v>12</v>
      </c>
      <c r="F78">
        <v>135.34</v>
      </c>
      <c r="G78">
        <v>37.729999999999997</v>
      </c>
      <c r="H78" t="s">
        <v>19</v>
      </c>
      <c r="I78" t="s">
        <v>29</v>
      </c>
    </row>
    <row r="79" spans="1:9" x14ac:dyDescent="0.35">
      <c r="A79" t="s">
        <v>115</v>
      </c>
      <c r="B79" s="1">
        <v>45086</v>
      </c>
      <c r="C79" t="s">
        <v>22</v>
      </c>
      <c r="D79" t="s">
        <v>41</v>
      </c>
      <c r="E79" t="s">
        <v>12</v>
      </c>
      <c r="F79">
        <v>1891.58</v>
      </c>
      <c r="G79">
        <v>352.75</v>
      </c>
      <c r="H79" t="s">
        <v>28</v>
      </c>
      <c r="I79" t="s">
        <v>29</v>
      </c>
    </row>
    <row r="80" spans="1:9" x14ac:dyDescent="0.35">
      <c r="A80" t="s">
        <v>116</v>
      </c>
      <c r="B80" s="1">
        <v>44582</v>
      </c>
      <c r="C80" t="s">
        <v>16</v>
      </c>
      <c r="D80" t="s">
        <v>31</v>
      </c>
      <c r="E80" t="s">
        <v>12</v>
      </c>
      <c r="F80">
        <v>1806.33</v>
      </c>
      <c r="G80">
        <v>505.88</v>
      </c>
      <c r="H80" t="s">
        <v>28</v>
      </c>
      <c r="I80" t="s">
        <v>29</v>
      </c>
    </row>
    <row r="81" spans="1:9" x14ac:dyDescent="0.35">
      <c r="A81" t="s">
        <v>117</v>
      </c>
      <c r="B81" s="1">
        <v>44927</v>
      </c>
      <c r="C81" t="s">
        <v>22</v>
      </c>
      <c r="D81" t="s">
        <v>11</v>
      </c>
      <c r="E81" t="s">
        <v>12</v>
      </c>
      <c r="F81">
        <v>915.24</v>
      </c>
      <c r="G81">
        <v>136.30000000000001</v>
      </c>
      <c r="H81" t="s">
        <v>28</v>
      </c>
      <c r="I81" t="s">
        <v>34</v>
      </c>
    </row>
    <row r="82" spans="1:9" x14ac:dyDescent="0.35">
      <c r="A82" t="s">
        <v>118</v>
      </c>
      <c r="B82" s="1">
        <v>45485</v>
      </c>
      <c r="C82" t="s">
        <v>22</v>
      </c>
      <c r="D82" t="s">
        <v>17</v>
      </c>
      <c r="E82" t="s">
        <v>18</v>
      </c>
      <c r="F82">
        <v>1198.95</v>
      </c>
      <c r="G82">
        <v>303.91000000000003</v>
      </c>
      <c r="H82" t="s">
        <v>19</v>
      </c>
      <c r="I82" t="s">
        <v>29</v>
      </c>
    </row>
    <row r="83" spans="1:9" x14ac:dyDescent="0.35">
      <c r="A83" t="s">
        <v>119</v>
      </c>
      <c r="B83" s="1">
        <v>45141</v>
      </c>
      <c r="C83" t="s">
        <v>22</v>
      </c>
      <c r="D83" t="s">
        <v>41</v>
      </c>
      <c r="E83" t="s">
        <v>12</v>
      </c>
      <c r="F83">
        <v>377.57</v>
      </c>
      <c r="G83">
        <v>101.15</v>
      </c>
      <c r="H83" t="s">
        <v>13</v>
      </c>
      <c r="I83" t="s">
        <v>29</v>
      </c>
    </row>
    <row r="84" spans="1:9" x14ac:dyDescent="0.35">
      <c r="A84" t="s">
        <v>120</v>
      </c>
      <c r="B84" s="1">
        <v>45289</v>
      </c>
      <c r="C84" t="s">
        <v>25</v>
      </c>
      <c r="D84" t="s">
        <v>23</v>
      </c>
      <c r="E84" t="s">
        <v>18</v>
      </c>
      <c r="F84">
        <v>972.11</v>
      </c>
      <c r="G84">
        <v>100.83</v>
      </c>
      <c r="H84" t="s">
        <v>19</v>
      </c>
      <c r="I84" t="s">
        <v>34</v>
      </c>
    </row>
    <row r="85" spans="1:9" x14ac:dyDescent="0.35">
      <c r="A85" t="s">
        <v>121</v>
      </c>
      <c r="B85" s="1">
        <v>44578</v>
      </c>
      <c r="C85" t="s">
        <v>10</v>
      </c>
      <c r="D85" t="s">
        <v>95</v>
      </c>
      <c r="E85" t="s">
        <v>18</v>
      </c>
      <c r="F85">
        <v>138</v>
      </c>
      <c r="G85">
        <v>39.479999999999997</v>
      </c>
      <c r="H85" t="s">
        <v>13</v>
      </c>
      <c r="I85" t="s">
        <v>20</v>
      </c>
    </row>
    <row r="86" spans="1:9" x14ac:dyDescent="0.35">
      <c r="A86" t="s">
        <v>122</v>
      </c>
      <c r="B86" s="1">
        <v>44840</v>
      </c>
      <c r="C86" t="s">
        <v>25</v>
      </c>
      <c r="D86" t="s">
        <v>33</v>
      </c>
      <c r="E86" t="s">
        <v>18</v>
      </c>
      <c r="F86">
        <v>1111.29</v>
      </c>
      <c r="G86">
        <v>90.86</v>
      </c>
      <c r="H86" t="s">
        <v>28</v>
      </c>
      <c r="I86" t="s">
        <v>14</v>
      </c>
    </row>
    <row r="87" spans="1:9" x14ac:dyDescent="0.35">
      <c r="A87" t="s">
        <v>123</v>
      </c>
      <c r="B87" s="1">
        <v>45172</v>
      </c>
      <c r="C87" t="s">
        <v>25</v>
      </c>
      <c r="D87" t="s">
        <v>11</v>
      </c>
      <c r="E87" t="s">
        <v>12</v>
      </c>
      <c r="F87">
        <v>1480.55</v>
      </c>
      <c r="G87">
        <v>430.45</v>
      </c>
      <c r="H87" t="s">
        <v>28</v>
      </c>
      <c r="I87" t="s">
        <v>20</v>
      </c>
    </row>
    <row r="88" spans="1:9" x14ac:dyDescent="0.35">
      <c r="A88" t="s">
        <v>124</v>
      </c>
      <c r="B88" s="1">
        <v>45534</v>
      </c>
      <c r="C88" t="s">
        <v>10</v>
      </c>
      <c r="D88" t="s">
        <v>95</v>
      </c>
      <c r="E88" t="s">
        <v>18</v>
      </c>
      <c r="F88">
        <v>631.67999999999995</v>
      </c>
      <c r="G88">
        <v>176.43</v>
      </c>
      <c r="H88" t="s">
        <v>28</v>
      </c>
      <c r="I88" t="s">
        <v>34</v>
      </c>
    </row>
    <row r="89" spans="1:9" x14ac:dyDescent="0.35">
      <c r="A89" t="s">
        <v>125</v>
      </c>
      <c r="B89" s="1">
        <v>45194</v>
      </c>
      <c r="C89" t="s">
        <v>22</v>
      </c>
      <c r="D89" t="s">
        <v>31</v>
      </c>
      <c r="E89" t="s">
        <v>12</v>
      </c>
      <c r="F89">
        <v>1897.44</v>
      </c>
      <c r="G89">
        <v>329.84</v>
      </c>
      <c r="H89" t="s">
        <v>13</v>
      </c>
      <c r="I89" t="s">
        <v>14</v>
      </c>
    </row>
    <row r="90" spans="1:9" x14ac:dyDescent="0.35">
      <c r="A90" t="s">
        <v>126</v>
      </c>
      <c r="B90" s="1">
        <v>45079</v>
      </c>
      <c r="C90" t="s">
        <v>16</v>
      </c>
      <c r="D90" t="s">
        <v>23</v>
      </c>
      <c r="E90" t="s">
        <v>18</v>
      </c>
      <c r="F90">
        <v>805.57</v>
      </c>
      <c r="G90">
        <v>170.34</v>
      </c>
      <c r="H90" t="s">
        <v>13</v>
      </c>
      <c r="I90" t="s">
        <v>14</v>
      </c>
    </row>
    <row r="91" spans="1:9" x14ac:dyDescent="0.35">
      <c r="A91" t="s">
        <v>127</v>
      </c>
      <c r="B91" s="1">
        <v>45326</v>
      </c>
      <c r="C91" t="s">
        <v>25</v>
      </c>
      <c r="D91" t="s">
        <v>23</v>
      </c>
      <c r="E91" t="s">
        <v>18</v>
      </c>
      <c r="F91">
        <v>1861.02</v>
      </c>
      <c r="G91">
        <v>162.05000000000001</v>
      </c>
      <c r="H91" t="s">
        <v>13</v>
      </c>
      <c r="I91" t="s">
        <v>34</v>
      </c>
    </row>
    <row r="92" spans="1:9" x14ac:dyDescent="0.35">
      <c r="A92" t="s">
        <v>128</v>
      </c>
      <c r="B92" s="1">
        <v>44715</v>
      </c>
      <c r="C92" t="s">
        <v>22</v>
      </c>
      <c r="D92" t="s">
        <v>50</v>
      </c>
      <c r="E92" t="s">
        <v>12</v>
      </c>
      <c r="F92">
        <v>1543.12</v>
      </c>
      <c r="G92">
        <v>449.75</v>
      </c>
      <c r="H92" t="s">
        <v>13</v>
      </c>
      <c r="I92" t="s">
        <v>14</v>
      </c>
    </row>
    <row r="93" spans="1:9" x14ac:dyDescent="0.35">
      <c r="A93" t="s">
        <v>129</v>
      </c>
      <c r="B93" s="1">
        <v>45606</v>
      </c>
      <c r="C93" t="s">
        <v>25</v>
      </c>
      <c r="D93" t="s">
        <v>33</v>
      </c>
      <c r="E93" t="s">
        <v>18</v>
      </c>
      <c r="F93">
        <v>638.36</v>
      </c>
      <c r="G93">
        <v>182.92</v>
      </c>
      <c r="H93" t="s">
        <v>13</v>
      </c>
      <c r="I93" t="s">
        <v>34</v>
      </c>
    </row>
    <row r="94" spans="1:9" x14ac:dyDescent="0.35">
      <c r="A94" t="s">
        <v>130</v>
      </c>
      <c r="B94" s="1">
        <v>44687</v>
      </c>
      <c r="C94" t="s">
        <v>22</v>
      </c>
      <c r="D94" t="s">
        <v>73</v>
      </c>
      <c r="E94" t="s">
        <v>27</v>
      </c>
      <c r="F94">
        <v>1189.82</v>
      </c>
      <c r="G94">
        <v>257.39</v>
      </c>
      <c r="H94" t="s">
        <v>13</v>
      </c>
      <c r="I94" t="s">
        <v>20</v>
      </c>
    </row>
    <row r="95" spans="1:9" x14ac:dyDescent="0.35">
      <c r="A95" t="s">
        <v>131</v>
      </c>
      <c r="B95" s="1">
        <v>44986</v>
      </c>
      <c r="C95" t="s">
        <v>22</v>
      </c>
      <c r="D95" t="s">
        <v>41</v>
      </c>
      <c r="E95" t="s">
        <v>12</v>
      </c>
      <c r="F95">
        <v>75.39</v>
      </c>
      <c r="G95">
        <v>9.24</v>
      </c>
      <c r="H95" t="s">
        <v>28</v>
      </c>
      <c r="I95" t="s">
        <v>34</v>
      </c>
    </row>
    <row r="96" spans="1:9" x14ac:dyDescent="0.35">
      <c r="A96" t="s">
        <v>132</v>
      </c>
      <c r="B96" s="1">
        <v>45482</v>
      </c>
      <c r="C96" t="s">
        <v>25</v>
      </c>
      <c r="D96" t="s">
        <v>11</v>
      </c>
      <c r="E96" t="s">
        <v>12</v>
      </c>
      <c r="F96">
        <v>1252.08</v>
      </c>
      <c r="G96">
        <v>138.37</v>
      </c>
      <c r="H96" t="s">
        <v>13</v>
      </c>
      <c r="I96" t="s">
        <v>29</v>
      </c>
    </row>
    <row r="97" spans="1:9" x14ac:dyDescent="0.35">
      <c r="A97" t="s">
        <v>133</v>
      </c>
      <c r="B97" s="1">
        <v>44834</v>
      </c>
      <c r="C97" t="s">
        <v>22</v>
      </c>
      <c r="D97" t="s">
        <v>97</v>
      </c>
      <c r="E97" t="s">
        <v>27</v>
      </c>
      <c r="F97">
        <v>1083.71</v>
      </c>
      <c r="G97">
        <v>172.84</v>
      </c>
      <c r="H97" t="s">
        <v>28</v>
      </c>
      <c r="I97" t="s">
        <v>34</v>
      </c>
    </row>
    <row r="98" spans="1:9" x14ac:dyDescent="0.35">
      <c r="A98" t="s">
        <v>134</v>
      </c>
      <c r="B98" s="1">
        <v>45143</v>
      </c>
      <c r="C98" t="s">
        <v>16</v>
      </c>
      <c r="D98" t="s">
        <v>38</v>
      </c>
      <c r="E98" t="s">
        <v>12</v>
      </c>
      <c r="F98">
        <v>650.67999999999995</v>
      </c>
      <c r="G98">
        <v>75.56</v>
      </c>
      <c r="H98" t="s">
        <v>19</v>
      </c>
      <c r="I98" t="s">
        <v>20</v>
      </c>
    </row>
    <row r="99" spans="1:9" x14ac:dyDescent="0.35">
      <c r="A99" t="s">
        <v>135</v>
      </c>
      <c r="B99" s="1">
        <v>45584</v>
      </c>
      <c r="C99" t="s">
        <v>22</v>
      </c>
      <c r="D99" t="s">
        <v>17</v>
      </c>
      <c r="E99" t="s">
        <v>18</v>
      </c>
      <c r="F99">
        <v>1317.71</v>
      </c>
      <c r="G99">
        <v>353.93</v>
      </c>
      <c r="H99" t="s">
        <v>19</v>
      </c>
      <c r="I99" t="s">
        <v>20</v>
      </c>
    </row>
    <row r="100" spans="1:9" x14ac:dyDescent="0.35">
      <c r="A100" t="s">
        <v>136</v>
      </c>
      <c r="B100" s="1">
        <v>45370</v>
      </c>
      <c r="C100" t="s">
        <v>22</v>
      </c>
      <c r="D100" t="s">
        <v>46</v>
      </c>
      <c r="E100" t="s">
        <v>18</v>
      </c>
      <c r="F100">
        <v>599.6</v>
      </c>
      <c r="G100">
        <v>71.78</v>
      </c>
      <c r="H100" t="s">
        <v>19</v>
      </c>
      <c r="I100" t="s">
        <v>34</v>
      </c>
    </row>
    <row r="101" spans="1:9" x14ac:dyDescent="0.35">
      <c r="A101" t="s">
        <v>137</v>
      </c>
      <c r="B101" s="1">
        <v>45290</v>
      </c>
      <c r="C101" t="s">
        <v>25</v>
      </c>
      <c r="D101" t="s">
        <v>97</v>
      </c>
      <c r="E101" t="s">
        <v>27</v>
      </c>
      <c r="F101">
        <v>1164.54</v>
      </c>
      <c r="G101">
        <v>333.36</v>
      </c>
      <c r="H101" t="s">
        <v>28</v>
      </c>
      <c r="I101" t="s">
        <v>14</v>
      </c>
    </row>
    <row r="102" spans="1:9" x14ac:dyDescent="0.35">
      <c r="A102" t="s">
        <v>138</v>
      </c>
      <c r="B102" s="1">
        <v>44822</v>
      </c>
      <c r="C102" t="s">
        <v>22</v>
      </c>
      <c r="D102" t="s">
        <v>31</v>
      </c>
      <c r="E102" t="s">
        <v>12</v>
      </c>
      <c r="F102">
        <v>1431.17</v>
      </c>
      <c r="G102">
        <v>304.2</v>
      </c>
      <c r="H102" t="s">
        <v>19</v>
      </c>
      <c r="I102" t="s">
        <v>14</v>
      </c>
    </row>
    <row r="103" spans="1:9" x14ac:dyDescent="0.35">
      <c r="A103" t="s">
        <v>139</v>
      </c>
      <c r="B103" s="1">
        <v>45514</v>
      </c>
      <c r="C103" t="s">
        <v>25</v>
      </c>
      <c r="D103" t="s">
        <v>62</v>
      </c>
      <c r="E103" t="s">
        <v>27</v>
      </c>
      <c r="F103">
        <v>788.85</v>
      </c>
      <c r="G103">
        <v>205.95</v>
      </c>
      <c r="H103" t="s">
        <v>28</v>
      </c>
      <c r="I103" t="s">
        <v>14</v>
      </c>
    </row>
    <row r="104" spans="1:9" x14ac:dyDescent="0.35">
      <c r="A104" t="s">
        <v>140</v>
      </c>
      <c r="B104" s="1">
        <v>45006</v>
      </c>
      <c r="C104" t="s">
        <v>10</v>
      </c>
      <c r="D104" t="s">
        <v>33</v>
      </c>
      <c r="E104" t="s">
        <v>18</v>
      </c>
      <c r="F104">
        <v>1663.56</v>
      </c>
      <c r="G104">
        <v>145.4</v>
      </c>
      <c r="H104" t="s">
        <v>19</v>
      </c>
      <c r="I104" t="s">
        <v>20</v>
      </c>
    </row>
    <row r="105" spans="1:9" x14ac:dyDescent="0.35">
      <c r="A105" t="s">
        <v>141</v>
      </c>
      <c r="B105" s="1">
        <v>45518</v>
      </c>
      <c r="C105" t="s">
        <v>25</v>
      </c>
      <c r="D105" t="s">
        <v>33</v>
      </c>
      <c r="E105" t="s">
        <v>18</v>
      </c>
      <c r="F105">
        <v>1763.96</v>
      </c>
      <c r="G105">
        <v>197.49</v>
      </c>
      <c r="H105" t="s">
        <v>13</v>
      </c>
      <c r="I105" t="s">
        <v>34</v>
      </c>
    </row>
    <row r="106" spans="1:9" x14ac:dyDescent="0.35">
      <c r="A106" t="s">
        <v>142</v>
      </c>
      <c r="B106" s="1">
        <v>45005</v>
      </c>
      <c r="C106" t="s">
        <v>25</v>
      </c>
      <c r="D106" t="s">
        <v>38</v>
      </c>
      <c r="E106" t="s">
        <v>12</v>
      </c>
      <c r="F106">
        <v>1854.06</v>
      </c>
      <c r="G106">
        <v>301.11</v>
      </c>
      <c r="H106" t="s">
        <v>13</v>
      </c>
      <c r="I106" t="s">
        <v>34</v>
      </c>
    </row>
    <row r="107" spans="1:9" x14ac:dyDescent="0.35">
      <c r="A107" t="s">
        <v>143</v>
      </c>
      <c r="B107" s="1">
        <v>44941</v>
      </c>
      <c r="C107" t="s">
        <v>22</v>
      </c>
      <c r="D107" t="s">
        <v>31</v>
      </c>
      <c r="E107" t="s">
        <v>12</v>
      </c>
      <c r="F107">
        <v>80.180000000000007</v>
      </c>
      <c r="G107">
        <v>21.31</v>
      </c>
      <c r="H107" t="s">
        <v>28</v>
      </c>
      <c r="I107" t="s">
        <v>34</v>
      </c>
    </row>
    <row r="108" spans="1:9" x14ac:dyDescent="0.35">
      <c r="A108" t="s">
        <v>144</v>
      </c>
      <c r="B108" s="1">
        <v>45016</v>
      </c>
      <c r="C108" t="s">
        <v>22</v>
      </c>
      <c r="D108" t="s">
        <v>73</v>
      </c>
      <c r="E108" t="s">
        <v>27</v>
      </c>
      <c r="F108">
        <v>830.7</v>
      </c>
      <c r="G108">
        <v>143.4</v>
      </c>
      <c r="H108" t="s">
        <v>28</v>
      </c>
      <c r="I108" t="s">
        <v>29</v>
      </c>
    </row>
    <row r="109" spans="1:9" x14ac:dyDescent="0.35">
      <c r="A109" t="s">
        <v>145</v>
      </c>
      <c r="B109" s="1">
        <v>44990</v>
      </c>
      <c r="C109" t="s">
        <v>10</v>
      </c>
      <c r="D109" t="s">
        <v>97</v>
      </c>
      <c r="E109" t="s">
        <v>27</v>
      </c>
      <c r="F109">
        <v>1612.99</v>
      </c>
      <c r="G109">
        <v>360.17</v>
      </c>
      <c r="H109" t="s">
        <v>13</v>
      </c>
      <c r="I109" t="s">
        <v>14</v>
      </c>
    </row>
    <row r="110" spans="1:9" x14ac:dyDescent="0.35">
      <c r="A110" t="s">
        <v>146</v>
      </c>
      <c r="B110" s="1">
        <v>44710</v>
      </c>
      <c r="C110" t="s">
        <v>25</v>
      </c>
      <c r="D110" t="s">
        <v>26</v>
      </c>
      <c r="E110" t="s">
        <v>27</v>
      </c>
      <c r="F110">
        <v>1521.6</v>
      </c>
      <c r="G110">
        <v>81.84</v>
      </c>
      <c r="H110" t="s">
        <v>13</v>
      </c>
      <c r="I110" t="s">
        <v>34</v>
      </c>
    </row>
    <row r="111" spans="1:9" x14ac:dyDescent="0.35">
      <c r="A111" t="s">
        <v>147</v>
      </c>
      <c r="B111" s="1">
        <v>44729</v>
      </c>
      <c r="C111" t="s">
        <v>22</v>
      </c>
      <c r="D111" t="s">
        <v>97</v>
      </c>
      <c r="E111" t="s">
        <v>27</v>
      </c>
      <c r="F111">
        <v>1456.21</v>
      </c>
      <c r="G111">
        <v>135.35</v>
      </c>
      <c r="H111" t="s">
        <v>19</v>
      </c>
      <c r="I111" t="s">
        <v>34</v>
      </c>
    </row>
    <row r="112" spans="1:9" x14ac:dyDescent="0.35">
      <c r="A112" t="s">
        <v>148</v>
      </c>
      <c r="B112" s="1">
        <v>45593</v>
      </c>
      <c r="C112" t="s">
        <v>25</v>
      </c>
      <c r="D112" t="s">
        <v>95</v>
      </c>
      <c r="E112" t="s">
        <v>18</v>
      </c>
      <c r="F112">
        <v>883.08</v>
      </c>
      <c r="G112">
        <v>107.87</v>
      </c>
      <c r="H112" t="s">
        <v>13</v>
      </c>
      <c r="I112" t="s">
        <v>29</v>
      </c>
    </row>
    <row r="113" spans="1:9" x14ac:dyDescent="0.35">
      <c r="A113" t="s">
        <v>149</v>
      </c>
      <c r="B113" s="1">
        <v>45175</v>
      </c>
      <c r="C113" t="s">
        <v>10</v>
      </c>
      <c r="D113" t="s">
        <v>95</v>
      </c>
      <c r="E113" t="s">
        <v>18</v>
      </c>
      <c r="F113">
        <v>83.42</v>
      </c>
      <c r="G113">
        <v>23.89</v>
      </c>
      <c r="H113" t="s">
        <v>28</v>
      </c>
      <c r="I113" t="s">
        <v>14</v>
      </c>
    </row>
    <row r="114" spans="1:9" x14ac:dyDescent="0.35">
      <c r="A114" t="s">
        <v>150</v>
      </c>
      <c r="B114" s="1">
        <v>45099</v>
      </c>
      <c r="C114" t="s">
        <v>16</v>
      </c>
      <c r="D114" t="s">
        <v>46</v>
      </c>
      <c r="E114" t="s">
        <v>18</v>
      </c>
      <c r="F114">
        <v>1427.35</v>
      </c>
      <c r="G114">
        <v>117.28</v>
      </c>
      <c r="H114" t="s">
        <v>13</v>
      </c>
      <c r="I114" t="s">
        <v>20</v>
      </c>
    </row>
    <row r="115" spans="1:9" x14ac:dyDescent="0.35">
      <c r="A115" t="s">
        <v>151</v>
      </c>
      <c r="B115" s="1">
        <v>45154</v>
      </c>
      <c r="C115" t="s">
        <v>25</v>
      </c>
      <c r="D115" t="s">
        <v>73</v>
      </c>
      <c r="E115" t="s">
        <v>27</v>
      </c>
      <c r="F115">
        <v>815.53</v>
      </c>
      <c r="G115">
        <v>205.32</v>
      </c>
      <c r="H115" t="s">
        <v>13</v>
      </c>
      <c r="I115" t="s">
        <v>34</v>
      </c>
    </row>
    <row r="116" spans="1:9" x14ac:dyDescent="0.35">
      <c r="A116" t="s">
        <v>152</v>
      </c>
      <c r="B116" s="1">
        <v>44664</v>
      </c>
      <c r="C116" t="s">
        <v>22</v>
      </c>
      <c r="D116" t="s">
        <v>17</v>
      </c>
      <c r="E116" t="s">
        <v>18</v>
      </c>
      <c r="F116">
        <v>1717.08</v>
      </c>
      <c r="G116">
        <v>217.83</v>
      </c>
      <c r="H116" t="s">
        <v>13</v>
      </c>
      <c r="I116" t="s">
        <v>14</v>
      </c>
    </row>
    <row r="117" spans="1:9" x14ac:dyDescent="0.35">
      <c r="A117" t="s">
        <v>153</v>
      </c>
      <c r="B117" s="1">
        <v>45106</v>
      </c>
      <c r="C117" t="s">
        <v>10</v>
      </c>
      <c r="D117" t="s">
        <v>31</v>
      </c>
      <c r="E117" t="s">
        <v>12</v>
      </c>
      <c r="F117">
        <v>648.82000000000005</v>
      </c>
      <c r="G117">
        <v>138.30000000000001</v>
      </c>
      <c r="H117" t="s">
        <v>19</v>
      </c>
      <c r="I117" t="s">
        <v>14</v>
      </c>
    </row>
    <row r="118" spans="1:9" x14ac:dyDescent="0.35">
      <c r="A118" t="s">
        <v>154</v>
      </c>
      <c r="B118" s="1">
        <v>44700</v>
      </c>
      <c r="C118" t="s">
        <v>25</v>
      </c>
      <c r="D118" t="s">
        <v>73</v>
      </c>
      <c r="E118" t="s">
        <v>27</v>
      </c>
      <c r="F118">
        <v>240.7</v>
      </c>
      <c r="G118">
        <v>43.67</v>
      </c>
      <c r="H118" t="s">
        <v>13</v>
      </c>
      <c r="I118" t="s">
        <v>20</v>
      </c>
    </row>
    <row r="119" spans="1:9" x14ac:dyDescent="0.35">
      <c r="A119" t="s">
        <v>155</v>
      </c>
      <c r="B119" s="1">
        <v>45237</v>
      </c>
      <c r="C119" t="s">
        <v>25</v>
      </c>
      <c r="D119" t="s">
        <v>38</v>
      </c>
      <c r="E119" t="s">
        <v>12</v>
      </c>
      <c r="F119">
        <v>1287.1600000000001</v>
      </c>
      <c r="G119">
        <v>195.4</v>
      </c>
      <c r="H119" t="s">
        <v>28</v>
      </c>
      <c r="I119" t="s">
        <v>29</v>
      </c>
    </row>
    <row r="120" spans="1:9" x14ac:dyDescent="0.35">
      <c r="A120" t="s">
        <v>156</v>
      </c>
      <c r="B120" s="1">
        <v>44697</v>
      </c>
      <c r="C120" t="s">
        <v>22</v>
      </c>
      <c r="D120" t="s">
        <v>17</v>
      </c>
      <c r="E120" t="s">
        <v>18</v>
      </c>
      <c r="F120">
        <v>1706.76</v>
      </c>
      <c r="G120">
        <v>343.44</v>
      </c>
      <c r="H120" t="s">
        <v>13</v>
      </c>
      <c r="I120" t="s">
        <v>20</v>
      </c>
    </row>
    <row r="121" spans="1:9" x14ac:dyDescent="0.35">
      <c r="A121" t="s">
        <v>157</v>
      </c>
      <c r="B121" s="1">
        <v>45256</v>
      </c>
      <c r="C121" t="s">
        <v>16</v>
      </c>
      <c r="D121" t="s">
        <v>33</v>
      </c>
      <c r="E121" t="s">
        <v>18</v>
      </c>
      <c r="F121">
        <v>1216.47</v>
      </c>
      <c r="G121">
        <v>79.94</v>
      </c>
      <c r="H121" t="s">
        <v>13</v>
      </c>
      <c r="I121" t="s">
        <v>20</v>
      </c>
    </row>
    <row r="122" spans="1:9" x14ac:dyDescent="0.35">
      <c r="A122" t="s">
        <v>158</v>
      </c>
      <c r="B122" s="1">
        <v>45533</v>
      </c>
      <c r="C122" t="s">
        <v>25</v>
      </c>
      <c r="D122" t="s">
        <v>73</v>
      </c>
      <c r="E122" t="s">
        <v>27</v>
      </c>
      <c r="F122">
        <v>1926.92</v>
      </c>
      <c r="G122">
        <v>415.16</v>
      </c>
      <c r="H122" t="s">
        <v>13</v>
      </c>
      <c r="I122" t="s">
        <v>34</v>
      </c>
    </row>
    <row r="123" spans="1:9" x14ac:dyDescent="0.35">
      <c r="A123" t="s">
        <v>159</v>
      </c>
      <c r="B123" s="1">
        <v>45205</v>
      </c>
      <c r="C123" t="s">
        <v>25</v>
      </c>
      <c r="D123" t="s">
        <v>41</v>
      </c>
      <c r="E123" t="s">
        <v>12</v>
      </c>
      <c r="F123">
        <v>1725.12</v>
      </c>
      <c r="G123">
        <v>289.86</v>
      </c>
      <c r="H123" t="s">
        <v>28</v>
      </c>
      <c r="I123" t="s">
        <v>20</v>
      </c>
    </row>
    <row r="124" spans="1:9" x14ac:dyDescent="0.35">
      <c r="A124" t="s">
        <v>160</v>
      </c>
      <c r="B124" s="1">
        <v>45267</v>
      </c>
      <c r="C124" t="s">
        <v>16</v>
      </c>
      <c r="D124" t="s">
        <v>57</v>
      </c>
      <c r="E124" t="s">
        <v>27</v>
      </c>
      <c r="F124">
        <v>1405.14</v>
      </c>
      <c r="G124">
        <v>420.23</v>
      </c>
      <c r="H124" t="s">
        <v>19</v>
      </c>
      <c r="I124" t="s">
        <v>20</v>
      </c>
    </row>
    <row r="125" spans="1:9" x14ac:dyDescent="0.35">
      <c r="A125" t="s">
        <v>161</v>
      </c>
      <c r="B125" s="1">
        <v>45428</v>
      </c>
      <c r="C125" t="s">
        <v>25</v>
      </c>
      <c r="D125" t="s">
        <v>50</v>
      </c>
      <c r="E125" t="s">
        <v>12</v>
      </c>
      <c r="F125">
        <v>978.2</v>
      </c>
      <c r="G125">
        <v>180.57</v>
      </c>
      <c r="H125" t="s">
        <v>28</v>
      </c>
      <c r="I125" t="s">
        <v>34</v>
      </c>
    </row>
    <row r="126" spans="1:9" x14ac:dyDescent="0.35">
      <c r="A126" t="s">
        <v>162</v>
      </c>
      <c r="B126" s="1">
        <v>44850</v>
      </c>
      <c r="C126" t="s">
        <v>22</v>
      </c>
      <c r="D126" t="s">
        <v>46</v>
      </c>
      <c r="E126" t="s">
        <v>18</v>
      </c>
      <c r="F126">
        <v>1441.78</v>
      </c>
      <c r="G126">
        <v>416.21</v>
      </c>
      <c r="H126" t="s">
        <v>13</v>
      </c>
      <c r="I126" t="s">
        <v>14</v>
      </c>
    </row>
    <row r="127" spans="1:9" x14ac:dyDescent="0.35">
      <c r="A127" t="s">
        <v>163</v>
      </c>
      <c r="B127" s="1">
        <v>45513</v>
      </c>
      <c r="C127" t="s">
        <v>25</v>
      </c>
      <c r="D127" t="s">
        <v>50</v>
      </c>
      <c r="E127" t="s">
        <v>12</v>
      </c>
      <c r="F127">
        <v>919.56</v>
      </c>
      <c r="G127">
        <v>131.16</v>
      </c>
      <c r="H127" t="s">
        <v>13</v>
      </c>
      <c r="I127" t="s">
        <v>29</v>
      </c>
    </row>
    <row r="128" spans="1:9" x14ac:dyDescent="0.35">
      <c r="A128" t="s">
        <v>164</v>
      </c>
      <c r="B128" s="1">
        <v>45119</v>
      </c>
      <c r="C128" t="s">
        <v>16</v>
      </c>
      <c r="D128" t="s">
        <v>23</v>
      </c>
      <c r="E128" t="s">
        <v>18</v>
      </c>
      <c r="F128">
        <v>839.57</v>
      </c>
      <c r="G128">
        <v>123.87</v>
      </c>
      <c r="H128" t="s">
        <v>19</v>
      </c>
      <c r="I128" t="s">
        <v>20</v>
      </c>
    </row>
    <row r="129" spans="1:9" x14ac:dyDescent="0.35">
      <c r="A129" t="s">
        <v>165</v>
      </c>
      <c r="B129" s="1">
        <v>44618</v>
      </c>
      <c r="C129" t="s">
        <v>22</v>
      </c>
      <c r="D129" t="s">
        <v>33</v>
      </c>
      <c r="E129" t="s">
        <v>18</v>
      </c>
      <c r="F129">
        <v>1833.58</v>
      </c>
      <c r="G129">
        <v>227.39</v>
      </c>
      <c r="H129" t="s">
        <v>28</v>
      </c>
      <c r="I129" t="s">
        <v>14</v>
      </c>
    </row>
    <row r="130" spans="1:9" x14ac:dyDescent="0.35">
      <c r="A130" t="s">
        <v>166</v>
      </c>
      <c r="B130" s="1">
        <v>44768</v>
      </c>
      <c r="C130" t="s">
        <v>16</v>
      </c>
      <c r="D130" t="s">
        <v>57</v>
      </c>
      <c r="E130" t="s">
        <v>27</v>
      </c>
      <c r="F130">
        <v>100.8</v>
      </c>
      <c r="G130">
        <v>8.16</v>
      </c>
      <c r="H130" t="s">
        <v>28</v>
      </c>
      <c r="I130" t="s">
        <v>20</v>
      </c>
    </row>
    <row r="131" spans="1:9" x14ac:dyDescent="0.35">
      <c r="A131" t="s">
        <v>167</v>
      </c>
      <c r="B131" s="1">
        <v>45123</v>
      </c>
      <c r="C131" t="s">
        <v>22</v>
      </c>
      <c r="D131" t="s">
        <v>17</v>
      </c>
      <c r="E131" t="s">
        <v>18</v>
      </c>
      <c r="F131">
        <v>802.1</v>
      </c>
      <c r="G131">
        <v>193.72</v>
      </c>
      <c r="H131" t="s">
        <v>13</v>
      </c>
      <c r="I131" t="s">
        <v>14</v>
      </c>
    </row>
    <row r="132" spans="1:9" x14ac:dyDescent="0.35">
      <c r="A132" t="s">
        <v>168</v>
      </c>
      <c r="B132" s="1">
        <v>44654</v>
      </c>
      <c r="C132" t="s">
        <v>22</v>
      </c>
      <c r="D132" t="s">
        <v>73</v>
      </c>
      <c r="E132" t="s">
        <v>27</v>
      </c>
      <c r="F132">
        <v>1349.02</v>
      </c>
      <c r="G132">
        <v>127.17</v>
      </c>
      <c r="H132" t="s">
        <v>19</v>
      </c>
      <c r="I132" t="s">
        <v>29</v>
      </c>
    </row>
    <row r="133" spans="1:9" x14ac:dyDescent="0.35">
      <c r="A133" t="s">
        <v>169</v>
      </c>
      <c r="B133" s="1">
        <v>45110</v>
      </c>
      <c r="C133" t="s">
        <v>25</v>
      </c>
      <c r="D133" t="s">
        <v>26</v>
      </c>
      <c r="E133" t="s">
        <v>27</v>
      </c>
      <c r="F133">
        <v>1610.7</v>
      </c>
      <c r="G133">
        <v>114.67</v>
      </c>
      <c r="H133" t="s">
        <v>13</v>
      </c>
      <c r="I133" t="s">
        <v>34</v>
      </c>
    </row>
    <row r="134" spans="1:9" x14ac:dyDescent="0.35">
      <c r="A134" t="s">
        <v>170</v>
      </c>
      <c r="B134" s="1">
        <v>45612</v>
      </c>
      <c r="C134" t="s">
        <v>25</v>
      </c>
      <c r="D134" t="s">
        <v>26</v>
      </c>
      <c r="E134" t="s">
        <v>27</v>
      </c>
      <c r="F134">
        <v>1426.61</v>
      </c>
      <c r="G134">
        <v>392.71</v>
      </c>
      <c r="H134" t="s">
        <v>19</v>
      </c>
      <c r="I134" t="s">
        <v>14</v>
      </c>
    </row>
    <row r="135" spans="1:9" x14ac:dyDescent="0.35">
      <c r="A135" t="s">
        <v>171</v>
      </c>
      <c r="B135" s="1">
        <v>45095</v>
      </c>
      <c r="C135" t="s">
        <v>10</v>
      </c>
      <c r="D135" t="s">
        <v>97</v>
      </c>
      <c r="E135" t="s">
        <v>27</v>
      </c>
      <c r="F135">
        <v>439.84</v>
      </c>
      <c r="G135">
        <v>60.84</v>
      </c>
      <c r="H135" t="s">
        <v>28</v>
      </c>
      <c r="I135" t="s">
        <v>29</v>
      </c>
    </row>
    <row r="136" spans="1:9" x14ac:dyDescent="0.35">
      <c r="A136" t="s">
        <v>172</v>
      </c>
      <c r="B136" s="1">
        <v>45286</v>
      </c>
      <c r="C136" t="s">
        <v>10</v>
      </c>
      <c r="D136" t="s">
        <v>62</v>
      </c>
      <c r="E136" t="s">
        <v>27</v>
      </c>
      <c r="F136">
        <v>1863.17</v>
      </c>
      <c r="G136">
        <v>503.56</v>
      </c>
      <c r="H136" t="s">
        <v>13</v>
      </c>
      <c r="I136" t="s">
        <v>20</v>
      </c>
    </row>
    <row r="137" spans="1:9" x14ac:dyDescent="0.35">
      <c r="A137" t="s">
        <v>173</v>
      </c>
      <c r="B137" s="1">
        <v>45015</v>
      </c>
      <c r="C137" t="s">
        <v>22</v>
      </c>
      <c r="D137" t="s">
        <v>38</v>
      </c>
      <c r="E137" t="s">
        <v>12</v>
      </c>
      <c r="F137">
        <v>1213.0899999999999</v>
      </c>
      <c r="G137">
        <v>123.37</v>
      </c>
      <c r="H137" t="s">
        <v>19</v>
      </c>
      <c r="I137" t="s">
        <v>14</v>
      </c>
    </row>
    <row r="138" spans="1:9" x14ac:dyDescent="0.35">
      <c r="A138" t="s">
        <v>174</v>
      </c>
      <c r="B138" s="1">
        <v>45136</v>
      </c>
      <c r="C138" t="s">
        <v>22</v>
      </c>
      <c r="D138" t="s">
        <v>38</v>
      </c>
      <c r="E138" t="s">
        <v>12</v>
      </c>
      <c r="F138">
        <v>723.32</v>
      </c>
      <c r="G138">
        <v>151.08000000000001</v>
      </c>
      <c r="H138" t="s">
        <v>28</v>
      </c>
      <c r="I138" t="s">
        <v>14</v>
      </c>
    </row>
    <row r="139" spans="1:9" x14ac:dyDescent="0.35">
      <c r="A139" t="s">
        <v>175</v>
      </c>
      <c r="B139" s="1">
        <v>45057</v>
      </c>
      <c r="C139" t="s">
        <v>10</v>
      </c>
      <c r="D139" t="s">
        <v>38</v>
      </c>
      <c r="E139" t="s">
        <v>12</v>
      </c>
      <c r="F139">
        <v>1058.73</v>
      </c>
      <c r="G139">
        <v>90.51</v>
      </c>
      <c r="H139" t="s">
        <v>28</v>
      </c>
      <c r="I139" t="s">
        <v>29</v>
      </c>
    </row>
    <row r="140" spans="1:9" x14ac:dyDescent="0.35">
      <c r="A140" t="s">
        <v>176</v>
      </c>
      <c r="B140" s="1">
        <v>44599</v>
      </c>
      <c r="C140" t="s">
        <v>25</v>
      </c>
      <c r="D140" t="s">
        <v>23</v>
      </c>
      <c r="E140" t="s">
        <v>18</v>
      </c>
      <c r="F140">
        <v>283.22000000000003</v>
      </c>
      <c r="G140">
        <v>15.32</v>
      </c>
      <c r="H140" t="s">
        <v>19</v>
      </c>
      <c r="I140" t="s">
        <v>14</v>
      </c>
    </row>
    <row r="141" spans="1:9" x14ac:dyDescent="0.35">
      <c r="A141" t="s">
        <v>177</v>
      </c>
      <c r="B141" s="1">
        <v>45276</v>
      </c>
      <c r="C141" t="s">
        <v>16</v>
      </c>
      <c r="D141" t="s">
        <v>73</v>
      </c>
      <c r="E141" t="s">
        <v>27</v>
      </c>
      <c r="F141">
        <v>105.46</v>
      </c>
      <c r="G141">
        <v>28.79</v>
      </c>
      <c r="H141" t="s">
        <v>28</v>
      </c>
      <c r="I141" t="s">
        <v>14</v>
      </c>
    </row>
    <row r="142" spans="1:9" x14ac:dyDescent="0.35">
      <c r="A142" t="s">
        <v>178</v>
      </c>
      <c r="B142" s="1">
        <v>45619</v>
      </c>
      <c r="C142" t="s">
        <v>10</v>
      </c>
      <c r="D142" t="s">
        <v>73</v>
      </c>
      <c r="E142" t="s">
        <v>27</v>
      </c>
      <c r="F142">
        <v>1847.39</v>
      </c>
      <c r="G142">
        <v>426.98</v>
      </c>
      <c r="H142" t="s">
        <v>13</v>
      </c>
      <c r="I142" t="s">
        <v>29</v>
      </c>
    </row>
    <row r="143" spans="1:9" x14ac:dyDescent="0.35">
      <c r="A143" t="s">
        <v>179</v>
      </c>
      <c r="B143" s="1">
        <v>45464</v>
      </c>
      <c r="C143" t="s">
        <v>22</v>
      </c>
      <c r="D143" t="s">
        <v>26</v>
      </c>
      <c r="E143" t="s">
        <v>27</v>
      </c>
      <c r="F143">
        <v>887.58</v>
      </c>
      <c r="G143">
        <v>126.71</v>
      </c>
      <c r="H143" t="s">
        <v>19</v>
      </c>
      <c r="I143" t="s">
        <v>29</v>
      </c>
    </row>
    <row r="144" spans="1:9" x14ac:dyDescent="0.35">
      <c r="A144" t="s">
        <v>180</v>
      </c>
      <c r="B144" s="1">
        <v>44675</v>
      </c>
      <c r="C144" t="s">
        <v>25</v>
      </c>
      <c r="D144" t="s">
        <v>41</v>
      </c>
      <c r="E144" t="s">
        <v>12</v>
      </c>
      <c r="F144">
        <v>308.99</v>
      </c>
      <c r="G144">
        <v>33.299999999999997</v>
      </c>
      <c r="H144" t="s">
        <v>28</v>
      </c>
      <c r="I144" t="s">
        <v>20</v>
      </c>
    </row>
    <row r="145" spans="1:9" x14ac:dyDescent="0.35">
      <c r="A145" t="s">
        <v>181</v>
      </c>
      <c r="B145" s="1">
        <v>44934</v>
      </c>
      <c r="C145" t="s">
        <v>10</v>
      </c>
      <c r="D145" t="s">
        <v>62</v>
      </c>
      <c r="E145" t="s">
        <v>27</v>
      </c>
      <c r="F145">
        <v>1892.6</v>
      </c>
      <c r="G145">
        <v>317.02</v>
      </c>
      <c r="H145" t="s">
        <v>19</v>
      </c>
      <c r="I145" t="s">
        <v>20</v>
      </c>
    </row>
    <row r="146" spans="1:9" x14ac:dyDescent="0.35">
      <c r="A146" t="s">
        <v>182</v>
      </c>
      <c r="B146" s="1">
        <v>45431</v>
      </c>
      <c r="C146" t="s">
        <v>25</v>
      </c>
      <c r="D146" t="s">
        <v>23</v>
      </c>
      <c r="E146" t="s">
        <v>18</v>
      </c>
      <c r="F146">
        <v>711.27</v>
      </c>
      <c r="G146">
        <v>72.92</v>
      </c>
      <c r="H146" t="s">
        <v>13</v>
      </c>
      <c r="I146" t="s">
        <v>14</v>
      </c>
    </row>
    <row r="147" spans="1:9" x14ac:dyDescent="0.35">
      <c r="A147" t="s">
        <v>183</v>
      </c>
      <c r="B147" s="1">
        <v>44587</v>
      </c>
      <c r="C147" t="s">
        <v>16</v>
      </c>
      <c r="D147" t="s">
        <v>62</v>
      </c>
      <c r="E147" t="s">
        <v>27</v>
      </c>
      <c r="F147">
        <v>1294.17</v>
      </c>
      <c r="G147">
        <v>377.57</v>
      </c>
      <c r="H147" t="s">
        <v>13</v>
      </c>
      <c r="I147" t="s">
        <v>20</v>
      </c>
    </row>
    <row r="148" spans="1:9" x14ac:dyDescent="0.35">
      <c r="A148" t="s">
        <v>184</v>
      </c>
      <c r="B148" s="1">
        <v>45229</v>
      </c>
      <c r="C148" t="s">
        <v>22</v>
      </c>
      <c r="D148" t="s">
        <v>17</v>
      </c>
      <c r="E148" t="s">
        <v>18</v>
      </c>
      <c r="F148">
        <v>703.25</v>
      </c>
      <c r="G148">
        <v>175.64</v>
      </c>
      <c r="H148" t="s">
        <v>28</v>
      </c>
      <c r="I148" t="s">
        <v>14</v>
      </c>
    </row>
    <row r="149" spans="1:9" x14ac:dyDescent="0.35">
      <c r="A149" t="s">
        <v>185</v>
      </c>
      <c r="B149" s="1">
        <v>45230</v>
      </c>
      <c r="C149" t="s">
        <v>25</v>
      </c>
      <c r="D149" t="s">
        <v>97</v>
      </c>
      <c r="E149" t="s">
        <v>27</v>
      </c>
      <c r="F149">
        <v>1362.99</v>
      </c>
      <c r="G149">
        <v>196.85</v>
      </c>
      <c r="H149" t="s">
        <v>13</v>
      </c>
      <c r="I149" t="s">
        <v>14</v>
      </c>
    </row>
    <row r="150" spans="1:9" x14ac:dyDescent="0.35">
      <c r="A150" t="s">
        <v>186</v>
      </c>
      <c r="B150" s="1">
        <v>44818</v>
      </c>
      <c r="C150" t="s">
        <v>22</v>
      </c>
      <c r="D150" t="s">
        <v>31</v>
      </c>
      <c r="E150" t="s">
        <v>12</v>
      </c>
      <c r="F150">
        <v>1474.12</v>
      </c>
      <c r="G150">
        <v>164.33</v>
      </c>
      <c r="H150" t="s">
        <v>28</v>
      </c>
      <c r="I150" t="s">
        <v>29</v>
      </c>
    </row>
    <row r="151" spans="1:9" x14ac:dyDescent="0.35">
      <c r="A151" t="s">
        <v>187</v>
      </c>
      <c r="B151" s="1">
        <v>44920</v>
      </c>
      <c r="C151" t="s">
        <v>22</v>
      </c>
      <c r="D151" t="s">
        <v>62</v>
      </c>
      <c r="E151" t="s">
        <v>27</v>
      </c>
      <c r="F151">
        <v>356.25</v>
      </c>
      <c r="G151">
        <v>106.56</v>
      </c>
      <c r="H151" t="s">
        <v>13</v>
      </c>
      <c r="I151" t="s">
        <v>14</v>
      </c>
    </row>
    <row r="152" spans="1:9" x14ac:dyDescent="0.35">
      <c r="A152" t="s">
        <v>188</v>
      </c>
      <c r="B152" s="1">
        <v>45525</v>
      </c>
      <c r="C152" t="s">
        <v>10</v>
      </c>
      <c r="D152" t="s">
        <v>41</v>
      </c>
      <c r="E152" t="s">
        <v>12</v>
      </c>
      <c r="F152">
        <v>652.37</v>
      </c>
      <c r="G152">
        <v>138.30000000000001</v>
      </c>
      <c r="H152" t="s">
        <v>13</v>
      </c>
      <c r="I152" t="s">
        <v>14</v>
      </c>
    </row>
    <row r="153" spans="1:9" x14ac:dyDescent="0.35">
      <c r="A153" t="s">
        <v>189</v>
      </c>
      <c r="B153" s="1">
        <v>45588</v>
      </c>
      <c r="C153" t="s">
        <v>25</v>
      </c>
      <c r="D153" t="s">
        <v>62</v>
      </c>
      <c r="E153" t="s">
        <v>27</v>
      </c>
      <c r="F153">
        <v>694.43</v>
      </c>
      <c r="G153">
        <v>122</v>
      </c>
      <c r="H153" t="s">
        <v>13</v>
      </c>
      <c r="I153" t="s">
        <v>34</v>
      </c>
    </row>
    <row r="154" spans="1:9" x14ac:dyDescent="0.35">
      <c r="A154" t="s">
        <v>190</v>
      </c>
      <c r="B154" s="1">
        <v>45416</v>
      </c>
      <c r="C154" t="s">
        <v>22</v>
      </c>
      <c r="D154" t="s">
        <v>33</v>
      </c>
      <c r="E154" t="s">
        <v>18</v>
      </c>
      <c r="F154">
        <v>438.33</v>
      </c>
      <c r="G154">
        <v>95.37</v>
      </c>
      <c r="H154" t="s">
        <v>13</v>
      </c>
      <c r="I154" t="s">
        <v>14</v>
      </c>
    </row>
    <row r="155" spans="1:9" x14ac:dyDescent="0.35">
      <c r="A155" t="s">
        <v>191</v>
      </c>
      <c r="B155" s="1">
        <v>45267</v>
      </c>
      <c r="C155" t="s">
        <v>22</v>
      </c>
      <c r="D155" t="s">
        <v>11</v>
      </c>
      <c r="E155" t="s">
        <v>12</v>
      </c>
      <c r="F155">
        <v>1594.03</v>
      </c>
      <c r="G155">
        <v>355.06</v>
      </c>
      <c r="H155" t="s">
        <v>13</v>
      </c>
      <c r="I155" t="s">
        <v>34</v>
      </c>
    </row>
    <row r="156" spans="1:9" x14ac:dyDescent="0.35">
      <c r="A156" t="s">
        <v>192</v>
      </c>
      <c r="B156" s="1">
        <v>45586</v>
      </c>
      <c r="C156" t="s">
        <v>22</v>
      </c>
      <c r="D156" t="s">
        <v>57</v>
      </c>
      <c r="E156" t="s">
        <v>27</v>
      </c>
      <c r="F156">
        <v>301.42</v>
      </c>
      <c r="G156">
        <v>59.88</v>
      </c>
      <c r="H156" t="s">
        <v>19</v>
      </c>
      <c r="I156" t="s">
        <v>34</v>
      </c>
    </row>
    <row r="157" spans="1:9" x14ac:dyDescent="0.35">
      <c r="A157" t="s">
        <v>193</v>
      </c>
      <c r="B157" s="1">
        <v>45370</v>
      </c>
      <c r="C157" t="s">
        <v>10</v>
      </c>
      <c r="D157" t="s">
        <v>11</v>
      </c>
      <c r="E157" t="s">
        <v>12</v>
      </c>
      <c r="F157">
        <v>739.26</v>
      </c>
      <c r="G157">
        <v>161.87</v>
      </c>
      <c r="H157" t="s">
        <v>13</v>
      </c>
      <c r="I157" t="s">
        <v>34</v>
      </c>
    </row>
    <row r="158" spans="1:9" x14ac:dyDescent="0.35">
      <c r="A158" t="s">
        <v>194</v>
      </c>
      <c r="B158" s="1">
        <v>45551</v>
      </c>
      <c r="C158" t="s">
        <v>25</v>
      </c>
      <c r="D158" t="s">
        <v>57</v>
      </c>
      <c r="E158" t="s">
        <v>27</v>
      </c>
      <c r="F158">
        <v>217.39</v>
      </c>
      <c r="G158">
        <v>15.65</v>
      </c>
      <c r="H158" t="s">
        <v>19</v>
      </c>
      <c r="I158" t="s">
        <v>34</v>
      </c>
    </row>
    <row r="159" spans="1:9" x14ac:dyDescent="0.35">
      <c r="A159" t="s">
        <v>195</v>
      </c>
      <c r="B159" s="1">
        <v>45195</v>
      </c>
      <c r="C159" t="s">
        <v>10</v>
      </c>
      <c r="D159" t="s">
        <v>46</v>
      </c>
      <c r="E159" t="s">
        <v>18</v>
      </c>
      <c r="F159">
        <v>910.47</v>
      </c>
      <c r="G159">
        <v>168.16</v>
      </c>
      <c r="H159" t="s">
        <v>28</v>
      </c>
      <c r="I159" t="s">
        <v>14</v>
      </c>
    </row>
    <row r="160" spans="1:9" x14ac:dyDescent="0.35">
      <c r="A160" t="s">
        <v>196</v>
      </c>
      <c r="B160" s="1">
        <v>44966</v>
      </c>
      <c r="C160" t="s">
        <v>10</v>
      </c>
      <c r="D160" t="s">
        <v>11</v>
      </c>
      <c r="E160" t="s">
        <v>12</v>
      </c>
      <c r="F160">
        <v>922.53</v>
      </c>
      <c r="G160">
        <v>239.13</v>
      </c>
      <c r="H160" t="s">
        <v>28</v>
      </c>
      <c r="I160" t="s">
        <v>14</v>
      </c>
    </row>
    <row r="161" spans="1:9" x14ac:dyDescent="0.35">
      <c r="A161" t="s">
        <v>197</v>
      </c>
      <c r="B161" s="1">
        <v>44865</v>
      </c>
      <c r="C161" t="s">
        <v>16</v>
      </c>
      <c r="D161" t="s">
        <v>46</v>
      </c>
      <c r="E161" t="s">
        <v>18</v>
      </c>
      <c r="F161">
        <v>1888.23</v>
      </c>
      <c r="G161">
        <v>552.9</v>
      </c>
      <c r="H161" t="s">
        <v>28</v>
      </c>
      <c r="I161" t="s">
        <v>20</v>
      </c>
    </row>
    <row r="162" spans="1:9" x14ac:dyDescent="0.35">
      <c r="A162" t="s">
        <v>198</v>
      </c>
      <c r="B162" s="1">
        <v>44939</v>
      </c>
      <c r="C162" t="s">
        <v>16</v>
      </c>
      <c r="D162" t="s">
        <v>17</v>
      </c>
      <c r="E162" t="s">
        <v>18</v>
      </c>
      <c r="F162">
        <v>1701.68</v>
      </c>
      <c r="G162">
        <v>500.75</v>
      </c>
      <c r="H162" t="s">
        <v>19</v>
      </c>
      <c r="I162" t="s">
        <v>14</v>
      </c>
    </row>
    <row r="163" spans="1:9" x14ac:dyDescent="0.35">
      <c r="A163" t="s">
        <v>199</v>
      </c>
      <c r="B163" s="1">
        <v>45432</v>
      </c>
      <c r="C163" t="s">
        <v>25</v>
      </c>
      <c r="D163" t="s">
        <v>41</v>
      </c>
      <c r="E163" t="s">
        <v>12</v>
      </c>
      <c r="F163">
        <v>1158.97</v>
      </c>
      <c r="G163">
        <v>265.22000000000003</v>
      </c>
      <c r="H163" t="s">
        <v>28</v>
      </c>
      <c r="I163" t="s">
        <v>29</v>
      </c>
    </row>
    <row r="164" spans="1:9" x14ac:dyDescent="0.35">
      <c r="A164" t="s">
        <v>200</v>
      </c>
      <c r="B164" s="1">
        <v>45563</v>
      </c>
      <c r="C164" t="s">
        <v>16</v>
      </c>
      <c r="D164" t="s">
        <v>26</v>
      </c>
      <c r="E164" t="s">
        <v>27</v>
      </c>
      <c r="F164">
        <v>1520.33</v>
      </c>
      <c r="G164">
        <v>223.23</v>
      </c>
      <c r="H164" t="s">
        <v>13</v>
      </c>
      <c r="I164" t="s">
        <v>34</v>
      </c>
    </row>
    <row r="165" spans="1:9" x14ac:dyDescent="0.35">
      <c r="A165" t="s">
        <v>201</v>
      </c>
      <c r="B165" s="1">
        <v>45054</v>
      </c>
      <c r="C165" t="s">
        <v>16</v>
      </c>
      <c r="D165" t="s">
        <v>33</v>
      </c>
      <c r="E165" t="s">
        <v>18</v>
      </c>
      <c r="F165">
        <v>635.71</v>
      </c>
      <c r="G165">
        <v>117.83</v>
      </c>
      <c r="H165" t="s">
        <v>28</v>
      </c>
      <c r="I165" t="s">
        <v>34</v>
      </c>
    </row>
    <row r="166" spans="1:9" x14ac:dyDescent="0.35">
      <c r="A166" t="s">
        <v>202</v>
      </c>
      <c r="B166" s="1">
        <v>45524</v>
      </c>
      <c r="C166" t="s">
        <v>25</v>
      </c>
      <c r="D166" t="s">
        <v>11</v>
      </c>
      <c r="E166" t="s">
        <v>12</v>
      </c>
      <c r="F166">
        <v>1953.16</v>
      </c>
      <c r="G166">
        <v>561.97</v>
      </c>
      <c r="H166" t="s">
        <v>19</v>
      </c>
      <c r="I166" t="s">
        <v>14</v>
      </c>
    </row>
    <row r="167" spans="1:9" x14ac:dyDescent="0.35">
      <c r="A167" t="s">
        <v>203</v>
      </c>
      <c r="B167" s="1">
        <v>45560</v>
      </c>
      <c r="C167" t="s">
        <v>25</v>
      </c>
      <c r="D167" t="s">
        <v>11</v>
      </c>
      <c r="E167" t="s">
        <v>12</v>
      </c>
      <c r="F167">
        <v>173.32</v>
      </c>
      <c r="G167">
        <v>27.1</v>
      </c>
      <c r="H167" t="s">
        <v>13</v>
      </c>
      <c r="I167" t="s">
        <v>14</v>
      </c>
    </row>
    <row r="168" spans="1:9" x14ac:dyDescent="0.35">
      <c r="A168" t="s">
        <v>204</v>
      </c>
      <c r="B168" s="1">
        <v>45494</v>
      </c>
      <c r="C168" t="s">
        <v>16</v>
      </c>
      <c r="D168" t="s">
        <v>33</v>
      </c>
      <c r="E168" t="s">
        <v>18</v>
      </c>
      <c r="F168">
        <v>1094.6600000000001</v>
      </c>
      <c r="G168">
        <v>100.49</v>
      </c>
      <c r="H168" t="s">
        <v>13</v>
      </c>
      <c r="I168" t="s">
        <v>14</v>
      </c>
    </row>
    <row r="169" spans="1:9" x14ac:dyDescent="0.35">
      <c r="A169" t="s">
        <v>205</v>
      </c>
      <c r="B169" s="1">
        <v>45597</v>
      </c>
      <c r="C169" t="s">
        <v>22</v>
      </c>
      <c r="D169" t="s">
        <v>17</v>
      </c>
      <c r="E169" t="s">
        <v>18</v>
      </c>
      <c r="F169">
        <v>408.59</v>
      </c>
      <c r="G169">
        <v>106.01</v>
      </c>
      <c r="H169" t="s">
        <v>19</v>
      </c>
      <c r="I169" t="s">
        <v>14</v>
      </c>
    </row>
    <row r="170" spans="1:9" x14ac:dyDescent="0.35">
      <c r="A170" t="s">
        <v>206</v>
      </c>
      <c r="B170" s="1">
        <v>45480</v>
      </c>
      <c r="C170" t="s">
        <v>10</v>
      </c>
      <c r="D170" t="s">
        <v>97</v>
      </c>
      <c r="E170" t="s">
        <v>27</v>
      </c>
      <c r="F170">
        <v>506.47</v>
      </c>
      <c r="G170">
        <v>32.26</v>
      </c>
      <c r="H170" t="s">
        <v>28</v>
      </c>
      <c r="I170" t="s">
        <v>14</v>
      </c>
    </row>
    <row r="171" spans="1:9" x14ac:dyDescent="0.35">
      <c r="A171" t="s">
        <v>207</v>
      </c>
      <c r="B171" s="1">
        <v>45622</v>
      </c>
      <c r="C171" t="s">
        <v>22</v>
      </c>
      <c r="D171" t="s">
        <v>46</v>
      </c>
      <c r="E171" t="s">
        <v>18</v>
      </c>
      <c r="F171">
        <v>1226.71</v>
      </c>
      <c r="G171">
        <v>326.13</v>
      </c>
      <c r="H171" t="s">
        <v>13</v>
      </c>
      <c r="I171" t="s">
        <v>20</v>
      </c>
    </row>
    <row r="172" spans="1:9" x14ac:dyDescent="0.35">
      <c r="A172" t="s">
        <v>208</v>
      </c>
      <c r="B172" s="1">
        <v>44766</v>
      </c>
      <c r="C172" t="s">
        <v>25</v>
      </c>
      <c r="D172" t="s">
        <v>33</v>
      </c>
      <c r="E172" t="s">
        <v>18</v>
      </c>
      <c r="F172">
        <v>1965.79</v>
      </c>
      <c r="G172">
        <v>391.92</v>
      </c>
      <c r="H172" t="s">
        <v>19</v>
      </c>
      <c r="I172" t="s">
        <v>29</v>
      </c>
    </row>
    <row r="173" spans="1:9" x14ac:dyDescent="0.35">
      <c r="A173" t="s">
        <v>209</v>
      </c>
      <c r="B173" s="1">
        <v>44770</v>
      </c>
      <c r="C173" t="s">
        <v>16</v>
      </c>
      <c r="D173" t="s">
        <v>31</v>
      </c>
      <c r="E173" t="s">
        <v>12</v>
      </c>
      <c r="F173">
        <v>155.97999999999999</v>
      </c>
      <c r="G173">
        <v>8.23</v>
      </c>
      <c r="H173" t="s">
        <v>13</v>
      </c>
      <c r="I173" t="s">
        <v>20</v>
      </c>
    </row>
    <row r="174" spans="1:9" x14ac:dyDescent="0.35">
      <c r="A174" t="s">
        <v>210</v>
      </c>
      <c r="B174" s="1">
        <v>44713</v>
      </c>
      <c r="C174" t="s">
        <v>22</v>
      </c>
      <c r="D174" t="s">
        <v>38</v>
      </c>
      <c r="E174" t="s">
        <v>12</v>
      </c>
      <c r="F174">
        <v>375.93</v>
      </c>
      <c r="G174">
        <v>21.89</v>
      </c>
      <c r="H174" t="s">
        <v>13</v>
      </c>
      <c r="I174" t="s">
        <v>20</v>
      </c>
    </row>
    <row r="175" spans="1:9" x14ac:dyDescent="0.35">
      <c r="A175" t="s">
        <v>211</v>
      </c>
      <c r="B175" s="1">
        <v>44940</v>
      </c>
      <c r="C175" t="s">
        <v>16</v>
      </c>
      <c r="D175" t="s">
        <v>50</v>
      </c>
      <c r="E175" t="s">
        <v>12</v>
      </c>
      <c r="F175">
        <v>909.77</v>
      </c>
      <c r="G175">
        <v>106.54</v>
      </c>
      <c r="H175" t="s">
        <v>28</v>
      </c>
      <c r="I175" t="s">
        <v>34</v>
      </c>
    </row>
    <row r="176" spans="1:9" x14ac:dyDescent="0.35">
      <c r="A176" t="s">
        <v>212</v>
      </c>
      <c r="B176" s="1">
        <v>44661</v>
      </c>
      <c r="C176" t="s">
        <v>25</v>
      </c>
      <c r="D176" t="s">
        <v>26</v>
      </c>
      <c r="E176" t="s">
        <v>27</v>
      </c>
      <c r="F176">
        <v>1045.3499999999999</v>
      </c>
      <c r="G176">
        <v>302.27999999999997</v>
      </c>
      <c r="H176" t="s">
        <v>28</v>
      </c>
      <c r="I176" t="s">
        <v>14</v>
      </c>
    </row>
    <row r="177" spans="1:9" x14ac:dyDescent="0.35">
      <c r="A177" t="s">
        <v>213</v>
      </c>
      <c r="B177" s="1">
        <v>44570</v>
      </c>
      <c r="C177" t="s">
        <v>10</v>
      </c>
      <c r="D177" t="s">
        <v>73</v>
      </c>
      <c r="E177" t="s">
        <v>27</v>
      </c>
      <c r="F177">
        <v>605.66</v>
      </c>
      <c r="G177">
        <v>78.61</v>
      </c>
      <c r="H177" t="s">
        <v>13</v>
      </c>
      <c r="I177" t="s">
        <v>20</v>
      </c>
    </row>
    <row r="178" spans="1:9" x14ac:dyDescent="0.35">
      <c r="A178" t="s">
        <v>214</v>
      </c>
      <c r="B178" s="1">
        <v>44858</v>
      </c>
      <c r="C178" t="s">
        <v>16</v>
      </c>
      <c r="D178" t="s">
        <v>33</v>
      </c>
      <c r="E178" t="s">
        <v>18</v>
      </c>
      <c r="F178">
        <v>219.06</v>
      </c>
      <c r="G178">
        <v>25.13</v>
      </c>
      <c r="H178" t="s">
        <v>19</v>
      </c>
      <c r="I178" t="s">
        <v>20</v>
      </c>
    </row>
    <row r="179" spans="1:9" x14ac:dyDescent="0.35">
      <c r="A179" t="s">
        <v>215</v>
      </c>
      <c r="B179" s="1">
        <v>45201</v>
      </c>
      <c r="C179" t="s">
        <v>16</v>
      </c>
      <c r="D179" t="s">
        <v>26</v>
      </c>
      <c r="E179" t="s">
        <v>27</v>
      </c>
      <c r="F179">
        <v>771.11</v>
      </c>
      <c r="G179">
        <v>141.03</v>
      </c>
      <c r="H179" t="s">
        <v>19</v>
      </c>
      <c r="I179" t="s">
        <v>14</v>
      </c>
    </row>
    <row r="180" spans="1:9" x14ac:dyDescent="0.35">
      <c r="A180" t="s">
        <v>216</v>
      </c>
      <c r="B180" s="1">
        <v>45636</v>
      </c>
      <c r="C180" t="s">
        <v>25</v>
      </c>
      <c r="D180" t="s">
        <v>17</v>
      </c>
      <c r="E180" t="s">
        <v>18</v>
      </c>
      <c r="F180">
        <v>835.75</v>
      </c>
      <c r="G180">
        <v>64.77</v>
      </c>
      <c r="H180" t="s">
        <v>13</v>
      </c>
      <c r="I180" t="s">
        <v>34</v>
      </c>
    </row>
    <row r="181" spans="1:9" x14ac:dyDescent="0.35">
      <c r="A181" t="s">
        <v>217</v>
      </c>
      <c r="B181" s="1">
        <v>45362</v>
      </c>
      <c r="C181" t="s">
        <v>25</v>
      </c>
      <c r="D181" t="s">
        <v>97</v>
      </c>
      <c r="E181" t="s">
        <v>27</v>
      </c>
      <c r="F181">
        <v>1908.89</v>
      </c>
      <c r="G181">
        <v>280.76</v>
      </c>
      <c r="H181" t="s">
        <v>13</v>
      </c>
      <c r="I181" t="s">
        <v>34</v>
      </c>
    </row>
    <row r="182" spans="1:9" x14ac:dyDescent="0.35">
      <c r="A182" t="s">
        <v>218</v>
      </c>
      <c r="B182" s="1">
        <v>44903</v>
      </c>
      <c r="C182" t="s">
        <v>16</v>
      </c>
      <c r="D182" t="s">
        <v>33</v>
      </c>
      <c r="E182" t="s">
        <v>18</v>
      </c>
      <c r="F182">
        <v>1268.83</v>
      </c>
      <c r="G182">
        <v>263.20999999999998</v>
      </c>
      <c r="H182" t="s">
        <v>13</v>
      </c>
      <c r="I182" t="s">
        <v>34</v>
      </c>
    </row>
    <row r="183" spans="1:9" x14ac:dyDescent="0.35">
      <c r="A183" t="s">
        <v>219</v>
      </c>
      <c r="B183" s="1">
        <v>45330</v>
      </c>
      <c r="C183" t="s">
        <v>25</v>
      </c>
      <c r="D183" t="s">
        <v>23</v>
      </c>
      <c r="E183" t="s">
        <v>18</v>
      </c>
      <c r="F183">
        <v>74.819999999999993</v>
      </c>
      <c r="G183">
        <v>19.649999999999999</v>
      </c>
      <c r="H183" t="s">
        <v>13</v>
      </c>
      <c r="I183" t="s">
        <v>29</v>
      </c>
    </row>
    <row r="184" spans="1:9" x14ac:dyDescent="0.35">
      <c r="A184" t="s">
        <v>220</v>
      </c>
      <c r="B184" s="1">
        <v>45144</v>
      </c>
      <c r="C184" t="s">
        <v>16</v>
      </c>
      <c r="D184" t="s">
        <v>62</v>
      </c>
      <c r="E184" t="s">
        <v>27</v>
      </c>
      <c r="F184">
        <v>919.8</v>
      </c>
      <c r="G184">
        <v>64.59</v>
      </c>
      <c r="H184" t="s">
        <v>19</v>
      </c>
      <c r="I184" t="s">
        <v>20</v>
      </c>
    </row>
    <row r="185" spans="1:9" x14ac:dyDescent="0.35">
      <c r="A185" t="s">
        <v>221</v>
      </c>
      <c r="B185" s="1">
        <v>44952</v>
      </c>
      <c r="C185" t="s">
        <v>25</v>
      </c>
      <c r="D185" t="s">
        <v>23</v>
      </c>
      <c r="E185" t="s">
        <v>18</v>
      </c>
      <c r="F185">
        <v>1841.16</v>
      </c>
      <c r="G185">
        <v>466.46</v>
      </c>
      <c r="H185" t="s">
        <v>19</v>
      </c>
      <c r="I185" t="s">
        <v>14</v>
      </c>
    </row>
    <row r="186" spans="1:9" x14ac:dyDescent="0.35">
      <c r="A186" t="s">
        <v>222</v>
      </c>
      <c r="B186" s="1">
        <v>45559</v>
      </c>
      <c r="C186" t="s">
        <v>22</v>
      </c>
      <c r="D186" t="s">
        <v>38</v>
      </c>
      <c r="E186" t="s">
        <v>12</v>
      </c>
      <c r="F186">
        <v>635.07000000000005</v>
      </c>
      <c r="G186">
        <v>142.22</v>
      </c>
      <c r="H186" t="s">
        <v>28</v>
      </c>
      <c r="I186" t="s">
        <v>29</v>
      </c>
    </row>
    <row r="187" spans="1:9" x14ac:dyDescent="0.35">
      <c r="A187" t="s">
        <v>223</v>
      </c>
      <c r="B187" s="1">
        <v>44615</v>
      </c>
      <c r="C187" t="s">
        <v>16</v>
      </c>
      <c r="D187" t="s">
        <v>41</v>
      </c>
      <c r="E187" t="s">
        <v>12</v>
      </c>
      <c r="F187">
        <v>253.71</v>
      </c>
      <c r="G187">
        <v>34.630000000000003</v>
      </c>
      <c r="H187" t="s">
        <v>28</v>
      </c>
      <c r="I187" t="s">
        <v>14</v>
      </c>
    </row>
    <row r="188" spans="1:9" x14ac:dyDescent="0.35">
      <c r="A188" t="s">
        <v>224</v>
      </c>
      <c r="B188" s="1">
        <v>45649</v>
      </c>
      <c r="C188" t="s">
        <v>22</v>
      </c>
      <c r="D188" t="s">
        <v>33</v>
      </c>
      <c r="E188" t="s">
        <v>18</v>
      </c>
      <c r="F188">
        <v>831.83</v>
      </c>
      <c r="G188">
        <v>64.84</v>
      </c>
      <c r="H188" t="s">
        <v>28</v>
      </c>
      <c r="I188" t="s">
        <v>20</v>
      </c>
    </row>
    <row r="189" spans="1:9" x14ac:dyDescent="0.35">
      <c r="A189" t="s">
        <v>225</v>
      </c>
      <c r="B189" s="1">
        <v>44939</v>
      </c>
      <c r="C189" t="s">
        <v>16</v>
      </c>
      <c r="D189" t="s">
        <v>95</v>
      </c>
      <c r="E189" t="s">
        <v>18</v>
      </c>
      <c r="F189">
        <v>1729</v>
      </c>
      <c r="G189">
        <v>360.58</v>
      </c>
      <c r="H189" t="s">
        <v>28</v>
      </c>
      <c r="I189" t="s">
        <v>14</v>
      </c>
    </row>
    <row r="190" spans="1:9" x14ac:dyDescent="0.35">
      <c r="A190" t="s">
        <v>226</v>
      </c>
      <c r="B190" s="1">
        <v>45290</v>
      </c>
      <c r="C190" t="s">
        <v>10</v>
      </c>
      <c r="D190" t="s">
        <v>31</v>
      </c>
      <c r="E190" t="s">
        <v>12</v>
      </c>
      <c r="F190">
        <v>886.54</v>
      </c>
      <c r="G190">
        <v>66.72</v>
      </c>
      <c r="H190" t="s">
        <v>13</v>
      </c>
      <c r="I190" t="s">
        <v>29</v>
      </c>
    </row>
    <row r="191" spans="1:9" x14ac:dyDescent="0.35">
      <c r="A191" t="s">
        <v>227</v>
      </c>
      <c r="B191" s="1">
        <v>45552</v>
      </c>
      <c r="C191" t="s">
        <v>16</v>
      </c>
      <c r="D191" t="s">
        <v>17</v>
      </c>
      <c r="E191" t="s">
        <v>18</v>
      </c>
      <c r="F191">
        <v>1720.7</v>
      </c>
      <c r="G191">
        <v>309.60000000000002</v>
      </c>
      <c r="H191" t="s">
        <v>28</v>
      </c>
      <c r="I191" t="s">
        <v>20</v>
      </c>
    </row>
    <row r="192" spans="1:9" x14ac:dyDescent="0.35">
      <c r="A192" t="s">
        <v>228</v>
      </c>
      <c r="B192" s="1">
        <v>44653</v>
      </c>
      <c r="C192" t="s">
        <v>10</v>
      </c>
      <c r="D192" t="s">
        <v>95</v>
      </c>
      <c r="E192" t="s">
        <v>18</v>
      </c>
      <c r="F192">
        <v>388.91</v>
      </c>
      <c r="G192">
        <v>62.65</v>
      </c>
      <c r="H192" t="s">
        <v>19</v>
      </c>
      <c r="I192" t="s">
        <v>20</v>
      </c>
    </row>
    <row r="193" spans="1:9" x14ac:dyDescent="0.35">
      <c r="A193" t="s">
        <v>229</v>
      </c>
      <c r="B193" s="1">
        <v>44775</v>
      </c>
      <c r="C193" t="s">
        <v>22</v>
      </c>
      <c r="D193" t="s">
        <v>33</v>
      </c>
      <c r="E193" t="s">
        <v>18</v>
      </c>
      <c r="F193">
        <v>836.88</v>
      </c>
      <c r="G193">
        <v>132.66999999999999</v>
      </c>
      <c r="H193" t="s">
        <v>13</v>
      </c>
      <c r="I193" t="s">
        <v>14</v>
      </c>
    </row>
    <row r="194" spans="1:9" x14ac:dyDescent="0.35">
      <c r="A194" t="s">
        <v>230</v>
      </c>
      <c r="B194" s="1">
        <v>44893</v>
      </c>
      <c r="C194" t="s">
        <v>25</v>
      </c>
      <c r="D194" t="s">
        <v>97</v>
      </c>
      <c r="E194" t="s">
        <v>27</v>
      </c>
      <c r="F194">
        <v>1794.38</v>
      </c>
      <c r="G194">
        <v>367.51</v>
      </c>
      <c r="H194" t="s">
        <v>13</v>
      </c>
      <c r="I194" t="s">
        <v>20</v>
      </c>
    </row>
    <row r="195" spans="1:9" x14ac:dyDescent="0.35">
      <c r="A195" t="s">
        <v>231</v>
      </c>
      <c r="B195" s="1">
        <v>44972</v>
      </c>
      <c r="C195" t="s">
        <v>22</v>
      </c>
      <c r="D195" t="s">
        <v>46</v>
      </c>
      <c r="E195" t="s">
        <v>18</v>
      </c>
      <c r="F195">
        <v>470.74</v>
      </c>
      <c r="G195">
        <v>126.61</v>
      </c>
      <c r="H195" t="s">
        <v>19</v>
      </c>
      <c r="I195" t="s">
        <v>34</v>
      </c>
    </row>
    <row r="196" spans="1:9" x14ac:dyDescent="0.35">
      <c r="A196" t="s">
        <v>232</v>
      </c>
      <c r="B196" s="1">
        <v>45200</v>
      </c>
      <c r="C196" t="s">
        <v>16</v>
      </c>
      <c r="D196" t="s">
        <v>73</v>
      </c>
      <c r="E196" t="s">
        <v>27</v>
      </c>
      <c r="F196">
        <v>1655.8</v>
      </c>
      <c r="G196">
        <v>110.44</v>
      </c>
      <c r="H196" t="s">
        <v>19</v>
      </c>
      <c r="I196" t="s">
        <v>34</v>
      </c>
    </row>
    <row r="197" spans="1:9" x14ac:dyDescent="0.35">
      <c r="A197" t="s">
        <v>233</v>
      </c>
      <c r="B197" s="1">
        <v>44870</v>
      </c>
      <c r="C197" t="s">
        <v>10</v>
      </c>
      <c r="D197" t="s">
        <v>62</v>
      </c>
      <c r="E197" t="s">
        <v>27</v>
      </c>
      <c r="F197">
        <v>235.61</v>
      </c>
      <c r="G197">
        <v>61.7</v>
      </c>
      <c r="H197" t="s">
        <v>19</v>
      </c>
      <c r="I197" t="s">
        <v>14</v>
      </c>
    </row>
    <row r="198" spans="1:9" x14ac:dyDescent="0.35">
      <c r="A198" t="s">
        <v>234</v>
      </c>
      <c r="B198" s="1">
        <v>45046</v>
      </c>
      <c r="C198" t="s">
        <v>25</v>
      </c>
      <c r="D198" t="s">
        <v>62</v>
      </c>
      <c r="E198" t="s">
        <v>27</v>
      </c>
      <c r="F198">
        <v>203.28</v>
      </c>
      <c r="G198">
        <v>17.8</v>
      </c>
      <c r="H198" t="s">
        <v>19</v>
      </c>
      <c r="I198" t="s">
        <v>14</v>
      </c>
    </row>
    <row r="199" spans="1:9" x14ac:dyDescent="0.35">
      <c r="A199" t="s">
        <v>235</v>
      </c>
      <c r="B199" s="1">
        <v>45305</v>
      </c>
      <c r="C199" t="s">
        <v>10</v>
      </c>
      <c r="D199" t="s">
        <v>73</v>
      </c>
      <c r="E199" t="s">
        <v>27</v>
      </c>
      <c r="F199">
        <v>1507.9</v>
      </c>
      <c r="G199">
        <v>333.36</v>
      </c>
      <c r="H199" t="s">
        <v>28</v>
      </c>
      <c r="I199" t="s">
        <v>29</v>
      </c>
    </row>
    <row r="200" spans="1:9" x14ac:dyDescent="0.35">
      <c r="A200" t="s">
        <v>236</v>
      </c>
      <c r="B200" s="1">
        <v>44672</v>
      </c>
      <c r="C200" t="s">
        <v>22</v>
      </c>
      <c r="D200" t="s">
        <v>41</v>
      </c>
      <c r="E200" t="s">
        <v>12</v>
      </c>
      <c r="F200">
        <v>104.88</v>
      </c>
      <c r="G200">
        <v>24.33</v>
      </c>
      <c r="H200" t="s">
        <v>19</v>
      </c>
      <c r="I200" t="s">
        <v>14</v>
      </c>
    </row>
    <row r="201" spans="1:9" x14ac:dyDescent="0.35">
      <c r="A201" t="s">
        <v>237</v>
      </c>
      <c r="B201" s="1">
        <v>44900</v>
      </c>
      <c r="C201" t="s">
        <v>10</v>
      </c>
      <c r="D201" t="s">
        <v>33</v>
      </c>
      <c r="E201" t="s">
        <v>18</v>
      </c>
      <c r="F201">
        <v>1132.67</v>
      </c>
      <c r="G201">
        <v>307.18</v>
      </c>
      <c r="H201" t="s">
        <v>28</v>
      </c>
      <c r="I201" t="s">
        <v>14</v>
      </c>
    </row>
    <row r="202" spans="1:9" x14ac:dyDescent="0.35">
      <c r="A202" t="s">
        <v>238</v>
      </c>
      <c r="B202" s="1">
        <v>45287</v>
      </c>
      <c r="C202" t="s">
        <v>16</v>
      </c>
      <c r="D202" t="s">
        <v>57</v>
      </c>
      <c r="E202" t="s">
        <v>27</v>
      </c>
      <c r="F202">
        <v>192.6</v>
      </c>
      <c r="G202">
        <v>38.090000000000003</v>
      </c>
      <c r="H202" t="s">
        <v>28</v>
      </c>
      <c r="I202" t="s">
        <v>29</v>
      </c>
    </row>
    <row r="203" spans="1:9" x14ac:dyDescent="0.35">
      <c r="A203" t="s">
        <v>239</v>
      </c>
      <c r="B203" s="1">
        <v>45492</v>
      </c>
      <c r="C203" t="s">
        <v>16</v>
      </c>
      <c r="D203" t="s">
        <v>33</v>
      </c>
      <c r="E203" t="s">
        <v>18</v>
      </c>
      <c r="F203">
        <v>203.04</v>
      </c>
      <c r="G203">
        <v>53.26</v>
      </c>
      <c r="H203" t="s">
        <v>19</v>
      </c>
      <c r="I203" t="s">
        <v>14</v>
      </c>
    </row>
    <row r="204" spans="1:9" x14ac:dyDescent="0.35">
      <c r="A204" t="s">
        <v>240</v>
      </c>
      <c r="B204" s="1">
        <v>45459</v>
      </c>
      <c r="C204" t="s">
        <v>16</v>
      </c>
      <c r="D204" t="s">
        <v>38</v>
      </c>
      <c r="E204" t="s">
        <v>12</v>
      </c>
      <c r="F204">
        <v>1270.03</v>
      </c>
      <c r="G204">
        <v>185.57</v>
      </c>
      <c r="H204" t="s">
        <v>19</v>
      </c>
      <c r="I204" t="s">
        <v>14</v>
      </c>
    </row>
    <row r="205" spans="1:9" x14ac:dyDescent="0.35">
      <c r="A205" t="s">
        <v>241</v>
      </c>
      <c r="B205" s="1">
        <v>45345</v>
      </c>
      <c r="C205" t="s">
        <v>22</v>
      </c>
      <c r="D205" t="s">
        <v>95</v>
      </c>
      <c r="E205" t="s">
        <v>18</v>
      </c>
      <c r="F205">
        <v>1289.74</v>
      </c>
      <c r="G205">
        <v>214.02</v>
      </c>
      <c r="H205" t="s">
        <v>13</v>
      </c>
      <c r="I205" t="s">
        <v>14</v>
      </c>
    </row>
    <row r="206" spans="1:9" x14ac:dyDescent="0.35">
      <c r="A206" t="s">
        <v>242</v>
      </c>
      <c r="B206" s="1">
        <v>44682</v>
      </c>
      <c r="C206" t="s">
        <v>16</v>
      </c>
      <c r="D206" t="s">
        <v>95</v>
      </c>
      <c r="E206" t="s">
        <v>18</v>
      </c>
      <c r="F206">
        <v>934.45</v>
      </c>
      <c r="G206">
        <v>111.93</v>
      </c>
      <c r="H206" t="s">
        <v>19</v>
      </c>
      <c r="I206" t="s">
        <v>20</v>
      </c>
    </row>
    <row r="207" spans="1:9" x14ac:dyDescent="0.35">
      <c r="A207" t="s">
        <v>243</v>
      </c>
      <c r="B207" s="1">
        <v>45556</v>
      </c>
      <c r="C207" t="s">
        <v>22</v>
      </c>
      <c r="D207" t="s">
        <v>26</v>
      </c>
      <c r="E207" t="s">
        <v>27</v>
      </c>
      <c r="F207">
        <v>1902.74</v>
      </c>
      <c r="G207">
        <v>553.92999999999995</v>
      </c>
      <c r="H207" t="s">
        <v>19</v>
      </c>
      <c r="I207" t="s">
        <v>34</v>
      </c>
    </row>
    <row r="208" spans="1:9" x14ac:dyDescent="0.35">
      <c r="A208" t="s">
        <v>244</v>
      </c>
      <c r="B208" s="1">
        <v>44681</v>
      </c>
      <c r="C208" t="s">
        <v>25</v>
      </c>
      <c r="D208" t="s">
        <v>33</v>
      </c>
      <c r="E208" t="s">
        <v>18</v>
      </c>
      <c r="F208">
        <v>1902.71</v>
      </c>
      <c r="G208">
        <v>134.02000000000001</v>
      </c>
      <c r="H208" t="s">
        <v>19</v>
      </c>
      <c r="I208" t="s">
        <v>29</v>
      </c>
    </row>
    <row r="209" spans="1:9" x14ac:dyDescent="0.35">
      <c r="A209" t="s">
        <v>245</v>
      </c>
      <c r="B209" s="1">
        <v>44729</v>
      </c>
      <c r="C209" t="s">
        <v>16</v>
      </c>
      <c r="D209" t="s">
        <v>41</v>
      </c>
      <c r="E209" t="s">
        <v>12</v>
      </c>
      <c r="F209">
        <v>338.46</v>
      </c>
      <c r="G209">
        <v>23.88</v>
      </c>
      <c r="H209" t="s">
        <v>28</v>
      </c>
      <c r="I209" t="s">
        <v>20</v>
      </c>
    </row>
    <row r="210" spans="1:9" x14ac:dyDescent="0.35">
      <c r="A210" t="s">
        <v>246</v>
      </c>
      <c r="B210" s="1">
        <v>45521</v>
      </c>
      <c r="C210" t="s">
        <v>16</v>
      </c>
      <c r="D210" t="s">
        <v>11</v>
      </c>
      <c r="E210" t="s">
        <v>12</v>
      </c>
      <c r="F210">
        <v>507.48</v>
      </c>
      <c r="G210">
        <v>59.55</v>
      </c>
      <c r="H210" t="s">
        <v>28</v>
      </c>
      <c r="I210" t="s">
        <v>20</v>
      </c>
    </row>
    <row r="211" spans="1:9" x14ac:dyDescent="0.35">
      <c r="A211" t="s">
        <v>247</v>
      </c>
      <c r="B211" s="1">
        <v>45036</v>
      </c>
      <c r="C211" t="s">
        <v>16</v>
      </c>
      <c r="D211" t="s">
        <v>38</v>
      </c>
      <c r="E211" t="s">
        <v>12</v>
      </c>
      <c r="F211">
        <v>142.16999999999999</v>
      </c>
      <c r="G211">
        <v>23.78</v>
      </c>
      <c r="H211" t="s">
        <v>13</v>
      </c>
      <c r="I211" t="s">
        <v>14</v>
      </c>
    </row>
    <row r="212" spans="1:9" x14ac:dyDescent="0.35">
      <c r="A212" t="s">
        <v>248</v>
      </c>
      <c r="B212" s="1">
        <v>44812</v>
      </c>
      <c r="C212" t="s">
        <v>22</v>
      </c>
      <c r="D212" t="s">
        <v>23</v>
      </c>
      <c r="E212" t="s">
        <v>18</v>
      </c>
      <c r="F212">
        <v>836.63</v>
      </c>
      <c r="G212">
        <v>97.39</v>
      </c>
      <c r="H212" t="s">
        <v>19</v>
      </c>
      <c r="I212" t="s">
        <v>20</v>
      </c>
    </row>
    <row r="213" spans="1:9" x14ac:dyDescent="0.35">
      <c r="A213" t="s">
        <v>249</v>
      </c>
      <c r="B213" s="1">
        <v>45282</v>
      </c>
      <c r="C213" t="s">
        <v>16</v>
      </c>
      <c r="D213" t="s">
        <v>46</v>
      </c>
      <c r="E213" t="s">
        <v>18</v>
      </c>
      <c r="F213">
        <v>1177.29</v>
      </c>
      <c r="G213">
        <v>162.02000000000001</v>
      </c>
      <c r="H213" t="s">
        <v>13</v>
      </c>
      <c r="I213" t="s">
        <v>29</v>
      </c>
    </row>
    <row r="214" spans="1:9" x14ac:dyDescent="0.35">
      <c r="A214" t="s">
        <v>250</v>
      </c>
      <c r="B214" s="1">
        <v>44805</v>
      </c>
      <c r="C214" t="s">
        <v>22</v>
      </c>
      <c r="D214" t="s">
        <v>73</v>
      </c>
      <c r="E214" t="s">
        <v>27</v>
      </c>
      <c r="F214">
        <v>771.97</v>
      </c>
      <c r="G214">
        <v>80.72</v>
      </c>
      <c r="H214" t="s">
        <v>13</v>
      </c>
      <c r="I214" t="s">
        <v>29</v>
      </c>
    </row>
    <row r="215" spans="1:9" x14ac:dyDescent="0.35">
      <c r="A215" t="s">
        <v>251</v>
      </c>
      <c r="B215" s="1">
        <v>44672</v>
      </c>
      <c r="C215" t="s">
        <v>25</v>
      </c>
      <c r="D215" t="s">
        <v>17</v>
      </c>
      <c r="E215" t="s">
        <v>18</v>
      </c>
      <c r="F215">
        <v>727.61</v>
      </c>
      <c r="G215">
        <v>65.599999999999994</v>
      </c>
      <c r="H215" t="s">
        <v>28</v>
      </c>
      <c r="I215" t="s">
        <v>34</v>
      </c>
    </row>
    <row r="216" spans="1:9" x14ac:dyDescent="0.35">
      <c r="A216" t="s">
        <v>252</v>
      </c>
      <c r="B216" s="1">
        <v>44828</v>
      </c>
      <c r="C216" t="s">
        <v>22</v>
      </c>
      <c r="D216" t="s">
        <v>38</v>
      </c>
      <c r="E216" t="s">
        <v>12</v>
      </c>
      <c r="F216">
        <v>1087.5899999999999</v>
      </c>
      <c r="G216">
        <v>273.63</v>
      </c>
      <c r="H216" t="s">
        <v>13</v>
      </c>
      <c r="I216" t="s">
        <v>29</v>
      </c>
    </row>
    <row r="217" spans="1:9" x14ac:dyDescent="0.35">
      <c r="A217" t="s">
        <v>253</v>
      </c>
      <c r="B217" s="1">
        <v>44761</v>
      </c>
      <c r="C217" t="s">
        <v>22</v>
      </c>
      <c r="D217" t="s">
        <v>17</v>
      </c>
      <c r="E217" t="s">
        <v>18</v>
      </c>
      <c r="F217">
        <v>1063.1300000000001</v>
      </c>
      <c r="G217">
        <v>286.63</v>
      </c>
      <c r="H217" t="s">
        <v>13</v>
      </c>
      <c r="I217" t="s">
        <v>14</v>
      </c>
    </row>
    <row r="218" spans="1:9" x14ac:dyDescent="0.35">
      <c r="A218" t="s">
        <v>254</v>
      </c>
      <c r="B218" s="1">
        <v>44921</v>
      </c>
      <c r="C218" t="s">
        <v>16</v>
      </c>
      <c r="D218" t="s">
        <v>23</v>
      </c>
      <c r="E218" t="s">
        <v>18</v>
      </c>
      <c r="F218">
        <v>1592.64</v>
      </c>
      <c r="G218">
        <v>138.47999999999999</v>
      </c>
      <c r="H218" t="s">
        <v>19</v>
      </c>
      <c r="I218" t="s">
        <v>20</v>
      </c>
    </row>
    <row r="219" spans="1:9" x14ac:dyDescent="0.35">
      <c r="A219" t="s">
        <v>255</v>
      </c>
      <c r="B219" s="1">
        <v>45462</v>
      </c>
      <c r="C219" t="s">
        <v>22</v>
      </c>
      <c r="D219" t="s">
        <v>50</v>
      </c>
      <c r="E219" t="s">
        <v>12</v>
      </c>
      <c r="F219">
        <v>56.89</v>
      </c>
      <c r="G219">
        <v>13.16</v>
      </c>
      <c r="H219" t="s">
        <v>28</v>
      </c>
      <c r="I219" t="s">
        <v>14</v>
      </c>
    </row>
    <row r="220" spans="1:9" x14ac:dyDescent="0.35">
      <c r="A220" t="s">
        <v>256</v>
      </c>
      <c r="B220" s="1">
        <v>45034</v>
      </c>
      <c r="C220" t="s">
        <v>10</v>
      </c>
      <c r="D220" t="s">
        <v>17</v>
      </c>
      <c r="E220" t="s">
        <v>18</v>
      </c>
      <c r="F220">
        <v>930.29</v>
      </c>
      <c r="G220">
        <v>147.19999999999999</v>
      </c>
      <c r="H220" t="s">
        <v>19</v>
      </c>
      <c r="I220" t="s">
        <v>34</v>
      </c>
    </row>
    <row r="221" spans="1:9" x14ac:dyDescent="0.35">
      <c r="A221" t="s">
        <v>257</v>
      </c>
      <c r="B221" s="1">
        <v>44858</v>
      </c>
      <c r="C221" t="s">
        <v>16</v>
      </c>
      <c r="D221" t="s">
        <v>50</v>
      </c>
      <c r="E221" t="s">
        <v>12</v>
      </c>
      <c r="F221">
        <v>607.27</v>
      </c>
      <c r="G221">
        <v>109.53</v>
      </c>
      <c r="H221" t="s">
        <v>13</v>
      </c>
      <c r="I221" t="s">
        <v>29</v>
      </c>
    </row>
    <row r="222" spans="1:9" x14ac:dyDescent="0.35">
      <c r="A222" t="s">
        <v>258</v>
      </c>
      <c r="B222" s="1">
        <v>45305</v>
      </c>
      <c r="C222" t="s">
        <v>25</v>
      </c>
      <c r="D222" t="s">
        <v>46</v>
      </c>
      <c r="E222" t="s">
        <v>18</v>
      </c>
      <c r="F222">
        <v>1646.44</v>
      </c>
      <c r="G222">
        <v>165.09</v>
      </c>
      <c r="H222" t="s">
        <v>19</v>
      </c>
      <c r="I222" t="s">
        <v>34</v>
      </c>
    </row>
    <row r="223" spans="1:9" x14ac:dyDescent="0.35">
      <c r="A223" t="s">
        <v>259</v>
      </c>
      <c r="B223" s="1">
        <v>45413</v>
      </c>
      <c r="C223" t="s">
        <v>10</v>
      </c>
      <c r="D223" t="s">
        <v>73</v>
      </c>
      <c r="E223" t="s">
        <v>27</v>
      </c>
      <c r="F223">
        <v>953.32</v>
      </c>
      <c r="G223">
        <v>65.5</v>
      </c>
      <c r="H223" t="s">
        <v>13</v>
      </c>
      <c r="I223" t="s">
        <v>20</v>
      </c>
    </row>
    <row r="224" spans="1:9" x14ac:dyDescent="0.35">
      <c r="A224" t="s">
        <v>260</v>
      </c>
      <c r="B224" s="1">
        <v>44876</v>
      </c>
      <c r="C224" t="s">
        <v>25</v>
      </c>
      <c r="D224" t="s">
        <v>95</v>
      </c>
      <c r="E224" t="s">
        <v>18</v>
      </c>
      <c r="F224">
        <v>827.08</v>
      </c>
      <c r="G224">
        <v>111.23</v>
      </c>
      <c r="H224" t="s">
        <v>19</v>
      </c>
      <c r="I224" t="s">
        <v>29</v>
      </c>
    </row>
    <row r="225" spans="1:9" x14ac:dyDescent="0.35">
      <c r="A225" t="s">
        <v>261</v>
      </c>
      <c r="B225" s="1">
        <v>45272</v>
      </c>
      <c r="C225" t="s">
        <v>25</v>
      </c>
      <c r="D225" t="s">
        <v>41</v>
      </c>
      <c r="E225" t="s">
        <v>12</v>
      </c>
      <c r="F225">
        <v>742.37</v>
      </c>
      <c r="G225">
        <v>216.47</v>
      </c>
      <c r="H225" t="s">
        <v>28</v>
      </c>
      <c r="I225" t="s">
        <v>29</v>
      </c>
    </row>
    <row r="226" spans="1:9" x14ac:dyDescent="0.35">
      <c r="A226" t="s">
        <v>262</v>
      </c>
      <c r="B226" s="1">
        <v>45343</v>
      </c>
      <c r="C226" t="s">
        <v>22</v>
      </c>
      <c r="D226" t="s">
        <v>95</v>
      </c>
      <c r="E226" t="s">
        <v>18</v>
      </c>
      <c r="F226">
        <v>443.38</v>
      </c>
      <c r="G226">
        <v>97.62</v>
      </c>
      <c r="H226" t="s">
        <v>13</v>
      </c>
      <c r="I226" t="s">
        <v>20</v>
      </c>
    </row>
    <row r="227" spans="1:9" x14ac:dyDescent="0.35">
      <c r="A227" t="s">
        <v>263</v>
      </c>
      <c r="B227" s="1">
        <v>44849</v>
      </c>
      <c r="C227" t="s">
        <v>10</v>
      </c>
      <c r="D227" t="s">
        <v>33</v>
      </c>
      <c r="E227" t="s">
        <v>18</v>
      </c>
      <c r="F227">
        <v>1861.43</v>
      </c>
      <c r="G227">
        <v>558.4</v>
      </c>
      <c r="H227" t="s">
        <v>19</v>
      </c>
      <c r="I227" t="s">
        <v>14</v>
      </c>
    </row>
    <row r="228" spans="1:9" x14ac:dyDescent="0.35">
      <c r="A228" t="s">
        <v>264</v>
      </c>
      <c r="B228" s="1">
        <v>45566</v>
      </c>
      <c r="C228" t="s">
        <v>10</v>
      </c>
      <c r="D228" t="s">
        <v>17</v>
      </c>
      <c r="E228" t="s">
        <v>18</v>
      </c>
      <c r="F228">
        <v>179.48</v>
      </c>
      <c r="G228">
        <v>42.18</v>
      </c>
      <c r="H228" t="s">
        <v>13</v>
      </c>
      <c r="I228" t="s">
        <v>14</v>
      </c>
    </row>
    <row r="229" spans="1:9" x14ac:dyDescent="0.35">
      <c r="A229" t="s">
        <v>265</v>
      </c>
      <c r="B229" s="1">
        <v>44779</v>
      </c>
      <c r="C229" t="s">
        <v>16</v>
      </c>
      <c r="D229" t="s">
        <v>11</v>
      </c>
      <c r="E229" t="s">
        <v>12</v>
      </c>
      <c r="F229">
        <v>455.66</v>
      </c>
      <c r="G229">
        <v>50.81</v>
      </c>
      <c r="H229" t="s">
        <v>28</v>
      </c>
      <c r="I229" t="s">
        <v>34</v>
      </c>
    </row>
    <row r="230" spans="1:9" x14ac:dyDescent="0.35">
      <c r="A230" t="s">
        <v>266</v>
      </c>
      <c r="B230" s="1">
        <v>45176</v>
      </c>
      <c r="C230" t="s">
        <v>25</v>
      </c>
      <c r="D230" t="s">
        <v>95</v>
      </c>
      <c r="E230" t="s">
        <v>18</v>
      </c>
      <c r="F230">
        <v>815.24</v>
      </c>
      <c r="G230">
        <v>179.21</v>
      </c>
      <c r="H230" t="s">
        <v>13</v>
      </c>
      <c r="I230" t="s">
        <v>29</v>
      </c>
    </row>
    <row r="231" spans="1:9" x14ac:dyDescent="0.35">
      <c r="A231" t="s">
        <v>267</v>
      </c>
      <c r="B231" s="1">
        <v>44682</v>
      </c>
      <c r="C231" t="s">
        <v>25</v>
      </c>
      <c r="D231" t="s">
        <v>95</v>
      </c>
      <c r="E231" t="s">
        <v>18</v>
      </c>
      <c r="F231">
        <v>1365.65</v>
      </c>
      <c r="G231">
        <v>391.83</v>
      </c>
      <c r="H231" t="s">
        <v>28</v>
      </c>
      <c r="I231" t="s">
        <v>29</v>
      </c>
    </row>
    <row r="232" spans="1:9" x14ac:dyDescent="0.35">
      <c r="A232" t="s">
        <v>268</v>
      </c>
      <c r="B232" s="1">
        <v>44920</v>
      </c>
      <c r="C232" t="s">
        <v>10</v>
      </c>
      <c r="D232" t="s">
        <v>26</v>
      </c>
      <c r="E232" t="s">
        <v>27</v>
      </c>
      <c r="F232">
        <v>1559.44</v>
      </c>
      <c r="G232">
        <v>169.54</v>
      </c>
      <c r="H232" t="s">
        <v>19</v>
      </c>
      <c r="I232" t="s">
        <v>34</v>
      </c>
    </row>
    <row r="233" spans="1:9" x14ac:dyDescent="0.35">
      <c r="A233" t="s">
        <v>269</v>
      </c>
      <c r="B233" s="1">
        <v>45559</v>
      </c>
      <c r="C233" t="s">
        <v>25</v>
      </c>
      <c r="D233" t="s">
        <v>33</v>
      </c>
      <c r="E233" t="s">
        <v>18</v>
      </c>
      <c r="F233">
        <v>1460.9</v>
      </c>
      <c r="G233">
        <v>408.25</v>
      </c>
      <c r="H233" t="s">
        <v>13</v>
      </c>
      <c r="I233" t="s">
        <v>14</v>
      </c>
    </row>
    <row r="234" spans="1:9" x14ac:dyDescent="0.35">
      <c r="A234" t="s">
        <v>270</v>
      </c>
      <c r="B234" s="1">
        <v>45562</v>
      </c>
      <c r="C234" t="s">
        <v>25</v>
      </c>
      <c r="D234" t="s">
        <v>17</v>
      </c>
      <c r="E234" t="s">
        <v>18</v>
      </c>
      <c r="F234">
        <v>1176.5999999999999</v>
      </c>
      <c r="G234">
        <v>215.43</v>
      </c>
      <c r="H234" t="s">
        <v>28</v>
      </c>
      <c r="I234" t="s">
        <v>20</v>
      </c>
    </row>
    <row r="235" spans="1:9" x14ac:dyDescent="0.35">
      <c r="A235" t="s">
        <v>271</v>
      </c>
      <c r="B235" s="1">
        <v>44967</v>
      </c>
      <c r="C235" t="s">
        <v>10</v>
      </c>
      <c r="D235" t="s">
        <v>38</v>
      </c>
      <c r="E235" t="s">
        <v>12</v>
      </c>
      <c r="F235">
        <v>1706.32</v>
      </c>
      <c r="G235">
        <v>128.53</v>
      </c>
      <c r="H235" t="s">
        <v>13</v>
      </c>
      <c r="I235" t="s">
        <v>20</v>
      </c>
    </row>
    <row r="236" spans="1:9" x14ac:dyDescent="0.35">
      <c r="A236" t="s">
        <v>272</v>
      </c>
      <c r="B236" s="1">
        <v>44832</v>
      </c>
      <c r="C236" t="s">
        <v>22</v>
      </c>
      <c r="D236" t="s">
        <v>41</v>
      </c>
      <c r="E236" t="s">
        <v>12</v>
      </c>
      <c r="F236">
        <v>333.04</v>
      </c>
      <c r="G236">
        <v>80.41</v>
      </c>
      <c r="H236" t="s">
        <v>28</v>
      </c>
      <c r="I236" t="s">
        <v>34</v>
      </c>
    </row>
    <row r="237" spans="1:9" x14ac:dyDescent="0.35">
      <c r="A237" t="s">
        <v>273</v>
      </c>
      <c r="B237" s="1">
        <v>45408</v>
      </c>
      <c r="C237" t="s">
        <v>22</v>
      </c>
      <c r="D237" t="s">
        <v>41</v>
      </c>
      <c r="E237" t="s">
        <v>12</v>
      </c>
      <c r="F237">
        <v>1043.9000000000001</v>
      </c>
      <c r="G237">
        <v>130.5</v>
      </c>
      <c r="H237" t="s">
        <v>19</v>
      </c>
      <c r="I237" t="s">
        <v>29</v>
      </c>
    </row>
    <row r="238" spans="1:9" x14ac:dyDescent="0.35">
      <c r="A238" t="s">
        <v>274</v>
      </c>
      <c r="B238" s="1">
        <v>45118</v>
      </c>
      <c r="C238" t="s">
        <v>22</v>
      </c>
      <c r="D238" t="s">
        <v>17</v>
      </c>
      <c r="E238" t="s">
        <v>18</v>
      </c>
      <c r="F238">
        <v>1192.32</v>
      </c>
      <c r="G238">
        <v>276.20999999999998</v>
      </c>
      <c r="H238" t="s">
        <v>28</v>
      </c>
      <c r="I238" t="s">
        <v>20</v>
      </c>
    </row>
    <row r="239" spans="1:9" x14ac:dyDescent="0.35">
      <c r="A239" t="s">
        <v>275</v>
      </c>
      <c r="B239" s="1">
        <v>45458</v>
      </c>
      <c r="C239" t="s">
        <v>25</v>
      </c>
      <c r="D239" t="s">
        <v>57</v>
      </c>
      <c r="E239" t="s">
        <v>27</v>
      </c>
      <c r="F239">
        <v>685.88</v>
      </c>
      <c r="G239">
        <v>37.46</v>
      </c>
      <c r="H239" t="s">
        <v>19</v>
      </c>
      <c r="I239" t="s">
        <v>29</v>
      </c>
    </row>
    <row r="240" spans="1:9" x14ac:dyDescent="0.35">
      <c r="A240" t="s">
        <v>276</v>
      </c>
      <c r="B240" s="1">
        <v>45159</v>
      </c>
      <c r="C240" t="s">
        <v>10</v>
      </c>
      <c r="D240" t="s">
        <v>97</v>
      </c>
      <c r="E240" t="s">
        <v>27</v>
      </c>
      <c r="F240">
        <v>1041.53</v>
      </c>
      <c r="G240">
        <v>138.85</v>
      </c>
      <c r="H240" t="s">
        <v>13</v>
      </c>
      <c r="I240" t="s">
        <v>14</v>
      </c>
    </row>
    <row r="241" spans="1:9" x14ac:dyDescent="0.35">
      <c r="A241" t="s">
        <v>277</v>
      </c>
      <c r="B241" s="1">
        <v>44644</v>
      </c>
      <c r="C241" t="s">
        <v>22</v>
      </c>
      <c r="D241" t="s">
        <v>46</v>
      </c>
      <c r="E241" t="s">
        <v>18</v>
      </c>
      <c r="F241">
        <v>705.27</v>
      </c>
      <c r="G241">
        <v>194.39</v>
      </c>
      <c r="H241" t="s">
        <v>28</v>
      </c>
      <c r="I241" t="s">
        <v>34</v>
      </c>
    </row>
    <row r="242" spans="1:9" x14ac:dyDescent="0.35">
      <c r="A242" t="s">
        <v>278</v>
      </c>
      <c r="B242" s="1">
        <v>45527</v>
      </c>
      <c r="C242" t="s">
        <v>10</v>
      </c>
      <c r="D242" t="s">
        <v>11</v>
      </c>
      <c r="E242" t="s">
        <v>12</v>
      </c>
      <c r="F242">
        <v>903.3</v>
      </c>
      <c r="G242">
        <v>71.81</v>
      </c>
      <c r="H242" t="s">
        <v>28</v>
      </c>
      <c r="I242" t="s">
        <v>29</v>
      </c>
    </row>
    <row r="243" spans="1:9" x14ac:dyDescent="0.35">
      <c r="A243" t="s">
        <v>279</v>
      </c>
      <c r="B243" s="1">
        <v>44606</v>
      </c>
      <c r="C243" t="s">
        <v>22</v>
      </c>
      <c r="D243" t="s">
        <v>57</v>
      </c>
      <c r="E243" t="s">
        <v>27</v>
      </c>
      <c r="F243">
        <v>1842.03</v>
      </c>
      <c r="G243">
        <v>470.72</v>
      </c>
      <c r="H243" t="s">
        <v>19</v>
      </c>
      <c r="I243" t="s">
        <v>29</v>
      </c>
    </row>
    <row r="244" spans="1:9" x14ac:dyDescent="0.35">
      <c r="A244" t="s">
        <v>280</v>
      </c>
      <c r="B244" s="1">
        <v>44577</v>
      </c>
      <c r="C244" t="s">
        <v>22</v>
      </c>
      <c r="D244" t="s">
        <v>31</v>
      </c>
      <c r="E244" t="s">
        <v>12</v>
      </c>
      <c r="F244">
        <v>1910.15</v>
      </c>
      <c r="G244">
        <v>374.74</v>
      </c>
      <c r="H244" t="s">
        <v>19</v>
      </c>
      <c r="I244" t="s">
        <v>29</v>
      </c>
    </row>
    <row r="245" spans="1:9" x14ac:dyDescent="0.35">
      <c r="A245" t="s">
        <v>281</v>
      </c>
      <c r="B245" s="1">
        <v>45145</v>
      </c>
      <c r="C245" t="s">
        <v>16</v>
      </c>
      <c r="D245" t="s">
        <v>62</v>
      </c>
      <c r="E245" t="s">
        <v>27</v>
      </c>
      <c r="F245">
        <v>716.04</v>
      </c>
      <c r="G245">
        <v>62.91</v>
      </c>
      <c r="H245" t="s">
        <v>19</v>
      </c>
      <c r="I245" t="s">
        <v>29</v>
      </c>
    </row>
    <row r="246" spans="1:9" x14ac:dyDescent="0.35">
      <c r="A246" t="s">
        <v>282</v>
      </c>
      <c r="B246" s="1">
        <v>44691</v>
      </c>
      <c r="C246" t="s">
        <v>16</v>
      </c>
      <c r="D246" t="s">
        <v>73</v>
      </c>
      <c r="E246" t="s">
        <v>27</v>
      </c>
      <c r="F246">
        <v>238.43</v>
      </c>
      <c r="G246">
        <v>13.44</v>
      </c>
      <c r="H246" t="s">
        <v>28</v>
      </c>
      <c r="I246" t="s">
        <v>20</v>
      </c>
    </row>
    <row r="247" spans="1:9" x14ac:dyDescent="0.35">
      <c r="A247" t="s">
        <v>283</v>
      </c>
      <c r="B247" s="1">
        <v>44883</v>
      </c>
      <c r="C247" t="s">
        <v>16</v>
      </c>
      <c r="D247" t="s">
        <v>57</v>
      </c>
      <c r="E247" t="s">
        <v>27</v>
      </c>
      <c r="F247">
        <v>1224.51</v>
      </c>
      <c r="G247">
        <v>83.28</v>
      </c>
      <c r="H247" t="s">
        <v>28</v>
      </c>
      <c r="I247" t="s">
        <v>14</v>
      </c>
    </row>
    <row r="248" spans="1:9" x14ac:dyDescent="0.35">
      <c r="A248" t="s">
        <v>284</v>
      </c>
      <c r="B248" s="1">
        <v>44572</v>
      </c>
      <c r="C248" t="s">
        <v>10</v>
      </c>
      <c r="D248" t="s">
        <v>73</v>
      </c>
      <c r="E248" t="s">
        <v>27</v>
      </c>
      <c r="F248">
        <v>505.12</v>
      </c>
      <c r="G248">
        <v>29.69</v>
      </c>
      <c r="H248" t="s">
        <v>19</v>
      </c>
      <c r="I248" t="s">
        <v>20</v>
      </c>
    </row>
    <row r="249" spans="1:9" x14ac:dyDescent="0.35">
      <c r="A249" t="s">
        <v>285</v>
      </c>
      <c r="B249" s="1">
        <v>45427</v>
      </c>
      <c r="C249" t="s">
        <v>16</v>
      </c>
      <c r="D249" t="s">
        <v>50</v>
      </c>
      <c r="E249" t="s">
        <v>12</v>
      </c>
      <c r="F249">
        <v>346.25</v>
      </c>
      <c r="G249">
        <v>75.290000000000006</v>
      </c>
      <c r="H249" t="s">
        <v>19</v>
      </c>
      <c r="I249" t="s">
        <v>14</v>
      </c>
    </row>
    <row r="250" spans="1:9" x14ac:dyDescent="0.35">
      <c r="A250" t="s">
        <v>286</v>
      </c>
      <c r="B250" s="1">
        <v>45038</v>
      </c>
      <c r="C250" t="s">
        <v>25</v>
      </c>
      <c r="D250" t="s">
        <v>73</v>
      </c>
      <c r="E250" t="s">
        <v>27</v>
      </c>
      <c r="F250">
        <v>475.44</v>
      </c>
      <c r="G250">
        <v>86.45</v>
      </c>
      <c r="H250" t="s">
        <v>13</v>
      </c>
      <c r="I250" t="s">
        <v>34</v>
      </c>
    </row>
    <row r="251" spans="1:9" x14ac:dyDescent="0.35">
      <c r="A251" t="s">
        <v>287</v>
      </c>
      <c r="B251" s="1">
        <v>45031</v>
      </c>
      <c r="C251" t="s">
        <v>22</v>
      </c>
      <c r="D251" t="s">
        <v>95</v>
      </c>
      <c r="E251" t="s">
        <v>18</v>
      </c>
      <c r="F251">
        <v>537.26</v>
      </c>
      <c r="G251">
        <v>69.55</v>
      </c>
      <c r="H251" t="s">
        <v>13</v>
      </c>
      <c r="I251" t="s">
        <v>29</v>
      </c>
    </row>
    <row r="252" spans="1:9" x14ac:dyDescent="0.35">
      <c r="A252" t="s">
        <v>288</v>
      </c>
      <c r="B252" s="1">
        <v>44773</v>
      </c>
      <c r="C252" t="s">
        <v>16</v>
      </c>
      <c r="D252" t="s">
        <v>26</v>
      </c>
      <c r="E252" t="s">
        <v>27</v>
      </c>
      <c r="F252">
        <v>223.73</v>
      </c>
      <c r="G252">
        <v>55.94</v>
      </c>
      <c r="H252" t="s">
        <v>13</v>
      </c>
      <c r="I252" t="s">
        <v>29</v>
      </c>
    </row>
    <row r="253" spans="1:9" x14ac:dyDescent="0.35">
      <c r="A253" t="s">
        <v>289</v>
      </c>
      <c r="B253" s="1">
        <v>44770</v>
      </c>
      <c r="C253" t="s">
        <v>22</v>
      </c>
      <c r="D253" t="s">
        <v>17</v>
      </c>
      <c r="E253" t="s">
        <v>18</v>
      </c>
      <c r="F253">
        <v>1769.95</v>
      </c>
      <c r="G253">
        <v>186.63</v>
      </c>
      <c r="H253" t="s">
        <v>28</v>
      </c>
      <c r="I253" t="s">
        <v>34</v>
      </c>
    </row>
    <row r="254" spans="1:9" x14ac:dyDescent="0.35">
      <c r="A254" t="s">
        <v>290</v>
      </c>
      <c r="B254" s="1">
        <v>44865</v>
      </c>
      <c r="C254" t="s">
        <v>22</v>
      </c>
      <c r="D254" t="s">
        <v>97</v>
      </c>
      <c r="E254" t="s">
        <v>27</v>
      </c>
      <c r="F254">
        <v>365.66</v>
      </c>
      <c r="G254">
        <v>108.74</v>
      </c>
      <c r="H254" t="s">
        <v>13</v>
      </c>
      <c r="I254" t="s">
        <v>14</v>
      </c>
    </row>
    <row r="255" spans="1:9" x14ac:dyDescent="0.35">
      <c r="A255" t="s">
        <v>291</v>
      </c>
      <c r="B255" s="1">
        <v>45544</v>
      </c>
      <c r="C255" t="s">
        <v>16</v>
      </c>
      <c r="D255" t="s">
        <v>50</v>
      </c>
      <c r="E255" t="s">
        <v>12</v>
      </c>
      <c r="F255">
        <v>1329.93</v>
      </c>
      <c r="G255">
        <v>365.5</v>
      </c>
      <c r="H255" t="s">
        <v>28</v>
      </c>
      <c r="I255" t="s">
        <v>29</v>
      </c>
    </row>
    <row r="256" spans="1:9" x14ac:dyDescent="0.35">
      <c r="A256" t="s">
        <v>292</v>
      </c>
      <c r="B256" s="1">
        <v>45049</v>
      </c>
      <c r="C256" t="s">
        <v>16</v>
      </c>
      <c r="D256" t="s">
        <v>11</v>
      </c>
      <c r="E256" t="s">
        <v>12</v>
      </c>
      <c r="F256">
        <v>1697.85</v>
      </c>
      <c r="G256">
        <v>259.27999999999997</v>
      </c>
      <c r="H256" t="s">
        <v>19</v>
      </c>
      <c r="I256" t="s">
        <v>14</v>
      </c>
    </row>
    <row r="257" spans="1:9" x14ac:dyDescent="0.35">
      <c r="A257" t="s">
        <v>293</v>
      </c>
      <c r="B257" s="1">
        <v>45274</v>
      </c>
      <c r="C257" t="s">
        <v>10</v>
      </c>
      <c r="D257" t="s">
        <v>23</v>
      </c>
      <c r="E257" t="s">
        <v>18</v>
      </c>
      <c r="F257">
        <v>219.21</v>
      </c>
      <c r="G257">
        <v>38.86</v>
      </c>
      <c r="H257" t="s">
        <v>19</v>
      </c>
      <c r="I257" t="s">
        <v>34</v>
      </c>
    </row>
    <row r="258" spans="1:9" x14ac:dyDescent="0.35">
      <c r="A258" t="s">
        <v>294</v>
      </c>
      <c r="B258" s="1">
        <v>44564</v>
      </c>
      <c r="C258" t="s">
        <v>25</v>
      </c>
      <c r="D258" t="s">
        <v>50</v>
      </c>
      <c r="E258" t="s">
        <v>12</v>
      </c>
      <c r="F258">
        <v>182.47</v>
      </c>
      <c r="G258">
        <v>14.04</v>
      </c>
      <c r="H258" t="s">
        <v>13</v>
      </c>
      <c r="I258" t="s">
        <v>29</v>
      </c>
    </row>
    <row r="259" spans="1:9" x14ac:dyDescent="0.35">
      <c r="A259" t="s">
        <v>295</v>
      </c>
      <c r="B259" s="1">
        <v>44648</v>
      </c>
      <c r="C259" t="s">
        <v>22</v>
      </c>
      <c r="D259" t="s">
        <v>11</v>
      </c>
      <c r="E259" t="s">
        <v>12</v>
      </c>
      <c r="F259">
        <v>133.49</v>
      </c>
      <c r="G259">
        <v>39.01</v>
      </c>
      <c r="H259" t="s">
        <v>28</v>
      </c>
      <c r="I259" t="s">
        <v>14</v>
      </c>
    </row>
    <row r="260" spans="1:9" x14ac:dyDescent="0.35">
      <c r="A260" t="s">
        <v>296</v>
      </c>
      <c r="B260" s="1">
        <v>45015</v>
      </c>
      <c r="C260" t="s">
        <v>10</v>
      </c>
      <c r="D260" t="s">
        <v>26</v>
      </c>
      <c r="E260" t="s">
        <v>27</v>
      </c>
      <c r="F260">
        <v>1379.84</v>
      </c>
      <c r="G260">
        <v>346.52</v>
      </c>
      <c r="H260" t="s">
        <v>19</v>
      </c>
      <c r="I260" t="s">
        <v>20</v>
      </c>
    </row>
    <row r="261" spans="1:9" x14ac:dyDescent="0.35">
      <c r="A261" t="s">
        <v>297</v>
      </c>
      <c r="B261" s="1">
        <v>45259</v>
      </c>
      <c r="C261" t="s">
        <v>25</v>
      </c>
      <c r="D261" t="s">
        <v>50</v>
      </c>
      <c r="E261" t="s">
        <v>12</v>
      </c>
      <c r="F261">
        <v>973.2</v>
      </c>
      <c r="G261">
        <v>188.99</v>
      </c>
      <c r="H261" t="s">
        <v>19</v>
      </c>
      <c r="I261" t="s">
        <v>14</v>
      </c>
    </row>
    <row r="262" spans="1:9" x14ac:dyDescent="0.35">
      <c r="A262" t="s">
        <v>298</v>
      </c>
      <c r="B262" s="1">
        <v>45146</v>
      </c>
      <c r="C262" t="s">
        <v>10</v>
      </c>
      <c r="D262" t="s">
        <v>23</v>
      </c>
      <c r="E262" t="s">
        <v>18</v>
      </c>
      <c r="F262">
        <v>1891.14</v>
      </c>
      <c r="G262">
        <v>559.24</v>
      </c>
      <c r="H262" t="s">
        <v>28</v>
      </c>
      <c r="I262" t="s">
        <v>20</v>
      </c>
    </row>
    <row r="263" spans="1:9" x14ac:dyDescent="0.35">
      <c r="A263" t="s">
        <v>299</v>
      </c>
      <c r="B263" s="1">
        <v>45148</v>
      </c>
      <c r="C263" t="s">
        <v>22</v>
      </c>
      <c r="D263" t="s">
        <v>17</v>
      </c>
      <c r="E263" t="s">
        <v>18</v>
      </c>
      <c r="F263">
        <v>435.92</v>
      </c>
      <c r="G263">
        <v>86.66</v>
      </c>
      <c r="H263" t="s">
        <v>19</v>
      </c>
      <c r="I263" t="s">
        <v>14</v>
      </c>
    </row>
    <row r="264" spans="1:9" x14ac:dyDescent="0.35">
      <c r="A264" t="s">
        <v>300</v>
      </c>
      <c r="B264" s="1">
        <v>44703</v>
      </c>
      <c r="C264" t="s">
        <v>22</v>
      </c>
      <c r="D264" t="s">
        <v>97</v>
      </c>
      <c r="E264" t="s">
        <v>27</v>
      </c>
      <c r="F264">
        <v>1191.22</v>
      </c>
      <c r="G264">
        <v>347.23</v>
      </c>
      <c r="H264" t="s">
        <v>28</v>
      </c>
      <c r="I264" t="s">
        <v>29</v>
      </c>
    </row>
    <row r="265" spans="1:9" x14ac:dyDescent="0.35">
      <c r="A265" t="s">
        <v>301</v>
      </c>
      <c r="B265" s="1">
        <v>45598</v>
      </c>
      <c r="C265" t="s">
        <v>22</v>
      </c>
      <c r="D265" t="s">
        <v>33</v>
      </c>
      <c r="E265" t="s">
        <v>18</v>
      </c>
      <c r="F265">
        <v>1101.06</v>
      </c>
      <c r="G265">
        <v>255.17</v>
      </c>
      <c r="H265" t="s">
        <v>13</v>
      </c>
      <c r="I265" t="s">
        <v>34</v>
      </c>
    </row>
    <row r="266" spans="1:9" x14ac:dyDescent="0.35">
      <c r="A266" t="s">
        <v>302</v>
      </c>
      <c r="B266" s="1">
        <v>45335</v>
      </c>
      <c r="C266" t="s">
        <v>16</v>
      </c>
      <c r="D266" t="s">
        <v>11</v>
      </c>
      <c r="E266" t="s">
        <v>12</v>
      </c>
      <c r="F266">
        <v>1833.13</v>
      </c>
      <c r="G266">
        <v>478.69</v>
      </c>
      <c r="H266" t="s">
        <v>13</v>
      </c>
      <c r="I266" t="s">
        <v>14</v>
      </c>
    </row>
    <row r="267" spans="1:9" x14ac:dyDescent="0.35">
      <c r="A267" t="s">
        <v>303</v>
      </c>
      <c r="B267" s="1">
        <v>45236</v>
      </c>
      <c r="C267" t="s">
        <v>16</v>
      </c>
      <c r="D267" t="s">
        <v>26</v>
      </c>
      <c r="E267" t="s">
        <v>27</v>
      </c>
      <c r="F267">
        <v>1304.23</v>
      </c>
      <c r="G267">
        <v>106.02</v>
      </c>
      <c r="H267" t="s">
        <v>13</v>
      </c>
      <c r="I267" t="s">
        <v>14</v>
      </c>
    </row>
    <row r="268" spans="1:9" x14ac:dyDescent="0.35">
      <c r="A268" t="s">
        <v>304</v>
      </c>
      <c r="B268" s="1">
        <v>45079</v>
      </c>
      <c r="C268" t="s">
        <v>16</v>
      </c>
      <c r="D268" t="s">
        <v>50</v>
      </c>
      <c r="E268" t="s">
        <v>12</v>
      </c>
      <c r="F268">
        <v>1175.3699999999999</v>
      </c>
      <c r="G268">
        <v>296.7</v>
      </c>
      <c r="H268" t="s">
        <v>28</v>
      </c>
      <c r="I268" t="s">
        <v>34</v>
      </c>
    </row>
    <row r="269" spans="1:9" x14ac:dyDescent="0.35">
      <c r="A269" t="s">
        <v>305</v>
      </c>
      <c r="B269" s="1">
        <v>45471</v>
      </c>
      <c r="C269" t="s">
        <v>16</v>
      </c>
      <c r="D269" t="s">
        <v>50</v>
      </c>
      <c r="E269" t="s">
        <v>12</v>
      </c>
      <c r="F269">
        <v>127.1</v>
      </c>
      <c r="G269">
        <v>26.93</v>
      </c>
      <c r="H269" t="s">
        <v>28</v>
      </c>
      <c r="I269" t="s">
        <v>29</v>
      </c>
    </row>
    <row r="270" spans="1:9" x14ac:dyDescent="0.35">
      <c r="A270" t="s">
        <v>306</v>
      </c>
      <c r="B270" s="1">
        <v>45445</v>
      </c>
      <c r="C270" t="s">
        <v>25</v>
      </c>
      <c r="D270" t="s">
        <v>57</v>
      </c>
      <c r="E270" t="s">
        <v>27</v>
      </c>
      <c r="F270">
        <v>357.26</v>
      </c>
      <c r="G270">
        <v>33.840000000000003</v>
      </c>
      <c r="H270" t="s">
        <v>28</v>
      </c>
      <c r="I270" t="s">
        <v>29</v>
      </c>
    </row>
    <row r="271" spans="1:9" x14ac:dyDescent="0.35">
      <c r="A271" t="s">
        <v>307</v>
      </c>
      <c r="B271" s="1">
        <v>44636</v>
      </c>
      <c r="C271" t="s">
        <v>16</v>
      </c>
      <c r="D271" t="s">
        <v>95</v>
      </c>
      <c r="E271" t="s">
        <v>18</v>
      </c>
      <c r="F271">
        <v>330.1</v>
      </c>
      <c r="G271">
        <v>84.43</v>
      </c>
      <c r="H271" t="s">
        <v>19</v>
      </c>
      <c r="I271" t="s">
        <v>14</v>
      </c>
    </row>
    <row r="272" spans="1:9" x14ac:dyDescent="0.35">
      <c r="A272" t="s">
        <v>308</v>
      </c>
      <c r="B272" s="1">
        <v>45127</v>
      </c>
      <c r="C272" t="s">
        <v>16</v>
      </c>
      <c r="D272" t="s">
        <v>31</v>
      </c>
      <c r="E272" t="s">
        <v>12</v>
      </c>
      <c r="F272">
        <v>209.73</v>
      </c>
      <c r="G272">
        <v>23.29</v>
      </c>
      <c r="H272" t="s">
        <v>19</v>
      </c>
      <c r="I272" t="s">
        <v>14</v>
      </c>
    </row>
    <row r="273" spans="1:9" x14ac:dyDescent="0.35">
      <c r="A273" t="s">
        <v>309</v>
      </c>
      <c r="B273" s="1">
        <v>45471</v>
      </c>
      <c r="C273" t="s">
        <v>25</v>
      </c>
      <c r="D273" t="s">
        <v>41</v>
      </c>
      <c r="E273" t="s">
        <v>12</v>
      </c>
      <c r="F273">
        <v>897.14</v>
      </c>
      <c r="G273">
        <v>258.10000000000002</v>
      </c>
      <c r="H273" t="s">
        <v>19</v>
      </c>
      <c r="I273" t="s">
        <v>34</v>
      </c>
    </row>
    <row r="274" spans="1:9" x14ac:dyDescent="0.35">
      <c r="A274" t="s">
        <v>310</v>
      </c>
      <c r="B274" s="1">
        <v>44872</v>
      </c>
      <c r="C274" t="s">
        <v>25</v>
      </c>
      <c r="D274" t="s">
        <v>46</v>
      </c>
      <c r="E274" t="s">
        <v>18</v>
      </c>
      <c r="F274">
        <v>1956.89</v>
      </c>
      <c r="G274">
        <v>420.92</v>
      </c>
      <c r="H274" t="s">
        <v>13</v>
      </c>
      <c r="I274" t="s">
        <v>20</v>
      </c>
    </row>
    <row r="275" spans="1:9" x14ac:dyDescent="0.35">
      <c r="A275" t="s">
        <v>311</v>
      </c>
      <c r="B275" s="1">
        <v>45219</v>
      </c>
      <c r="C275" t="s">
        <v>10</v>
      </c>
      <c r="D275" t="s">
        <v>17</v>
      </c>
      <c r="E275" t="s">
        <v>18</v>
      </c>
      <c r="F275">
        <v>386.47</v>
      </c>
      <c r="G275">
        <v>54.36</v>
      </c>
      <c r="H275" t="s">
        <v>13</v>
      </c>
      <c r="I275" t="s">
        <v>29</v>
      </c>
    </row>
    <row r="276" spans="1:9" x14ac:dyDescent="0.35">
      <c r="A276" t="s">
        <v>312</v>
      </c>
      <c r="B276" s="1">
        <v>44835</v>
      </c>
      <c r="C276" t="s">
        <v>25</v>
      </c>
      <c r="D276" t="s">
        <v>73</v>
      </c>
      <c r="E276" t="s">
        <v>27</v>
      </c>
      <c r="F276">
        <v>247.38</v>
      </c>
      <c r="G276">
        <v>34.39</v>
      </c>
      <c r="H276" t="s">
        <v>19</v>
      </c>
      <c r="I276" t="s">
        <v>29</v>
      </c>
    </row>
    <row r="277" spans="1:9" x14ac:dyDescent="0.35">
      <c r="A277" t="s">
        <v>313</v>
      </c>
      <c r="B277" s="1">
        <v>45641</v>
      </c>
      <c r="C277" t="s">
        <v>10</v>
      </c>
      <c r="D277" t="s">
        <v>33</v>
      </c>
      <c r="E277" t="s">
        <v>18</v>
      </c>
      <c r="F277">
        <v>167.41</v>
      </c>
      <c r="G277">
        <v>21.98</v>
      </c>
      <c r="H277" t="s">
        <v>13</v>
      </c>
      <c r="I277" t="s">
        <v>20</v>
      </c>
    </row>
    <row r="278" spans="1:9" x14ac:dyDescent="0.35">
      <c r="A278" t="s">
        <v>314</v>
      </c>
      <c r="B278" s="1">
        <v>45039</v>
      </c>
      <c r="C278" t="s">
        <v>22</v>
      </c>
      <c r="D278" t="s">
        <v>38</v>
      </c>
      <c r="E278" t="s">
        <v>12</v>
      </c>
      <c r="F278">
        <v>1173.1500000000001</v>
      </c>
      <c r="G278">
        <v>269.02</v>
      </c>
      <c r="H278" t="s">
        <v>13</v>
      </c>
      <c r="I278" t="s">
        <v>29</v>
      </c>
    </row>
    <row r="279" spans="1:9" x14ac:dyDescent="0.35">
      <c r="A279" t="s">
        <v>315</v>
      </c>
      <c r="B279" s="1">
        <v>45653</v>
      </c>
      <c r="C279" t="s">
        <v>16</v>
      </c>
      <c r="D279" t="s">
        <v>97</v>
      </c>
      <c r="E279" t="s">
        <v>27</v>
      </c>
      <c r="F279">
        <v>1746.69</v>
      </c>
      <c r="G279">
        <v>280.87</v>
      </c>
      <c r="H279" t="s">
        <v>13</v>
      </c>
      <c r="I279" t="s">
        <v>29</v>
      </c>
    </row>
    <row r="280" spans="1:9" x14ac:dyDescent="0.35">
      <c r="A280" t="s">
        <v>316</v>
      </c>
      <c r="B280" s="1">
        <v>44853</v>
      </c>
      <c r="C280" t="s">
        <v>16</v>
      </c>
      <c r="D280" t="s">
        <v>62</v>
      </c>
      <c r="E280" t="s">
        <v>27</v>
      </c>
      <c r="F280">
        <v>1292.6099999999999</v>
      </c>
      <c r="G280">
        <v>305.69</v>
      </c>
      <c r="H280" t="s">
        <v>28</v>
      </c>
      <c r="I280" t="s">
        <v>14</v>
      </c>
    </row>
    <row r="281" spans="1:9" x14ac:dyDescent="0.35">
      <c r="A281" t="s">
        <v>317</v>
      </c>
      <c r="B281" s="1">
        <v>44707</v>
      </c>
      <c r="C281" t="s">
        <v>10</v>
      </c>
      <c r="D281" t="s">
        <v>50</v>
      </c>
      <c r="E281" t="s">
        <v>12</v>
      </c>
      <c r="F281">
        <v>1256.23</v>
      </c>
      <c r="G281">
        <v>89.78</v>
      </c>
      <c r="H281" t="s">
        <v>19</v>
      </c>
      <c r="I281" t="s">
        <v>14</v>
      </c>
    </row>
    <row r="282" spans="1:9" x14ac:dyDescent="0.35">
      <c r="A282" t="s">
        <v>318</v>
      </c>
      <c r="B282" s="1">
        <v>45456</v>
      </c>
      <c r="C282" t="s">
        <v>10</v>
      </c>
      <c r="D282" t="s">
        <v>38</v>
      </c>
      <c r="E282" t="s">
        <v>12</v>
      </c>
      <c r="F282">
        <v>1785.16</v>
      </c>
      <c r="G282">
        <v>258.56</v>
      </c>
      <c r="H282" t="s">
        <v>28</v>
      </c>
      <c r="I282" t="s">
        <v>14</v>
      </c>
    </row>
    <row r="283" spans="1:9" x14ac:dyDescent="0.35">
      <c r="A283" t="s">
        <v>319</v>
      </c>
      <c r="B283" s="1">
        <v>45409</v>
      </c>
      <c r="C283" t="s">
        <v>22</v>
      </c>
      <c r="D283" t="s">
        <v>23</v>
      </c>
      <c r="E283" t="s">
        <v>18</v>
      </c>
      <c r="F283">
        <v>344.96</v>
      </c>
      <c r="G283">
        <v>44.8</v>
      </c>
      <c r="H283" t="s">
        <v>13</v>
      </c>
      <c r="I283" t="s">
        <v>20</v>
      </c>
    </row>
    <row r="284" spans="1:9" x14ac:dyDescent="0.35">
      <c r="A284" t="s">
        <v>320</v>
      </c>
      <c r="B284" s="1">
        <v>44914</v>
      </c>
      <c r="C284" t="s">
        <v>10</v>
      </c>
      <c r="D284" t="s">
        <v>23</v>
      </c>
      <c r="E284" t="s">
        <v>18</v>
      </c>
      <c r="F284">
        <v>1414.87</v>
      </c>
      <c r="G284">
        <v>328.85</v>
      </c>
      <c r="H284" t="s">
        <v>13</v>
      </c>
      <c r="I284" t="s">
        <v>29</v>
      </c>
    </row>
    <row r="285" spans="1:9" x14ac:dyDescent="0.35">
      <c r="A285" t="s">
        <v>321</v>
      </c>
      <c r="B285" s="1">
        <v>45239</v>
      </c>
      <c r="C285" t="s">
        <v>22</v>
      </c>
      <c r="D285" t="s">
        <v>23</v>
      </c>
      <c r="E285" t="s">
        <v>18</v>
      </c>
      <c r="F285">
        <v>1804.21</v>
      </c>
      <c r="G285">
        <v>294.92</v>
      </c>
      <c r="H285" t="s">
        <v>19</v>
      </c>
      <c r="I285" t="s">
        <v>34</v>
      </c>
    </row>
    <row r="286" spans="1:9" x14ac:dyDescent="0.35">
      <c r="A286" t="s">
        <v>322</v>
      </c>
      <c r="B286" s="1">
        <v>45456</v>
      </c>
      <c r="C286" t="s">
        <v>16</v>
      </c>
      <c r="D286" t="s">
        <v>57</v>
      </c>
      <c r="E286" t="s">
        <v>27</v>
      </c>
      <c r="F286">
        <v>1159.1099999999999</v>
      </c>
      <c r="G286">
        <v>88.11</v>
      </c>
      <c r="H286" t="s">
        <v>13</v>
      </c>
      <c r="I286" t="s">
        <v>29</v>
      </c>
    </row>
    <row r="287" spans="1:9" x14ac:dyDescent="0.35">
      <c r="A287" t="s">
        <v>323</v>
      </c>
      <c r="B287" s="1">
        <v>44617</v>
      </c>
      <c r="C287" t="s">
        <v>10</v>
      </c>
      <c r="D287" t="s">
        <v>50</v>
      </c>
      <c r="E287" t="s">
        <v>12</v>
      </c>
      <c r="F287">
        <v>1640.48</v>
      </c>
      <c r="G287">
        <v>367.29</v>
      </c>
      <c r="H287" t="s">
        <v>13</v>
      </c>
      <c r="I287" t="s">
        <v>34</v>
      </c>
    </row>
    <row r="288" spans="1:9" x14ac:dyDescent="0.35">
      <c r="A288" t="s">
        <v>324</v>
      </c>
      <c r="B288" s="1">
        <v>45550</v>
      </c>
      <c r="C288" t="s">
        <v>22</v>
      </c>
      <c r="D288" t="s">
        <v>26</v>
      </c>
      <c r="E288" t="s">
        <v>27</v>
      </c>
      <c r="F288">
        <v>1020.55</v>
      </c>
      <c r="G288">
        <v>75.760000000000005</v>
      </c>
      <c r="H288" t="s">
        <v>28</v>
      </c>
      <c r="I288" t="s">
        <v>34</v>
      </c>
    </row>
    <row r="289" spans="1:9" x14ac:dyDescent="0.35">
      <c r="A289" t="s">
        <v>325</v>
      </c>
      <c r="B289" s="1">
        <v>44825</v>
      </c>
      <c r="C289" t="s">
        <v>22</v>
      </c>
      <c r="D289" t="s">
        <v>62</v>
      </c>
      <c r="E289" t="s">
        <v>27</v>
      </c>
      <c r="F289">
        <v>1779.56</v>
      </c>
      <c r="G289">
        <v>214.48</v>
      </c>
      <c r="H289" t="s">
        <v>28</v>
      </c>
      <c r="I289" t="s">
        <v>34</v>
      </c>
    </row>
    <row r="290" spans="1:9" x14ac:dyDescent="0.35">
      <c r="A290" t="s">
        <v>326</v>
      </c>
      <c r="B290" s="1">
        <v>45630</v>
      </c>
      <c r="C290" t="s">
        <v>25</v>
      </c>
      <c r="D290" t="s">
        <v>41</v>
      </c>
      <c r="E290" t="s">
        <v>12</v>
      </c>
      <c r="F290">
        <v>709.14</v>
      </c>
      <c r="G290">
        <v>172.41</v>
      </c>
      <c r="H290" t="s">
        <v>13</v>
      </c>
      <c r="I290" t="s">
        <v>20</v>
      </c>
    </row>
    <row r="291" spans="1:9" x14ac:dyDescent="0.35">
      <c r="A291" t="s">
        <v>327</v>
      </c>
      <c r="B291" s="1">
        <v>45127</v>
      </c>
      <c r="C291" t="s">
        <v>25</v>
      </c>
      <c r="D291" t="s">
        <v>50</v>
      </c>
      <c r="E291" t="s">
        <v>12</v>
      </c>
      <c r="F291">
        <v>1436.37</v>
      </c>
      <c r="G291">
        <v>171.5</v>
      </c>
      <c r="H291" t="s">
        <v>28</v>
      </c>
      <c r="I291" t="s">
        <v>20</v>
      </c>
    </row>
    <row r="292" spans="1:9" x14ac:dyDescent="0.35">
      <c r="A292" t="s">
        <v>328</v>
      </c>
      <c r="B292" s="1">
        <v>44665</v>
      </c>
      <c r="C292" t="s">
        <v>22</v>
      </c>
      <c r="D292" t="s">
        <v>46</v>
      </c>
      <c r="E292" t="s">
        <v>18</v>
      </c>
      <c r="F292">
        <v>1936.65</v>
      </c>
      <c r="G292">
        <v>523.11</v>
      </c>
      <c r="H292" t="s">
        <v>28</v>
      </c>
      <c r="I292" t="s">
        <v>14</v>
      </c>
    </row>
    <row r="293" spans="1:9" x14ac:dyDescent="0.35">
      <c r="A293" t="s">
        <v>329</v>
      </c>
      <c r="B293" s="1">
        <v>45295</v>
      </c>
      <c r="C293" t="s">
        <v>10</v>
      </c>
      <c r="D293" t="s">
        <v>57</v>
      </c>
      <c r="E293" t="s">
        <v>27</v>
      </c>
      <c r="F293">
        <v>1582.99</v>
      </c>
      <c r="G293">
        <v>129.61000000000001</v>
      </c>
      <c r="H293" t="s">
        <v>19</v>
      </c>
      <c r="I293" t="s">
        <v>20</v>
      </c>
    </row>
    <row r="294" spans="1:9" x14ac:dyDescent="0.35">
      <c r="A294" t="s">
        <v>330</v>
      </c>
      <c r="B294" s="1">
        <v>45057</v>
      </c>
      <c r="C294" t="s">
        <v>16</v>
      </c>
      <c r="D294" t="s">
        <v>62</v>
      </c>
      <c r="E294" t="s">
        <v>27</v>
      </c>
      <c r="F294">
        <v>1665.33</v>
      </c>
      <c r="G294">
        <v>350.83</v>
      </c>
      <c r="H294" t="s">
        <v>28</v>
      </c>
      <c r="I294" t="s">
        <v>20</v>
      </c>
    </row>
    <row r="295" spans="1:9" x14ac:dyDescent="0.35">
      <c r="A295" t="s">
        <v>331</v>
      </c>
      <c r="B295" s="1">
        <v>45125</v>
      </c>
      <c r="C295" t="s">
        <v>25</v>
      </c>
      <c r="D295" t="s">
        <v>38</v>
      </c>
      <c r="E295" t="s">
        <v>12</v>
      </c>
      <c r="F295">
        <v>1248.2</v>
      </c>
      <c r="G295">
        <v>175.13</v>
      </c>
      <c r="H295" t="s">
        <v>19</v>
      </c>
      <c r="I295" t="s">
        <v>20</v>
      </c>
    </row>
    <row r="296" spans="1:9" x14ac:dyDescent="0.35">
      <c r="A296" t="s">
        <v>332</v>
      </c>
      <c r="B296" s="1">
        <v>44927</v>
      </c>
      <c r="C296" t="s">
        <v>10</v>
      </c>
      <c r="D296" t="s">
        <v>11</v>
      </c>
      <c r="E296" t="s">
        <v>12</v>
      </c>
      <c r="F296">
        <v>539.39</v>
      </c>
      <c r="G296">
        <v>103.06</v>
      </c>
      <c r="H296" t="s">
        <v>19</v>
      </c>
      <c r="I296" t="s">
        <v>34</v>
      </c>
    </row>
    <row r="297" spans="1:9" x14ac:dyDescent="0.35">
      <c r="A297" t="s">
        <v>333</v>
      </c>
      <c r="B297" s="1">
        <v>44985</v>
      </c>
      <c r="C297" t="s">
        <v>25</v>
      </c>
      <c r="D297" t="s">
        <v>73</v>
      </c>
      <c r="E297" t="s">
        <v>27</v>
      </c>
      <c r="F297">
        <v>1736.82</v>
      </c>
      <c r="G297">
        <v>303.13</v>
      </c>
      <c r="H297" t="s">
        <v>13</v>
      </c>
      <c r="I297" t="s">
        <v>14</v>
      </c>
    </row>
    <row r="298" spans="1:9" x14ac:dyDescent="0.35">
      <c r="A298" t="s">
        <v>334</v>
      </c>
      <c r="B298" s="1">
        <v>45433</v>
      </c>
      <c r="C298" t="s">
        <v>22</v>
      </c>
      <c r="D298" t="s">
        <v>17</v>
      </c>
      <c r="E298" t="s">
        <v>18</v>
      </c>
      <c r="F298">
        <v>1315.51</v>
      </c>
      <c r="G298">
        <v>345.68</v>
      </c>
      <c r="H298" t="s">
        <v>13</v>
      </c>
      <c r="I298" t="s">
        <v>34</v>
      </c>
    </row>
    <row r="299" spans="1:9" x14ac:dyDescent="0.35">
      <c r="A299" t="s">
        <v>335</v>
      </c>
      <c r="B299" s="1">
        <v>44934</v>
      </c>
      <c r="C299" t="s">
        <v>10</v>
      </c>
      <c r="D299" t="s">
        <v>31</v>
      </c>
      <c r="E299" t="s">
        <v>12</v>
      </c>
      <c r="F299">
        <v>1785.88</v>
      </c>
      <c r="G299">
        <v>256.75</v>
      </c>
      <c r="H299" t="s">
        <v>28</v>
      </c>
      <c r="I299" t="s">
        <v>34</v>
      </c>
    </row>
    <row r="300" spans="1:9" x14ac:dyDescent="0.35">
      <c r="A300" t="s">
        <v>336</v>
      </c>
      <c r="B300" s="1">
        <v>45232</v>
      </c>
      <c r="C300" t="s">
        <v>10</v>
      </c>
      <c r="D300" t="s">
        <v>26</v>
      </c>
      <c r="E300" t="s">
        <v>27</v>
      </c>
      <c r="F300">
        <v>851.34</v>
      </c>
      <c r="G300">
        <v>220.56</v>
      </c>
      <c r="H300" t="s">
        <v>28</v>
      </c>
      <c r="I300" t="s">
        <v>14</v>
      </c>
    </row>
    <row r="301" spans="1:9" x14ac:dyDescent="0.35">
      <c r="A301" t="s">
        <v>337</v>
      </c>
      <c r="B301" s="1">
        <v>45523</v>
      </c>
      <c r="C301" t="s">
        <v>25</v>
      </c>
      <c r="D301" t="s">
        <v>38</v>
      </c>
      <c r="E301" t="s">
        <v>12</v>
      </c>
      <c r="F301">
        <v>848.49</v>
      </c>
      <c r="G301">
        <v>85.54</v>
      </c>
      <c r="H301" t="s">
        <v>13</v>
      </c>
      <c r="I301" t="s">
        <v>20</v>
      </c>
    </row>
    <row r="302" spans="1:9" x14ac:dyDescent="0.35">
      <c r="A302" t="s">
        <v>338</v>
      </c>
      <c r="B302" s="1">
        <v>44935</v>
      </c>
      <c r="C302" t="s">
        <v>16</v>
      </c>
      <c r="D302" t="s">
        <v>33</v>
      </c>
      <c r="E302" t="s">
        <v>18</v>
      </c>
      <c r="F302">
        <v>367.09</v>
      </c>
      <c r="G302">
        <v>99.52</v>
      </c>
      <c r="H302" t="s">
        <v>19</v>
      </c>
      <c r="I302" t="s">
        <v>29</v>
      </c>
    </row>
    <row r="303" spans="1:9" x14ac:dyDescent="0.35">
      <c r="A303" t="s">
        <v>339</v>
      </c>
      <c r="B303" s="1">
        <v>44925</v>
      </c>
      <c r="C303" t="s">
        <v>22</v>
      </c>
      <c r="D303" t="s">
        <v>17</v>
      </c>
      <c r="E303" t="s">
        <v>18</v>
      </c>
      <c r="F303">
        <v>1456.69</v>
      </c>
      <c r="G303">
        <v>228.57</v>
      </c>
      <c r="H303" t="s">
        <v>28</v>
      </c>
      <c r="I303" t="s">
        <v>14</v>
      </c>
    </row>
    <row r="304" spans="1:9" x14ac:dyDescent="0.35">
      <c r="A304" t="s">
        <v>340</v>
      </c>
      <c r="B304" s="1">
        <v>45464</v>
      </c>
      <c r="C304" t="s">
        <v>22</v>
      </c>
      <c r="D304" t="s">
        <v>17</v>
      </c>
      <c r="E304" t="s">
        <v>18</v>
      </c>
      <c r="F304">
        <v>1289.99</v>
      </c>
      <c r="G304">
        <v>282.79000000000002</v>
      </c>
      <c r="H304" t="s">
        <v>19</v>
      </c>
      <c r="I304" t="s">
        <v>29</v>
      </c>
    </row>
    <row r="305" spans="1:9" x14ac:dyDescent="0.35">
      <c r="A305" t="s">
        <v>341</v>
      </c>
      <c r="B305" s="1">
        <v>45042</v>
      </c>
      <c r="C305" t="s">
        <v>16</v>
      </c>
      <c r="D305" t="s">
        <v>17</v>
      </c>
      <c r="E305" t="s">
        <v>18</v>
      </c>
      <c r="F305">
        <v>650.51</v>
      </c>
      <c r="G305">
        <v>103.45</v>
      </c>
      <c r="H305" t="s">
        <v>19</v>
      </c>
      <c r="I305" t="s">
        <v>20</v>
      </c>
    </row>
    <row r="306" spans="1:9" x14ac:dyDescent="0.35">
      <c r="A306" t="s">
        <v>342</v>
      </c>
      <c r="B306" s="1">
        <v>44740</v>
      </c>
      <c r="C306" t="s">
        <v>16</v>
      </c>
      <c r="D306" t="s">
        <v>41</v>
      </c>
      <c r="E306" t="s">
        <v>12</v>
      </c>
      <c r="F306">
        <v>1769.87</v>
      </c>
      <c r="G306">
        <v>300.23</v>
      </c>
      <c r="H306" t="s">
        <v>19</v>
      </c>
      <c r="I306" t="s">
        <v>34</v>
      </c>
    </row>
    <row r="307" spans="1:9" x14ac:dyDescent="0.35">
      <c r="A307" t="s">
        <v>343</v>
      </c>
      <c r="B307" s="1">
        <v>45474</v>
      </c>
      <c r="C307" t="s">
        <v>22</v>
      </c>
      <c r="D307" t="s">
        <v>38</v>
      </c>
      <c r="E307" t="s">
        <v>12</v>
      </c>
      <c r="F307">
        <v>1969.95</v>
      </c>
      <c r="G307">
        <v>507.39</v>
      </c>
      <c r="H307" t="s">
        <v>13</v>
      </c>
      <c r="I307" t="s">
        <v>34</v>
      </c>
    </row>
    <row r="308" spans="1:9" x14ac:dyDescent="0.35">
      <c r="A308" t="s">
        <v>344</v>
      </c>
      <c r="B308" s="1">
        <v>45467</v>
      </c>
      <c r="C308" t="s">
        <v>10</v>
      </c>
      <c r="D308" t="s">
        <v>26</v>
      </c>
      <c r="E308" t="s">
        <v>27</v>
      </c>
      <c r="F308">
        <v>847.59</v>
      </c>
      <c r="G308">
        <v>58.29</v>
      </c>
      <c r="H308" t="s">
        <v>28</v>
      </c>
      <c r="I308" t="s">
        <v>20</v>
      </c>
    </row>
    <row r="309" spans="1:9" x14ac:dyDescent="0.35">
      <c r="A309" t="s">
        <v>345</v>
      </c>
      <c r="B309" s="1">
        <v>44736</v>
      </c>
      <c r="C309" t="s">
        <v>16</v>
      </c>
      <c r="D309" t="s">
        <v>23</v>
      </c>
      <c r="E309" t="s">
        <v>18</v>
      </c>
      <c r="F309">
        <v>1862.94</v>
      </c>
      <c r="G309">
        <v>222.32</v>
      </c>
      <c r="H309" t="s">
        <v>28</v>
      </c>
      <c r="I309" t="s">
        <v>20</v>
      </c>
    </row>
    <row r="310" spans="1:9" x14ac:dyDescent="0.35">
      <c r="A310" t="s">
        <v>346</v>
      </c>
      <c r="B310" s="1">
        <v>45470</v>
      </c>
      <c r="C310" t="s">
        <v>22</v>
      </c>
      <c r="D310" t="s">
        <v>33</v>
      </c>
      <c r="E310" t="s">
        <v>18</v>
      </c>
      <c r="F310">
        <v>1276.25</v>
      </c>
      <c r="G310">
        <v>382.67</v>
      </c>
      <c r="H310" t="s">
        <v>19</v>
      </c>
      <c r="I310" t="s">
        <v>29</v>
      </c>
    </row>
    <row r="311" spans="1:9" x14ac:dyDescent="0.35">
      <c r="A311" t="s">
        <v>347</v>
      </c>
      <c r="B311" s="1">
        <v>44709</v>
      </c>
      <c r="C311" t="s">
        <v>25</v>
      </c>
      <c r="D311" t="s">
        <v>33</v>
      </c>
      <c r="E311" t="s">
        <v>18</v>
      </c>
      <c r="F311">
        <v>436.13</v>
      </c>
      <c r="G311">
        <v>106.63</v>
      </c>
      <c r="H311" t="s">
        <v>19</v>
      </c>
      <c r="I311" t="s">
        <v>29</v>
      </c>
    </row>
    <row r="312" spans="1:9" x14ac:dyDescent="0.35">
      <c r="A312" t="s">
        <v>348</v>
      </c>
      <c r="B312" s="1">
        <v>45365</v>
      </c>
      <c r="C312" t="s">
        <v>16</v>
      </c>
      <c r="D312" t="s">
        <v>26</v>
      </c>
      <c r="E312" t="s">
        <v>27</v>
      </c>
      <c r="F312">
        <v>1105.55</v>
      </c>
      <c r="G312">
        <v>234.92</v>
      </c>
      <c r="H312" t="s">
        <v>13</v>
      </c>
      <c r="I312" t="s">
        <v>29</v>
      </c>
    </row>
    <row r="313" spans="1:9" x14ac:dyDescent="0.35">
      <c r="A313" t="s">
        <v>349</v>
      </c>
      <c r="B313" s="1">
        <v>45164</v>
      </c>
      <c r="C313" t="s">
        <v>10</v>
      </c>
      <c r="D313" t="s">
        <v>41</v>
      </c>
      <c r="E313" t="s">
        <v>12</v>
      </c>
      <c r="F313">
        <v>1185.29</v>
      </c>
      <c r="G313">
        <v>74.650000000000006</v>
      </c>
      <c r="H313" t="s">
        <v>28</v>
      </c>
      <c r="I313" t="s">
        <v>34</v>
      </c>
    </row>
    <row r="314" spans="1:9" x14ac:dyDescent="0.35">
      <c r="A314" t="s">
        <v>350</v>
      </c>
      <c r="B314" s="1">
        <v>44643</v>
      </c>
      <c r="C314" t="s">
        <v>25</v>
      </c>
      <c r="D314" t="s">
        <v>26</v>
      </c>
      <c r="E314" t="s">
        <v>27</v>
      </c>
      <c r="F314">
        <v>1577.75</v>
      </c>
      <c r="G314">
        <v>466.3</v>
      </c>
      <c r="H314" t="s">
        <v>19</v>
      </c>
      <c r="I314" t="s">
        <v>34</v>
      </c>
    </row>
    <row r="315" spans="1:9" x14ac:dyDescent="0.35">
      <c r="A315" t="s">
        <v>351</v>
      </c>
      <c r="B315" s="1">
        <v>44692</v>
      </c>
      <c r="C315" t="s">
        <v>22</v>
      </c>
      <c r="D315" t="s">
        <v>17</v>
      </c>
      <c r="E315" t="s">
        <v>18</v>
      </c>
      <c r="F315">
        <v>281.63</v>
      </c>
      <c r="G315">
        <v>83.12</v>
      </c>
      <c r="H315" t="s">
        <v>19</v>
      </c>
      <c r="I315" t="s">
        <v>14</v>
      </c>
    </row>
    <row r="316" spans="1:9" x14ac:dyDescent="0.35">
      <c r="A316" t="s">
        <v>352</v>
      </c>
      <c r="B316" s="1">
        <v>44829</v>
      </c>
      <c r="C316" t="s">
        <v>25</v>
      </c>
      <c r="D316" t="s">
        <v>95</v>
      </c>
      <c r="E316" t="s">
        <v>18</v>
      </c>
      <c r="F316">
        <v>242.97</v>
      </c>
      <c r="G316">
        <v>53.28</v>
      </c>
      <c r="H316" t="s">
        <v>13</v>
      </c>
      <c r="I316" t="s">
        <v>14</v>
      </c>
    </row>
    <row r="317" spans="1:9" x14ac:dyDescent="0.35">
      <c r="A317" t="s">
        <v>353</v>
      </c>
      <c r="B317" s="1">
        <v>44686</v>
      </c>
      <c r="C317" t="s">
        <v>22</v>
      </c>
      <c r="D317" t="s">
        <v>26</v>
      </c>
      <c r="E317" t="s">
        <v>27</v>
      </c>
      <c r="F317">
        <v>347.6</v>
      </c>
      <c r="G317">
        <v>92.02</v>
      </c>
      <c r="H317" t="s">
        <v>19</v>
      </c>
      <c r="I317" t="s">
        <v>14</v>
      </c>
    </row>
    <row r="318" spans="1:9" x14ac:dyDescent="0.35">
      <c r="A318" t="s">
        <v>354</v>
      </c>
      <c r="B318" s="1">
        <v>45144</v>
      </c>
      <c r="C318" t="s">
        <v>10</v>
      </c>
      <c r="D318" t="s">
        <v>62</v>
      </c>
      <c r="E318" t="s">
        <v>27</v>
      </c>
      <c r="F318">
        <v>1524.82</v>
      </c>
      <c r="G318">
        <v>450.35</v>
      </c>
      <c r="H318" t="s">
        <v>13</v>
      </c>
      <c r="I318" t="s">
        <v>34</v>
      </c>
    </row>
    <row r="319" spans="1:9" x14ac:dyDescent="0.35">
      <c r="A319" t="s">
        <v>355</v>
      </c>
      <c r="B319" s="1">
        <v>44860</v>
      </c>
      <c r="C319" t="s">
        <v>25</v>
      </c>
      <c r="D319" t="s">
        <v>23</v>
      </c>
      <c r="E319" t="s">
        <v>18</v>
      </c>
      <c r="F319">
        <v>824.92</v>
      </c>
      <c r="G319">
        <v>137.06</v>
      </c>
      <c r="H319" t="s">
        <v>13</v>
      </c>
      <c r="I319" t="s">
        <v>14</v>
      </c>
    </row>
    <row r="320" spans="1:9" x14ac:dyDescent="0.35">
      <c r="A320" t="s">
        <v>356</v>
      </c>
      <c r="B320" s="1">
        <v>44841</v>
      </c>
      <c r="C320" t="s">
        <v>22</v>
      </c>
      <c r="D320" t="s">
        <v>11</v>
      </c>
      <c r="E320" t="s">
        <v>12</v>
      </c>
      <c r="F320">
        <v>1220.6199999999999</v>
      </c>
      <c r="G320">
        <v>105.95</v>
      </c>
      <c r="H320" t="s">
        <v>19</v>
      </c>
      <c r="I320" t="s">
        <v>20</v>
      </c>
    </row>
    <row r="321" spans="1:9" x14ac:dyDescent="0.35">
      <c r="A321" t="s">
        <v>357</v>
      </c>
      <c r="B321" s="1">
        <v>45290</v>
      </c>
      <c r="C321" t="s">
        <v>22</v>
      </c>
      <c r="D321" t="s">
        <v>73</v>
      </c>
      <c r="E321" t="s">
        <v>27</v>
      </c>
      <c r="F321">
        <v>608.29999999999995</v>
      </c>
      <c r="G321">
        <v>93.46</v>
      </c>
      <c r="H321" t="s">
        <v>28</v>
      </c>
      <c r="I321" t="s">
        <v>14</v>
      </c>
    </row>
    <row r="322" spans="1:9" x14ac:dyDescent="0.35">
      <c r="A322" t="s">
        <v>358</v>
      </c>
      <c r="B322" s="1">
        <v>45652</v>
      </c>
      <c r="C322" t="s">
        <v>10</v>
      </c>
      <c r="D322" t="s">
        <v>97</v>
      </c>
      <c r="E322" t="s">
        <v>27</v>
      </c>
      <c r="F322">
        <v>1134.26</v>
      </c>
      <c r="G322">
        <v>177.07</v>
      </c>
      <c r="H322" t="s">
        <v>28</v>
      </c>
      <c r="I322" t="s">
        <v>20</v>
      </c>
    </row>
    <row r="323" spans="1:9" x14ac:dyDescent="0.35">
      <c r="A323" t="s">
        <v>359</v>
      </c>
      <c r="B323" s="1">
        <v>45271</v>
      </c>
      <c r="C323" t="s">
        <v>25</v>
      </c>
      <c r="D323" t="s">
        <v>23</v>
      </c>
      <c r="E323" t="s">
        <v>18</v>
      </c>
      <c r="F323">
        <v>296.8</v>
      </c>
      <c r="G323">
        <v>40.33</v>
      </c>
      <c r="H323" t="s">
        <v>28</v>
      </c>
      <c r="I323" t="s">
        <v>14</v>
      </c>
    </row>
    <row r="324" spans="1:9" x14ac:dyDescent="0.35">
      <c r="A324" t="s">
        <v>360</v>
      </c>
      <c r="B324" s="1">
        <v>45436</v>
      </c>
      <c r="C324" t="s">
        <v>22</v>
      </c>
      <c r="D324" t="s">
        <v>73</v>
      </c>
      <c r="E324" t="s">
        <v>27</v>
      </c>
      <c r="F324">
        <v>208.3</v>
      </c>
      <c r="G324">
        <v>30.7</v>
      </c>
      <c r="H324" t="s">
        <v>13</v>
      </c>
      <c r="I324" t="s">
        <v>14</v>
      </c>
    </row>
    <row r="325" spans="1:9" x14ac:dyDescent="0.35">
      <c r="A325" t="s">
        <v>361</v>
      </c>
      <c r="B325" s="1">
        <v>45073</v>
      </c>
      <c r="C325" t="s">
        <v>22</v>
      </c>
      <c r="D325" t="s">
        <v>11</v>
      </c>
      <c r="E325" t="s">
        <v>12</v>
      </c>
      <c r="F325">
        <v>734.86</v>
      </c>
      <c r="G325">
        <v>83.88</v>
      </c>
      <c r="H325" t="s">
        <v>19</v>
      </c>
      <c r="I325" t="s">
        <v>34</v>
      </c>
    </row>
    <row r="326" spans="1:9" x14ac:dyDescent="0.35">
      <c r="A326" t="s">
        <v>362</v>
      </c>
      <c r="B326" s="1">
        <v>44715</v>
      </c>
      <c r="C326" t="s">
        <v>16</v>
      </c>
      <c r="D326" t="s">
        <v>62</v>
      </c>
      <c r="E326" t="s">
        <v>27</v>
      </c>
      <c r="F326">
        <v>74.37</v>
      </c>
      <c r="G326">
        <v>13.34</v>
      </c>
      <c r="H326" t="s">
        <v>28</v>
      </c>
      <c r="I326" t="s">
        <v>34</v>
      </c>
    </row>
    <row r="327" spans="1:9" x14ac:dyDescent="0.35">
      <c r="A327" t="s">
        <v>363</v>
      </c>
      <c r="B327" s="1">
        <v>45142</v>
      </c>
      <c r="C327" t="s">
        <v>22</v>
      </c>
      <c r="D327" t="s">
        <v>73</v>
      </c>
      <c r="E327" t="s">
        <v>27</v>
      </c>
      <c r="F327">
        <v>800.38</v>
      </c>
      <c r="G327">
        <v>80.260000000000005</v>
      </c>
      <c r="H327" t="s">
        <v>19</v>
      </c>
      <c r="I327" t="s">
        <v>20</v>
      </c>
    </row>
    <row r="328" spans="1:9" x14ac:dyDescent="0.35">
      <c r="A328" t="s">
        <v>364</v>
      </c>
      <c r="B328" s="1">
        <v>44653</v>
      </c>
      <c r="C328" t="s">
        <v>22</v>
      </c>
      <c r="D328" t="s">
        <v>50</v>
      </c>
      <c r="E328" t="s">
        <v>12</v>
      </c>
      <c r="F328">
        <v>178.53</v>
      </c>
      <c r="G328">
        <v>18.82</v>
      </c>
      <c r="H328" t="s">
        <v>28</v>
      </c>
      <c r="I328" t="s">
        <v>20</v>
      </c>
    </row>
    <row r="329" spans="1:9" x14ac:dyDescent="0.35">
      <c r="A329" t="s">
        <v>365</v>
      </c>
      <c r="B329" s="1">
        <v>44810</v>
      </c>
      <c r="C329" t="s">
        <v>25</v>
      </c>
      <c r="D329" t="s">
        <v>26</v>
      </c>
      <c r="E329" t="s">
        <v>27</v>
      </c>
      <c r="F329">
        <v>1805.78</v>
      </c>
      <c r="G329">
        <v>214.6</v>
      </c>
      <c r="H329" t="s">
        <v>13</v>
      </c>
      <c r="I329" t="s">
        <v>14</v>
      </c>
    </row>
    <row r="330" spans="1:9" x14ac:dyDescent="0.35">
      <c r="A330" t="s">
        <v>366</v>
      </c>
      <c r="B330" s="1">
        <v>44802</v>
      </c>
      <c r="C330" t="s">
        <v>22</v>
      </c>
      <c r="D330" t="s">
        <v>41</v>
      </c>
      <c r="E330" t="s">
        <v>12</v>
      </c>
      <c r="F330">
        <v>1682.71</v>
      </c>
      <c r="G330">
        <v>265.86</v>
      </c>
      <c r="H330" t="s">
        <v>19</v>
      </c>
      <c r="I330" t="s">
        <v>34</v>
      </c>
    </row>
    <row r="331" spans="1:9" x14ac:dyDescent="0.35">
      <c r="A331" t="s">
        <v>367</v>
      </c>
      <c r="B331" s="1">
        <v>44589</v>
      </c>
      <c r="C331" t="s">
        <v>25</v>
      </c>
      <c r="D331" t="s">
        <v>62</v>
      </c>
      <c r="E331" t="s">
        <v>27</v>
      </c>
      <c r="F331">
        <v>228.37</v>
      </c>
      <c r="G331">
        <v>46.86</v>
      </c>
      <c r="H331" t="s">
        <v>28</v>
      </c>
      <c r="I331" t="s">
        <v>20</v>
      </c>
    </row>
    <row r="332" spans="1:9" x14ac:dyDescent="0.35">
      <c r="A332" t="s">
        <v>368</v>
      </c>
      <c r="B332" s="1">
        <v>45060</v>
      </c>
      <c r="C332" t="s">
        <v>25</v>
      </c>
      <c r="D332" t="s">
        <v>97</v>
      </c>
      <c r="E332" t="s">
        <v>27</v>
      </c>
      <c r="F332">
        <v>1171.49</v>
      </c>
      <c r="G332">
        <v>323.93</v>
      </c>
      <c r="H332" t="s">
        <v>13</v>
      </c>
      <c r="I332" t="s">
        <v>34</v>
      </c>
    </row>
    <row r="333" spans="1:9" x14ac:dyDescent="0.35">
      <c r="A333" t="s">
        <v>369</v>
      </c>
      <c r="B333" s="1">
        <v>45153</v>
      </c>
      <c r="C333" t="s">
        <v>25</v>
      </c>
      <c r="D333" t="s">
        <v>38</v>
      </c>
      <c r="E333" t="s">
        <v>12</v>
      </c>
      <c r="F333">
        <v>1762.16</v>
      </c>
      <c r="G333">
        <v>410.54</v>
      </c>
      <c r="H333" t="s">
        <v>28</v>
      </c>
      <c r="I333" t="s">
        <v>20</v>
      </c>
    </row>
    <row r="334" spans="1:9" x14ac:dyDescent="0.35">
      <c r="A334" t="s">
        <v>370</v>
      </c>
      <c r="B334" s="1">
        <v>45292</v>
      </c>
      <c r="C334" t="s">
        <v>25</v>
      </c>
      <c r="D334" t="s">
        <v>73</v>
      </c>
      <c r="E334" t="s">
        <v>27</v>
      </c>
      <c r="F334">
        <v>1546.08</v>
      </c>
      <c r="G334">
        <v>429.72</v>
      </c>
      <c r="H334" t="s">
        <v>28</v>
      </c>
      <c r="I334" t="s">
        <v>14</v>
      </c>
    </row>
    <row r="335" spans="1:9" x14ac:dyDescent="0.35">
      <c r="A335" t="s">
        <v>371</v>
      </c>
      <c r="B335" s="1">
        <v>44986</v>
      </c>
      <c r="C335" t="s">
        <v>25</v>
      </c>
      <c r="D335" t="s">
        <v>11</v>
      </c>
      <c r="E335" t="s">
        <v>12</v>
      </c>
      <c r="F335">
        <v>1363.18</v>
      </c>
      <c r="G335">
        <v>151.72999999999999</v>
      </c>
      <c r="H335" t="s">
        <v>19</v>
      </c>
      <c r="I335" t="s">
        <v>20</v>
      </c>
    </row>
    <row r="336" spans="1:9" x14ac:dyDescent="0.35">
      <c r="A336" t="s">
        <v>372</v>
      </c>
      <c r="B336" s="1">
        <v>45363</v>
      </c>
      <c r="C336" t="s">
        <v>10</v>
      </c>
      <c r="D336" t="s">
        <v>41</v>
      </c>
      <c r="E336" t="s">
        <v>12</v>
      </c>
      <c r="F336">
        <v>173.95</v>
      </c>
      <c r="G336">
        <v>32.69</v>
      </c>
      <c r="H336" t="s">
        <v>13</v>
      </c>
      <c r="I336" t="s">
        <v>34</v>
      </c>
    </row>
    <row r="337" spans="1:9" x14ac:dyDescent="0.35">
      <c r="A337" t="s">
        <v>373</v>
      </c>
      <c r="B337" s="1">
        <v>45619</v>
      </c>
      <c r="C337" t="s">
        <v>25</v>
      </c>
      <c r="D337" t="s">
        <v>62</v>
      </c>
      <c r="E337" t="s">
        <v>27</v>
      </c>
      <c r="F337">
        <v>517.21</v>
      </c>
      <c r="G337">
        <v>34.85</v>
      </c>
      <c r="H337" t="s">
        <v>19</v>
      </c>
      <c r="I337" t="s">
        <v>34</v>
      </c>
    </row>
    <row r="338" spans="1:9" x14ac:dyDescent="0.35">
      <c r="A338" t="s">
        <v>374</v>
      </c>
      <c r="B338" s="1">
        <v>44749</v>
      </c>
      <c r="C338" t="s">
        <v>22</v>
      </c>
      <c r="D338" t="s">
        <v>23</v>
      </c>
      <c r="E338" t="s">
        <v>18</v>
      </c>
      <c r="F338">
        <v>864.58</v>
      </c>
      <c r="G338">
        <v>72.73</v>
      </c>
      <c r="H338" t="s">
        <v>28</v>
      </c>
      <c r="I338" t="s">
        <v>20</v>
      </c>
    </row>
    <row r="339" spans="1:9" x14ac:dyDescent="0.35">
      <c r="A339" t="s">
        <v>375</v>
      </c>
      <c r="B339" s="1">
        <v>45307</v>
      </c>
      <c r="C339" t="s">
        <v>22</v>
      </c>
      <c r="D339" t="s">
        <v>17</v>
      </c>
      <c r="E339" t="s">
        <v>18</v>
      </c>
      <c r="F339">
        <v>1682.24</v>
      </c>
      <c r="G339">
        <v>293.54000000000002</v>
      </c>
      <c r="H339" t="s">
        <v>28</v>
      </c>
      <c r="I339" t="s">
        <v>34</v>
      </c>
    </row>
    <row r="340" spans="1:9" x14ac:dyDescent="0.35">
      <c r="A340" t="s">
        <v>376</v>
      </c>
      <c r="B340" s="1">
        <v>45311</v>
      </c>
      <c r="C340" t="s">
        <v>16</v>
      </c>
      <c r="D340" t="s">
        <v>97</v>
      </c>
      <c r="E340" t="s">
        <v>27</v>
      </c>
      <c r="F340">
        <v>1447.18</v>
      </c>
      <c r="G340">
        <v>195.59</v>
      </c>
      <c r="H340" t="s">
        <v>28</v>
      </c>
      <c r="I340" t="s">
        <v>34</v>
      </c>
    </row>
    <row r="341" spans="1:9" x14ac:dyDescent="0.35">
      <c r="A341" t="s">
        <v>377</v>
      </c>
      <c r="B341" s="1">
        <v>45349</v>
      </c>
      <c r="C341" t="s">
        <v>16</v>
      </c>
      <c r="D341" t="s">
        <v>41</v>
      </c>
      <c r="E341" t="s">
        <v>12</v>
      </c>
      <c r="F341">
        <v>720.94</v>
      </c>
      <c r="G341">
        <v>161.84</v>
      </c>
      <c r="H341" t="s">
        <v>28</v>
      </c>
      <c r="I341" t="s">
        <v>29</v>
      </c>
    </row>
    <row r="342" spans="1:9" x14ac:dyDescent="0.35">
      <c r="A342" t="s">
        <v>378</v>
      </c>
      <c r="B342" s="1">
        <v>44674</v>
      </c>
      <c r="C342" t="s">
        <v>10</v>
      </c>
      <c r="D342" t="s">
        <v>62</v>
      </c>
      <c r="E342" t="s">
        <v>27</v>
      </c>
      <c r="F342">
        <v>301.06</v>
      </c>
      <c r="G342">
        <v>84.72</v>
      </c>
      <c r="H342" t="s">
        <v>19</v>
      </c>
      <c r="I342" t="s">
        <v>20</v>
      </c>
    </row>
    <row r="343" spans="1:9" x14ac:dyDescent="0.35">
      <c r="A343" t="s">
        <v>379</v>
      </c>
      <c r="B343" s="1">
        <v>45612</v>
      </c>
      <c r="C343" t="s">
        <v>22</v>
      </c>
      <c r="D343" t="s">
        <v>57</v>
      </c>
      <c r="E343" t="s">
        <v>27</v>
      </c>
      <c r="F343">
        <v>1911.16</v>
      </c>
      <c r="G343">
        <v>151.56</v>
      </c>
      <c r="H343" t="s">
        <v>19</v>
      </c>
      <c r="I343" t="s">
        <v>34</v>
      </c>
    </row>
    <row r="344" spans="1:9" x14ac:dyDescent="0.35">
      <c r="A344" t="s">
        <v>380</v>
      </c>
      <c r="B344" s="1">
        <v>45571</v>
      </c>
      <c r="C344" t="s">
        <v>10</v>
      </c>
      <c r="D344" t="s">
        <v>95</v>
      </c>
      <c r="E344" t="s">
        <v>18</v>
      </c>
      <c r="F344">
        <v>1260.3900000000001</v>
      </c>
      <c r="G344">
        <v>157.25</v>
      </c>
      <c r="H344" t="s">
        <v>13</v>
      </c>
      <c r="I344" t="s">
        <v>20</v>
      </c>
    </row>
    <row r="345" spans="1:9" x14ac:dyDescent="0.35">
      <c r="A345" t="s">
        <v>381</v>
      </c>
      <c r="B345" s="1">
        <v>45451</v>
      </c>
      <c r="C345" t="s">
        <v>10</v>
      </c>
      <c r="D345" t="s">
        <v>41</v>
      </c>
      <c r="E345" t="s">
        <v>12</v>
      </c>
      <c r="F345">
        <v>1235.26</v>
      </c>
      <c r="G345">
        <v>78.959999999999994</v>
      </c>
      <c r="H345" t="s">
        <v>13</v>
      </c>
      <c r="I345" t="s">
        <v>29</v>
      </c>
    </row>
    <row r="346" spans="1:9" x14ac:dyDescent="0.35">
      <c r="A346" t="s">
        <v>382</v>
      </c>
      <c r="B346" s="1">
        <v>45138</v>
      </c>
      <c r="C346" t="s">
        <v>25</v>
      </c>
      <c r="D346" t="s">
        <v>97</v>
      </c>
      <c r="E346" t="s">
        <v>27</v>
      </c>
      <c r="F346">
        <v>641.48</v>
      </c>
      <c r="G346">
        <v>137.38</v>
      </c>
      <c r="H346" t="s">
        <v>13</v>
      </c>
      <c r="I346" t="s">
        <v>20</v>
      </c>
    </row>
    <row r="347" spans="1:9" x14ac:dyDescent="0.35">
      <c r="A347" t="s">
        <v>383</v>
      </c>
      <c r="B347" s="1">
        <v>44997</v>
      </c>
      <c r="C347" t="s">
        <v>16</v>
      </c>
      <c r="D347" t="s">
        <v>73</v>
      </c>
      <c r="E347" t="s">
        <v>27</v>
      </c>
      <c r="F347">
        <v>1373.9</v>
      </c>
      <c r="G347">
        <v>309.33999999999997</v>
      </c>
      <c r="H347" t="s">
        <v>19</v>
      </c>
      <c r="I347" t="s">
        <v>14</v>
      </c>
    </row>
    <row r="348" spans="1:9" x14ac:dyDescent="0.35">
      <c r="A348" t="s">
        <v>384</v>
      </c>
      <c r="B348" s="1">
        <v>45199</v>
      </c>
      <c r="C348" t="s">
        <v>25</v>
      </c>
      <c r="D348" t="s">
        <v>97</v>
      </c>
      <c r="E348" t="s">
        <v>27</v>
      </c>
      <c r="F348">
        <v>313.70999999999998</v>
      </c>
      <c r="G348">
        <v>48.41</v>
      </c>
      <c r="H348" t="s">
        <v>13</v>
      </c>
      <c r="I348" t="s">
        <v>34</v>
      </c>
    </row>
    <row r="349" spans="1:9" x14ac:dyDescent="0.35">
      <c r="A349" t="s">
        <v>385</v>
      </c>
      <c r="B349" s="1">
        <v>44656</v>
      </c>
      <c r="C349" t="s">
        <v>22</v>
      </c>
      <c r="D349" t="s">
        <v>46</v>
      </c>
      <c r="E349" t="s">
        <v>18</v>
      </c>
      <c r="F349">
        <v>1366.7</v>
      </c>
      <c r="G349">
        <v>295.22000000000003</v>
      </c>
      <c r="H349" t="s">
        <v>19</v>
      </c>
      <c r="I349" t="s">
        <v>29</v>
      </c>
    </row>
    <row r="350" spans="1:9" x14ac:dyDescent="0.35">
      <c r="A350" t="s">
        <v>386</v>
      </c>
      <c r="B350" s="1">
        <v>44636</v>
      </c>
      <c r="C350" t="s">
        <v>25</v>
      </c>
      <c r="D350" t="s">
        <v>38</v>
      </c>
      <c r="E350" t="s">
        <v>12</v>
      </c>
      <c r="F350">
        <v>525.9</v>
      </c>
      <c r="G350">
        <v>125.9</v>
      </c>
      <c r="H350" t="s">
        <v>28</v>
      </c>
      <c r="I350" t="s">
        <v>14</v>
      </c>
    </row>
    <row r="351" spans="1:9" x14ac:dyDescent="0.35">
      <c r="A351" t="s">
        <v>387</v>
      </c>
      <c r="B351" s="1">
        <v>44616</v>
      </c>
      <c r="C351" t="s">
        <v>25</v>
      </c>
      <c r="D351" t="s">
        <v>50</v>
      </c>
      <c r="E351" t="s">
        <v>12</v>
      </c>
      <c r="F351">
        <v>1463.46</v>
      </c>
      <c r="G351">
        <v>99.54</v>
      </c>
      <c r="H351" t="s">
        <v>28</v>
      </c>
      <c r="I351" t="s">
        <v>14</v>
      </c>
    </row>
    <row r="352" spans="1:9" x14ac:dyDescent="0.35">
      <c r="A352" t="s">
        <v>388</v>
      </c>
      <c r="B352" s="1">
        <v>45089</v>
      </c>
      <c r="C352" t="s">
        <v>25</v>
      </c>
      <c r="D352" t="s">
        <v>97</v>
      </c>
      <c r="E352" t="s">
        <v>27</v>
      </c>
      <c r="F352">
        <v>405.86</v>
      </c>
      <c r="G352">
        <v>68.91</v>
      </c>
      <c r="H352" t="s">
        <v>28</v>
      </c>
      <c r="I352" t="s">
        <v>29</v>
      </c>
    </row>
    <row r="353" spans="1:9" x14ac:dyDescent="0.35">
      <c r="A353" t="s">
        <v>389</v>
      </c>
      <c r="B353" s="1">
        <v>44908</v>
      </c>
      <c r="C353" t="s">
        <v>25</v>
      </c>
      <c r="D353" t="s">
        <v>95</v>
      </c>
      <c r="E353" t="s">
        <v>18</v>
      </c>
      <c r="F353">
        <v>547.36</v>
      </c>
      <c r="G353">
        <v>61.91</v>
      </c>
      <c r="H353" t="s">
        <v>13</v>
      </c>
      <c r="I353" t="s">
        <v>34</v>
      </c>
    </row>
    <row r="354" spans="1:9" x14ac:dyDescent="0.35">
      <c r="A354" t="s">
        <v>390</v>
      </c>
      <c r="B354" s="1">
        <v>44930</v>
      </c>
      <c r="C354" t="s">
        <v>10</v>
      </c>
      <c r="D354" t="s">
        <v>73</v>
      </c>
      <c r="E354" t="s">
        <v>27</v>
      </c>
      <c r="F354">
        <v>1106.93</v>
      </c>
      <c r="G354">
        <v>219.98</v>
      </c>
      <c r="H354" t="s">
        <v>28</v>
      </c>
      <c r="I354" t="s">
        <v>20</v>
      </c>
    </row>
    <row r="355" spans="1:9" x14ac:dyDescent="0.35">
      <c r="A355" t="s">
        <v>391</v>
      </c>
      <c r="B355" s="1">
        <v>45336</v>
      </c>
      <c r="C355" t="s">
        <v>22</v>
      </c>
      <c r="D355" t="s">
        <v>41</v>
      </c>
      <c r="E355" t="s">
        <v>12</v>
      </c>
      <c r="F355">
        <v>1567.3</v>
      </c>
      <c r="G355">
        <v>185.55</v>
      </c>
      <c r="H355" t="s">
        <v>19</v>
      </c>
      <c r="I355" t="s">
        <v>29</v>
      </c>
    </row>
    <row r="356" spans="1:9" x14ac:dyDescent="0.35">
      <c r="A356" t="s">
        <v>392</v>
      </c>
      <c r="B356" s="1">
        <v>44617</v>
      </c>
      <c r="C356" t="s">
        <v>10</v>
      </c>
      <c r="D356" t="s">
        <v>62</v>
      </c>
      <c r="E356" t="s">
        <v>27</v>
      </c>
      <c r="F356">
        <v>1063.8900000000001</v>
      </c>
      <c r="G356">
        <v>297.54000000000002</v>
      </c>
      <c r="H356" t="s">
        <v>28</v>
      </c>
      <c r="I356" t="s">
        <v>20</v>
      </c>
    </row>
    <row r="357" spans="1:9" x14ac:dyDescent="0.35">
      <c r="A357" t="s">
        <v>393</v>
      </c>
      <c r="B357" s="1">
        <v>45371</v>
      </c>
      <c r="C357" t="s">
        <v>10</v>
      </c>
      <c r="D357" t="s">
        <v>46</v>
      </c>
      <c r="E357" t="s">
        <v>18</v>
      </c>
      <c r="F357">
        <v>1761.58</v>
      </c>
      <c r="G357">
        <v>188.84</v>
      </c>
      <c r="H357" t="s">
        <v>28</v>
      </c>
      <c r="I357" t="s">
        <v>14</v>
      </c>
    </row>
    <row r="358" spans="1:9" x14ac:dyDescent="0.35">
      <c r="A358" t="s">
        <v>394</v>
      </c>
      <c r="B358" s="1">
        <v>44819</v>
      </c>
      <c r="C358" t="s">
        <v>10</v>
      </c>
      <c r="D358" t="s">
        <v>11</v>
      </c>
      <c r="E358" t="s">
        <v>12</v>
      </c>
      <c r="F358">
        <v>1456.17</v>
      </c>
      <c r="G358">
        <v>384.73</v>
      </c>
      <c r="H358" t="s">
        <v>28</v>
      </c>
      <c r="I358" t="s">
        <v>34</v>
      </c>
    </row>
    <row r="359" spans="1:9" x14ac:dyDescent="0.35">
      <c r="A359" t="s">
        <v>395</v>
      </c>
      <c r="B359" s="1">
        <v>44618</v>
      </c>
      <c r="C359" t="s">
        <v>16</v>
      </c>
      <c r="D359" t="s">
        <v>26</v>
      </c>
      <c r="E359" t="s">
        <v>27</v>
      </c>
      <c r="F359">
        <v>899.33</v>
      </c>
      <c r="G359">
        <v>53.98</v>
      </c>
      <c r="H359" t="s">
        <v>19</v>
      </c>
      <c r="I359" t="s">
        <v>20</v>
      </c>
    </row>
    <row r="360" spans="1:9" x14ac:dyDescent="0.35">
      <c r="A360" t="s">
        <v>396</v>
      </c>
      <c r="B360" s="1">
        <v>44688</v>
      </c>
      <c r="C360" t="s">
        <v>25</v>
      </c>
      <c r="D360" t="s">
        <v>97</v>
      </c>
      <c r="E360" t="s">
        <v>27</v>
      </c>
      <c r="F360">
        <v>336.11</v>
      </c>
      <c r="G360">
        <v>68.010000000000005</v>
      </c>
      <c r="H360" t="s">
        <v>28</v>
      </c>
      <c r="I360" t="s">
        <v>29</v>
      </c>
    </row>
    <row r="361" spans="1:9" x14ac:dyDescent="0.35">
      <c r="A361" t="s">
        <v>397</v>
      </c>
      <c r="B361" s="1">
        <v>45653</v>
      </c>
      <c r="C361" t="s">
        <v>25</v>
      </c>
      <c r="D361" t="s">
        <v>26</v>
      </c>
      <c r="E361" t="s">
        <v>27</v>
      </c>
      <c r="F361">
        <v>736.12</v>
      </c>
      <c r="G361">
        <v>199.12</v>
      </c>
      <c r="H361" t="s">
        <v>19</v>
      </c>
      <c r="I361" t="s">
        <v>29</v>
      </c>
    </row>
    <row r="362" spans="1:9" x14ac:dyDescent="0.35">
      <c r="A362" t="s">
        <v>398</v>
      </c>
      <c r="B362" s="1">
        <v>45535</v>
      </c>
      <c r="C362" t="s">
        <v>10</v>
      </c>
      <c r="D362" t="s">
        <v>46</v>
      </c>
      <c r="E362" t="s">
        <v>18</v>
      </c>
      <c r="F362">
        <v>890.31</v>
      </c>
      <c r="G362">
        <v>114.62</v>
      </c>
      <c r="H362" t="s">
        <v>13</v>
      </c>
      <c r="I362" t="s">
        <v>20</v>
      </c>
    </row>
    <row r="363" spans="1:9" x14ac:dyDescent="0.35">
      <c r="A363" t="s">
        <v>399</v>
      </c>
      <c r="B363" s="1">
        <v>45272</v>
      </c>
      <c r="C363" t="s">
        <v>25</v>
      </c>
      <c r="D363" t="s">
        <v>26</v>
      </c>
      <c r="E363" t="s">
        <v>27</v>
      </c>
      <c r="F363">
        <v>161.22999999999999</v>
      </c>
      <c r="G363">
        <v>30.75</v>
      </c>
      <c r="H363" t="s">
        <v>28</v>
      </c>
      <c r="I363" t="s">
        <v>29</v>
      </c>
    </row>
    <row r="364" spans="1:9" x14ac:dyDescent="0.35">
      <c r="A364" t="s">
        <v>400</v>
      </c>
      <c r="B364" s="1">
        <v>44743</v>
      </c>
      <c r="C364" t="s">
        <v>10</v>
      </c>
      <c r="D364" t="s">
        <v>95</v>
      </c>
      <c r="E364" t="s">
        <v>18</v>
      </c>
      <c r="F364">
        <v>1196.68</v>
      </c>
      <c r="G364">
        <v>130.69999999999999</v>
      </c>
      <c r="H364" t="s">
        <v>28</v>
      </c>
      <c r="I364" t="s">
        <v>34</v>
      </c>
    </row>
    <row r="365" spans="1:9" x14ac:dyDescent="0.35">
      <c r="A365" t="s">
        <v>401</v>
      </c>
      <c r="B365" s="1">
        <v>44877</v>
      </c>
      <c r="C365" t="s">
        <v>22</v>
      </c>
      <c r="D365" t="s">
        <v>95</v>
      </c>
      <c r="E365" t="s">
        <v>18</v>
      </c>
      <c r="F365">
        <v>669.18</v>
      </c>
      <c r="G365">
        <v>152.72</v>
      </c>
      <c r="H365" t="s">
        <v>28</v>
      </c>
      <c r="I365" t="s">
        <v>29</v>
      </c>
    </row>
    <row r="366" spans="1:9" x14ac:dyDescent="0.35">
      <c r="A366" t="s">
        <v>402</v>
      </c>
      <c r="B366" s="1">
        <v>45382</v>
      </c>
      <c r="C366" t="s">
        <v>16</v>
      </c>
      <c r="D366" t="s">
        <v>95</v>
      </c>
      <c r="E366" t="s">
        <v>18</v>
      </c>
      <c r="F366">
        <v>1329.92</v>
      </c>
      <c r="G366">
        <v>119.17</v>
      </c>
      <c r="H366" t="s">
        <v>13</v>
      </c>
      <c r="I366" t="s">
        <v>34</v>
      </c>
    </row>
    <row r="367" spans="1:9" x14ac:dyDescent="0.35">
      <c r="A367" t="s">
        <v>403</v>
      </c>
      <c r="B367" s="1">
        <v>44805</v>
      </c>
      <c r="C367" t="s">
        <v>22</v>
      </c>
      <c r="D367" t="s">
        <v>41</v>
      </c>
      <c r="E367" t="s">
        <v>12</v>
      </c>
      <c r="F367">
        <v>1081.06</v>
      </c>
      <c r="G367">
        <v>260.47000000000003</v>
      </c>
      <c r="H367" t="s">
        <v>19</v>
      </c>
      <c r="I367" t="s">
        <v>34</v>
      </c>
    </row>
    <row r="368" spans="1:9" x14ac:dyDescent="0.35">
      <c r="A368" t="s">
        <v>404</v>
      </c>
      <c r="B368" s="1">
        <v>45366</v>
      </c>
      <c r="C368" t="s">
        <v>25</v>
      </c>
      <c r="D368" t="s">
        <v>41</v>
      </c>
      <c r="E368" t="s">
        <v>12</v>
      </c>
      <c r="F368">
        <v>1607.89</v>
      </c>
      <c r="G368">
        <v>156.55000000000001</v>
      </c>
      <c r="H368" t="s">
        <v>19</v>
      </c>
      <c r="I368" t="s">
        <v>29</v>
      </c>
    </row>
    <row r="369" spans="1:9" x14ac:dyDescent="0.35">
      <c r="A369" t="s">
        <v>405</v>
      </c>
      <c r="B369" s="1">
        <v>45554</v>
      </c>
      <c r="C369" t="s">
        <v>25</v>
      </c>
      <c r="D369" t="s">
        <v>38</v>
      </c>
      <c r="E369" t="s">
        <v>12</v>
      </c>
      <c r="F369">
        <v>906.66</v>
      </c>
      <c r="G369">
        <v>236.72</v>
      </c>
      <c r="H369" t="s">
        <v>19</v>
      </c>
      <c r="I369" t="s">
        <v>20</v>
      </c>
    </row>
    <row r="370" spans="1:9" x14ac:dyDescent="0.35">
      <c r="A370" t="s">
        <v>406</v>
      </c>
      <c r="B370" s="1">
        <v>45197</v>
      </c>
      <c r="C370" t="s">
        <v>25</v>
      </c>
      <c r="D370" t="s">
        <v>38</v>
      </c>
      <c r="E370" t="s">
        <v>12</v>
      </c>
      <c r="F370">
        <v>1709.63</v>
      </c>
      <c r="G370">
        <v>188.55</v>
      </c>
      <c r="H370" t="s">
        <v>13</v>
      </c>
      <c r="I370" t="s">
        <v>14</v>
      </c>
    </row>
    <row r="371" spans="1:9" x14ac:dyDescent="0.35">
      <c r="A371" t="s">
        <v>407</v>
      </c>
      <c r="B371" s="1">
        <v>45477</v>
      </c>
      <c r="C371" t="s">
        <v>25</v>
      </c>
      <c r="D371" t="s">
        <v>62</v>
      </c>
      <c r="E371" t="s">
        <v>27</v>
      </c>
      <c r="F371">
        <v>1524.01</v>
      </c>
      <c r="G371">
        <v>260.36</v>
      </c>
      <c r="H371" t="s">
        <v>28</v>
      </c>
      <c r="I371" t="s">
        <v>29</v>
      </c>
    </row>
    <row r="372" spans="1:9" x14ac:dyDescent="0.35">
      <c r="A372" t="s">
        <v>408</v>
      </c>
      <c r="B372" s="1">
        <v>45370</v>
      </c>
      <c r="C372" t="s">
        <v>10</v>
      </c>
      <c r="D372" t="s">
        <v>17</v>
      </c>
      <c r="E372" t="s">
        <v>18</v>
      </c>
      <c r="F372">
        <v>354.06</v>
      </c>
      <c r="G372">
        <v>17.96</v>
      </c>
      <c r="H372" t="s">
        <v>28</v>
      </c>
      <c r="I372" t="s">
        <v>34</v>
      </c>
    </row>
    <row r="373" spans="1:9" x14ac:dyDescent="0.35">
      <c r="A373" t="s">
        <v>409</v>
      </c>
      <c r="B373" s="1">
        <v>45484</v>
      </c>
      <c r="C373" t="s">
        <v>22</v>
      </c>
      <c r="D373" t="s">
        <v>17</v>
      </c>
      <c r="E373" t="s">
        <v>18</v>
      </c>
      <c r="F373">
        <v>230.73</v>
      </c>
      <c r="G373">
        <v>21.78</v>
      </c>
      <c r="H373" t="s">
        <v>28</v>
      </c>
      <c r="I373" t="s">
        <v>29</v>
      </c>
    </row>
    <row r="374" spans="1:9" x14ac:dyDescent="0.35">
      <c r="A374" t="s">
        <v>410</v>
      </c>
      <c r="B374" s="1">
        <v>44754</v>
      </c>
      <c r="C374" t="s">
        <v>10</v>
      </c>
      <c r="D374" t="s">
        <v>17</v>
      </c>
      <c r="E374" t="s">
        <v>18</v>
      </c>
      <c r="F374">
        <v>1067.04</v>
      </c>
      <c r="G374">
        <v>204.73</v>
      </c>
      <c r="H374" t="s">
        <v>13</v>
      </c>
      <c r="I374" t="s">
        <v>20</v>
      </c>
    </row>
    <row r="375" spans="1:9" x14ac:dyDescent="0.35">
      <c r="A375" t="s">
        <v>411</v>
      </c>
      <c r="B375" s="1">
        <v>44687</v>
      </c>
      <c r="C375" t="s">
        <v>25</v>
      </c>
      <c r="D375" t="s">
        <v>46</v>
      </c>
      <c r="E375" t="s">
        <v>18</v>
      </c>
      <c r="F375">
        <v>383.44</v>
      </c>
      <c r="G375">
        <v>35.200000000000003</v>
      </c>
      <c r="H375" t="s">
        <v>28</v>
      </c>
      <c r="I375" t="s">
        <v>20</v>
      </c>
    </row>
    <row r="376" spans="1:9" x14ac:dyDescent="0.35">
      <c r="A376" t="s">
        <v>412</v>
      </c>
      <c r="B376" s="1">
        <v>44950</v>
      </c>
      <c r="C376" t="s">
        <v>25</v>
      </c>
      <c r="D376" t="s">
        <v>17</v>
      </c>
      <c r="E376" t="s">
        <v>18</v>
      </c>
      <c r="F376">
        <v>1509.41</v>
      </c>
      <c r="G376">
        <v>308.91000000000003</v>
      </c>
      <c r="H376" t="s">
        <v>13</v>
      </c>
      <c r="I376" t="s">
        <v>20</v>
      </c>
    </row>
    <row r="377" spans="1:9" x14ac:dyDescent="0.35">
      <c r="A377" t="s">
        <v>413</v>
      </c>
      <c r="B377" s="1">
        <v>44807</v>
      </c>
      <c r="C377" t="s">
        <v>22</v>
      </c>
      <c r="D377" t="s">
        <v>23</v>
      </c>
      <c r="E377" t="s">
        <v>18</v>
      </c>
      <c r="F377">
        <v>1358.99</v>
      </c>
      <c r="G377">
        <v>162.54</v>
      </c>
      <c r="H377" t="s">
        <v>28</v>
      </c>
      <c r="I377" t="s">
        <v>34</v>
      </c>
    </row>
    <row r="378" spans="1:9" x14ac:dyDescent="0.35">
      <c r="A378" t="s">
        <v>414</v>
      </c>
      <c r="B378" s="1">
        <v>44630</v>
      </c>
      <c r="C378" t="s">
        <v>22</v>
      </c>
      <c r="D378" t="s">
        <v>31</v>
      </c>
      <c r="E378" t="s">
        <v>12</v>
      </c>
      <c r="F378">
        <v>1182.94</v>
      </c>
      <c r="G378">
        <v>126.71</v>
      </c>
      <c r="H378" t="s">
        <v>13</v>
      </c>
      <c r="I378" t="s">
        <v>34</v>
      </c>
    </row>
    <row r="379" spans="1:9" x14ac:dyDescent="0.35">
      <c r="A379" t="s">
        <v>415</v>
      </c>
      <c r="B379" s="1">
        <v>44971</v>
      </c>
      <c r="C379" t="s">
        <v>22</v>
      </c>
      <c r="D379" t="s">
        <v>11</v>
      </c>
      <c r="E379" t="s">
        <v>12</v>
      </c>
      <c r="F379">
        <v>1892.22</v>
      </c>
      <c r="G379">
        <v>340.14</v>
      </c>
      <c r="H379" t="s">
        <v>13</v>
      </c>
      <c r="I379" t="s">
        <v>20</v>
      </c>
    </row>
    <row r="380" spans="1:9" x14ac:dyDescent="0.35">
      <c r="A380" t="s">
        <v>416</v>
      </c>
      <c r="B380" s="1">
        <v>45380</v>
      </c>
      <c r="C380" t="s">
        <v>10</v>
      </c>
      <c r="D380" t="s">
        <v>23</v>
      </c>
      <c r="E380" t="s">
        <v>18</v>
      </c>
      <c r="F380">
        <v>1166.02</v>
      </c>
      <c r="G380">
        <v>261.95</v>
      </c>
      <c r="H380" t="s">
        <v>28</v>
      </c>
      <c r="I380" t="s">
        <v>34</v>
      </c>
    </row>
    <row r="381" spans="1:9" x14ac:dyDescent="0.35">
      <c r="A381" t="s">
        <v>417</v>
      </c>
      <c r="B381" s="1">
        <v>45473</v>
      </c>
      <c r="C381" t="s">
        <v>16</v>
      </c>
      <c r="D381" t="s">
        <v>33</v>
      </c>
      <c r="E381" t="s">
        <v>18</v>
      </c>
      <c r="F381">
        <v>864.08</v>
      </c>
      <c r="G381">
        <v>228.51</v>
      </c>
      <c r="H381" t="s">
        <v>19</v>
      </c>
      <c r="I381" t="s">
        <v>14</v>
      </c>
    </row>
    <row r="382" spans="1:9" x14ac:dyDescent="0.35">
      <c r="A382" t="s">
        <v>418</v>
      </c>
      <c r="B382" s="1">
        <v>45397</v>
      </c>
      <c r="C382" t="s">
        <v>16</v>
      </c>
      <c r="D382" t="s">
        <v>50</v>
      </c>
      <c r="E382" t="s">
        <v>12</v>
      </c>
      <c r="F382">
        <v>1546.41</v>
      </c>
      <c r="G382">
        <v>107.75</v>
      </c>
      <c r="H382" t="s">
        <v>13</v>
      </c>
      <c r="I382" t="s">
        <v>34</v>
      </c>
    </row>
    <row r="383" spans="1:9" x14ac:dyDescent="0.35">
      <c r="A383" t="s">
        <v>419</v>
      </c>
      <c r="B383" s="1">
        <v>45569</v>
      </c>
      <c r="C383" t="s">
        <v>22</v>
      </c>
      <c r="D383" t="s">
        <v>62</v>
      </c>
      <c r="E383" t="s">
        <v>27</v>
      </c>
      <c r="F383">
        <v>1683.62</v>
      </c>
      <c r="G383">
        <v>234.35</v>
      </c>
      <c r="H383" t="s">
        <v>13</v>
      </c>
      <c r="I383" t="s">
        <v>34</v>
      </c>
    </row>
    <row r="384" spans="1:9" x14ac:dyDescent="0.35">
      <c r="A384" t="s">
        <v>420</v>
      </c>
      <c r="B384" s="1">
        <v>45253</v>
      </c>
      <c r="C384" t="s">
        <v>16</v>
      </c>
      <c r="D384" t="s">
        <v>50</v>
      </c>
      <c r="E384" t="s">
        <v>12</v>
      </c>
      <c r="F384">
        <v>1188.46</v>
      </c>
      <c r="G384">
        <v>320.36</v>
      </c>
      <c r="H384" t="s">
        <v>19</v>
      </c>
      <c r="I384" t="s">
        <v>14</v>
      </c>
    </row>
    <row r="385" spans="1:9" x14ac:dyDescent="0.35">
      <c r="A385" t="s">
        <v>421</v>
      </c>
      <c r="B385" s="1">
        <v>45552</v>
      </c>
      <c r="C385" t="s">
        <v>16</v>
      </c>
      <c r="D385" t="s">
        <v>97</v>
      </c>
      <c r="E385" t="s">
        <v>27</v>
      </c>
      <c r="F385">
        <v>1495.06</v>
      </c>
      <c r="G385">
        <v>214.23</v>
      </c>
      <c r="H385" t="s">
        <v>13</v>
      </c>
      <c r="I385" t="s">
        <v>14</v>
      </c>
    </row>
    <row r="386" spans="1:9" x14ac:dyDescent="0.35">
      <c r="A386" t="s">
        <v>422</v>
      </c>
      <c r="B386" s="1">
        <v>44818</v>
      </c>
      <c r="C386" t="s">
        <v>22</v>
      </c>
      <c r="D386" t="s">
        <v>23</v>
      </c>
      <c r="E386" t="s">
        <v>18</v>
      </c>
      <c r="F386">
        <v>887.36</v>
      </c>
      <c r="G386">
        <v>113.37</v>
      </c>
      <c r="H386" t="s">
        <v>13</v>
      </c>
      <c r="I386" t="s">
        <v>34</v>
      </c>
    </row>
    <row r="387" spans="1:9" x14ac:dyDescent="0.35">
      <c r="A387" t="s">
        <v>423</v>
      </c>
      <c r="B387" s="1">
        <v>44661</v>
      </c>
      <c r="C387" t="s">
        <v>25</v>
      </c>
      <c r="D387" t="s">
        <v>46</v>
      </c>
      <c r="E387" t="s">
        <v>18</v>
      </c>
      <c r="F387">
        <v>964</v>
      </c>
      <c r="G387">
        <v>159.06</v>
      </c>
      <c r="H387" t="s">
        <v>13</v>
      </c>
      <c r="I387" t="s">
        <v>29</v>
      </c>
    </row>
    <row r="388" spans="1:9" x14ac:dyDescent="0.35">
      <c r="A388" t="s">
        <v>424</v>
      </c>
      <c r="B388" s="1">
        <v>45317</v>
      </c>
      <c r="C388" t="s">
        <v>16</v>
      </c>
      <c r="D388" t="s">
        <v>17</v>
      </c>
      <c r="E388" t="s">
        <v>18</v>
      </c>
      <c r="F388">
        <v>1981.62</v>
      </c>
      <c r="G388">
        <v>187.77</v>
      </c>
      <c r="H388" t="s">
        <v>28</v>
      </c>
      <c r="I388" t="s">
        <v>14</v>
      </c>
    </row>
    <row r="389" spans="1:9" x14ac:dyDescent="0.35">
      <c r="A389" t="s">
        <v>425</v>
      </c>
      <c r="B389" s="1">
        <v>45105</v>
      </c>
      <c r="C389" t="s">
        <v>16</v>
      </c>
      <c r="D389" t="s">
        <v>31</v>
      </c>
      <c r="E389" t="s">
        <v>12</v>
      </c>
      <c r="F389">
        <v>1387.48</v>
      </c>
      <c r="G389">
        <v>74.680000000000007</v>
      </c>
      <c r="H389" t="s">
        <v>28</v>
      </c>
      <c r="I389" t="s">
        <v>14</v>
      </c>
    </row>
    <row r="390" spans="1:9" x14ac:dyDescent="0.35">
      <c r="A390" t="s">
        <v>426</v>
      </c>
      <c r="B390" s="1">
        <v>45399</v>
      </c>
      <c r="C390" t="s">
        <v>22</v>
      </c>
      <c r="D390" t="s">
        <v>31</v>
      </c>
      <c r="E390" t="s">
        <v>12</v>
      </c>
      <c r="F390">
        <v>926.84</v>
      </c>
      <c r="G390">
        <v>261.49</v>
      </c>
      <c r="H390" t="s">
        <v>13</v>
      </c>
      <c r="I390" t="s">
        <v>29</v>
      </c>
    </row>
    <row r="391" spans="1:9" x14ac:dyDescent="0.35">
      <c r="A391" t="s">
        <v>427</v>
      </c>
      <c r="B391" s="1">
        <v>45030</v>
      </c>
      <c r="C391" t="s">
        <v>16</v>
      </c>
      <c r="D391" t="s">
        <v>95</v>
      </c>
      <c r="E391" t="s">
        <v>18</v>
      </c>
      <c r="F391">
        <v>1279.28</v>
      </c>
      <c r="G391">
        <v>160.97</v>
      </c>
      <c r="H391" t="s">
        <v>13</v>
      </c>
      <c r="I391" t="s">
        <v>29</v>
      </c>
    </row>
    <row r="392" spans="1:9" x14ac:dyDescent="0.35">
      <c r="A392" t="s">
        <v>428</v>
      </c>
      <c r="B392" s="1">
        <v>45366</v>
      </c>
      <c r="C392" t="s">
        <v>16</v>
      </c>
      <c r="D392" t="s">
        <v>38</v>
      </c>
      <c r="E392" t="s">
        <v>12</v>
      </c>
      <c r="F392">
        <v>1118.52</v>
      </c>
      <c r="G392">
        <v>218.3</v>
      </c>
      <c r="H392" t="s">
        <v>19</v>
      </c>
      <c r="I392" t="s">
        <v>29</v>
      </c>
    </row>
    <row r="393" spans="1:9" x14ac:dyDescent="0.35">
      <c r="A393" t="s">
        <v>429</v>
      </c>
      <c r="B393" s="1">
        <v>45237</v>
      </c>
      <c r="C393" t="s">
        <v>22</v>
      </c>
      <c r="D393" t="s">
        <v>26</v>
      </c>
      <c r="E393" t="s">
        <v>27</v>
      </c>
      <c r="F393">
        <v>378.62</v>
      </c>
      <c r="G393">
        <v>88.27</v>
      </c>
      <c r="H393" t="s">
        <v>13</v>
      </c>
      <c r="I393" t="s">
        <v>14</v>
      </c>
    </row>
    <row r="394" spans="1:9" x14ac:dyDescent="0.35">
      <c r="A394" t="s">
        <v>430</v>
      </c>
      <c r="B394" s="1">
        <v>45607</v>
      </c>
      <c r="C394" t="s">
        <v>10</v>
      </c>
      <c r="D394" t="s">
        <v>73</v>
      </c>
      <c r="E394" t="s">
        <v>27</v>
      </c>
      <c r="F394">
        <v>578.37</v>
      </c>
      <c r="G394">
        <v>60.88</v>
      </c>
      <c r="H394" t="s">
        <v>13</v>
      </c>
      <c r="I394" t="s">
        <v>14</v>
      </c>
    </row>
    <row r="395" spans="1:9" x14ac:dyDescent="0.35">
      <c r="A395" t="s">
        <v>431</v>
      </c>
      <c r="B395" s="1">
        <v>44883</v>
      </c>
      <c r="C395" t="s">
        <v>16</v>
      </c>
      <c r="D395" t="s">
        <v>31</v>
      </c>
      <c r="E395" t="s">
        <v>12</v>
      </c>
      <c r="F395">
        <v>983.31</v>
      </c>
      <c r="G395">
        <v>152.87</v>
      </c>
      <c r="H395" t="s">
        <v>19</v>
      </c>
      <c r="I395" t="s">
        <v>29</v>
      </c>
    </row>
    <row r="396" spans="1:9" x14ac:dyDescent="0.35">
      <c r="A396" t="s">
        <v>432</v>
      </c>
      <c r="B396" s="1">
        <v>45555</v>
      </c>
      <c r="C396" t="s">
        <v>16</v>
      </c>
      <c r="D396" t="s">
        <v>33</v>
      </c>
      <c r="E396" t="s">
        <v>18</v>
      </c>
      <c r="F396">
        <v>1306.26</v>
      </c>
      <c r="G396">
        <v>125.08</v>
      </c>
      <c r="H396" t="s">
        <v>28</v>
      </c>
      <c r="I396" t="s">
        <v>14</v>
      </c>
    </row>
    <row r="397" spans="1:9" x14ac:dyDescent="0.35">
      <c r="A397" t="s">
        <v>433</v>
      </c>
      <c r="B397" s="1">
        <v>45324</v>
      </c>
      <c r="C397" t="s">
        <v>22</v>
      </c>
      <c r="D397" t="s">
        <v>31</v>
      </c>
      <c r="E397" t="s">
        <v>12</v>
      </c>
      <c r="F397">
        <v>1082.6199999999999</v>
      </c>
      <c r="G397">
        <v>165.51</v>
      </c>
      <c r="H397" t="s">
        <v>28</v>
      </c>
      <c r="I397" t="s">
        <v>34</v>
      </c>
    </row>
    <row r="398" spans="1:9" x14ac:dyDescent="0.35">
      <c r="A398" t="s">
        <v>434</v>
      </c>
      <c r="B398" s="1">
        <v>45315</v>
      </c>
      <c r="C398" t="s">
        <v>22</v>
      </c>
      <c r="D398" t="s">
        <v>11</v>
      </c>
      <c r="E398" t="s">
        <v>12</v>
      </c>
      <c r="F398">
        <v>372.84</v>
      </c>
      <c r="G398">
        <v>33.840000000000003</v>
      </c>
      <c r="H398" t="s">
        <v>19</v>
      </c>
      <c r="I398" t="s">
        <v>29</v>
      </c>
    </row>
    <row r="399" spans="1:9" x14ac:dyDescent="0.35">
      <c r="A399" t="s">
        <v>435</v>
      </c>
      <c r="B399" s="1">
        <v>45596</v>
      </c>
      <c r="C399" t="s">
        <v>22</v>
      </c>
      <c r="D399" t="s">
        <v>50</v>
      </c>
      <c r="E399" t="s">
        <v>12</v>
      </c>
      <c r="F399">
        <v>1364.03</v>
      </c>
      <c r="G399">
        <v>289.86</v>
      </c>
      <c r="H399" t="s">
        <v>13</v>
      </c>
      <c r="I399" t="s">
        <v>14</v>
      </c>
    </row>
    <row r="400" spans="1:9" x14ac:dyDescent="0.35">
      <c r="A400" t="s">
        <v>436</v>
      </c>
      <c r="B400" s="1">
        <v>44608</v>
      </c>
      <c r="C400" t="s">
        <v>16</v>
      </c>
      <c r="D400" t="s">
        <v>31</v>
      </c>
      <c r="E400" t="s">
        <v>12</v>
      </c>
      <c r="F400">
        <v>1335.58</v>
      </c>
      <c r="G400">
        <v>168.47</v>
      </c>
      <c r="H400" t="s">
        <v>28</v>
      </c>
      <c r="I400" t="s">
        <v>20</v>
      </c>
    </row>
    <row r="401" spans="1:9" x14ac:dyDescent="0.35">
      <c r="A401" t="s">
        <v>437</v>
      </c>
      <c r="B401" s="1">
        <v>45533</v>
      </c>
      <c r="C401" t="s">
        <v>10</v>
      </c>
      <c r="D401" t="s">
        <v>62</v>
      </c>
      <c r="E401" t="s">
        <v>27</v>
      </c>
      <c r="F401">
        <v>779.73</v>
      </c>
      <c r="G401">
        <v>171.28</v>
      </c>
      <c r="H401" t="s">
        <v>28</v>
      </c>
      <c r="I401" t="s">
        <v>20</v>
      </c>
    </row>
    <row r="402" spans="1:9" x14ac:dyDescent="0.35">
      <c r="A402" t="s">
        <v>438</v>
      </c>
      <c r="B402" s="1">
        <v>44578</v>
      </c>
      <c r="C402" t="s">
        <v>22</v>
      </c>
      <c r="D402" t="s">
        <v>50</v>
      </c>
      <c r="E402" t="s">
        <v>12</v>
      </c>
      <c r="F402">
        <v>1095.72</v>
      </c>
      <c r="G402">
        <v>189.64</v>
      </c>
      <c r="H402" t="s">
        <v>28</v>
      </c>
      <c r="I402" t="s">
        <v>29</v>
      </c>
    </row>
    <row r="403" spans="1:9" x14ac:dyDescent="0.35">
      <c r="A403" t="s">
        <v>439</v>
      </c>
      <c r="B403" s="1">
        <v>45142</v>
      </c>
      <c r="C403" t="s">
        <v>25</v>
      </c>
      <c r="D403" t="s">
        <v>41</v>
      </c>
      <c r="E403" t="s">
        <v>12</v>
      </c>
      <c r="F403">
        <v>390.6</v>
      </c>
      <c r="G403">
        <v>109.05</v>
      </c>
      <c r="H403" t="s">
        <v>19</v>
      </c>
      <c r="I403" t="s">
        <v>14</v>
      </c>
    </row>
    <row r="404" spans="1:9" x14ac:dyDescent="0.35">
      <c r="A404" t="s">
        <v>440</v>
      </c>
      <c r="B404" s="1">
        <v>45342</v>
      </c>
      <c r="C404" t="s">
        <v>25</v>
      </c>
      <c r="D404" t="s">
        <v>33</v>
      </c>
      <c r="E404" t="s">
        <v>18</v>
      </c>
      <c r="F404">
        <v>1529.17</v>
      </c>
      <c r="G404">
        <v>144.04</v>
      </c>
      <c r="H404" t="s">
        <v>13</v>
      </c>
      <c r="I404" t="s">
        <v>14</v>
      </c>
    </row>
    <row r="405" spans="1:9" x14ac:dyDescent="0.35">
      <c r="A405" t="s">
        <v>441</v>
      </c>
      <c r="B405" s="1">
        <v>45280</v>
      </c>
      <c r="C405" t="s">
        <v>10</v>
      </c>
      <c r="D405" t="s">
        <v>38</v>
      </c>
      <c r="E405" t="s">
        <v>12</v>
      </c>
      <c r="F405">
        <v>1465.73</v>
      </c>
      <c r="G405">
        <v>151.38</v>
      </c>
      <c r="H405" t="s">
        <v>28</v>
      </c>
      <c r="I405" t="s">
        <v>14</v>
      </c>
    </row>
    <row r="406" spans="1:9" x14ac:dyDescent="0.35">
      <c r="A406" t="s">
        <v>442</v>
      </c>
      <c r="B406" s="1">
        <v>45341</v>
      </c>
      <c r="C406" t="s">
        <v>25</v>
      </c>
      <c r="D406" t="s">
        <v>50</v>
      </c>
      <c r="E406" t="s">
        <v>12</v>
      </c>
      <c r="F406">
        <v>1411.84</v>
      </c>
      <c r="G406">
        <v>307.77</v>
      </c>
      <c r="H406" t="s">
        <v>28</v>
      </c>
      <c r="I406" t="s">
        <v>14</v>
      </c>
    </row>
    <row r="407" spans="1:9" x14ac:dyDescent="0.35">
      <c r="A407" t="s">
        <v>443</v>
      </c>
      <c r="B407" s="1">
        <v>45028</v>
      </c>
      <c r="C407" t="s">
        <v>10</v>
      </c>
      <c r="D407" t="s">
        <v>46</v>
      </c>
      <c r="E407" t="s">
        <v>18</v>
      </c>
      <c r="F407">
        <v>1011.37</v>
      </c>
      <c r="G407">
        <v>173.37</v>
      </c>
      <c r="H407" t="s">
        <v>28</v>
      </c>
      <c r="I407" t="s">
        <v>14</v>
      </c>
    </row>
    <row r="408" spans="1:9" x14ac:dyDescent="0.35">
      <c r="A408" t="s">
        <v>444</v>
      </c>
      <c r="B408" s="1">
        <v>44734</v>
      </c>
      <c r="C408" t="s">
        <v>22</v>
      </c>
      <c r="D408" t="s">
        <v>38</v>
      </c>
      <c r="E408" t="s">
        <v>12</v>
      </c>
      <c r="F408">
        <v>1095.04</v>
      </c>
      <c r="G408">
        <v>288.98</v>
      </c>
      <c r="H408" t="s">
        <v>28</v>
      </c>
      <c r="I408" t="s">
        <v>29</v>
      </c>
    </row>
    <row r="409" spans="1:9" x14ac:dyDescent="0.35">
      <c r="A409" t="s">
        <v>445</v>
      </c>
      <c r="B409" s="1">
        <v>44812</v>
      </c>
      <c r="C409" t="s">
        <v>25</v>
      </c>
      <c r="D409" t="s">
        <v>73</v>
      </c>
      <c r="E409" t="s">
        <v>27</v>
      </c>
      <c r="F409">
        <v>955.7</v>
      </c>
      <c r="G409">
        <v>48.06</v>
      </c>
      <c r="H409" t="s">
        <v>28</v>
      </c>
      <c r="I409" t="s">
        <v>14</v>
      </c>
    </row>
    <row r="410" spans="1:9" x14ac:dyDescent="0.35">
      <c r="A410" t="s">
        <v>446</v>
      </c>
      <c r="B410" s="1">
        <v>44928</v>
      </c>
      <c r="C410" t="s">
        <v>25</v>
      </c>
      <c r="D410" t="s">
        <v>17</v>
      </c>
      <c r="E410" t="s">
        <v>18</v>
      </c>
      <c r="F410">
        <v>929.55</v>
      </c>
      <c r="G410">
        <v>116.67</v>
      </c>
      <c r="H410" t="s">
        <v>13</v>
      </c>
      <c r="I410" t="s">
        <v>20</v>
      </c>
    </row>
    <row r="411" spans="1:9" x14ac:dyDescent="0.35">
      <c r="A411" t="s">
        <v>447</v>
      </c>
      <c r="B411" s="1">
        <v>44608</v>
      </c>
      <c r="C411" t="s">
        <v>16</v>
      </c>
      <c r="D411" t="s">
        <v>97</v>
      </c>
      <c r="E411" t="s">
        <v>27</v>
      </c>
      <c r="F411">
        <v>1834.72</v>
      </c>
      <c r="G411">
        <v>510.59</v>
      </c>
      <c r="H411" t="s">
        <v>19</v>
      </c>
      <c r="I411" t="s">
        <v>20</v>
      </c>
    </row>
    <row r="412" spans="1:9" x14ac:dyDescent="0.35">
      <c r="A412" t="s">
        <v>448</v>
      </c>
      <c r="B412" s="1">
        <v>44563</v>
      </c>
      <c r="C412" t="s">
        <v>22</v>
      </c>
      <c r="D412" t="s">
        <v>46</v>
      </c>
      <c r="E412" t="s">
        <v>18</v>
      </c>
      <c r="F412">
        <v>865.15</v>
      </c>
      <c r="G412">
        <v>214.53</v>
      </c>
      <c r="H412" t="s">
        <v>28</v>
      </c>
      <c r="I412" t="s">
        <v>14</v>
      </c>
    </row>
    <row r="413" spans="1:9" x14ac:dyDescent="0.35">
      <c r="A413" t="s">
        <v>449</v>
      </c>
      <c r="B413" s="1">
        <v>45502</v>
      </c>
      <c r="C413" t="s">
        <v>10</v>
      </c>
      <c r="D413" t="s">
        <v>26</v>
      </c>
      <c r="E413" t="s">
        <v>27</v>
      </c>
      <c r="F413">
        <v>344.44</v>
      </c>
      <c r="G413">
        <v>21.18</v>
      </c>
      <c r="H413" t="s">
        <v>28</v>
      </c>
      <c r="I413" t="s">
        <v>20</v>
      </c>
    </row>
    <row r="414" spans="1:9" x14ac:dyDescent="0.35">
      <c r="A414" t="s">
        <v>450</v>
      </c>
      <c r="B414" s="1">
        <v>45370</v>
      </c>
      <c r="C414" t="s">
        <v>22</v>
      </c>
      <c r="D414" t="s">
        <v>46</v>
      </c>
      <c r="E414" t="s">
        <v>18</v>
      </c>
      <c r="F414">
        <v>294.36</v>
      </c>
      <c r="G414">
        <v>26.12</v>
      </c>
      <c r="H414" t="s">
        <v>28</v>
      </c>
      <c r="I414" t="s">
        <v>29</v>
      </c>
    </row>
    <row r="415" spans="1:9" x14ac:dyDescent="0.35">
      <c r="A415" t="s">
        <v>451</v>
      </c>
      <c r="B415" s="1">
        <v>44899</v>
      </c>
      <c r="C415" t="s">
        <v>16</v>
      </c>
      <c r="D415" t="s">
        <v>41</v>
      </c>
      <c r="E415" t="s">
        <v>12</v>
      </c>
      <c r="F415">
        <v>432.55</v>
      </c>
      <c r="G415">
        <v>59.98</v>
      </c>
      <c r="H415" t="s">
        <v>19</v>
      </c>
      <c r="I415" t="s">
        <v>20</v>
      </c>
    </row>
    <row r="416" spans="1:9" x14ac:dyDescent="0.35">
      <c r="A416" t="s">
        <v>452</v>
      </c>
      <c r="B416" s="1">
        <v>45404</v>
      </c>
      <c r="C416" t="s">
        <v>22</v>
      </c>
      <c r="D416" t="s">
        <v>38</v>
      </c>
      <c r="E416" t="s">
        <v>12</v>
      </c>
      <c r="F416">
        <v>173.69</v>
      </c>
      <c r="G416">
        <v>27.72</v>
      </c>
      <c r="H416" t="s">
        <v>13</v>
      </c>
      <c r="I416" t="s">
        <v>34</v>
      </c>
    </row>
    <row r="417" spans="1:9" x14ac:dyDescent="0.35">
      <c r="A417" t="s">
        <v>453</v>
      </c>
      <c r="B417" s="1">
        <v>45349</v>
      </c>
      <c r="C417" t="s">
        <v>16</v>
      </c>
      <c r="D417" t="s">
        <v>17</v>
      </c>
      <c r="E417" t="s">
        <v>18</v>
      </c>
      <c r="F417">
        <v>1718.18</v>
      </c>
      <c r="G417">
        <v>400.5</v>
      </c>
      <c r="H417" t="s">
        <v>28</v>
      </c>
      <c r="I417" t="s">
        <v>20</v>
      </c>
    </row>
    <row r="418" spans="1:9" x14ac:dyDescent="0.35">
      <c r="A418" t="s">
        <v>454</v>
      </c>
      <c r="B418" s="1">
        <v>44966</v>
      </c>
      <c r="C418" t="s">
        <v>16</v>
      </c>
      <c r="D418" t="s">
        <v>46</v>
      </c>
      <c r="E418" t="s">
        <v>18</v>
      </c>
      <c r="F418">
        <v>167.71</v>
      </c>
      <c r="G418">
        <v>46.02</v>
      </c>
      <c r="H418" t="s">
        <v>13</v>
      </c>
      <c r="I418" t="s">
        <v>20</v>
      </c>
    </row>
    <row r="419" spans="1:9" x14ac:dyDescent="0.35">
      <c r="A419" t="s">
        <v>455</v>
      </c>
      <c r="B419" s="1">
        <v>44721</v>
      </c>
      <c r="C419" t="s">
        <v>10</v>
      </c>
      <c r="D419" t="s">
        <v>57</v>
      </c>
      <c r="E419" t="s">
        <v>27</v>
      </c>
      <c r="F419">
        <v>329.31</v>
      </c>
      <c r="G419">
        <v>32.31</v>
      </c>
      <c r="H419" t="s">
        <v>28</v>
      </c>
      <c r="I419" t="s">
        <v>29</v>
      </c>
    </row>
    <row r="420" spans="1:9" x14ac:dyDescent="0.35">
      <c r="A420" t="s">
        <v>456</v>
      </c>
      <c r="B420" s="1">
        <v>44571</v>
      </c>
      <c r="C420" t="s">
        <v>22</v>
      </c>
      <c r="D420" t="s">
        <v>31</v>
      </c>
      <c r="E420" t="s">
        <v>12</v>
      </c>
      <c r="F420">
        <v>1288.28</v>
      </c>
      <c r="G420">
        <v>228.01</v>
      </c>
      <c r="H420" t="s">
        <v>28</v>
      </c>
      <c r="I420" t="s">
        <v>34</v>
      </c>
    </row>
    <row r="421" spans="1:9" x14ac:dyDescent="0.35">
      <c r="A421" t="s">
        <v>457</v>
      </c>
      <c r="B421" s="1">
        <v>44852</v>
      </c>
      <c r="C421" t="s">
        <v>22</v>
      </c>
      <c r="D421" t="s">
        <v>46</v>
      </c>
      <c r="E421" t="s">
        <v>18</v>
      </c>
      <c r="F421">
        <v>1080.5899999999999</v>
      </c>
      <c r="G421">
        <v>152.69999999999999</v>
      </c>
      <c r="H421" t="s">
        <v>13</v>
      </c>
      <c r="I421" t="s">
        <v>20</v>
      </c>
    </row>
    <row r="422" spans="1:9" x14ac:dyDescent="0.35">
      <c r="A422" t="s">
        <v>458</v>
      </c>
      <c r="B422" s="1">
        <v>44613</v>
      </c>
      <c r="C422" t="s">
        <v>16</v>
      </c>
      <c r="D422" t="s">
        <v>95</v>
      </c>
      <c r="E422" t="s">
        <v>18</v>
      </c>
      <c r="F422">
        <v>795.78</v>
      </c>
      <c r="G422">
        <v>143.91</v>
      </c>
      <c r="H422" t="s">
        <v>13</v>
      </c>
      <c r="I422" t="s">
        <v>14</v>
      </c>
    </row>
    <row r="423" spans="1:9" x14ac:dyDescent="0.35">
      <c r="A423" t="s">
        <v>459</v>
      </c>
      <c r="B423" s="1">
        <v>45115</v>
      </c>
      <c r="C423" t="s">
        <v>16</v>
      </c>
      <c r="D423" t="s">
        <v>23</v>
      </c>
      <c r="E423" t="s">
        <v>18</v>
      </c>
      <c r="F423">
        <v>1016.56</v>
      </c>
      <c r="G423">
        <v>233.17</v>
      </c>
      <c r="H423" t="s">
        <v>19</v>
      </c>
      <c r="I423" t="s">
        <v>14</v>
      </c>
    </row>
    <row r="424" spans="1:9" x14ac:dyDescent="0.35">
      <c r="A424" t="s">
        <v>460</v>
      </c>
      <c r="B424" s="1">
        <v>45083</v>
      </c>
      <c r="C424" t="s">
        <v>16</v>
      </c>
      <c r="D424" t="s">
        <v>38</v>
      </c>
      <c r="E424" t="s">
        <v>12</v>
      </c>
      <c r="F424">
        <v>785.86</v>
      </c>
      <c r="G424">
        <v>104.19</v>
      </c>
      <c r="H424" t="s">
        <v>19</v>
      </c>
      <c r="I424" t="s">
        <v>34</v>
      </c>
    </row>
    <row r="425" spans="1:9" x14ac:dyDescent="0.35">
      <c r="A425" t="s">
        <v>461</v>
      </c>
      <c r="B425" s="1">
        <v>45621</v>
      </c>
      <c r="C425" t="s">
        <v>25</v>
      </c>
      <c r="D425" t="s">
        <v>50</v>
      </c>
      <c r="E425" t="s">
        <v>12</v>
      </c>
      <c r="F425">
        <v>439.38</v>
      </c>
      <c r="G425">
        <v>111.55</v>
      </c>
      <c r="H425" t="s">
        <v>19</v>
      </c>
      <c r="I425" t="s">
        <v>29</v>
      </c>
    </row>
    <row r="426" spans="1:9" x14ac:dyDescent="0.35">
      <c r="A426" t="s">
        <v>462</v>
      </c>
      <c r="B426" s="1">
        <v>45573</v>
      </c>
      <c r="C426" t="s">
        <v>16</v>
      </c>
      <c r="D426" t="s">
        <v>95</v>
      </c>
      <c r="E426" t="s">
        <v>18</v>
      </c>
      <c r="F426">
        <v>1652.01</v>
      </c>
      <c r="G426">
        <v>319.14</v>
      </c>
      <c r="H426" t="s">
        <v>28</v>
      </c>
      <c r="I426" t="s">
        <v>29</v>
      </c>
    </row>
    <row r="427" spans="1:9" x14ac:dyDescent="0.35">
      <c r="A427" t="s">
        <v>463</v>
      </c>
      <c r="B427" s="1">
        <v>45236</v>
      </c>
      <c r="C427" t="s">
        <v>16</v>
      </c>
      <c r="D427" t="s">
        <v>17</v>
      </c>
      <c r="E427" t="s">
        <v>18</v>
      </c>
      <c r="F427">
        <v>1145.8399999999999</v>
      </c>
      <c r="G427">
        <v>62.57</v>
      </c>
      <c r="H427" t="s">
        <v>19</v>
      </c>
      <c r="I427" t="s">
        <v>29</v>
      </c>
    </row>
    <row r="428" spans="1:9" x14ac:dyDescent="0.35">
      <c r="A428" t="s">
        <v>464</v>
      </c>
      <c r="B428" s="1">
        <v>45292</v>
      </c>
      <c r="C428" t="s">
        <v>22</v>
      </c>
      <c r="D428" t="s">
        <v>97</v>
      </c>
      <c r="E428" t="s">
        <v>27</v>
      </c>
      <c r="F428">
        <v>1106.5</v>
      </c>
      <c r="G428">
        <v>255.46</v>
      </c>
      <c r="H428" t="s">
        <v>19</v>
      </c>
      <c r="I428" t="s">
        <v>29</v>
      </c>
    </row>
    <row r="429" spans="1:9" x14ac:dyDescent="0.35">
      <c r="A429" t="s">
        <v>465</v>
      </c>
      <c r="B429" s="1">
        <v>44777</v>
      </c>
      <c r="C429" t="s">
        <v>25</v>
      </c>
      <c r="D429" t="s">
        <v>17</v>
      </c>
      <c r="E429" t="s">
        <v>18</v>
      </c>
      <c r="F429">
        <v>704.93</v>
      </c>
      <c r="G429">
        <v>92.27</v>
      </c>
      <c r="H429" t="s">
        <v>28</v>
      </c>
      <c r="I429" t="s">
        <v>14</v>
      </c>
    </row>
    <row r="430" spans="1:9" x14ac:dyDescent="0.35">
      <c r="A430" t="s">
        <v>466</v>
      </c>
      <c r="B430" s="1">
        <v>45243</v>
      </c>
      <c r="C430" t="s">
        <v>10</v>
      </c>
      <c r="D430" t="s">
        <v>46</v>
      </c>
      <c r="E430" t="s">
        <v>18</v>
      </c>
      <c r="F430">
        <v>897.88</v>
      </c>
      <c r="G430">
        <v>228.24</v>
      </c>
      <c r="H430" t="s">
        <v>28</v>
      </c>
      <c r="I430" t="s">
        <v>14</v>
      </c>
    </row>
    <row r="431" spans="1:9" x14ac:dyDescent="0.35">
      <c r="A431" t="s">
        <v>467</v>
      </c>
      <c r="B431" s="1">
        <v>45237</v>
      </c>
      <c r="C431" t="s">
        <v>25</v>
      </c>
      <c r="D431" t="s">
        <v>26</v>
      </c>
      <c r="E431" t="s">
        <v>27</v>
      </c>
      <c r="F431">
        <v>719.54</v>
      </c>
      <c r="G431">
        <v>171.08</v>
      </c>
      <c r="H431" t="s">
        <v>28</v>
      </c>
      <c r="I431" t="s">
        <v>20</v>
      </c>
    </row>
    <row r="432" spans="1:9" x14ac:dyDescent="0.35">
      <c r="A432" t="s">
        <v>468</v>
      </c>
      <c r="B432" s="1">
        <v>44726</v>
      </c>
      <c r="C432" t="s">
        <v>22</v>
      </c>
      <c r="D432" t="s">
        <v>97</v>
      </c>
      <c r="E432" t="s">
        <v>27</v>
      </c>
      <c r="F432">
        <v>995.18</v>
      </c>
      <c r="G432">
        <v>246.04</v>
      </c>
      <c r="H432" t="s">
        <v>28</v>
      </c>
      <c r="I432" t="s">
        <v>14</v>
      </c>
    </row>
    <row r="433" spans="1:9" x14ac:dyDescent="0.35">
      <c r="A433" t="s">
        <v>469</v>
      </c>
      <c r="B433" s="1">
        <v>44644</v>
      </c>
      <c r="C433" t="s">
        <v>16</v>
      </c>
      <c r="D433" t="s">
        <v>62</v>
      </c>
      <c r="E433" t="s">
        <v>27</v>
      </c>
      <c r="F433">
        <v>1201.69</v>
      </c>
      <c r="G433">
        <v>274.8</v>
      </c>
      <c r="H433" t="s">
        <v>28</v>
      </c>
      <c r="I433" t="s">
        <v>34</v>
      </c>
    </row>
    <row r="434" spans="1:9" x14ac:dyDescent="0.35">
      <c r="A434" t="s">
        <v>470</v>
      </c>
      <c r="B434" s="1">
        <v>45321</v>
      </c>
      <c r="C434" t="s">
        <v>10</v>
      </c>
      <c r="D434" t="s">
        <v>97</v>
      </c>
      <c r="E434" t="s">
        <v>27</v>
      </c>
      <c r="F434">
        <v>102.39</v>
      </c>
      <c r="G434">
        <v>8.9600000000000009</v>
      </c>
      <c r="H434" t="s">
        <v>13</v>
      </c>
      <c r="I434" t="s">
        <v>29</v>
      </c>
    </row>
    <row r="435" spans="1:9" x14ac:dyDescent="0.35">
      <c r="A435" t="s">
        <v>471</v>
      </c>
      <c r="B435" s="1">
        <v>45256</v>
      </c>
      <c r="C435" t="s">
        <v>10</v>
      </c>
      <c r="D435" t="s">
        <v>73</v>
      </c>
      <c r="E435" t="s">
        <v>27</v>
      </c>
      <c r="F435">
        <v>1964.36</v>
      </c>
      <c r="G435">
        <v>176.48</v>
      </c>
      <c r="H435" t="s">
        <v>13</v>
      </c>
      <c r="I435" t="s">
        <v>34</v>
      </c>
    </row>
    <row r="436" spans="1:9" x14ac:dyDescent="0.35">
      <c r="A436" t="s">
        <v>472</v>
      </c>
      <c r="B436" s="1">
        <v>45648</v>
      </c>
      <c r="C436" t="s">
        <v>22</v>
      </c>
      <c r="D436" t="s">
        <v>23</v>
      </c>
      <c r="E436" t="s">
        <v>18</v>
      </c>
      <c r="F436">
        <v>1564.94</v>
      </c>
      <c r="G436">
        <v>305.67</v>
      </c>
      <c r="H436" t="s">
        <v>13</v>
      </c>
      <c r="I436" t="s">
        <v>14</v>
      </c>
    </row>
    <row r="437" spans="1:9" x14ac:dyDescent="0.35">
      <c r="A437" t="s">
        <v>473</v>
      </c>
      <c r="B437" s="1">
        <v>45417</v>
      </c>
      <c r="C437" t="s">
        <v>25</v>
      </c>
      <c r="D437" t="s">
        <v>97</v>
      </c>
      <c r="E437" t="s">
        <v>27</v>
      </c>
      <c r="F437">
        <v>162.4</v>
      </c>
      <c r="G437">
        <v>15.03</v>
      </c>
      <c r="H437" t="s">
        <v>28</v>
      </c>
      <c r="I437" t="s">
        <v>34</v>
      </c>
    </row>
    <row r="438" spans="1:9" x14ac:dyDescent="0.35">
      <c r="A438" t="s">
        <v>474</v>
      </c>
      <c r="B438" s="1">
        <v>45561</v>
      </c>
      <c r="C438" t="s">
        <v>22</v>
      </c>
      <c r="D438" t="s">
        <v>31</v>
      </c>
      <c r="E438" t="s">
        <v>12</v>
      </c>
      <c r="F438">
        <v>453.94</v>
      </c>
      <c r="G438">
        <v>91.03</v>
      </c>
      <c r="H438" t="s">
        <v>28</v>
      </c>
      <c r="I438" t="s">
        <v>14</v>
      </c>
    </row>
    <row r="439" spans="1:9" x14ac:dyDescent="0.35">
      <c r="A439" t="s">
        <v>475</v>
      </c>
      <c r="B439" s="1">
        <v>45370</v>
      </c>
      <c r="C439" t="s">
        <v>16</v>
      </c>
      <c r="D439" t="s">
        <v>73</v>
      </c>
      <c r="E439" t="s">
        <v>27</v>
      </c>
      <c r="F439">
        <v>1570.11</v>
      </c>
      <c r="G439">
        <v>105.86</v>
      </c>
      <c r="H439" t="s">
        <v>13</v>
      </c>
      <c r="I439" t="s">
        <v>20</v>
      </c>
    </row>
    <row r="440" spans="1:9" x14ac:dyDescent="0.35">
      <c r="A440" t="s">
        <v>476</v>
      </c>
      <c r="B440" s="1">
        <v>45489</v>
      </c>
      <c r="C440" t="s">
        <v>16</v>
      </c>
      <c r="D440" t="s">
        <v>50</v>
      </c>
      <c r="E440" t="s">
        <v>12</v>
      </c>
      <c r="F440">
        <v>982.33</v>
      </c>
      <c r="G440">
        <v>116.34</v>
      </c>
      <c r="H440" t="s">
        <v>19</v>
      </c>
      <c r="I440" t="s">
        <v>34</v>
      </c>
    </row>
    <row r="441" spans="1:9" x14ac:dyDescent="0.35">
      <c r="A441" t="s">
        <v>477</v>
      </c>
      <c r="B441" s="1">
        <v>44899</v>
      </c>
      <c r="C441" t="s">
        <v>10</v>
      </c>
      <c r="D441" t="s">
        <v>31</v>
      </c>
      <c r="E441" t="s">
        <v>12</v>
      </c>
      <c r="F441">
        <v>1468.24</v>
      </c>
      <c r="G441">
        <v>81.16</v>
      </c>
      <c r="H441" t="s">
        <v>28</v>
      </c>
      <c r="I441" t="s">
        <v>14</v>
      </c>
    </row>
    <row r="442" spans="1:9" x14ac:dyDescent="0.35">
      <c r="A442" t="s">
        <v>478</v>
      </c>
      <c r="B442" s="1">
        <v>45264</v>
      </c>
      <c r="C442" t="s">
        <v>25</v>
      </c>
      <c r="D442" t="s">
        <v>57</v>
      </c>
      <c r="E442" t="s">
        <v>27</v>
      </c>
      <c r="F442">
        <v>492.54</v>
      </c>
      <c r="G442">
        <v>117.59</v>
      </c>
      <c r="H442" t="s">
        <v>19</v>
      </c>
      <c r="I442" t="s">
        <v>20</v>
      </c>
    </row>
    <row r="443" spans="1:9" x14ac:dyDescent="0.35">
      <c r="A443" t="s">
        <v>479</v>
      </c>
      <c r="B443" s="1">
        <v>45005</v>
      </c>
      <c r="C443" t="s">
        <v>22</v>
      </c>
      <c r="D443" t="s">
        <v>57</v>
      </c>
      <c r="E443" t="s">
        <v>27</v>
      </c>
      <c r="F443">
        <v>1664.12</v>
      </c>
      <c r="G443">
        <v>484.24</v>
      </c>
      <c r="H443" t="s">
        <v>13</v>
      </c>
      <c r="I443" t="s">
        <v>29</v>
      </c>
    </row>
    <row r="444" spans="1:9" x14ac:dyDescent="0.35">
      <c r="A444" t="s">
        <v>480</v>
      </c>
      <c r="B444" s="1">
        <v>44638</v>
      </c>
      <c r="C444" t="s">
        <v>10</v>
      </c>
      <c r="D444" t="s">
        <v>95</v>
      </c>
      <c r="E444" t="s">
        <v>18</v>
      </c>
      <c r="F444">
        <v>86.57</v>
      </c>
      <c r="G444">
        <v>10.71</v>
      </c>
      <c r="H444" t="s">
        <v>13</v>
      </c>
      <c r="I444" t="s">
        <v>14</v>
      </c>
    </row>
    <row r="445" spans="1:9" x14ac:dyDescent="0.35">
      <c r="A445" t="s">
        <v>481</v>
      </c>
      <c r="B445" s="1">
        <v>45527</v>
      </c>
      <c r="C445" t="s">
        <v>22</v>
      </c>
      <c r="D445" t="s">
        <v>33</v>
      </c>
      <c r="E445" t="s">
        <v>18</v>
      </c>
      <c r="F445">
        <v>798.32</v>
      </c>
      <c r="G445">
        <v>216.64</v>
      </c>
      <c r="H445" t="s">
        <v>19</v>
      </c>
      <c r="I445" t="s">
        <v>20</v>
      </c>
    </row>
    <row r="446" spans="1:9" x14ac:dyDescent="0.35">
      <c r="A446" t="s">
        <v>482</v>
      </c>
      <c r="B446" s="1">
        <v>45539</v>
      </c>
      <c r="C446" t="s">
        <v>25</v>
      </c>
      <c r="D446" t="s">
        <v>46</v>
      </c>
      <c r="E446" t="s">
        <v>18</v>
      </c>
      <c r="F446">
        <v>1798.41</v>
      </c>
      <c r="G446">
        <v>507.95</v>
      </c>
      <c r="H446" t="s">
        <v>13</v>
      </c>
      <c r="I446" t="s">
        <v>34</v>
      </c>
    </row>
    <row r="447" spans="1:9" x14ac:dyDescent="0.35">
      <c r="A447" t="s">
        <v>483</v>
      </c>
      <c r="B447" s="1">
        <v>45382</v>
      </c>
      <c r="C447" t="s">
        <v>22</v>
      </c>
      <c r="D447" t="s">
        <v>31</v>
      </c>
      <c r="E447" t="s">
        <v>12</v>
      </c>
      <c r="F447">
        <v>310.52</v>
      </c>
      <c r="G447">
        <v>51.33</v>
      </c>
      <c r="H447" t="s">
        <v>13</v>
      </c>
      <c r="I447" t="s">
        <v>29</v>
      </c>
    </row>
    <row r="448" spans="1:9" x14ac:dyDescent="0.35">
      <c r="A448" t="s">
        <v>484</v>
      </c>
      <c r="B448" s="1">
        <v>44860</v>
      </c>
      <c r="C448" t="s">
        <v>10</v>
      </c>
      <c r="D448" t="s">
        <v>23</v>
      </c>
      <c r="E448" t="s">
        <v>18</v>
      </c>
      <c r="F448">
        <v>1593.71</v>
      </c>
      <c r="G448">
        <v>347.31</v>
      </c>
      <c r="H448" t="s">
        <v>19</v>
      </c>
      <c r="I448" t="s">
        <v>20</v>
      </c>
    </row>
    <row r="449" spans="1:9" x14ac:dyDescent="0.35">
      <c r="A449" t="s">
        <v>485</v>
      </c>
      <c r="B449" s="1">
        <v>45187</v>
      </c>
      <c r="C449" t="s">
        <v>25</v>
      </c>
      <c r="D449" t="s">
        <v>41</v>
      </c>
      <c r="E449" t="s">
        <v>12</v>
      </c>
      <c r="F449">
        <v>1810.7</v>
      </c>
      <c r="G449">
        <v>451.81</v>
      </c>
      <c r="H449" t="s">
        <v>19</v>
      </c>
      <c r="I449" t="s">
        <v>14</v>
      </c>
    </row>
    <row r="450" spans="1:9" x14ac:dyDescent="0.35">
      <c r="A450" t="s">
        <v>486</v>
      </c>
      <c r="B450" s="1">
        <v>44902</v>
      </c>
      <c r="C450" t="s">
        <v>16</v>
      </c>
      <c r="D450" t="s">
        <v>11</v>
      </c>
      <c r="E450" t="s">
        <v>12</v>
      </c>
      <c r="F450">
        <v>1331.93</v>
      </c>
      <c r="G450">
        <v>83.09</v>
      </c>
      <c r="H450" t="s">
        <v>19</v>
      </c>
      <c r="I450" t="s">
        <v>14</v>
      </c>
    </row>
    <row r="451" spans="1:9" x14ac:dyDescent="0.35">
      <c r="A451" t="s">
        <v>487</v>
      </c>
      <c r="B451" s="1">
        <v>44588</v>
      </c>
      <c r="C451" t="s">
        <v>10</v>
      </c>
      <c r="D451" t="s">
        <v>31</v>
      </c>
      <c r="E451" t="s">
        <v>12</v>
      </c>
      <c r="F451">
        <v>670.63</v>
      </c>
      <c r="G451">
        <v>102.74</v>
      </c>
      <c r="H451" t="s">
        <v>28</v>
      </c>
      <c r="I451" t="s">
        <v>29</v>
      </c>
    </row>
    <row r="452" spans="1:9" x14ac:dyDescent="0.35">
      <c r="A452" t="s">
        <v>488</v>
      </c>
      <c r="B452" s="1">
        <v>44784</v>
      </c>
      <c r="C452" t="s">
        <v>25</v>
      </c>
      <c r="D452" t="s">
        <v>62</v>
      </c>
      <c r="E452" t="s">
        <v>27</v>
      </c>
      <c r="F452">
        <v>321.39999999999998</v>
      </c>
      <c r="G452">
        <v>94.52</v>
      </c>
      <c r="H452" t="s">
        <v>13</v>
      </c>
      <c r="I452" t="s">
        <v>29</v>
      </c>
    </row>
    <row r="453" spans="1:9" x14ac:dyDescent="0.35">
      <c r="A453" t="s">
        <v>489</v>
      </c>
      <c r="B453" s="1">
        <v>44825</v>
      </c>
      <c r="C453" t="s">
        <v>25</v>
      </c>
      <c r="D453" t="s">
        <v>33</v>
      </c>
      <c r="E453" t="s">
        <v>18</v>
      </c>
      <c r="F453">
        <v>247.72</v>
      </c>
      <c r="G453">
        <v>38.979999999999997</v>
      </c>
      <c r="H453" t="s">
        <v>28</v>
      </c>
      <c r="I453" t="s">
        <v>29</v>
      </c>
    </row>
    <row r="454" spans="1:9" x14ac:dyDescent="0.35">
      <c r="A454" t="s">
        <v>490</v>
      </c>
      <c r="B454" s="1">
        <v>45283</v>
      </c>
      <c r="C454" t="s">
        <v>25</v>
      </c>
      <c r="D454" t="s">
        <v>31</v>
      </c>
      <c r="E454" t="s">
        <v>12</v>
      </c>
      <c r="F454">
        <v>113.27</v>
      </c>
      <c r="G454">
        <v>17.579999999999998</v>
      </c>
      <c r="H454" t="s">
        <v>13</v>
      </c>
      <c r="I454" t="s">
        <v>20</v>
      </c>
    </row>
    <row r="455" spans="1:9" x14ac:dyDescent="0.35">
      <c r="A455" t="s">
        <v>491</v>
      </c>
      <c r="B455" s="1">
        <v>45522</v>
      </c>
      <c r="C455" t="s">
        <v>10</v>
      </c>
      <c r="D455" t="s">
        <v>62</v>
      </c>
      <c r="E455" t="s">
        <v>27</v>
      </c>
      <c r="F455">
        <v>354.31</v>
      </c>
      <c r="G455">
        <v>80.540000000000006</v>
      </c>
      <c r="H455" t="s">
        <v>19</v>
      </c>
      <c r="I455" t="s">
        <v>29</v>
      </c>
    </row>
    <row r="456" spans="1:9" x14ac:dyDescent="0.35">
      <c r="A456" t="s">
        <v>492</v>
      </c>
      <c r="B456" s="1">
        <v>45641</v>
      </c>
      <c r="C456" t="s">
        <v>10</v>
      </c>
      <c r="D456" t="s">
        <v>38</v>
      </c>
      <c r="E456" t="s">
        <v>12</v>
      </c>
      <c r="F456">
        <v>410.96</v>
      </c>
      <c r="G456">
        <v>26.96</v>
      </c>
      <c r="H456" t="s">
        <v>13</v>
      </c>
      <c r="I456" t="s">
        <v>14</v>
      </c>
    </row>
    <row r="457" spans="1:9" x14ac:dyDescent="0.35">
      <c r="A457" t="s">
        <v>493</v>
      </c>
      <c r="B457" s="1">
        <v>45412</v>
      </c>
      <c r="C457" t="s">
        <v>22</v>
      </c>
      <c r="D457" t="s">
        <v>62</v>
      </c>
      <c r="E457" t="s">
        <v>27</v>
      </c>
      <c r="F457">
        <v>295.06</v>
      </c>
      <c r="G457">
        <v>15.43</v>
      </c>
      <c r="H457" t="s">
        <v>19</v>
      </c>
      <c r="I457" t="s">
        <v>20</v>
      </c>
    </row>
    <row r="458" spans="1:9" x14ac:dyDescent="0.35">
      <c r="A458" t="s">
        <v>494</v>
      </c>
      <c r="B458" s="1">
        <v>45490</v>
      </c>
      <c r="C458" t="s">
        <v>25</v>
      </c>
      <c r="D458" t="s">
        <v>33</v>
      </c>
      <c r="E458" t="s">
        <v>18</v>
      </c>
      <c r="F458">
        <v>794.9</v>
      </c>
      <c r="G458">
        <v>207.42</v>
      </c>
      <c r="H458" t="s">
        <v>13</v>
      </c>
      <c r="I458" t="s">
        <v>34</v>
      </c>
    </row>
    <row r="459" spans="1:9" x14ac:dyDescent="0.35">
      <c r="A459" t="s">
        <v>495</v>
      </c>
      <c r="B459" s="1">
        <v>45483</v>
      </c>
      <c r="C459" t="s">
        <v>10</v>
      </c>
      <c r="D459" t="s">
        <v>50</v>
      </c>
      <c r="E459" t="s">
        <v>12</v>
      </c>
      <c r="F459">
        <v>1523.94</v>
      </c>
      <c r="G459">
        <v>180.86</v>
      </c>
      <c r="H459" t="s">
        <v>19</v>
      </c>
      <c r="I459" t="s">
        <v>29</v>
      </c>
    </row>
    <row r="460" spans="1:9" x14ac:dyDescent="0.35">
      <c r="A460" t="s">
        <v>496</v>
      </c>
      <c r="B460" s="1">
        <v>45381</v>
      </c>
      <c r="C460" t="s">
        <v>16</v>
      </c>
      <c r="D460" t="s">
        <v>23</v>
      </c>
      <c r="E460" t="s">
        <v>18</v>
      </c>
      <c r="F460">
        <v>734.61</v>
      </c>
      <c r="G460">
        <v>127.42</v>
      </c>
      <c r="H460" t="s">
        <v>19</v>
      </c>
      <c r="I460" t="s">
        <v>14</v>
      </c>
    </row>
    <row r="461" spans="1:9" x14ac:dyDescent="0.35">
      <c r="A461" t="s">
        <v>497</v>
      </c>
      <c r="B461" s="1">
        <v>45526</v>
      </c>
      <c r="C461" t="s">
        <v>22</v>
      </c>
      <c r="D461" t="s">
        <v>33</v>
      </c>
      <c r="E461" t="s">
        <v>18</v>
      </c>
      <c r="F461">
        <v>967.88</v>
      </c>
      <c r="G461">
        <v>153.80000000000001</v>
      </c>
      <c r="H461" t="s">
        <v>28</v>
      </c>
      <c r="I461" t="s">
        <v>29</v>
      </c>
    </row>
    <row r="462" spans="1:9" x14ac:dyDescent="0.35">
      <c r="A462" t="s">
        <v>498</v>
      </c>
      <c r="B462" s="1">
        <v>45562</v>
      </c>
      <c r="C462" t="s">
        <v>10</v>
      </c>
      <c r="D462" t="s">
        <v>73</v>
      </c>
      <c r="E462" t="s">
        <v>27</v>
      </c>
      <c r="F462">
        <v>541.26</v>
      </c>
      <c r="G462">
        <v>69.72</v>
      </c>
      <c r="H462" t="s">
        <v>13</v>
      </c>
      <c r="I462" t="s">
        <v>20</v>
      </c>
    </row>
    <row r="463" spans="1:9" x14ac:dyDescent="0.35">
      <c r="A463" t="s">
        <v>499</v>
      </c>
      <c r="B463" s="1">
        <v>45045</v>
      </c>
      <c r="C463" t="s">
        <v>25</v>
      </c>
      <c r="D463" t="s">
        <v>38</v>
      </c>
      <c r="E463" t="s">
        <v>12</v>
      </c>
      <c r="F463">
        <v>209.84</v>
      </c>
      <c r="G463">
        <v>41.81</v>
      </c>
      <c r="H463" t="s">
        <v>13</v>
      </c>
      <c r="I463" t="s">
        <v>34</v>
      </c>
    </row>
    <row r="464" spans="1:9" x14ac:dyDescent="0.35">
      <c r="A464" t="s">
        <v>500</v>
      </c>
      <c r="B464" s="1">
        <v>45231</v>
      </c>
      <c r="C464" t="s">
        <v>25</v>
      </c>
      <c r="D464" t="s">
        <v>23</v>
      </c>
      <c r="E464" t="s">
        <v>18</v>
      </c>
      <c r="F464">
        <v>172.86</v>
      </c>
      <c r="G464">
        <v>49.36</v>
      </c>
      <c r="H464" t="s">
        <v>13</v>
      </c>
      <c r="I464" t="s">
        <v>29</v>
      </c>
    </row>
    <row r="465" spans="1:9" x14ac:dyDescent="0.35">
      <c r="A465" t="s">
        <v>501</v>
      </c>
      <c r="B465" s="1">
        <v>45233</v>
      </c>
      <c r="C465" t="s">
        <v>25</v>
      </c>
      <c r="D465" t="s">
        <v>33</v>
      </c>
      <c r="E465" t="s">
        <v>18</v>
      </c>
      <c r="F465">
        <v>934.5</v>
      </c>
      <c r="G465">
        <v>209.6</v>
      </c>
      <c r="H465" t="s">
        <v>28</v>
      </c>
      <c r="I465" t="s">
        <v>20</v>
      </c>
    </row>
    <row r="466" spans="1:9" x14ac:dyDescent="0.35">
      <c r="A466" t="s">
        <v>502</v>
      </c>
      <c r="B466" s="1">
        <v>45065</v>
      </c>
      <c r="C466" t="s">
        <v>16</v>
      </c>
      <c r="D466" t="s">
        <v>17</v>
      </c>
      <c r="E466" t="s">
        <v>18</v>
      </c>
      <c r="F466">
        <v>1656.06</v>
      </c>
      <c r="G466">
        <v>126.65</v>
      </c>
      <c r="H466" t="s">
        <v>19</v>
      </c>
      <c r="I466" t="s">
        <v>14</v>
      </c>
    </row>
    <row r="467" spans="1:9" x14ac:dyDescent="0.35">
      <c r="A467" t="s">
        <v>503</v>
      </c>
      <c r="B467" s="1">
        <v>44904</v>
      </c>
      <c r="C467" t="s">
        <v>22</v>
      </c>
      <c r="D467" t="s">
        <v>95</v>
      </c>
      <c r="E467" t="s">
        <v>18</v>
      </c>
      <c r="F467">
        <v>1504.3</v>
      </c>
      <c r="G467">
        <v>385.14</v>
      </c>
      <c r="H467" t="s">
        <v>13</v>
      </c>
      <c r="I467" t="s">
        <v>34</v>
      </c>
    </row>
    <row r="468" spans="1:9" x14ac:dyDescent="0.35">
      <c r="A468" t="s">
        <v>504</v>
      </c>
      <c r="B468" s="1">
        <v>44921</v>
      </c>
      <c r="C468" t="s">
        <v>22</v>
      </c>
      <c r="D468" t="s">
        <v>38</v>
      </c>
      <c r="E468" t="s">
        <v>12</v>
      </c>
      <c r="F468">
        <v>355.03</v>
      </c>
      <c r="G468">
        <v>57.78</v>
      </c>
      <c r="H468" t="s">
        <v>28</v>
      </c>
      <c r="I468" t="s">
        <v>34</v>
      </c>
    </row>
    <row r="469" spans="1:9" x14ac:dyDescent="0.35">
      <c r="A469" t="s">
        <v>505</v>
      </c>
      <c r="B469" s="1">
        <v>44730</v>
      </c>
      <c r="C469" t="s">
        <v>16</v>
      </c>
      <c r="D469" t="s">
        <v>31</v>
      </c>
      <c r="E469" t="s">
        <v>12</v>
      </c>
      <c r="F469">
        <v>401.84</v>
      </c>
      <c r="G469">
        <v>95.54</v>
      </c>
      <c r="H469" t="s">
        <v>13</v>
      </c>
      <c r="I469" t="s">
        <v>29</v>
      </c>
    </row>
    <row r="470" spans="1:9" x14ac:dyDescent="0.35">
      <c r="A470" t="s">
        <v>506</v>
      </c>
      <c r="B470" s="1">
        <v>45170</v>
      </c>
      <c r="C470" t="s">
        <v>25</v>
      </c>
      <c r="D470" t="s">
        <v>26</v>
      </c>
      <c r="E470" t="s">
        <v>27</v>
      </c>
      <c r="F470">
        <v>348.42</v>
      </c>
      <c r="G470">
        <v>92.86</v>
      </c>
      <c r="H470" t="s">
        <v>19</v>
      </c>
      <c r="I470" t="s">
        <v>14</v>
      </c>
    </row>
    <row r="471" spans="1:9" x14ac:dyDescent="0.35">
      <c r="A471" t="s">
        <v>507</v>
      </c>
      <c r="B471" s="1">
        <v>44943</v>
      </c>
      <c r="C471" t="s">
        <v>25</v>
      </c>
      <c r="D471" t="s">
        <v>41</v>
      </c>
      <c r="E471" t="s">
        <v>12</v>
      </c>
      <c r="F471">
        <v>224.04</v>
      </c>
      <c r="G471">
        <v>16.04</v>
      </c>
      <c r="H471" t="s">
        <v>13</v>
      </c>
      <c r="I471" t="s">
        <v>29</v>
      </c>
    </row>
    <row r="472" spans="1:9" x14ac:dyDescent="0.35">
      <c r="A472" t="s">
        <v>508</v>
      </c>
      <c r="B472" s="1">
        <v>45551</v>
      </c>
      <c r="C472" t="s">
        <v>22</v>
      </c>
      <c r="D472" t="s">
        <v>73</v>
      </c>
      <c r="E472" t="s">
        <v>27</v>
      </c>
      <c r="F472">
        <v>1706.43</v>
      </c>
      <c r="G472">
        <v>161.81</v>
      </c>
      <c r="H472" t="s">
        <v>13</v>
      </c>
      <c r="I472" t="s">
        <v>34</v>
      </c>
    </row>
    <row r="473" spans="1:9" x14ac:dyDescent="0.35">
      <c r="A473" t="s">
        <v>509</v>
      </c>
      <c r="B473" s="1">
        <v>45118</v>
      </c>
      <c r="C473" t="s">
        <v>22</v>
      </c>
      <c r="D473" t="s">
        <v>31</v>
      </c>
      <c r="E473" t="s">
        <v>12</v>
      </c>
      <c r="F473">
        <v>466.6</v>
      </c>
      <c r="G473">
        <v>126.01</v>
      </c>
      <c r="H473" t="s">
        <v>13</v>
      </c>
      <c r="I473" t="s">
        <v>14</v>
      </c>
    </row>
    <row r="474" spans="1:9" x14ac:dyDescent="0.35">
      <c r="A474" t="s">
        <v>510</v>
      </c>
      <c r="B474" s="1">
        <v>44899</v>
      </c>
      <c r="C474" t="s">
        <v>16</v>
      </c>
      <c r="D474" t="s">
        <v>95</v>
      </c>
      <c r="E474" t="s">
        <v>18</v>
      </c>
      <c r="F474">
        <v>461.17</v>
      </c>
      <c r="G474">
        <v>124</v>
      </c>
      <c r="H474" t="s">
        <v>28</v>
      </c>
      <c r="I474" t="s">
        <v>34</v>
      </c>
    </row>
    <row r="475" spans="1:9" x14ac:dyDescent="0.35">
      <c r="A475" t="s">
        <v>511</v>
      </c>
      <c r="B475" s="1">
        <v>45431</v>
      </c>
      <c r="C475" t="s">
        <v>22</v>
      </c>
      <c r="D475" t="s">
        <v>38</v>
      </c>
      <c r="E475" t="s">
        <v>12</v>
      </c>
      <c r="F475">
        <v>693.17</v>
      </c>
      <c r="G475">
        <v>107.65</v>
      </c>
      <c r="H475" t="s">
        <v>19</v>
      </c>
      <c r="I475" t="s">
        <v>20</v>
      </c>
    </row>
    <row r="476" spans="1:9" x14ac:dyDescent="0.35">
      <c r="A476" t="s">
        <v>512</v>
      </c>
      <c r="B476" s="1">
        <v>44798</v>
      </c>
      <c r="C476" t="s">
        <v>16</v>
      </c>
      <c r="D476" t="s">
        <v>17</v>
      </c>
      <c r="E476" t="s">
        <v>18</v>
      </c>
      <c r="F476">
        <v>413.27</v>
      </c>
      <c r="G476">
        <v>48.79</v>
      </c>
      <c r="H476" t="s">
        <v>19</v>
      </c>
      <c r="I476" t="s">
        <v>34</v>
      </c>
    </row>
    <row r="477" spans="1:9" x14ac:dyDescent="0.35">
      <c r="A477" t="s">
        <v>513</v>
      </c>
      <c r="B477" s="1">
        <v>44609</v>
      </c>
      <c r="C477" t="s">
        <v>22</v>
      </c>
      <c r="D477" t="s">
        <v>33</v>
      </c>
      <c r="E477" t="s">
        <v>18</v>
      </c>
      <c r="F477">
        <v>1968.07</v>
      </c>
      <c r="G477">
        <v>228.92</v>
      </c>
      <c r="H477" t="s">
        <v>19</v>
      </c>
      <c r="I477" t="s">
        <v>29</v>
      </c>
    </row>
    <row r="478" spans="1:9" x14ac:dyDescent="0.35">
      <c r="A478" t="s">
        <v>514</v>
      </c>
      <c r="B478" s="1">
        <v>45263</v>
      </c>
      <c r="C478" t="s">
        <v>22</v>
      </c>
      <c r="D478" t="s">
        <v>38</v>
      </c>
      <c r="E478" t="s">
        <v>12</v>
      </c>
      <c r="F478">
        <v>964.39</v>
      </c>
      <c r="G478">
        <v>87.48</v>
      </c>
      <c r="H478" t="s">
        <v>28</v>
      </c>
      <c r="I478" t="s">
        <v>34</v>
      </c>
    </row>
    <row r="479" spans="1:9" x14ac:dyDescent="0.35">
      <c r="A479" t="s">
        <v>515</v>
      </c>
      <c r="B479" s="1">
        <v>45411</v>
      </c>
      <c r="C479" t="s">
        <v>22</v>
      </c>
      <c r="D479" t="s">
        <v>33</v>
      </c>
      <c r="E479" t="s">
        <v>18</v>
      </c>
      <c r="F479">
        <v>1860.82</v>
      </c>
      <c r="G479">
        <v>291.41000000000003</v>
      </c>
      <c r="H479" t="s">
        <v>19</v>
      </c>
      <c r="I479" t="s">
        <v>14</v>
      </c>
    </row>
    <row r="480" spans="1:9" x14ac:dyDescent="0.35">
      <c r="A480" t="s">
        <v>516</v>
      </c>
      <c r="B480" s="1">
        <v>45086</v>
      </c>
      <c r="C480" t="s">
        <v>22</v>
      </c>
      <c r="D480" t="s">
        <v>73</v>
      </c>
      <c r="E480" t="s">
        <v>27</v>
      </c>
      <c r="F480">
        <v>1110.3900000000001</v>
      </c>
      <c r="G480">
        <v>237.9</v>
      </c>
      <c r="H480" t="s">
        <v>19</v>
      </c>
      <c r="I480" t="s">
        <v>20</v>
      </c>
    </row>
    <row r="481" spans="1:9" x14ac:dyDescent="0.35">
      <c r="A481" t="s">
        <v>517</v>
      </c>
      <c r="B481" s="1">
        <v>44944</v>
      </c>
      <c r="C481" t="s">
        <v>16</v>
      </c>
      <c r="D481" t="s">
        <v>95</v>
      </c>
      <c r="E481" t="s">
        <v>18</v>
      </c>
      <c r="F481">
        <v>480.72</v>
      </c>
      <c r="G481">
        <v>126.32</v>
      </c>
      <c r="H481" t="s">
        <v>13</v>
      </c>
      <c r="I481" t="s">
        <v>14</v>
      </c>
    </row>
    <row r="482" spans="1:9" x14ac:dyDescent="0.35">
      <c r="A482" t="s">
        <v>518</v>
      </c>
      <c r="B482" s="1">
        <v>45225</v>
      </c>
      <c r="C482" t="s">
        <v>22</v>
      </c>
      <c r="D482" t="s">
        <v>38</v>
      </c>
      <c r="E482" t="s">
        <v>12</v>
      </c>
      <c r="F482">
        <v>928.26</v>
      </c>
      <c r="G482">
        <v>176.54</v>
      </c>
      <c r="H482" t="s">
        <v>28</v>
      </c>
      <c r="I482" t="s">
        <v>29</v>
      </c>
    </row>
    <row r="483" spans="1:9" x14ac:dyDescent="0.35">
      <c r="A483" t="s">
        <v>519</v>
      </c>
      <c r="B483" s="1">
        <v>44688</v>
      </c>
      <c r="C483" t="s">
        <v>22</v>
      </c>
      <c r="D483" t="s">
        <v>97</v>
      </c>
      <c r="E483" t="s">
        <v>27</v>
      </c>
      <c r="F483">
        <v>1622.98</v>
      </c>
      <c r="G483">
        <v>258.89999999999998</v>
      </c>
      <c r="H483" t="s">
        <v>19</v>
      </c>
      <c r="I483" t="s">
        <v>14</v>
      </c>
    </row>
    <row r="484" spans="1:9" x14ac:dyDescent="0.35">
      <c r="A484" t="s">
        <v>520</v>
      </c>
      <c r="B484" s="1">
        <v>45068</v>
      </c>
      <c r="C484" t="s">
        <v>16</v>
      </c>
      <c r="D484" t="s">
        <v>41</v>
      </c>
      <c r="E484" t="s">
        <v>12</v>
      </c>
      <c r="F484">
        <v>447.55</v>
      </c>
      <c r="G484">
        <v>42.67</v>
      </c>
      <c r="H484" t="s">
        <v>19</v>
      </c>
      <c r="I484" t="s">
        <v>14</v>
      </c>
    </row>
    <row r="485" spans="1:9" x14ac:dyDescent="0.35">
      <c r="A485" t="s">
        <v>521</v>
      </c>
      <c r="B485" s="1">
        <v>44983</v>
      </c>
      <c r="C485" t="s">
        <v>16</v>
      </c>
      <c r="D485" t="s">
        <v>50</v>
      </c>
      <c r="E485" t="s">
        <v>12</v>
      </c>
      <c r="F485">
        <v>1279.45</v>
      </c>
      <c r="G485">
        <v>290.99</v>
      </c>
      <c r="H485" t="s">
        <v>28</v>
      </c>
      <c r="I485" t="s">
        <v>34</v>
      </c>
    </row>
    <row r="486" spans="1:9" x14ac:dyDescent="0.35">
      <c r="A486" t="s">
        <v>522</v>
      </c>
      <c r="B486" s="1">
        <v>45417</v>
      </c>
      <c r="C486" t="s">
        <v>25</v>
      </c>
      <c r="D486" t="s">
        <v>23</v>
      </c>
      <c r="E486" t="s">
        <v>18</v>
      </c>
      <c r="F486">
        <v>114.52</v>
      </c>
      <c r="G486">
        <v>32.17</v>
      </c>
      <c r="H486" t="s">
        <v>19</v>
      </c>
      <c r="I486" t="s">
        <v>34</v>
      </c>
    </row>
    <row r="487" spans="1:9" x14ac:dyDescent="0.35">
      <c r="A487" t="s">
        <v>523</v>
      </c>
      <c r="B487" s="1">
        <v>45109</v>
      </c>
      <c r="C487" t="s">
        <v>16</v>
      </c>
      <c r="D487" t="s">
        <v>38</v>
      </c>
      <c r="E487" t="s">
        <v>12</v>
      </c>
      <c r="F487">
        <v>330.64</v>
      </c>
      <c r="G487">
        <v>86.29</v>
      </c>
      <c r="H487" t="s">
        <v>19</v>
      </c>
      <c r="I487" t="s">
        <v>29</v>
      </c>
    </row>
    <row r="488" spans="1:9" x14ac:dyDescent="0.35">
      <c r="A488" t="s">
        <v>524</v>
      </c>
      <c r="B488" s="1">
        <v>45072</v>
      </c>
      <c r="C488" t="s">
        <v>16</v>
      </c>
      <c r="D488" t="s">
        <v>50</v>
      </c>
      <c r="E488" t="s">
        <v>12</v>
      </c>
      <c r="F488">
        <v>243.58</v>
      </c>
      <c r="G488">
        <v>31.3</v>
      </c>
      <c r="H488" t="s">
        <v>13</v>
      </c>
      <c r="I488" t="s">
        <v>14</v>
      </c>
    </row>
    <row r="489" spans="1:9" x14ac:dyDescent="0.35">
      <c r="A489" t="s">
        <v>525</v>
      </c>
      <c r="B489" s="1">
        <v>45064</v>
      </c>
      <c r="C489" t="s">
        <v>22</v>
      </c>
      <c r="D489" t="s">
        <v>26</v>
      </c>
      <c r="E489" t="s">
        <v>27</v>
      </c>
      <c r="F489">
        <v>312.60000000000002</v>
      </c>
      <c r="G489">
        <v>73.34</v>
      </c>
      <c r="H489" t="s">
        <v>28</v>
      </c>
      <c r="I489" t="s">
        <v>34</v>
      </c>
    </row>
    <row r="490" spans="1:9" x14ac:dyDescent="0.35">
      <c r="A490" t="s">
        <v>526</v>
      </c>
      <c r="B490" s="1">
        <v>45629</v>
      </c>
      <c r="C490" t="s">
        <v>22</v>
      </c>
      <c r="D490" t="s">
        <v>57</v>
      </c>
      <c r="E490" t="s">
        <v>27</v>
      </c>
      <c r="F490">
        <v>566.44000000000005</v>
      </c>
      <c r="G490">
        <v>108.44</v>
      </c>
      <c r="H490" t="s">
        <v>19</v>
      </c>
      <c r="I490" t="s">
        <v>29</v>
      </c>
    </row>
    <row r="491" spans="1:9" x14ac:dyDescent="0.35">
      <c r="A491" t="s">
        <v>527</v>
      </c>
      <c r="B491" s="1">
        <v>44899</v>
      </c>
      <c r="C491" t="s">
        <v>16</v>
      </c>
      <c r="D491" t="s">
        <v>31</v>
      </c>
      <c r="E491" t="s">
        <v>12</v>
      </c>
      <c r="F491">
        <v>1038.5899999999999</v>
      </c>
      <c r="G491">
        <v>93.39</v>
      </c>
      <c r="H491" t="s">
        <v>19</v>
      </c>
      <c r="I491" t="s">
        <v>29</v>
      </c>
    </row>
    <row r="492" spans="1:9" x14ac:dyDescent="0.35">
      <c r="A492" t="s">
        <v>528</v>
      </c>
      <c r="B492" s="1">
        <v>45645</v>
      </c>
      <c r="C492" t="s">
        <v>16</v>
      </c>
      <c r="D492" t="s">
        <v>57</v>
      </c>
      <c r="E492" t="s">
        <v>27</v>
      </c>
      <c r="F492">
        <v>1027.77</v>
      </c>
      <c r="G492">
        <v>214.05</v>
      </c>
      <c r="H492" t="s">
        <v>28</v>
      </c>
      <c r="I492" t="s">
        <v>20</v>
      </c>
    </row>
    <row r="493" spans="1:9" x14ac:dyDescent="0.35">
      <c r="A493" t="s">
        <v>529</v>
      </c>
      <c r="B493" s="1">
        <v>44634</v>
      </c>
      <c r="C493" t="s">
        <v>10</v>
      </c>
      <c r="D493" t="s">
        <v>73</v>
      </c>
      <c r="E493" t="s">
        <v>27</v>
      </c>
      <c r="F493">
        <v>236.45</v>
      </c>
      <c r="G493">
        <v>27.05</v>
      </c>
      <c r="H493" t="s">
        <v>28</v>
      </c>
      <c r="I493" t="s">
        <v>29</v>
      </c>
    </row>
    <row r="494" spans="1:9" x14ac:dyDescent="0.35">
      <c r="A494" t="s">
        <v>530</v>
      </c>
      <c r="B494" s="1">
        <v>45525</v>
      </c>
      <c r="C494" t="s">
        <v>10</v>
      </c>
      <c r="D494" t="s">
        <v>95</v>
      </c>
      <c r="E494" t="s">
        <v>18</v>
      </c>
      <c r="F494">
        <v>1871.82</v>
      </c>
      <c r="G494">
        <v>477.66</v>
      </c>
      <c r="H494" t="s">
        <v>13</v>
      </c>
      <c r="I494" t="s">
        <v>14</v>
      </c>
    </row>
    <row r="495" spans="1:9" x14ac:dyDescent="0.35">
      <c r="A495" t="s">
        <v>531</v>
      </c>
      <c r="B495" s="1">
        <v>44918</v>
      </c>
      <c r="C495" t="s">
        <v>10</v>
      </c>
      <c r="D495" t="s">
        <v>17</v>
      </c>
      <c r="E495" t="s">
        <v>18</v>
      </c>
      <c r="F495">
        <v>1788.79</v>
      </c>
      <c r="G495">
        <v>286.08999999999997</v>
      </c>
      <c r="H495" t="s">
        <v>13</v>
      </c>
      <c r="I495" t="s">
        <v>34</v>
      </c>
    </row>
    <row r="496" spans="1:9" x14ac:dyDescent="0.35">
      <c r="A496" t="s">
        <v>532</v>
      </c>
      <c r="B496" s="1">
        <v>45232</v>
      </c>
      <c r="C496" t="s">
        <v>25</v>
      </c>
      <c r="D496" t="s">
        <v>97</v>
      </c>
      <c r="E496" t="s">
        <v>27</v>
      </c>
      <c r="F496">
        <v>651.41</v>
      </c>
      <c r="G496">
        <v>138.32</v>
      </c>
      <c r="H496" t="s">
        <v>28</v>
      </c>
      <c r="I496" t="s">
        <v>14</v>
      </c>
    </row>
    <row r="497" spans="1:9" x14ac:dyDescent="0.35">
      <c r="A497" t="s">
        <v>533</v>
      </c>
      <c r="B497" s="1">
        <v>45587</v>
      </c>
      <c r="C497" t="s">
        <v>22</v>
      </c>
      <c r="D497" t="s">
        <v>11</v>
      </c>
      <c r="E497" t="s">
        <v>12</v>
      </c>
      <c r="F497">
        <v>115.65</v>
      </c>
      <c r="G497">
        <v>14.74</v>
      </c>
      <c r="H497" t="s">
        <v>19</v>
      </c>
      <c r="I497" t="s">
        <v>20</v>
      </c>
    </row>
    <row r="498" spans="1:9" x14ac:dyDescent="0.35">
      <c r="A498" t="s">
        <v>534</v>
      </c>
      <c r="B498" s="1">
        <v>45284</v>
      </c>
      <c r="C498" t="s">
        <v>22</v>
      </c>
      <c r="D498" t="s">
        <v>46</v>
      </c>
      <c r="E498" t="s">
        <v>18</v>
      </c>
      <c r="F498">
        <v>1409.42</v>
      </c>
      <c r="G498">
        <v>358.8</v>
      </c>
      <c r="H498" t="s">
        <v>19</v>
      </c>
      <c r="I498" t="s">
        <v>29</v>
      </c>
    </row>
    <row r="499" spans="1:9" x14ac:dyDescent="0.35">
      <c r="A499" t="s">
        <v>535</v>
      </c>
      <c r="B499" s="1">
        <v>45609</v>
      </c>
      <c r="C499" t="s">
        <v>25</v>
      </c>
      <c r="D499" t="s">
        <v>97</v>
      </c>
      <c r="E499" t="s">
        <v>27</v>
      </c>
      <c r="F499">
        <v>1101.49</v>
      </c>
      <c r="G499">
        <v>89.09</v>
      </c>
      <c r="H499" t="s">
        <v>13</v>
      </c>
      <c r="I499" t="s">
        <v>14</v>
      </c>
    </row>
    <row r="500" spans="1:9" x14ac:dyDescent="0.35">
      <c r="A500" t="s">
        <v>536</v>
      </c>
      <c r="B500" s="1">
        <v>44750</v>
      </c>
      <c r="C500" t="s">
        <v>10</v>
      </c>
      <c r="D500" t="s">
        <v>26</v>
      </c>
      <c r="E500" t="s">
        <v>27</v>
      </c>
      <c r="F500">
        <v>1624.7</v>
      </c>
      <c r="G500">
        <v>123.28</v>
      </c>
      <c r="H500" t="s">
        <v>13</v>
      </c>
      <c r="I500" t="s">
        <v>20</v>
      </c>
    </row>
    <row r="501" spans="1:9" x14ac:dyDescent="0.35">
      <c r="A501" t="s">
        <v>537</v>
      </c>
      <c r="B501" s="1">
        <v>44811</v>
      </c>
      <c r="C501" t="s">
        <v>10</v>
      </c>
      <c r="D501" t="s">
        <v>38</v>
      </c>
      <c r="E501" t="s">
        <v>12</v>
      </c>
      <c r="F501">
        <v>1662.42</v>
      </c>
      <c r="G501">
        <v>405.05</v>
      </c>
      <c r="H501" t="s">
        <v>28</v>
      </c>
      <c r="I501" t="s">
        <v>29</v>
      </c>
    </row>
    <row r="502" spans="1:9" x14ac:dyDescent="0.35">
      <c r="A502" t="s">
        <v>538</v>
      </c>
      <c r="B502" s="1">
        <v>44828</v>
      </c>
      <c r="C502" t="s">
        <v>10</v>
      </c>
      <c r="D502" t="s">
        <v>41</v>
      </c>
      <c r="E502" t="s">
        <v>12</v>
      </c>
      <c r="F502">
        <v>1477.52</v>
      </c>
      <c r="G502">
        <v>326.18</v>
      </c>
      <c r="H502" t="s">
        <v>28</v>
      </c>
      <c r="I502" t="s">
        <v>29</v>
      </c>
    </row>
    <row r="503" spans="1:9" x14ac:dyDescent="0.35">
      <c r="A503" t="s">
        <v>539</v>
      </c>
      <c r="B503" s="1">
        <v>44967</v>
      </c>
      <c r="C503" t="s">
        <v>16</v>
      </c>
      <c r="D503" t="s">
        <v>26</v>
      </c>
      <c r="E503" t="s">
        <v>27</v>
      </c>
      <c r="F503">
        <v>1390.9</v>
      </c>
      <c r="G503">
        <v>251.32</v>
      </c>
      <c r="H503" t="s">
        <v>13</v>
      </c>
      <c r="I503" t="s">
        <v>14</v>
      </c>
    </row>
    <row r="504" spans="1:9" x14ac:dyDescent="0.35">
      <c r="A504" t="s">
        <v>540</v>
      </c>
      <c r="B504" s="1">
        <v>45090</v>
      </c>
      <c r="C504" t="s">
        <v>22</v>
      </c>
      <c r="D504" t="s">
        <v>41</v>
      </c>
      <c r="E504" t="s">
        <v>12</v>
      </c>
      <c r="F504">
        <v>1044.1199999999999</v>
      </c>
      <c r="G504">
        <v>127.18</v>
      </c>
      <c r="H504" t="s">
        <v>28</v>
      </c>
      <c r="I504" t="s">
        <v>20</v>
      </c>
    </row>
    <row r="505" spans="1:9" x14ac:dyDescent="0.35">
      <c r="A505" t="s">
        <v>541</v>
      </c>
      <c r="B505" s="1">
        <v>45466</v>
      </c>
      <c r="C505" t="s">
        <v>22</v>
      </c>
      <c r="D505" t="s">
        <v>97</v>
      </c>
      <c r="E505" t="s">
        <v>27</v>
      </c>
      <c r="F505">
        <v>226.32</v>
      </c>
      <c r="G505">
        <v>23.89</v>
      </c>
      <c r="H505" t="s">
        <v>19</v>
      </c>
      <c r="I505" t="s">
        <v>29</v>
      </c>
    </row>
    <row r="506" spans="1:9" x14ac:dyDescent="0.35">
      <c r="A506" t="s">
        <v>542</v>
      </c>
      <c r="B506" s="1">
        <v>44699</v>
      </c>
      <c r="C506" t="s">
        <v>22</v>
      </c>
      <c r="D506" t="s">
        <v>38</v>
      </c>
      <c r="E506" t="s">
        <v>12</v>
      </c>
      <c r="F506">
        <v>922.35</v>
      </c>
      <c r="G506">
        <v>211.36</v>
      </c>
      <c r="H506" t="s">
        <v>28</v>
      </c>
      <c r="I506" t="s">
        <v>29</v>
      </c>
    </row>
    <row r="507" spans="1:9" x14ac:dyDescent="0.35">
      <c r="A507" t="s">
        <v>543</v>
      </c>
      <c r="B507" s="1">
        <v>44746</v>
      </c>
      <c r="C507" t="s">
        <v>10</v>
      </c>
      <c r="D507" t="s">
        <v>50</v>
      </c>
      <c r="E507" t="s">
        <v>12</v>
      </c>
      <c r="F507">
        <v>1405.48</v>
      </c>
      <c r="G507">
        <v>331.93</v>
      </c>
      <c r="H507" t="s">
        <v>13</v>
      </c>
      <c r="I507" t="s">
        <v>29</v>
      </c>
    </row>
    <row r="508" spans="1:9" x14ac:dyDescent="0.35">
      <c r="A508" t="s">
        <v>544</v>
      </c>
      <c r="B508" s="1">
        <v>45393</v>
      </c>
      <c r="C508" t="s">
        <v>22</v>
      </c>
      <c r="D508" t="s">
        <v>46</v>
      </c>
      <c r="E508" t="s">
        <v>18</v>
      </c>
      <c r="F508">
        <v>958.49</v>
      </c>
      <c r="G508">
        <v>137.96</v>
      </c>
      <c r="H508" t="s">
        <v>28</v>
      </c>
      <c r="I508" t="s">
        <v>29</v>
      </c>
    </row>
    <row r="509" spans="1:9" x14ac:dyDescent="0.35">
      <c r="A509" t="s">
        <v>545</v>
      </c>
      <c r="B509" s="1">
        <v>44854</v>
      </c>
      <c r="C509" t="s">
        <v>10</v>
      </c>
      <c r="D509" t="s">
        <v>11</v>
      </c>
      <c r="E509" t="s">
        <v>12</v>
      </c>
      <c r="F509">
        <v>1224.74</v>
      </c>
      <c r="G509">
        <v>197.79</v>
      </c>
      <c r="H509" t="s">
        <v>19</v>
      </c>
      <c r="I509" t="s">
        <v>20</v>
      </c>
    </row>
    <row r="510" spans="1:9" x14ac:dyDescent="0.35">
      <c r="A510" t="s">
        <v>546</v>
      </c>
      <c r="B510" s="1">
        <v>45164</v>
      </c>
      <c r="C510" t="s">
        <v>22</v>
      </c>
      <c r="D510" t="s">
        <v>50</v>
      </c>
      <c r="E510" t="s">
        <v>12</v>
      </c>
      <c r="F510">
        <v>905.93</v>
      </c>
      <c r="G510">
        <v>161.41</v>
      </c>
      <c r="H510" t="s">
        <v>13</v>
      </c>
      <c r="I510" t="s">
        <v>20</v>
      </c>
    </row>
    <row r="511" spans="1:9" x14ac:dyDescent="0.35">
      <c r="A511" t="s">
        <v>547</v>
      </c>
      <c r="B511" s="1">
        <v>45051</v>
      </c>
      <c r="C511" t="s">
        <v>10</v>
      </c>
      <c r="D511" t="s">
        <v>33</v>
      </c>
      <c r="E511" t="s">
        <v>18</v>
      </c>
      <c r="F511">
        <v>925.99</v>
      </c>
      <c r="G511">
        <v>237.18</v>
      </c>
      <c r="H511" t="s">
        <v>13</v>
      </c>
      <c r="I511" t="s">
        <v>34</v>
      </c>
    </row>
    <row r="512" spans="1:9" x14ac:dyDescent="0.35">
      <c r="A512" t="s">
        <v>548</v>
      </c>
      <c r="B512" s="1">
        <v>45426</v>
      </c>
      <c r="C512" t="s">
        <v>25</v>
      </c>
      <c r="D512" t="s">
        <v>46</v>
      </c>
      <c r="E512" t="s">
        <v>18</v>
      </c>
      <c r="F512">
        <v>1357.58</v>
      </c>
      <c r="G512">
        <v>192.01</v>
      </c>
      <c r="H512" t="s">
        <v>28</v>
      </c>
      <c r="I512" t="s">
        <v>34</v>
      </c>
    </row>
    <row r="513" spans="1:9" x14ac:dyDescent="0.35">
      <c r="A513" t="s">
        <v>549</v>
      </c>
      <c r="B513" s="1">
        <v>44590</v>
      </c>
      <c r="C513" t="s">
        <v>10</v>
      </c>
      <c r="D513" t="s">
        <v>26</v>
      </c>
      <c r="E513" t="s">
        <v>27</v>
      </c>
      <c r="F513">
        <v>845.39</v>
      </c>
      <c r="G513">
        <v>181.97</v>
      </c>
      <c r="H513" t="s">
        <v>13</v>
      </c>
      <c r="I513" t="s">
        <v>20</v>
      </c>
    </row>
    <row r="514" spans="1:9" x14ac:dyDescent="0.35">
      <c r="A514" t="s">
        <v>550</v>
      </c>
      <c r="B514" s="1">
        <v>45105</v>
      </c>
      <c r="C514" t="s">
        <v>10</v>
      </c>
      <c r="D514" t="s">
        <v>41</v>
      </c>
      <c r="E514" t="s">
        <v>12</v>
      </c>
      <c r="F514">
        <v>331.5</v>
      </c>
      <c r="G514">
        <v>98.08</v>
      </c>
      <c r="H514" t="s">
        <v>19</v>
      </c>
      <c r="I514" t="s">
        <v>34</v>
      </c>
    </row>
    <row r="515" spans="1:9" x14ac:dyDescent="0.35">
      <c r="A515" t="s">
        <v>551</v>
      </c>
      <c r="B515" s="1">
        <v>45024</v>
      </c>
      <c r="C515" t="s">
        <v>16</v>
      </c>
      <c r="D515" t="s">
        <v>62</v>
      </c>
      <c r="E515" t="s">
        <v>27</v>
      </c>
      <c r="F515">
        <v>940.91</v>
      </c>
      <c r="G515">
        <v>48.54</v>
      </c>
      <c r="H515" t="s">
        <v>28</v>
      </c>
      <c r="I515" t="s">
        <v>14</v>
      </c>
    </row>
    <row r="516" spans="1:9" x14ac:dyDescent="0.35">
      <c r="A516" t="s">
        <v>552</v>
      </c>
      <c r="B516" s="1">
        <v>45221</v>
      </c>
      <c r="C516" t="s">
        <v>22</v>
      </c>
      <c r="D516" t="s">
        <v>11</v>
      </c>
      <c r="E516" t="s">
        <v>12</v>
      </c>
      <c r="F516">
        <v>1000.89</v>
      </c>
      <c r="G516">
        <v>119.3</v>
      </c>
      <c r="H516" t="s">
        <v>19</v>
      </c>
      <c r="I516" t="s">
        <v>20</v>
      </c>
    </row>
    <row r="517" spans="1:9" x14ac:dyDescent="0.35">
      <c r="A517" t="s">
        <v>553</v>
      </c>
      <c r="B517" s="1">
        <v>45391</v>
      </c>
      <c r="C517" t="s">
        <v>16</v>
      </c>
      <c r="D517" t="s">
        <v>46</v>
      </c>
      <c r="E517" t="s">
        <v>18</v>
      </c>
      <c r="F517">
        <v>293.32</v>
      </c>
      <c r="G517">
        <v>26.29</v>
      </c>
      <c r="H517" t="s">
        <v>19</v>
      </c>
      <c r="I517" t="s">
        <v>20</v>
      </c>
    </row>
    <row r="518" spans="1:9" x14ac:dyDescent="0.35">
      <c r="A518" t="s">
        <v>554</v>
      </c>
      <c r="B518" s="1">
        <v>45152</v>
      </c>
      <c r="C518" t="s">
        <v>22</v>
      </c>
      <c r="D518" t="s">
        <v>17</v>
      </c>
      <c r="E518" t="s">
        <v>18</v>
      </c>
      <c r="F518">
        <v>1267.57</v>
      </c>
      <c r="G518">
        <v>161.07</v>
      </c>
      <c r="H518" t="s">
        <v>28</v>
      </c>
      <c r="I518" t="s">
        <v>34</v>
      </c>
    </row>
    <row r="519" spans="1:9" x14ac:dyDescent="0.35">
      <c r="A519" t="s">
        <v>555</v>
      </c>
      <c r="B519" s="1">
        <v>45004</v>
      </c>
      <c r="C519" t="s">
        <v>16</v>
      </c>
      <c r="D519" t="s">
        <v>50</v>
      </c>
      <c r="E519" t="s">
        <v>12</v>
      </c>
      <c r="F519">
        <v>109.97</v>
      </c>
      <c r="G519">
        <v>27.39</v>
      </c>
      <c r="H519" t="s">
        <v>13</v>
      </c>
      <c r="I519" t="s">
        <v>20</v>
      </c>
    </row>
    <row r="520" spans="1:9" x14ac:dyDescent="0.35">
      <c r="A520" t="s">
        <v>556</v>
      </c>
      <c r="B520" s="1">
        <v>45468</v>
      </c>
      <c r="C520" t="s">
        <v>25</v>
      </c>
      <c r="D520" t="s">
        <v>11</v>
      </c>
      <c r="E520" t="s">
        <v>12</v>
      </c>
      <c r="F520">
        <v>1833.33</v>
      </c>
      <c r="G520">
        <v>97.11</v>
      </c>
      <c r="H520" t="s">
        <v>28</v>
      </c>
      <c r="I520" t="s">
        <v>34</v>
      </c>
    </row>
    <row r="521" spans="1:9" x14ac:dyDescent="0.35">
      <c r="A521" t="s">
        <v>557</v>
      </c>
      <c r="B521" s="1">
        <v>44725</v>
      </c>
      <c r="C521" t="s">
        <v>25</v>
      </c>
      <c r="D521" t="s">
        <v>73</v>
      </c>
      <c r="E521" t="s">
        <v>27</v>
      </c>
      <c r="F521">
        <v>1346.87</v>
      </c>
      <c r="G521">
        <v>75.53</v>
      </c>
      <c r="H521" t="s">
        <v>28</v>
      </c>
      <c r="I521" t="s">
        <v>29</v>
      </c>
    </row>
    <row r="522" spans="1:9" x14ac:dyDescent="0.35">
      <c r="A522" t="s">
        <v>558</v>
      </c>
      <c r="B522" s="1">
        <v>45016</v>
      </c>
      <c r="C522" t="s">
        <v>22</v>
      </c>
      <c r="D522" t="s">
        <v>46</v>
      </c>
      <c r="E522" t="s">
        <v>18</v>
      </c>
      <c r="F522">
        <v>757.49</v>
      </c>
      <c r="G522">
        <v>74.84</v>
      </c>
      <c r="H522" t="s">
        <v>19</v>
      </c>
      <c r="I522" t="s">
        <v>29</v>
      </c>
    </row>
    <row r="523" spans="1:9" x14ac:dyDescent="0.35">
      <c r="A523" t="s">
        <v>559</v>
      </c>
      <c r="B523" s="1">
        <v>44589</v>
      </c>
      <c r="C523" t="s">
        <v>25</v>
      </c>
      <c r="D523" t="s">
        <v>73</v>
      </c>
      <c r="E523" t="s">
        <v>27</v>
      </c>
      <c r="F523">
        <v>1131.03</v>
      </c>
      <c r="G523">
        <v>233.68</v>
      </c>
      <c r="H523" t="s">
        <v>19</v>
      </c>
      <c r="I523" t="s">
        <v>20</v>
      </c>
    </row>
    <row r="524" spans="1:9" x14ac:dyDescent="0.35">
      <c r="A524" t="s">
        <v>560</v>
      </c>
      <c r="B524" s="1">
        <v>44564</v>
      </c>
      <c r="C524" t="s">
        <v>16</v>
      </c>
      <c r="D524" t="s">
        <v>38</v>
      </c>
      <c r="E524" t="s">
        <v>12</v>
      </c>
      <c r="F524">
        <v>1247.3499999999999</v>
      </c>
      <c r="G524">
        <v>248.21</v>
      </c>
      <c r="H524" t="s">
        <v>28</v>
      </c>
      <c r="I524" t="s">
        <v>20</v>
      </c>
    </row>
    <row r="525" spans="1:9" x14ac:dyDescent="0.35">
      <c r="A525" t="s">
        <v>561</v>
      </c>
      <c r="B525" s="1">
        <v>45268</v>
      </c>
      <c r="C525" t="s">
        <v>10</v>
      </c>
      <c r="D525" t="s">
        <v>23</v>
      </c>
      <c r="E525" t="s">
        <v>18</v>
      </c>
      <c r="F525">
        <v>844.67</v>
      </c>
      <c r="G525">
        <v>115.5</v>
      </c>
      <c r="H525" t="s">
        <v>19</v>
      </c>
      <c r="I525" t="s">
        <v>34</v>
      </c>
    </row>
    <row r="526" spans="1:9" x14ac:dyDescent="0.35">
      <c r="A526" t="s">
        <v>562</v>
      </c>
      <c r="B526" s="1">
        <v>45314</v>
      </c>
      <c r="C526" t="s">
        <v>22</v>
      </c>
      <c r="D526" t="s">
        <v>41</v>
      </c>
      <c r="E526" t="s">
        <v>12</v>
      </c>
      <c r="F526">
        <v>1254.74</v>
      </c>
      <c r="G526">
        <v>111.19</v>
      </c>
      <c r="H526" t="s">
        <v>13</v>
      </c>
      <c r="I526" t="s">
        <v>14</v>
      </c>
    </row>
    <row r="527" spans="1:9" x14ac:dyDescent="0.35">
      <c r="A527" t="s">
        <v>563</v>
      </c>
      <c r="B527" s="1">
        <v>45272</v>
      </c>
      <c r="C527" t="s">
        <v>10</v>
      </c>
      <c r="D527" t="s">
        <v>31</v>
      </c>
      <c r="E527" t="s">
        <v>12</v>
      </c>
      <c r="F527">
        <v>641.29</v>
      </c>
      <c r="G527">
        <v>181.66</v>
      </c>
      <c r="H527" t="s">
        <v>13</v>
      </c>
      <c r="I527" t="s">
        <v>29</v>
      </c>
    </row>
    <row r="528" spans="1:9" x14ac:dyDescent="0.35">
      <c r="A528" t="s">
        <v>564</v>
      </c>
      <c r="B528" s="1">
        <v>44592</v>
      </c>
      <c r="C528" t="s">
        <v>22</v>
      </c>
      <c r="D528" t="s">
        <v>17</v>
      </c>
      <c r="E528" t="s">
        <v>18</v>
      </c>
      <c r="F528">
        <v>618.84</v>
      </c>
      <c r="G528">
        <v>86.88</v>
      </c>
      <c r="H528" t="s">
        <v>28</v>
      </c>
      <c r="I528" t="s">
        <v>14</v>
      </c>
    </row>
    <row r="529" spans="1:9" x14ac:dyDescent="0.35">
      <c r="A529" t="s">
        <v>565</v>
      </c>
      <c r="B529" s="1">
        <v>44748</v>
      </c>
      <c r="C529" t="s">
        <v>16</v>
      </c>
      <c r="D529" t="s">
        <v>31</v>
      </c>
      <c r="E529" t="s">
        <v>12</v>
      </c>
      <c r="F529">
        <v>452.21</v>
      </c>
      <c r="G529">
        <v>128.5</v>
      </c>
      <c r="H529" t="s">
        <v>19</v>
      </c>
      <c r="I529" t="s">
        <v>34</v>
      </c>
    </row>
    <row r="530" spans="1:9" x14ac:dyDescent="0.35">
      <c r="A530" t="s">
        <v>566</v>
      </c>
      <c r="B530" s="1">
        <v>44688</v>
      </c>
      <c r="C530" t="s">
        <v>10</v>
      </c>
      <c r="D530" t="s">
        <v>38</v>
      </c>
      <c r="E530" t="s">
        <v>12</v>
      </c>
      <c r="F530">
        <v>684.08</v>
      </c>
      <c r="G530">
        <v>111.56</v>
      </c>
      <c r="H530" t="s">
        <v>28</v>
      </c>
      <c r="I530" t="s">
        <v>29</v>
      </c>
    </row>
    <row r="531" spans="1:9" x14ac:dyDescent="0.35">
      <c r="A531" t="s">
        <v>567</v>
      </c>
      <c r="B531" s="1">
        <v>44683</v>
      </c>
      <c r="C531" t="s">
        <v>10</v>
      </c>
      <c r="D531" t="s">
        <v>33</v>
      </c>
      <c r="E531" t="s">
        <v>18</v>
      </c>
      <c r="F531">
        <v>309.18</v>
      </c>
      <c r="G531">
        <v>86.37</v>
      </c>
      <c r="H531" t="s">
        <v>28</v>
      </c>
      <c r="I531" t="s">
        <v>29</v>
      </c>
    </row>
    <row r="532" spans="1:9" x14ac:dyDescent="0.35">
      <c r="A532" t="s">
        <v>568</v>
      </c>
      <c r="B532" s="1">
        <v>45569</v>
      </c>
      <c r="C532" t="s">
        <v>22</v>
      </c>
      <c r="D532" t="s">
        <v>97</v>
      </c>
      <c r="E532" t="s">
        <v>27</v>
      </c>
      <c r="F532">
        <v>1865.45</v>
      </c>
      <c r="G532">
        <v>538.45000000000005</v>
      </c>
      <c r="H532" t="s">
        <v>19</v>
      </c>
      <c r="I532" t="s">
        <v>29</v>
      </c>
    </row>
    <row r="533" spans="1:9" x14ac:dyDescent="0.35">
      <c r="A533" t="s">
        <v>569</v>
      </c>
      <c r="B533" s="1">
        <v>44749</v>
      </c>
      <c r="C533" t="s">
        <v>25</v>
      </c>
      <c r="D533" t="s">
        <v>23</v>
      </c>
      <c r="E533" t="s">
        <v>18</v>
      </c>
      <c r="F533">
        <v>1299.02</v>
      </c>
      <c r="G533">
        <v>241.32</v>
      </c>
      <c r="H533" t="s">
        <v>28</v>
      </c>
      <c r="I533" t="s">
        <v>14</v>
      </c>
    </row>
    <row r="534" spans="1:9" x14ac:dyDescent="0.35">
      <c r="A534" t="s">
        <v>570</v>
      </c>
      <c r="B534" s="1">
        <v>45432</v>
      </c>
      <c r="C534" t="s">
        <v>16</v>
      </c>
      <c r="D534" t="s">
        <v>26</v>
      </c>
      <c r="E534" t="s">
        <v>27</v>
      </c>
      <c r="F534">
        <v>54.56</v>
      </c>
      <c r="G534">
        <v>8.02</v>
      </c>
      <c r="H534" t="s">
        <v>28</v>
      </c>
      <c r="I534" t="s">
        <v>29</v>
      </c>
    </row>
    <row r="535" spans="1:9" x14ac:dyDescent="0.35">
      <c r="A535" t="s">
        <v>571</v>
      </c>
      <c r="B535" s="1">
        <v>45080</v>
      </c>
      <c r="C535" t="s">
        <v>25</v>
      </c>
      <c r="D535" t="s">
        <v>41</v>
      </c>
      <c r="E535" t="s">
        <v>12</v>
      </c>
      <c r="F535">
        <v>1009.19</v>
      </c>
      <c r="G535">
        <v>109.68</v>
      </c>
      <c r="H535" t="s">
        <v>13</v>
      </c>
      <c r="I535" t="s">
        <v>34</v>
      </c>
    </row>
    <row r="536" spans="1:9" x14ac:dyDescent="0.35">
      <c r="A536" t="s">
        <v>572</v>
      </c>
      <c r="B536" s="1">
        <v>45626</v>
      </c>
      <c r="C536" t="s">
        <v>25</v>
      </c>
      <c r="D536" t="s">
        <v>62</v>
      </c>
      <c r="E536" t="s">
        <v>27</v>
      </c>
      <c r="F536">
        <v>1223.8800000000001</v>
      </c>
      <c r="G536">
        <v>322.13</v>
      </c>
      <c r="H536" t="s">
        <v>28</v>
      </c>
      <c r="I536" t="s">
        <v>14</v>
      </c>
    </row>
    <row r="537" spans="1:9" x14ac:dyDescent="0.35">
      <c r="A537" t="s">
        <v>573</v>
      </c>
      <c r="B537" s="1">
        <v>45326</v>
      </c>
      <c r="C537" t="s">
        <v>10</v>
      </c>
      <c r="D537" t="s">
        <v>50</v>
      </c>
      <c r="E537" t="s">
        <v>12</v>
      </c>
      <c r="F537">
        <v>756.92</v>
      </c>
      <c r="G537">
        <v>70.84</v>
      </c>
      <c r="H537" t="s">
        <v>19</v>
      </c>
      <c r="I537" t="s">
        <v>29</v>
      </c>
    </row>
    <row r="538" spans="1:9" x14ac:dyDescent="0.35">
      <c r="A538" t="s">
        <v>574</v>
      </c>
      <c r="B538" s="1">
        <v>44739</v>
      </c>
      <c r="C538" t="s">
        <v>25</v>
      </c>
      <c r="D538" t="s">
        <v>97</v>
      </c>
      <c r="E538" t="s">
        <v>27</v>
      </c>
      <c r="F538">
        <v>565.39</v>
      </c>
      <c r="G538">
        <v>58.52</v>
      </c>
      <c r="H538" t="s">
        <v>19</v>
      </c>
      <c r="I538" t="s">
        <v>14</v>
      </c>
    </row>
    <row r="539" spans="1:9" x14ac:dyDescent="0.35">
      <c r="A539" t="s">
        <v>575</v>
      </c>
      <c r="B539" s="1">
        <v>44655</v>
      </c>
      <c r="C539" t="s">
        <v>10</v>
      </c>
      <c r="D539" t="s">
        <v>57</v>
      </c>
      <c r="E539" t="s">
        <v>27</v>
      </c>
      <c r="F539">
        <v>883.87</v>
      </c>
      <c r="G539">
        <v>120.41</v>
      </c>
      <c r="H539" t="s">
        <v>19</v>
      </c>
      <c r="I539" t="s">
        <v>29</v>
      </c>
    </row>
    <row r="540" spans="1:9" x14ac:dyDescent="0.35">
      <c r="A540" t="s">
        <v>576</v>
      </c>
      <c r="B540" s="1">
        <v>44597</v>
      </c>
      <c r="C540" t="s">
        <v>10</v>
      </c>
      <c r="D540" t="s">
        <v>38</v>
      </c>
      <c r="E540" t="s">
        <v>12</v>
      </c>
      <c r="F540">
        <v>716.86</v>
      </c>
      <c r="G540">
        <v>137.96</v>
      </c>
      <c r="H540" t="s">
        <v>19</v>
      </c>
      <c r="I540" t="s">
        <v>20</v>
      </c>
    </row>
    <row r="541" spans="1:9" x14ac:dyDescent="0.35">
      <c r="A541" t="s">
        <v>577</v>
      </c>
      <c r="B541" s="1">
        <v>44799</v>
      </c>
      <c r="C541" t="s">
        <v>25</v>
      </c>
      <c r="D541" t="s">
        <v>31</v>
      </c>
      <c r="E541" t="s">
        <v>12</v>
      </c>
      <c r="F541">
        <v>549.23</v>
      </c>
      <c r="G541">
        <v>145.66999999999999</v>
      </c>
      <c r="H541" t="s">
        <v>13</v>
      </c>
      <c r="I541" t="s">
        <v>29</v>
      </c>
    </row>
    <row r="542" spans="1:9" x14ac:dyDescent="0.35">
      <c r="A542" t="s">
        <v>578</v>
      </c>
      <c r="B542" s="1">
        <v>45494</v>
      </c>
      <c r="C542" t="s">
        <v>22</v>
      </c>
      <c r="D542" t="s">
        <v>50</v>
      </c>
      <c r="E542" t="s">
        <v>12</v>
      </c>
      <c r="F542">
        <v>1667.99</v>
      </c>
      <c r="G542">
        <v>296.56</v>
      </c>
      <c r="H542" t="s">
        <v>19</v>
      </c>
      <c r="I542" t="s">
        <v>34</v>
      </c>
    </row>
    <row r="543" spans="1:9" x14ac:dyDescent="0.35">
      <c r="A543" t="s">
        <v>579</v>
      </c>
      <c r="B543" s="1">
        <v>44817</v>
      </c>
      <c r="C543" t="s">
        <v>16</v>
      </c>
      <c r="D543" t="s">
        <v>73</v>
      </c>
      <c r="E543" t="s">
        <v>27</v>
      </c>
      <c r="F543">
        <v>1730.14</v>
      </c>
      <c r="G543">
        <v>215.86</v>
      </c>
      <c r="H543" t="s">
        <v>13</v>
      </c>
      <c r="I543" t="s">
        <v>29</v>
      </c>
    </row>
    <row r="544" spans="1:9" x14ac:dyDescent="0.35">
      <c r="A544" t="s">
        <v>580</v>
      </c>
      <c r="B544" s="1">
        <v>44798</v>
      </c>
      <c r="C544" t="s">
        <v>25</v>
      </c>
      <c r="D544" t="s">
        <v>62</v>
      </c>
      <c r="E544" t="s">
        <v>27</v>
      </c>
      <c r="F544">
        <v>1032.97</v>
      </c>
      <c r="G544">
        <v>134.69999999999999</v>
      </c>
      <c r="H544" t="s">
        <v>28</v>
      </c>
      <c r="I544" t="s">
        <v>14</v>
      </c>
    </row>
    <row r="545" spans="1:9" x14ac:dyDescent="0.35">
      <c r="A545" t="s">
        <v>581</v>
      </c>
      <c r="B545" s="1">
        <v>44995</v>
      </c>
      <c r="C545" t="s">
        <v>22</v>
      </c>
      <c r="D545" t="s">
        <v>38</v>
      </c>
      <c r="E545" t="s">
        <v>12</v>
      </c>
      <c r="F545">
        <v>1602.39</v>
      </c>
      <c r="G545">
        <v>315.39</v>
      </c>
      <c r="H545" t="s">
        <v>28</v>
      </c>
      <c r="I545" t="s">
        <v>29</v>
      </c>
    </row>
    <row r="546" spans="1:9" x14ac:dyDescent="0.35">
      <c r="A546" t="s">
        <v>582</v>
      </c>
      <c r="B546" s="1">
        <v>44702</v>
      </c>
      <c r="C546" t="s">
        <v>10</v>
      </c>
      <c r="D546" t="s">
        <v>11</v>
      </c>
      <c r="E546" t="s">
        <v>12</v>
      </c>
      <c r="F546">
        <v>1759.73</v>
      </c>
      <c r="G546">
        <v>382.11</v>
      </c>
      <c r="H546" t="s">
        <v>13</v>
      </c>
      <c r="I546" t="s">
        <v>20</v>
      </c>
    </row>
    <row r="547" spans="1:9" x14ac:dyDescent="0.35">
      <c r="A547" t="s">
        <v>583</v>
      </c>
      <c r="B547" s="1">
        <v>44579</v>
      </c>
      <c r="C547" t="s">
        <v>16</v>
      </c>
      <c r="D547" t="s">
        <v>50</v>
      </c>
      <c r="E547" t="s">
        <v>12</v>
      </c>
      <c r="F547">
        <v>908.96</v>
      </c>
      <c r="G547">
        <v>117.27</v>
      </c>
      <c r="H547" t="s">
        <v>28</v>
      </c>
      <c r="I547" t="s">
        <v>14</v>
      </c>
    </row>
    <row r="548" spans="1:9" x14ac:dyDescent="0.35">
      <c r="A548" t="s">
        <v>584</v>
      </c>
      <c r="B548" s="1">
        <v>44678</v>
      </c>
      <c r="C548" t="s">
        <v>22</v>
      </c>
      <c r="D548" t="s">
        <v>95</v>
      </c>
      <c r="E548" t="s">
        <v>18</v>
      </c>
      <c r="F548">
        <v>139.41999999999999</v>
      </c>
      <c r="G548">
        <v>20.56</v>
      </c>
      <c r="H548" t="s">
        <v>28</v>
      </c>
      <c r="I548" t="s">
        <v>14</v>
      </c>
    </row>
    <row r="549" spans="1:9" x14ac:dyDescent="0.35">
      <c r="A549" t="s">
        <v>585</v>
      </c>
      <c r="B549" s="1">
        <v>44637</v>
      </c>
      <c r="C549" t="s">
        <v>25</v>
      </c>
      <c r="D549" t="s">
        <v>41</v>
      </c>
      <c r="E549" t="s">
        <v>12</v>
      </c>
      <c r="F549">
        <v>1974.97</v>
      </c>
      <c r="G549">
        <v>524.48</v>
      </c>
      <c r="H549" t="s">
        <v>19</v>
      </c>
      <c r="I549" t="s">
        <v>20</v>
      </c>
    </row>
    <row r="550" spans="1:9" x14ac:dyDescent="0.35">
      <c r="A550" t="s">
        <v>586</v>
      </c>
      <c r="B550" s="1">
        <v>45383</v>
      </c>
      <c r="C550" t="s">
        <v>10</v>
      </c>
      <c r="D550" t="s">
        <v>46</v>
      </c>
      <c r="E550" t="s">
        <v>18</v>
      </c>
      <c r="F550">
        <v>472.72</v>
      </c>
      <c r="G550">
        <v>136.24</v>
      </c>
      <c r="H550" t="s">
        <v>28</v>
      </c>
      <c r="I550" t="s">
        <v>20</v>
      </c>
    </row>
    <row r="551" spans="1:9" x14ac:dyDescent="0.35">
      <c r="A551" t="s">
        <v>587</v>
      </c>
      <c r="B551" s="1">
        <v>45078</v>
      </c>
      <c r="C551" t="s">
        <v>25</v>
      </c>
      <c r="D551" t="s">
        <v>57</v>
      </c>
      <c r="E551" t="s">
        <v>27</v>
      </c>
      <c r="F551">
        <v>1648.02</v>
      </c>
      <c r="G551">
        <v>397.25</v>
      </c>
      <c r="H551" t="s">
        <v>13</v>
      </c>
      <c r="I551" t="s">
        <v>14</v>
      </c>
    </row>
    <row r="552" spans="1:9" x14ac:dyDescent="0.35">
      <c r="A552" t="s">
        <v>588</v>
      </c>
      <c r="B552" s="1">
        <v>45426</v>
      </c>
      <c r="C552" t="s">
        <v>22</v>
      </c>
      <c r="D552" t="s">
        <v>33</v>
      </c>
      <c r="E552" t="s">
        <v>18</v>
      </c>
      <c r="F552">
        <v>432.3</v>
      </c>
      <c r="G552">
        <v>124.52</v>
      </c>
      <c r="H552" t="s">
        <v>28</v>
      </c>
      <c r="I552" t="s">
        <v>34</v>
      </c>
    </row>
    <row r="553" spans="1:9" x14ac:dyDescent="0.35">
      <c r="A553" t="s">
        <v>589</v>
      </c>
      <c r="B553" s="1">
        <v>45614</v>
      </c>
      <c r="C553" t="s">
        <v>22</v>
      </c>
      <c r="D553" t="s">
        <v>46</v>
      </c>
      <c r="E553" t="s">
        <v>18</v>
      </c>
      <c r="F553">
        <v>459.71</v>
      </c>
      <c r="G553">
        <v>106.97</v>
      </c>
      <c r="H553" t="s">
        <v>28</v>
      </c>
      <c r="I553" t="s">
        <v>14</v>
      </c>
    </row>
    <row r="554" spans="1:9" x14ac:dyDescent="0.35">
      <c r="A554" t="s">
        <v>590</v>
      </c>
      <c r="B554" s="1">
        <v>45550</v>
      </c>
      <c r="C554" t="s">
        <v>16</v>
      </c>
      <c r="D554" t="s">
        <v>46</v>
      </c>
      <c r="E554" t="s">
        <v>18</v>
      </c>
      <c r="F554">
        <v>516.84</v>
      </c>
      <c r="G554">
        <v>125.46</v>
      </c>
      <c r="H554" t="s">
        <v>13</v>
      </c>
      <c r="I554" t="s">
        <v>29</v>
      </c>
    </row>
    <row r="555" spans="1:9" x14ac:dyDescent="0.35">
      <c r="A555" t="s">
        <v>591</v>
      </c>
      <c r="B555" s="1">
        <v>45074</v>
      </c>
      <c r="C555" t="s">
        <v>25</v>
      </c>
      <c r="D555" t="s">
        <v>62</v>
      </c>
      <c r="E555" t="s">
        <v>27</v>
      </c>
      <c r="F555">
        <v>982.36</v>
      </c>
      <c r="G555">
        <v>118.8</v>
      </c>
      <c r="H555" t="s">
        <v>19</v>
      </c>
      <c r="I555" t="s">
        <v>29</v>
      </c>
    </row>
    <row r="556" spans="1:9" x14ac:dyDescent="0.35">
      <c r="A556" t="s">
        <v>592</v>
      </c>
      <c r="B556" s="1">
        <v>44767</v>
      </c>
      <c r="C556" t="s">
        <v>10</v>
      </c>
      <c r="D556" t="s">
        <v>97</v>
      </c>
      <c r="E556" t="s">
        <v>27</v>
      </c>
      <c r="F556">
        <v>1653.08</v>
      </c>
      <c r="G556">
        <v>107.78</v>
      </c>
      <c r="H556" t="s">
        <v>19</v>
      </c>
      <c r="I556" t="s">
        <v>34</v>
      </c>
    </row>
    <row r="557" spans="1:9" x14ac:dyDescent="0.35">
      <c r="A557" t="s">
        <v>593</v>
      </c>
      <c r="B557" s="1">
        <v>45154</v>
      </c>
      <c r="C557" t="s">
        <v>16</v>
      </c>
      <c r="D557" t="s">
        <v>73</v>
      </c>
      <c r="E557" t="s">
        <v>27</v>
      </c>
      <c r="F557">
        <v>1012.83</v>
      </c>
      <c r="G557">
        <v>124.91</v>
      </c>
      <c r="H557" t="s">
        <v>13</v>
      </c>
      <c r="I557" t="s">
        <v>29</v>
      </c>
    </row>
    <row r="558" spans="1:9" x14ac:dyDescent="0.35">
      <c r="A558" t="s">
        <v>594</v>
      </c>
      <c r="B558" s="1">
        <v>44616</v>
      </c>
      <c r="C558" t="s">
        <v>10</v>
      </c>
      <c r="D558" t="s">
        <v>97</v>
      </c>
      <c r="E558" t="s">
        <v>27</v>
      </c>
      <c r="F558">
        <v>1998.1</v>
      </c>
      <c r="G558">
        <v>147.01</v>
      </c>
      <c r="H558" t="s">
        <v>13</v>
      </c>
      <c r="I558" t="s">
        <v>29</v>
      </c>
    </row>
    <row r="559" spans="1:9" x14ac:dyDescent="0.35">
      <c r="A559" t="s">
        <v>595</v>
      </c>
      <c r="B559" s="1">
        <v>44860</v>
      </c>
      <c r="C559" t="s">
        <v>22</v>
      </c>
      <c r="D559" t="s">
        <v>57</v>
      </c>
      <c r="E559" t="s">
        <v>27</v>
      </c>
      <c r="F559">
        <v>635.89</v>
      </c>
      <c r="G559">
        <v>46.56</v>
      </c>
      <c r="H559" t="s">
        <v>19</v>
      </c>
      <c r="I559" t="s">
        <v>14</v>
      </c>
    </row>
    <row r="560" spans="1:9" x14ac:dyDescent="0.35">
      <c r="A560" t="s">
        <v>596</v>
      </c>
      <c r="B560" s="1">
        <v>45201</v>
      </c>
      <c r="C560" t="s">
        <v>22</v>
      </c>
      <c r="D560" t="s">
        <v>38</v>
      </c>
      <c r="E560" t="s">
        <v>12</v>
      </c>
      <c r="F560">
        <v>700.88</v>
      </c>
      <c r="G560">
        <v>69.150000000000006</v>
      </c>
      <c r="H560" t="s">
        <v>28</v>
      </c>
      <c r="I560" t="s">
        <v>29</v>
      </c>
    </row>
    <row r="561" spans="1:9" x14ac:dyDescent="0.35">
      <c r="A561" t="s">
        <v>597</v>
      </c>
      <c r="B561" s="1">
        <v>44951</v>
      </c>
      <c r="C561" t="s">
        <v>22</v>
      </c>
      <c r="D561" t="s">
        <v>41</v>
      </c>
      <c r="E561" t="s">
        <v>12</v>
      </c>
      <c r="F561">
        <v>1096.95</v>
      </c>
      <c r="G561">
        <v>112.32</v>
      </c>
      <c r="H561" t="s">
        <v>13</v>
      </c>
      <c r="I561" t="s">
        <v>34</v>
      </c>
    </row>
    <row r="562" spans="1:9" x14ac:dyDescent="0.35">
      <c r="A562" t="s">
        <v>598</v>
      </c>
      <c r="B562" s="1">
        <v>45065</v>
      </c>
      <c r="C562" t="s">
        <v>25</v>
      </c>
      <c r="D562" t="s">
        <v>17</v>
      </c>
      <c r="E562" t="s">
        <v>18</v>
      </c>
      <c r="F562">
        <v>1074.92</v>
      </c>
      <c r="G562">
        <v>85.99</v>
      </c>
      <c r="H562" t="s">
        <v>28</v>
      </c>
      <c r="I562" t="s">
        <v>20</v>
      </c>
    </row>
    <row r="563" spans="1:9" x14ac:dyDescent="0.35">
      <c r="A563" t="s">
        <v>599</v>
      </c>
      <c r="B563" s="1">
        <v>44590</v>
      </c>
      <c r="C563" t="s">
        <v>22</v>
      </c>
      <c r="D563" t="s">
        <v>95</v>
      </c>
      <c r="E563" t="s">
        <v>18</v>
      </c>
      <c r="F563">
        <v>159.72999999999999</v>
      </c>
      <c r="G563">
        <v>36.99</v>
      </c>
      <c r="H563" t="s">
        <v>13</v>
      </c>
      <c r="I563" t="s">
        <v>29</v>
      </c>
    </row>
    <row r="564" spans="1:9" x14ac:dyDescent="0.35">
      <c r="A564" t="s">
        <v>600</v>
      </c>
      <c r="B564" s="1">
        <v>44941</v>
      </c>
      <c r="C564" t="s">
        <v>25</v>
      </c>
      <c r="D564" t="s">
        <v>38</v>
      </c>
      <c r="E564" t="s">
        <v>12</v>
      </c>
      <c r="F564">
        <v>1099.46</v>
      </c>
      <c r="G564">
        <v>260.83</v>
      </c>
      <c r="H564" t="s">
        <v>19</v>
      </c>
      <c r="I564" t="s">
        <v>14</v>
      </c>
    </row>
    <row r="565" spans="1:9" x14ac:dyDescent="0.35">
      <c r="A565" t="s">
        <v>601</v>
      </c>
      <c r="B565" s="1">
        <v>44595</v>
      </c>
      <c r="C565" t="s">
        <v>25</v>
      </c>
      <c r="D565" t="s">
        <v>38</v>
      </c>
      <c r="E565" t="s">
        <v>12</v>
      </c>
      <c r="F565">
        <v>756.57</v>
      </c>
      <c r="G565">
        <v>68.3</v>
      </c>
      <c r="H565" t="s">
        <v>28</v>
      </c>
      <c r="I565" t="s">
        <v>14</v>
      </c>
    </row>
    <row r="566" spans="1:9" x14ac:dyDescent="0.35">
      <c r="A566" t="s">
        <v>602</v>
      </c>
      <c r="B566" s="1">
        <v>45623</v>
      </c>
      <c r="C566" t="s">
        <v>10</v>
      </c>
      <c r="D566" t="s">
        <v>23</v>
      </c>
      <c r="E566" t="s">
        <v>18</v>
      </c>
      <c r="F566">
        <v>218.16</v>
      </c>
      <c r="G566">
        <v>57.31</v>
      </c>
      <c r="H566" t="s">
        <v>13</v>
      </c>
      <c r="I566" t="s">
        <v>20</v>
      </c>
    </row>
    <row r="567" spans="1:9" x14ac:dyDescent="0.35">
      <c r="A567" t="s">
        <v>603</v>
      </c>
      <c r="B567" s="1">
        <v>45482</v>
      </c>
      <c r="C567" t="s">
        <v>16</v>
      </c>
      <c r="D567" t="s">
        <v>33</v>
      </c>
      <c r="E567" t="s">
        <v>18</v>
      </c>
      <c r="F567">
        <v>954.92</v>
      </c>
      <c r="G567">
        <v>98.12</v>
      </c>
      <c r="H567" t="s">
        <v>28</v>
      </c>
      <c r="I567" t="s">
        <v>14</v>
      </c>
    </row>
    <row r="568" spans="1:9" x14ac:dyDescent="0.35">
      <c r="A568" t="s">
        <v>604</v>
      </c>
      <c r="B568" s="1">
        <v>44675</v>
      </c>
      <c r="C568" t="s">
        <v>10</v>
      </c>
      <c r="D568" t="s">
        <v>26</v>
      </c>
      <c r="E568" t="s">
        <v>27</v>
      </c>
      <c r="F568">
        <v>245.31</v>
      </c>
      <c r="G568">
        <v>12.72</v>
      </c>
      <c r="H568" t="s">
        <v>28</v>
      </c>
      <c r="I568" t="s">
        <v>34</v>
      </c>
    </row>
    <row r="569" spans="1:9" x14ac:dyDescent="0.35">
      <c r="A569" t="s">
        <v>605</v>
      </c>
      <c r="B569" s="1">
        <v>45065</v>
      </c>
      <c r="C569" t="s">
        <v>22</v>
      </c>
      <c r="D569" t="s">
        <v>11</v>
      </c>
      <c r="E569" t="s">
        <v>12</v>
      </c>
      <c r="F569">
        <v>183.27</v>
      </c>
      <c r="G569">
        <v>39.619999999999997</v>
      </c>
      <c r="H569" t="s">
        <v>13</v>
      </c>
      <c r="I569" t="s">
        <v>34</v>
      </c>
    </row>
    <row r="570" spans="1:9" x14ac:dyDescent="0.35">
      <c r="A570" t="s">
        <v>606</v>
      </c>
      <c r="B570" s="1">
        <v>45350</v>
      </c>
      <c r="C570" t="s">
        <v>25</v>
      </c>
      <c r="D570" t="s">
        <v>17</v>
      </c>
      <c r="E570" t="s">
        <v>18</v>
      </c>
      <c r="F570">
        <v>282.63</v>
      </c>
      <c r="G570">
        <v>32.270000000000003</v>
      </c>
      <c r="H570" t="s">
        <v>19</v>
      </c>
      <c r="I570" t="s">
        <v>20</v>
      </c>
    </row>
    <row r="571" spans="1:9" x14ac:dyDescent="0.35">
      <c r="A571" t="s">
        <v>607</v>
      </c>
      <c r="B571" s="1">
        <v>45281</v>
      </c>
      <c r="C571" t="s">
        <v>25</v>
      </c>
      <c r="D571" t="s">
        <v>41</v>
      </c>
      <c r="E571" t="s">
        <v>12</v>
      </c>
      <c r="F571">
        <v>1650.34</v>
      </c>
      <c r="G571">
        <v>218.45</v>
      </c>
      <c r="H571" t="s">
        <v>28</v>
      </c>
      <c r="I571" t="s">
        <v>29</v>
      </c>
    </row>
    <row r="572" spans="1:9" x14ac:dyDescent="0.35">
      <c r="A572" t="s">
        <v>608</v>
      </c>
      <c r="B572" s="1">
        <v>45487</v>
      </c>
      <c r="C572" t="s">
        <v>16</v>
      </c>
      <c r="D572" t="s">
        <v>38</v>
      </c>
      <c r="E572" t="s">
        <v>12</v>
      </c>
      <c r="F572">
        <v>1195.1199999999999</v>
      </c>
      <c r="G572">
        <v>284.75</v>
      </c>
      <c r="H572" t="s">
        <v>13</v>
      </c>
      <c r="I572" t="s">
        <v>14</v>
      </c>
    </row>
    <row r="573" spans="1:9" x14ac:dyDescent="0.35">
      <c r="A573" t="s">
        <v>609</v>
      </c>
      <c r="B573" s="1">
        <v>45533</v>
      </c>
      <c r="C573" t="s">
        <v>25</v>
      </c>
      <c r="D573" t="s">
        <v>11</v>
      </c>
      <c r="E573" t="s">
        <v>12</v>
      </c>
      <c r="F573">
        <v>281.54000000000002</v>
      </c>
      <c r="G573">
        <v>50.17</v>
      </c>
      <c r="H573" t="s">
        <v>13</v>
      </c>
      <c r="I573" t="s">
        <v>29</v>
      </c>
    </row>
    <row r="574" spans="1:9" x14ac:dyDescent="0.35">
      <c r="A574" t="s">
        <v>610</v>
      </c>
      <c r="B574" s="1">
        <v>45340</v>
      </c>
      <c r="C574" t="s">
        <v>16</v>
      </c>
      <c r="D574" t="s">
        <v>41</v>
      </c>
      <c r="E574" t="s">
        <v>12</v>
      </c>
      <c r="F574">
        <v>957.33</v>
      </c>
      <c r="G574">
        <v>94.8</v>
      </c>
      <c r="H574" t="s">
        <v>28</v>
      </c>
      <c r="I574" t="s">
        <v>20</v>
      </c>
    </row>
    <row r="575" spans="1:9" x14ac:dyDescent="0.35">
      <c r="A575" t="s">
        <v>611</v>
      </c>
      <c r="B575" s="1">
        <v>45345</v>
      </c>
      <c r="C575" t="s">
        <v>16</v>
      </c>
      <c r="D575" t="s">
        <v>41</v>
      </c>
      <c r="E575" t="s">
        <v>12</v>
      </c>
      <c r="F575">
        <v>1922.47</v>
      </c>
      <c r="G575">
        <v>275.38</v>
      </c>
      <c r="H575" t="s">
        <v>19</v>
      </c>
      <c r="I575" t="s">
        <v>20</v>
      </c>
    </row>
    <row r="576" spans="1:9" x14ac:dyDescent="0.35">
      <c r="A576" t="s">
        <v>612</v>
      </c>
      <c r="B576" s="1">
        <v>45380</v>
      </c>
      <c r="C576" t="s">
        <v>16</v>
      </c>
      <c r="D576" t="s">
        <v>41</v>
      </c>
      <c r="E576" t="s">
        <v>12</v>
      </c>
      <c r="F576">
        <v>1819.01</v>
      </c>
      <c r="G576">
        <v>431.14</v>
      </c>
      <c r="H576" t="s">
        <v>28</v>
      </c>
      <c r="I576" t="s">
        <v>14</v>
      </c>
    </row>
    <row r="577" spans="1:9" x14ac:dyDescent="0.35">
      <c r="A577" t="s">
        <v>613</v>
      </c>
      <c r="B577" s="1">
        <v>45322</v>
      </c>
      <c r="C577" t="s">
        <v>25</v>
      </c>
      <c r="D577" t="s">
        <v>95</v>
      </c>
      <c r="E577" t="s">
        <v>18</v>
      </c>
      <c r="F577">
        <v>306.02999999999997</v>
      </c>
      <c r="G577">
        <v>35.340000000000003</v>
      </c>
      <c r="H577" t="s">
        <v>28</v>
      </c>
      <c r="I577" t="s">
        <v>34</v>
      </c>
    </row>
    <row r="578" spans="1:9" x14ac:dyDescent="0.35">
      <c r="A578" t="s">
        <v>614</v>
      </c>
      <c r="B578" s="1">
        <v>44976</v>
      </c>
      <c r="C578" t="s">
        <v>25</v>
      </c>
      <c r="D578" t="s">
        <v>11</v>
      </c>
      <c r="E578" t="s">
        <v>12</v>
      </c>
      <c r="F578">
        <v>1805.04</v>
      </c>
      <c r="G578">
        <v>202.6</v>
      </c>
      <c r="H578" t="s">
        <v>28</v>
      </c>
      <c r="I578" t="s">
        <v>14</v>
      </c>
    </row>
    <row r="579" spans="1:9" x14ac:dyDescent="0.35">
      <c r="A579" t="s">
        <v>615</v>
      </c>
      <c r="B579" s="1">
        <v>45115</v>
      </c>
      <c r="C579" t="s">
        <v>25</v>
      </c>
      <c r="D579" t="s">
        <v>97</v>
      </c>
      <c r="E579" t="s">
        <v>27</v>
      </c>
      <c r="F579">
        <v>582.55999999999995</v>
      </c>
      <c r="G579">
        <v>170.64</v>
      </c>
      <c r="H579" t="s">
        <v>19</v>
      </c>
      <c r="I579" t="s">
        <v>14</v>
      </c>
    </row>
    <row r="580" spans="1:9" x14ac:dyDescent="0.35">
      <c r="A580" t="s">
        <v>616</v>
      </c>
      <c r="B580" s="1">
        <v>44999</v>
      </c>
      <c r="C580" t="s">
        <v>25</v>
      </c>
      <c r="D580" t="s">
        <v>62</v>
      </c>
      <c r="E580" t="s">
        <v>27</v>
      </c>
      <c r="F580">
        <v>1149.44</v>
      </c>
      <c r="G580">
        <v>75.709999999999994</v>
      </c>
      <c r="H580" t="s">
        <v>19</v>
      </c>
      <c r="I580" t="s">
        <v>29</v>
      </c>
    </row>
    <row r="581" spans="1:9" x14ac:dyDescent="0.35">
      <c r="A581" t="s">
        <v>617</v>
      </c>
      <c r="B581" s="1">
        <v>45318</v>
      </c>
      <c r="C581" t="s">
        <v>10</v>
      </c>
      <c r="D581" t="s">
        <v>38</v>
      </c>
      <c r="E581" t="s">
        <v>12</v>
      </c>
      <c r="F581">
        <v>1393.64</v>
      </c>
      <c r="G581">
        <v>216.39</v>
      </c>
      <c r="H581" t="s">
        <v>13</v>
      </c>
      <c r="I581" t="s">
        <v>34</v>
      </c>
    </row>
    <row r="582" spans="1:9" x14ac:dyDescent="0.35">
      <c r="A582" t="s">
        <v>618</v>
      </c>
      <c r="B582" s="1">
        <v>45582</v>
      </c>
      <c r="C582" t="s">
        <v>16</v>
      </c>
      <c r="D582" t="s">
        <v>95</v>
      </c>
      <c r="E582" t="s">
        <v>18</v>
      </c>
      <c r="F582">
        <v>779.03</v>
      </c>
      <c r="G582">
        <v>145.9</v>
      </c>
      <c r="H582" t="s">
        <v>13</v>
      </c>
      <c r="I582" t="s">
        <v>14</v>
      </c>
    </row>
    <row r="583" spans="1:9" x14ac:dyDescent="0.35">
      <c r="A583" t="s">
        <v>619</v>
      </c>
      <c r="B583" s="1">
        <v>44754</v>
      </c>
      <c r="C583" t="s">
        <v>25</v>
      </c>
      <c r="D583" t="s">
        <v>62</v>
      </c>
      <c r="E583" t="s">
        <v>27</v>
      </c>
      <c r="F583">
        <v>567.12</v>
      </c>
      <c r="G583">
        <v>49.25</v>
      </c>
      <c r="H583" t="s">
        <v>19</v>
      </c>
      <c r="I583" t="s">
        <v>14</v>
      </c>
    </row>
    <row r="584" spans="1:9" x14ac:dyDescent="0.35">
      <c r="A584" t="s">
        <v>620</v>
      </c>
      <c r="B584" s="1">
        <v>44906</v>
      </c>
      <c r="C584" t="s">
        <v>22</v>
      </c>
      <c r="D584" t="s">
        <v>38</v>
      </c>
      <c r="E584" t="s">
        <v>12</v>
      </c>
      <c r="F584">
        <v>596.24</v>
      </c>
      <c r="G584">
        <v>80.010000000000005</v>
      </c>
      <c r="H584" t="s">
        <v>28</v>
      </c>
      <c r="I584" t="s">
        <v>14</v>
      </c>
    </row>
    <row r="585" spans="1:9" x14ac:dyDescent="0.35">
      <c r="A585" t="s">
        <v>621</v>
      </c>
      <c r="B585" s="1">
        <v>45646</v>
      </c>
      <c r="C585" t="s">
        <v>16</v>
      </c>
      <c r="D585" t="s">
        <v>97</v>
      </c>
      <c r="E585" t="s">
        <v>27</v>
      </c>
      <c r="F585">
        <v>1984</v>
      </c>
      <c r="G585">
        <v>459.11</v>
      </c>
      <c r="H585" t="s">
        <v>13</v>
      </c>
      <c r="I585" t="s">
        <v>20</v>
      </c>
    </row>
    <row r="586" spans="1:9" x14ac:dyDescent="0.35">
      <c r="A586" t="s">
        <v>622</v>
      </c>
      <c r="B586" s="1">
        <v>44653</v>
      </c>
      <c r="C586" t="s">
        <v>22</v>
      </c>
      <c r="D586" t="s">
        <v>97</v>
      </c>
      <c r="E586" t="s">
        <v>27</v>
      </c>
      <c r="F586">
        <v>1943.07</v>
      </c>
      <c r="G586">
        <v>403.77</v>
      </c>
      <c r="H586" t="s">
        <v>28</v>
      </c>
      <c r="I586" t="s">
        <v>29</v>
      </c>
    </row>
    <row r="587" spans="1:9" x14ac:dyDescent="0.35">
      <c r="A587" t="s">
        <v>623</v>
      </c>
      <c r="B587" s="1">
        <v>45178</v>
      </c>
      <c r="C587" t="s">
        <v>10</v>
      </c>
      <c r="D587" t="s">
        <v>33</v>
      </c>
      <c r="E587" t="s">
        <v>18</v>
      </c>
      <c r="F587">
        <v>275.17</v>
      </c>
      <c r="G587">
        <v>25.28</v>
      </c>
      <c r="H587" t="s">
        <v>13</v>
      </c>
      <c r="I587" t="s">
        <v>34</v>
      </c>
    </row>
    <row r="588" spans="1:9" x14ac:dyDescent="0.35">
      <c r="A588" t="s">
        <v>624</v>
      </c>
      <c r="B588" s="1">
        <v>45390</v>
      </c>
      <c r="C588" t="s">
        <v>25</v>
      </c>
      <c r="D588" t="s">
        <v>95</v>
      </c>
      <c r="E588" t="s">
        <v>18</v>
      </c>
      <c r="F588">
        <v>992.66</v>
      </c>
      <c r="G588">
        <v>65.84</v>
      </c>
      <c r="H588" t="s">
        <v>19</v>
      </c>
      <c r="I588" t="s">
        <v>20</v>
      </c>
    </row>
    <row r="589" spans="1:9" x14ac:dyDescent="0.35">
      <c r="A589" t="s">
        <v>625</v>
      </c>
      <c r="B589" s="1">
        <v>45477</v>
      </c>
      <c r="C589" t="s">
        <v>10</v>
      </c>
      <c r="D589" t="s">
        <v>97</v>
      </c>
      <c r="E589" t="s">
        <v>27</v>
      </c>
      <c r="F589">
        <v>461.02</v>
      </c>
      <c r="G589">
        <v>95.49</v>
      </c>
      <c r="H589" t="s">
        <v>28</v>
      </c>
      <c r="I589" t="s">
        <v>14</v>
      </c>
    </row>
    <row r="590" spans="1:9" x14ac:dyDescent="0.35">
      <c r="A590" t="s">
        <v>626</v>
      </c>
      <c r="B590" s="1">
        <v>45419</v>
      </c>
      <c r="C590" t="s">
        <v>22</v>
      </c>
      <c r="D590" t="s">
        <v>11</v>
      </c>
      <c r="E590" t="s">
        <v>12</v>
      </c>
      <c r="F590">
        <v>1743.75</v>
      </c>
      <c r="G590">
        <v>198.95</v>
      </c>
      <c r="H590" t="s">
        <v>28</v>
      </c>
      <c r="I590" t="s">
        <v>20</v>
      </c>
    </row>
    <row r="591" spans="1:9" x14ac:dyDescent="0.35">
      <c r="A591" t="s">
        <v>627</v>
      </c>
      <c r="B591" s="1">
        <v>45565</v>
      </c>
      <c r="C591" t="s">
        <v>22</v>
      </c>
      <c r="D591" t="s">
        <v>23</v>
      </c>
      <c r="E591" t="s">
        <v>18</v>
      </c>
      <c r="F591">
        <v>1089.1400000000001</v>
      </c>
      <c r="G591">
        <v>91.9</v>
      </c>
      <c r="H591" t="s">
        <v>19</v>
      </c>
      <c r="I591" t="s">
        <v>29</v>
      </c>
    </row>
    <row r="592" spans="1:9" x14ac:dyDescent="0.35">
      <c r="A592" t="s">
        <v>628</v>
      </c>
      <c r="B592" s="1">
        <v>44688</v>
      </c>
      <c r="C592" t="s">
        <v>10</v>
      </c>
      <c r="D592" t="s">
        <v>33</v>
      </c>
      <c r="E592" t="s">
        <v>18</v>
      </c>
      <c r="F592">
        <v>1965.97</v>
      </c>
      <c r="G592">
        <v>363.34</v>
      </c>
      <c r="H592" t="s">
        <v>19</v>
      </c>
      <c r="I592" t="s">
        <v>29</v>
      </c>
    </row>
    <row r="593" spans="1:9" x14ac:dyDescent="0.35">
      <c r="A593" t="s">
        <v>629</v>
      </c>
      <c r="B593" s="1">
        <v>45293</v>
      </c>
      <c r="C593" t="s">
        <v>22</v>
      </c>
      <c r="D593" t="s">
        <v>33</v>
      </c>
      <c r="E593" t="s">
        <v>18</v>
      </c>
      <c r="F593">
        <v>649.16999999999996</v>
      </c>
      <c r="G593">
        <v>78.08</v>
      </c>
      <c r="H593" t="s">
        <v>13</v>
      </c>
      <c r="I593" t="s">
        <v>14</v>
      </c>
    </row>
    <row r="594" spans="1:9" x14ac:dyDescent="0.35">
      <c r="A594" t="s">
        <v>630</v>
      </c>
      <c r="B594" s="1">
        <v>45446</v>
      </c>
      <c r="C594" t="s">
        <v>16</v>
      </c>
      <c r="D594" t="s">
        <v>50</v>
      </c>
      <c r="E594" t="s">
        <v>12</v>
      </c>
      <c r="F594">
        <v>1393.64</v>
      </c>
      <c r="G594">
        <v>307.48</v>
      </c>
      <c r="H594" t="s">
        <v>19</v>
      </c>
      <c r="I594" t="s">
        <v>20</v>
      </c>
    </row>
    <row r="595" spans="1:9" x14ac:dyDescent="0.35">
      <c r="A595" t="s">
        <v>631</v>
      </c>
      <c r="B595" s="1">
        <v>45557</v>
      </c>
      <c r="C595" t="s">
        <v>10</v>
      </c>
      <c r="D595" t="s">
        <v>41</v>
      </c>
      <c r="E595" t="s">
        <v>12</v>
      </c>
      <c r="F595">
        <v>529.89</v>
      </c>
      <c r="G595">
        <v>96.33</v>
      </c>
      <c r="H595" t="s">
        <v>28</v>
      </c>
      <c r="I595" t="s">
        <v>29</v>
      </c>
    </row>
    <row r="596" spans="1:9" x14ac:dyDescent="0.35">
      <c r="A596" t="s">
        <v>632</v>
      </c>
      <c r="B596" s="1">
        <v>45395</v>
      </c>
      <c r="C596" t="s">
        <v>16</v>
      </c>
      <c r="D596" t="s">
        <v>41</v>
      </c>
      <c r="E596" t="s">
        <v>12</v>
      </c>
      <c r="F596">
        <v>838.83</v>
      </c>
      <c r="G596">
        <v>63.15</v>
      </c>
      <c r="H596" t="s">
        <v>28</v>
      </c>
      <c r="I596" t="s">
        <v>29</v>
      </c>
    </row>
    <row r="597" spans="1:9" x14ac:dyDescent="0.35">
      <c r="A597" t="s">
        <v>633</v>
      </c>
      <c r="B597" s="1">
        <v>45616</v>
      </c>
      <c r="C597" t="s">
        <v>22</v>
      </c>
      <c r="D597" t="s">
        <v>50</v>
      </c>
      <c r="E597" t="s">
        <v>12</v>
      </c>
      <c r="F597">
        <v>1831.34</v>
      </c>
      <c r="G597">
        <v>257.32</v>
      </c>
      <c r="H597" t="s">
        <v>13</v>
      </c>
      <c r="I597" t="s">
        <v>14</v>
      </c>
    </row>
    <row r="598" spans="1:9" x14ac:dyDescent="0.35">
      <c r="A598" t="s">
        <v>634</v>
      </c>
      <c r="B598" s="1">
        <v>45204</v>
      </c>
      <c r="C598" t="s">
        <v>25</v>
      </c>
      <c r="D598" t="s">
        <v>95</v>
      </c>
      <c r="E598" t="s">
        <v>18</v>
      </c>
      <c r="F598">
        <v>414.65</v>
      </c>
      <c r="G598">
        <v>89.71</v>
      </c>
      <c r="H598" t="s">
        <v>13</v>
      </c>
      <c r="I598" t="s">
        <v>14</v>
      </c>
    </row>
    <row r="599" spans="1:9" x14ac:dyDescent="0.35">
      <c r="A599" t="s">
        <v>635</v>
      </c>
      <c r="B599" s="1">
        <v>45524</v>
      </c>
      <c r="C599" t="s">
        <v>16</v>
      </c>
      <c r="D599" t="s">
        <v>23</v>
      </c>
      <c r="E599" t="s">
        <v>18</v>
      </c>
      <c r="F599">
        <v>1048.8800000000001</v>
      </c>
      <c r="G599">
        <v>175.37</v>
      </c>
      <c r="H599" t="s">
        <v>19</v>
      </c>
      <c r="I599" t="s">
        <v>29</v>
      </c>
    </row>
    <row r="600" spans="1:9" x14ac:dyDescent="0.35">
      <c r="A600" t="s">
        <v>636</v>
      </c>
      <c r="B600" s="1">
        <v>45275</v>
      </c>
      <c r="C600" t="s">
        <v>22</v>
      </c>
      <c r="D600" t="s">
        <v>50</v>
      </c>
      <c r="E600" t="s">
        <v>12</v>
      </c>
      <c r="F600">
        <v>349.95</v>
      </c>
      <c r="G600">
        <v>92.51</v>
      </c>
      <c r="H600" t="s">
        <v>13</v>
      </c>
      <c r="I600" t="s">
        <v>29</v>
      </c>
    </row>
    <row r="601" spans="1:9" x14ac:dyDescent="0.35">
      <c r="A601" t="s">
        <v>637</v>
      </c>
      <c r="B601" s="1">
        <v>44682</v>
      </c>
      <c r="C601" t="s">
        <v>16</v>
      </c>
      <c r="D601" t="s">
        <v>26</v>
      </c>
      <c r="E601" t="s">
        <v>27</v>
      </c>
      <c r="F601">
        <v>1278.3900000000001</v>
      </c>
      <c r="G601">
        <v>76.87</v>
      </c>
      <c r="H601" t="s">
        <v>28</v>
      </c>
      <c r="I601" t="s">
        <v>14</v>
      </c>
    </row>
    <row r="602" spans="1:9" x14ac:dyDescent="0.35">
      <c r="A602" t="s">
        <v>638</v>
      </c>
      <c r="B602" s="1">
        <v>45248</v>
      </c>
      <c r="C602" t="s">
        <v>22</v>
      </c>
      <c r="D602" t="s">
        <v>50</v>
      </c>
      <c r="E602" t="s">
        <v>12</v>
      </c>
      <c r="F602">
        <v>1752.19</v>
      </c>
      <c r="G602">
        <v>244.97</v>
      </c>
      <c r="H602" t="s">
        <v>13</v>
      </c>
      <c r="I602" t="s">
        <v>20</v>
      </c>
    </row>
    <row r="603" spans="1:9" x14ac:dyDescent="0.35">
      <c r="A603" t="s">
        <v>639</v>
      </c>
      <c r="B603" s="1">
        <v>45162</v>
      </c>
      <c r="C603" t="s">
        <v>10</v>
      </c>
      <c r="D603" t="s">
        <v>17</v>
      </c>
      <c r="E603" t="s">
        <v>18</v>
      </c>
      <c r="F603">
        <v>773.88</v>
      </c>
      <c r="G603">
        <v>130.80000000000001</v>
      </c>
      <c r="H603" t="s">
        <v>19</v>
      </c>
      <c r="I603" t="s">
        <v>34</v>
      </c>
    </row>
    <row r="604" spans="1:9" x14ac:dyDescent="0.35">
      <c r="A604" t="s">
        <v>640</v>
      </c>
      <c r="B604" s="1">
        <v>45636</v>
      </c>
      <c r="C604" t="s">
        <v>25</v>
      </c>
      <c r="D604" t="s">
        <v>31</v>
      </c>
      <c r="E604" t="s">
        <v>12</v>
      </c>
      <c r="F604">
        <v>1362.39</v>
      </c>
      <c r="G604">
        <v>206.07</v>
      </c>
      <c r="H604" t="s">
        <v>28</v>
      </c>
      <c r="I604" t="s">
        <v>20</v>
      </c>
    </row>
    <row r="605" spans="1:9" x14ac:dyDescent="0.35">
      <c r="A605" t="s">
        <v>641</v>
      </c>
      <c r="B605" s="1">
        <v>45497</v>
      </c>
      <c r="C605" t="s">
        <v>10</v>
      </c>
      <c r="D605" t="s">
        <v>95</v>
      </c>
      <c r="E605" t="s">
        <v>18</v>
      </c>
      <c r="F605">
        <v>1967.18</v>
      </c>
      <c r="G605">
        <v>218.77</v>
      </c>
      <c r="H605" t="s">
        <v>19</v>
      </c>
      <c r="I605" t="s">
        <v>34</v>
      </c>
    </row>
    <row r="606" spans="1:9" x14ac:dyDescent="0.35">
      <c r="A606" t="s">
        <v>642</v>
      </c>
      <c r="B606" s="1">
        <v>44712</v>
      </c>
      <c r="C606" t="s">
        <v>22</v>
      </c>
      <c r="D606" t="s">
        <v>57</v>
      </c>
      <c r="E606" t="s">
        <v>27</v>
      </c>
      <c r="F606">
        <v>1613.43</v>
      </c>
      <c r="G606">
        <v>449.62</v>
      </c>
      <c r="H606" t="s">
        <v>28</v>
      </c>
      <c r="I606" t="s">
        <v>29</v>
      </c>
    </row>
    <row r="607" spans="1:9" x14ac:dyDescent="0.35">
      <c r="A607" t="s">
        <v>643</v>
      </c>
      <c r="B607" s="1">
        <v>44638</v>
      </c>
      <c r="C607" t="s">
        <v>22</v>
      </c>
      <c r="D607" t="s">
        <v>95</v>
      </c>
      <c r="E607" t="s">
        <v>18</v>
      </c>
      <c r="F607">
        <v>1961.51</v>
      </c>
      <c r="G607">
        <v>364.15</v>
      </c>
      <c r="H607" t="s">
        <v>19</v>
      </c>
      <c r="I607" t="s">
        <v>34</v>
      </c>
    </row>
    <row r="608" spans="1:9" x14ac:dyDescent="0.35">
      <c r="A608" t="s">
        <v>644</v>
      </c>
      <c r="B608" s="1">
        <v>44869</v>
      </c>
      <c r="C608" t="s">
        <v>25</v>
      </c>
      <c r="D608" t="s">
        <v>62</v>
      </c>
      <c r="E608" t="s">
        <v>27</v>
      </c>
      <c r="F608">
        <v>663.65</v>
      </c>
      <c r="G608">
        <v>113.38</v>
      </c>
      <c r="H608" t="s">
        <v>13</v>
      </c>
      <c r="I608" t="s">
        <v>14</v>
      </c>
    </row>
    <row r="609" spans="1:9" x14ac:dyDescent="0.35">
      <c r="A609" t="s">
        <v>645</v>
      </c>
      <c r="B609" s="1">
        <v>45357</v>
      </c>
      <c r="C609" t="s">
        <v>22</v>
      </c>
      <c r="D609" t="s">
        <v>17</v>
      </c>
      <c r="E609" t="s">
        <v>18</v>
      </c>
      <c r="F609">
        <v>661.02</v>
      </c>
      <c r="G609">
        <v>46.81</v>
      </c>
      <c r="H609" t="s">
        <v>28</v>
      </c>
      <c r="I609" t="s">
        <v>14</v>
      </c>
    </row>
    <row r="610" spans="1:9" x14ac:dyDescent="0.35">
      <c r="A610" t="s">
        <v>646</v>
      </c>
      <c r="B610" s="1">
        <v>45482</v>
      </c>
      <c r="C610" t="s">
        <v>10</v>
      </c>
      <c r="D610" t="s">
        <v>33</v>
      </c>
      <c r="E610" t="s">
        <v>18</v>
      </c>
      <c r="F610">
        <v>862.66</v>
      </c>
      <c r="G610">
        <v>102.98</v>
      </c>
      <c r="H610" t="s">
        <v>19</v>
      </c>
      <c r="I610" t="s">
        <v>29</v>
      </c>
    </row>
    <row r="611" spans="1:9" x14ac:dyDescent="0.35">
      <c r="A611" t="s">
        <v>647</v>
      </c>
      <c r="B611" s="1">
        <v>44593</v>
      </c>
      <c r="C611" t="s">
        <v>16</v>
      </c>
      <c r="D611" t="s">
        <v>95</v>
      </c>
      <c r="E611" t="s">
        <v>18</v>
      </c>
      <c r="F611">
        <v>1614.08</v>
      </c>
      <c r="G611">
        <v>394.34</v>
      </c>
      <c r="H611" t="s">
        <v>13</v>
      </c>
      <c r="I611" t="s">
        <v>14</v>
      </c>
    </row>
    <row r="612" spans="1:9" x14ac:dyDescent="0.35">
      <c r="A612" t="s">
        <v>648</v>
      </c>
      <c r="B612" s="1">
        <v>44759</v>
      </c>
      <c r="C612" t="s">
        <v>22</v>
      </c>
      <c r="D612" t="s">
        <v>62</v>
      </c>
      <c r="E612" t="s">
        <v>27</v>
      </c>
      <c r="F612">
        <v>85.05</v>
      </c>
      <c r="G612">
        <v>24.21</v>
      </c>
      <c r="H612" t="s">
        <v>28</v>
      </c>
      <c r="I612" t="s">
        <v>14</v>
      </c>
    </row>
    <row r="613" spans="1:9" x14ac:dyDescent="0.35">
      <c r="A613" t="s">
        <v>649</v>
      </c>
      <c r="B613" s="1">
        <v>44840</v>
      </c>
      <c r="C613" t="s">
        <v>10</v>
      </c>
      <c r="D613" t="s">
        <v>33</v>
      </c>
      <c r="E613" t="s">
        <v>18</v>
      </c>
      <c r="F613">
        <v>427.17</v>
      </c>
      <c r="G613">
        <v>79.16</v>
      </c>
      <c r="H613" t="s">
        <v>13</v>
      </c>
      <c r="I613" t="s">
        <v>14</v>
      </c>
    </row>
    <row r="614" spans="1:9" x14ac:dyDescent="0.35">
      <c r="A614" t="s">
        <v>650</v>
      </c>
      <c r="B614" s="1">
        <v>45413</v>
      </c>
      <c r="C614" t="s">
        <v>25</v>
      </c>
      <c r="D614" t="s">
        <v>62</v>
      </c>
      <c r="E614" t="s">
        <v>27</v>
      </c>
      <c r="F614">
        <v>1207.25</v>
      </c>
      <c r="G614">
        <v>326.85000000000002</v>
      </c>
      <c r="H614" t="s">
        <v>19</v>
      </c>
      <c r="I614" t="s">
        <v>14</v>
      </c>
    </row>
    <row r="615" spans="1:9" x14ac:dyDescent="0.35">
      <c r="A615" t="s">
        <v>651</v>
      </c>
      <c r="B615" s="1">
        <v>44574</v>
      </c>
      <c r="C615" t="s">
        <v>25</v>
      </c>
      <c r="D615" t="s">
        <v>73</v>
      </c>
      <c r="E615" t="s">
        <v>27</v>
      </c>
      <c r="F615">
        <v>599.66999999999996</v>
      </c>
      <c r="G615">
        <v>127.76</v>
      </c>
      <c r="H615" t="s">
        <v>13</v>
      </c>
      <c r="I615" t="s">
        <v>29</v>
      </c>
    </row>
    <row r="616" spans="1:9" x14ac:dyDescent="0.35">
      <c r="A616" t="s">
        <v>652</v>
      </c>
      <c r="B616" s="1">
        <v>45366</v>
      </c>
      <c r="C616" t="s">
        <v>10</v>
      </c>
      <c r="D616" t="s">
        <v>62</v>
      </c>
      <c r="E616" t="s">
        <v>27</v>
      </c>
      <c r="F616">
        <v>1922.43</v>
      </c>
      <c r="G616">
        <v>107.41</v>
      </c>
      <c r="H616" t="s">
        <v>28</v>
      </c>
      <c r="I616" t="s">
        <v>34</v>
      </c>
    </row>
    <row r="617" spans="1:9" x14ac:dyDescent="0.35">
      <c r="A617" t="s">
        <v>653</v>
      </c>
      <c r="B617" s="1">
        <v>45449</v>
      </c>
      <c r="C617" t="s">
        <v>25</v>
      </c>
      <c r="D617" t="s">
        <v>57</v>
      </c>
      <c r="E617" t="s">
        <v>27</v>
      </c>
      <c r="F617">
        <v>1442.39</v>
      </c>
      <c r="G617">
        <v>222.27</v>
      </c>
      <c r="H617" t="s">
        <v>19</v>
      </c>
      <c r="I617" t="s">
        <v>34</v>
      </c>
    </row>
    <row r="618" spans="1:9" x14ac:dyDescent="0.35">
      <c r="A618" t="s">
        <v>654</v>
      </c>
      <c r="B618" s="1">
        <v>45169</v>
      </c>
      <c r="C618" t="s">
        <v>25</v>
      </c>
      <c r="D618" t="s">
        <v>97</v>
      </c>
      <c r="E618" t="s">
        <v>27</v>
      </c>
      <c r="F618">
        <v>440.84</v>
      </c>
      <c r="G618">
        <v>74.39</v>
      </c>
      <c r="H618" t="s">
        <v>28</v>
      </c>
      <c r="I618" t="s">
        <v>34</v>
      </c>
    </row>
    <row r="619" spans="1:9" x14ac:dyDescent="0.35">
      <c r="A619" t="s">
        <v>655</v>
      </c>
      <c r="B619" s="1">
        <v>44780</v>
      </c>
      <c r="C619" t="s">
        <v>10</v>
      </c>
      <c r="D619" t="s">
        <v>73</v>
      </c>
      <c r="E619" t="s">
        <v>27</v>
      </c>
      <c r="F619">
        <v>603.66</v>
      </c>
      <c r="G619">
        <v>108.77</v>
      </c>
      <c r="H619" t="s">
        <v>28</v>
      </c>
      <c r="I619" t="s">
        <v>20</v>
      </c>
    </row>
    <row r="620" spans="1:9" x14ac:dyDescent="0.35">
      <c r="A620" t="s">
        <v>656</v>
      </c>
      <c r="B620" s="1">
        <v>45115</v>
      </c>
      <c r="C620" t="s">
        <v>22</v>
      </c>
      <c r="D620" t="s">
        <v>31</v>
      </c>
      <c r="E620" t="s">
        <v>12</v>
      </c>
      <c r="F620">
        <v>175.68</v>
      </c>
      <c r="G620">
        <v>10.16</v>
      </c>
      <c r="H620" t="s">
        <v>13</v>
      </c>
      <c r="I620" t="s">
        <v>34</v>
      </c>
    </row>
    <row r="621" spans="1:9" x14ac:dyDescent="0.35">
      <c r="A621" t="s">
        <v>657</v>
      </c>
      <c r="B621" s="1">
        <v>45457</v>
      </c>
      <c r="C621" t="s">
        <v>22</v>
      </c>
      <c r="D621" t="s">
        <v>17</v>
      </c>
      <c r="E621" t="s">
        <v>18</v>
      </c>
      <c r="F621">
        <v>1722.43</v>
      </c>
      <c r="G621">
        <v>379.7</v>
      </c>
      <c r="H621" t="s">
        <v>28</v>
      </c>
      <c r="I621" t="s">
        <v>14</v>
      </c>
    </row>
    <row r="622" spans="1:9" x14ac:dyDescent="0.35">
      <c r="A622" t="s">
        <v>658</v>
      </c>
      <c r="B622" s="1">
        <v>45598</v>
      </c>
      <c r="C622" t="s">
        <v>10</v>
      </c>
      <c r="D622" t="s">
        <v>95</v>
      </c>
      <c r="E622" t="s">
        <v>18</v>
      </c>
      <c r="F622">
        <v>1122.8900000000001</v>
      </c>
      <c r="G622">
        <v>162.91999999999999</v>
      </c>
      <c r="H622" t="s">
        <v>28</v>
      </c>
      <c r="I622" t="s">
        <v>29</v>
      </c>
    </row>
    <row r="623" spans="1:9" x14ac:dyDescent="0.35">
      <c r="A623" t="s">
        <v>659</v>
      </c>
      <c r="B623" s="1">
        <v>44907</v>
      </c>
      <c r="C623" t="s">
        <v>10</v>
      </c>
      <c r="D623" t="s">
        <v>95</v>
      </c>
      <c r="E623" t="s">
        <v>18</v>
      </c>
      <c r="F623">
        <v>847.9</v>
      </c>
      <c r="G623">
        <v>184.2</v>
      </c>
      <c r="H623" t="s">
        <v>19</v>
      </c>
      <c r="I623" t="s">
        <v>20</v>
      </c>
    </row>
    <row r="624" spans="1:9" x14ac:dyDescent="0.35">
      <c r="A624" t="s">
        <v>660</v>
      </c>
      <c r="B624" s="1">
        <v>45514</v>
      </c>
      <c r="C624" t="s">
        <v>10</v>
      </c>
      <c r="D624" t="s">
        <v>33</v>
      </c>
      <c r="E624" t="s">
        <v>18</v>
      </c>
      <c r="F624">
        <v>1135.99</v>
      </c>
      <c r="G624">
        <v>297.54000000000002</v>
      </c>
      <c r="H624" t="s">
        <v>13</v>
      </c>
      <c r="I624" t="s">
        <v>29</v>
      </c>
    </row>
    <row r="625" spans="1:9" x14ac:dyDescent="0.35">
      <c r="A625" t="s">
        <v>661</v>
      </c>
      <c r="B625" s="1">
        <v>44613</v>
      </c>
      <c r="C625" t="s">
        <v>22</v>
      </c>
      <c r="D625" t="s">
        <v>46</v>
      </c>
      <c r="E625" t="s">
        <v>18</v>
      </c>
      <c r="F625">
        <v>955.36</v>
      </c>
      <c r="G625">
        <v>245.63</v>
      </c>
      <c r="H625" t="s">
        <v>28</v>
      </c>
      <c r="I625" t="s">
        <v>14</v>
      </c>
    </row>
    <row r="626" spans="1:9" x14ac:dyDescent="0.35">
      <c r="A626" t="s">
        <v>662</v>
      </c>
      <c r="B626" s="1">
        <v>44886</v>
      </c>
      <c r="C626" t="s">
        <v>25</v>
      </c>
      <c r="D626" t="s">
        <v>62</v>
      </c>
      <c r="E626" t="s">
        <v>27</v>
      </c>
      <c r="F626">
        <v>1335.62</v>
      </c>
      <c r="G626">
        <v>184.83</v>
      </c>
      <c r="H626" t="s">
        <v>28</v>
      </c>
      <c r="I626" t="s">
        <v>29</v>
      </c>
    </row>
    <row r="627" spans="1:9" x14ac:dyDescent="0.35">
      <c r="A627" t="s">
        <v>663</v>
      </c>
      <c r="B627" s="1">
        <v>45033</v>
      </c>
      <c r="C627" t="s">
        <v>16</v>
      </c>
      <c r="D627" t="s">
        <v>26</v>
      </c>
      <c r="E627" t="s">
        <v>27</v>
      </c>
      <c r="F627">
        <v>138.43</v>
      </c>
      <c r="G627">
        <v>33.119999999999997</v>
      </c>
      <c r="H627" t="s">
        <v>28</v>
      </c>
      <c r="I627" t="s">
        <v>29</v>
      </c>
    </row>
    <row r="628" spans="1:9" x14ac:dyDescent="0.35">
      <c r="A628" t="s">
        <v>664</v>
      </c>
      <c r="B628" s="1">
        <v>44973</v>
      </c>
      <c r="C628" t="s">
        <v>10</v>
      </c>
      <c r="D628" t="s">
        <v>57</v>
      </c>
      <c r="E628" t="s">
        <v>27</v>
      </c>
      <c r="F628">
        <v>1604.1</v>
      </c>
      <c r="G628">
        <v>211.25</v>
      </c>
      <c r="H628" t="s">
        <v>19</v>
      </c>
      <c r="I628" t="s">
        <v>20</v>
      </c>
    </row>
    <row r="629" spans="1:9" x14ac:dyDescent="0.35">
      <c r="A629" t="s">
        <v>665</v>
      </c>
      <c r="B629" s="1">
        <v>44887</v>
      </c>
      <c r="C629" t="s">
        <v>22</v>
      </c>
      <c r="D629" t="s">
        <v>73</v>
      </c>
      <c r="E629" t="s">
        <v>27</v>
      </c>
      <c r="F629">
        <v>677.91</v>
      </c>
      <c r="G629">
        <v>129.36000000000001</v>
      </c>
      <c r="H629" t="s">
        <v>19</v>
      </c>
      <c r="I629" t="s">
        <v>29</v>
      </c>
    </row>
    <row r="630" spans="1:9" x14ac:dyDescent="0.35">
      <c r="A630" t="s">
        <v>666</v>
      </c>
      <c r="B630" s="1">
        <v>44769</v>
      </c>
      <c r="C630" t="s">
        <v>22</v>
      </c>
      <c r="D630" t="s">
        <v>97</v>
      </c>
      <c r="E630" t="s">
        <v>27</v>
      </c>
      <c r="F630">
        <v>815.33</v>
      </c>
      <c r="G630">
        <v>148.53</v>
      </c>
      <c r="H630" t="s">
        <v>28</v>
      </c>
      <c r="I630" t="s">
        <v>29</v>
      </c>
    </row>
    <row r="631" spans="1:9" x14ac:dyDescent="0.35">
      <c r="A631" t="s">
        <v>667</v>
      </c>
      <c r="B631" s="1">
        <v>44924</v>
      </c>
      <c r="C631" t="s">
        <v>25</v>
      </c>
      <c r="D631" t="s">
        <v>31</v>
      </c>
      <c r="E631" t="s">
        <v>12</v>
      </c>
      <c r="F631">
        <v>859.69</v>
      </c>
      <c r="G631">
        <v>223.46</v>
      </c>
      <c r="H631" t="s">
        <v>28</v>
      </c>
      <c r="I631" t="s">
        <v>20</v>
      </c>
    </row>
    <row r="632" spans="1:9" x14ac:dyDescent="0.35">
      <c r="A632" t="s">
        <v>668</v>
      </c>
      <c r="B632" s="1">
        <v>44837</v>
      </c>
      <c r="C632" t="s">
        <v>16</v>
      </c>
      <c r="D632" t="s">
        <v>41</v>
      </c>
      <c r="E632" t="s">
        <v>12</v>
      </c>
      <c r="F632">
        <v>1339.23</v>
      </c>
      <c r="G632">
        <v>397.54</v>
      </c>
      <c r="H632" t="s">
        <v>28</v>
      </c>
      <c r="I632" t="s">
        <v>29</v>
      </c>
    </row>
    <row r="633" spans="1:9" x14ac:dyDescent="0.35">
      <c r="A633" t="s">
        <v>669</v>
      </c>
      <c r="B633" s="1">
        <v>44804</v>
      </c>
      <c r="C633" t="s">
        <v>16</v>
      </c>
      <c r="D633" t="s">
        <v>57</v>
      </c>
      <c r="E633" t="s">
        <v>27</v>
      </c>
      <c r="F633">
        <v>437.19</v>
      </c>
      <c r="G633">
        <v>46.33</v>
      </c>
      <c r="H633" t="s">
        <v>19</v>
      </c>
      <c r="I633" t="s">
        <v>34</v>
      </c>
    </row>
    <row r="634" spans="1:9" x14ac:dyDescent="0.35">
      <c r="A634" t="s">
        <v>670</v>
      </c>
      <c r="B634" s="1">
        <v>45325</v>
      </c>
      <c r="C634" t="s">
        <v>10</v>
      </c>
      <c r="D634" t="s">
        <v>41</v>
      </c>
      <c r="E634" t="s">
        <v>12</v>
      </c>
      <c r="F634">
        <v>670</v>
      </c>
      <c r="G634">
        <v>161.43</v>
      </c>
      <c r="H634" t="s">
        <v>28</v>
      </c>
      <c r="I634" t="s">
        <v>29</v>
      </c>
    </row>
    <row r="635" spans="1:9" x14ac:dyDescent="0.35">
      <c r="A635" t="s">
        <v>671</v>
      </c>
      <c r="B635" s="1">
        <v>44701</v>
      </c>
      <c r="C635" t="s">
        <v>22</v>
      </c>
      <c r="D635" t="s">
        <v>41</v>
      </c>
      <c r="E635" t="s">
        <v>12</v>
      </c>
      <c r="F635">
        <v>120.16</v>
      </c>
      <c r="G635">
        <v>8.2799999999999994</v>
      </c>
      <c r="H635" t="s">
        <v>28</v>
      </c>
      <c r="I635" t="s">
        <v>29</v>
      </c>
    </row>
    <row r="636" spans="1:9" x14ac:dyDescent="0.35">
      <c r="A636" t="s">
        <v>672</v>
      </c>
      <c r="B636" s="1">
        <v>45081</v>
      </c>
      <c r="C636" t="s">
        <v>16</v>
      </c>
      <c r="D636" t="s">
        <v>41</v>
      </c>
      <c r="E636" t="s">
        <v>12</v>
      </c>
      <c r="F636">
        <v>1298.92</v>
      </c>
      <c r="G636">
        <v>194.9</v>
      </c>
      <c r="H636" t="s">
        <v>13</v>
      </c>
      <c r="I636" t="s">
        <v>20</v>
      </c>
    </row>
    <row r="637" spans="1:9" x14ac:dyDescent="0.35">
      <c r="A637" t="s">
        <v>673</v>
      </c>
      <c r="B637" s="1">
        <v>44682</v>
      </c>
      <c r="C637" t="s">
        <v>25</v>
      </c>
      <c r="D637" t="s">
        <v>23</v>
      </c>
      <c r="E637" t="s">
        <v>18</v>
      </c>
      <c r="F637">
        <v>1204.22</v>
      </c>
      <c r="G637">
        <v>274.23</v>
      </c>
      <c r="H637" t="s">
        <v>13</v>
      </c>
      <c r="I637" t="s">
        <v>34</v>
      </c>
    </row>
    <row r="638" spans="1:9" x14ac:dyDescent="0.35">
      <c r="A638" t="s">
        <v>674</v>
      </c>
      <c r="B638" s="1">
        <v>45419</v>
      </c>
      <c r="C638" t="s">
        <v>10</v>
      </c>
      <c r="D638" t="s">
        <v>26</v>
      </c>
      <c r="E638" t="s">
        <v>27</v>
      </c>
      <c r="F638">
        <v>1039.82</v>
      </c>
      <c r="G638">
        <v>161.30000000000001</v>
      </c>
      <c r="H638" t="s">
        <v>13</v>
      </c>
      <c r="I638" t="s">
        <v>34</v>
      </c>
    </row>
    <row r="639" spans="1:9" x14ac:dyDescent="0.35">
      <c r="A639" t="s">
        <v>675</v>
      </c>
      <c r="B639" s="1">
        <v>44756</v>
      </c>
      <c r="C639" t="s">
        <v>25</v>
      </c>
      <c r="D639" t="s">
        <v>23</v>
      </c>
      <c r="E639" t="s">
        <v>18</v>
      </c>
      <c r="F639">
        <v>1335.71</v>
      </c>
      <c r="G639">
        <v>222.52</v>
      </c>
      <c r="H639" t="s">
        <v>13</v>
      </c>
      <c r="I639" t="s">
        <v>29</v>
      </c>
    </row>
    <row r="640" spans="1:9" x14ac:dyDescent="0.35">
      <c r="A640" t="s">
        <v>676</v>
      </c>
      <c r="B640" s="1">
        <v>44582</v>
      </c>
      <c r="C640" t="s">
        <v>25</v>
      </c>
      <c r="D640" t="s">
        <v>31</v>
      </c>
      <c r="E640" t="s">
        <v>12</v>
      </c>
      <c r="F640">
        <v>542.73</v>
      </c>
      <c r="G640">
        <v>63.84</v>
      </c>
      <c r="H640" t="s">
        <v>13</v>
      </c>
      <c r="I640" t="s">
        <v>20</v>
      </c>
    </row>
    <row r="641" spans="1:9" x14ac:dyDescent="0.35">
      <c r="A641" t="s">
        <v>677</v>
      </c>
      <c r="B641" s="1">
        <v>44981</v>
      </c>
      <c r="C641" t="s">
        <v>16</v>
      </c>
      <c r="D641" t="s">
        <v>46</v>
      </c>
      <c r="E641" t="s">
        <v>18</v>
      </c>
      <c r="F641">
        <v>1251.68</v>
      </c>
      <c r="G641">
        <v>312.01</v>
      </c>
      <c r="H641" t="s">
        <v>28</v>
      </c>
      <c r="I641" t="s">
        <v>20</v>
      </c>
    </row>
    <row r="642" spans="1:9" x14ac:dyDescent="0.35">
      <c r="A642" t="s">
        <v>678</v>
      </c>
      <c r="B642" s="1">
        <v>45604</v>
      </c>
      <c r="C642" t="s">
        <v>16</v>
      </c>
      <c r="D642" t="s">
        <v>46</v>
      </c>
      <c r="E642" t="s">
        <v>18</v>
      </c>
      <c r="F642">
        <v>1138.52</v>
      </c>
      <c r="G642">
        <v>214.63</v>
      </c>
      <c r="H642" t="s">
        <v>13</v>
      </c>
      <c r="I642" t="s">
        <v>29</v>
      </c>
    </row>
    <row r="643" spans="1:9" x14ac:dyDescent="0.35">
      <c r="A643" t="s">
        <v>679</v>
      </c>
      <c r="B643" s="1">
        <v>45617</v>
      </c>
      <c r="C643" t="s">
        <v>16</v>
      </c>
      <c r="D643" t="s">
        <v>73</v>
      </c>
      <c r="E643" t="s">
        <v>27</v>
      </c>
      <c r="F643">
        <v>456.71</v>
      </c>
      <c r="G643">
        <v>103.21</v>
      </c>
      <c r="H643" t="s">
        <v>19</v>
      </c>
      <c r="I643" t="s">
        <v>20</v>
      </c>
    </row>
    <row r="644" spans="1:9" x14ac:dyDescent="0.35">
      <c r="A644" t="s">
        <v>680</v>
      </c>
      <c r="B644" s="1">
        <v>45173</v>
      </c>
      <c r="C644" t="s">
        <v>16</v>
      </c>
      <c r="D644" t="s">
        <v>31</v>
      </c>
      <c r="E644" t="s">
        <v>12</v>
      </c>
      <c r="F644">
        <v>330.79</v>
      </c>
      <c r="G644">
        <v>20.46</v>
      </c>
      <c r="H644" t="s">
        <v>19</v>
      </c>
      <c r="I644" t="s">
        <v>29</v>
      </c>
    </row>
    <row r="645" spans="1:9" x14ac:dyDescent="0.35">
      <c r="A645" t="s">
        <v>681</v>
      </c>
      <c r="B645" s="1">
        <v>44900</v>
      </c>
      <c r="C645" t="s">
        <v>22</v>
      </c>
      <c r="D645" t="s">
        <v>31</v>
      </c>
      <c r="E645" t="s">
        <v>12</v>
      </c>
      <c r="F645">
        <v>1676.76</v>
      </c>
      <c r="G645">
        <v>264.05</v>
      </c>
      <c r="H645" t="s">
        <v>13</v>
      </c>
      <c r="I645" t="s">
        <v>14</v>
      </c>
    </row>
    <row r="646" spans="1:9" x14ac:dyDescent="0.35">
      <c r="A646" t="s">
        <v>682</v>
      </c>
      <c r="B646" s="1">
        <v>45123</v>
      </c>
      <c r="C646" t="s">
        <v>22</v>
      </c>
      <c r="D646" t="s">
        <v>26</v>
      </c>
      <c r="E646" t="s">
        <v>27</v>
      </c>
      <c r="F646">
        <v>1565</v>
      </c>
      <c r="G646">
        <v>82.52</v>
      </c>
      <c r="H646" t="s">
        <v>13</v>
      </c>
      <c r="I646" t="s">
        <v>14</v>
      </c>
    </row>
    <row r="647" spans="1:9" x14ac:dyDescent="0.35">
      <c r="A647" t="s">
        <v>683</v>
      </c>
      <c r="B647" s="1">
        <v>45075</v>
      </c>
      <c r="C647" t="s">
        <v>22</v>
      </c>
      <c r="D647" t="s">
        <v>46</v>
      </c>
      <c r="E647" t="s">
        <v>18</v>
      </c>
      <c r="F647">
        <v>1367.6</v>
      </c>
      <c r="G647">
        <v>75.39</v>
      </c>
      <c r="H647" t="s">
        <v>19</v>
      </c>
      <c r="I647" t="s">
        <v>29</v>
      </c>
    </row>
    <row r="648" spans="1:9" x14ac:dyDescent="0.35">
      <c r="A648" t="s">
        <v>684</v>
      </c>
      <c r="B648" s="1">
        <v>45528</v>
      </c>
      <c r="C648" t="s">
        <v>22</v>
      </c>
      <c r="D648" t="s">
        <v>62</v>
      </c>
      <c r="E648" t="s">
        <v>27</v>
      </c>
      <c r="F648">
        <v>1741.81</v>
      </c>
      <c r="G648">
        <v>379.49</v>
      </c>
      <c r="H648" t="s">
        <v>19</v>
      </c>
      <c r="I648" t="s">
        <v>20</v>
      </c>
    </row>
    <row r="649" spans="1:9" x14ac:dyDescent="0.35">
      <c r="A649" t="s">
        <v>685</v>
      </c>
      <c r="B649" s="1">
        <v>45102</v>
      </c>
      <c r="C649" t="s">
        <v>10</v>
      </c>
      <c r="D649" t="s">
        <v>26</v>
      </c>
      <c r="E649" t="s">
        <v>27</v>
      </c>
      <c r="F649">
        <v>1198.1099999999999</v>
      </c>
      <c r="G649">
        <v>262.79000000000002</v>
      </c>
      <c r="H649" t="s">
        <v>28</v>
      </c>
      <c r="I649" t="s">
        <v>29</v>
      </c>
    </row>
    <row r="650" spans="1:9" x14ac:dyDescent="0.35">
      <c r="A650" t="s">
        <v>686</v>
      </c>
      <c r="B650" s="1">
        <v>45447</v>
      </c>
      <c r="C650" t="s">
        <v>16</v>
      </c>
      <c r="D650" t="s">
        <v>23</v>
      </c>
      <c r="E650" t="s">
        <v>18</v>
      </c>
      <c r="F650">
        <v>73.7</v>
      </c>
      <c r="G650">
        <v>20.67</v>
      </c>
      <c r="H650" t="s">
        <v>28</v>
      </c>
      <c r="I650" t="s">
        <v>20</v>
      </c>
    </row>
    <row r="651" spans="1:9" x14ac:dyDescent="0.35">
      <c r="A651" t="s">
        <v>687</v>
      </c>
      <c r="B651" s="1">
        <v>44661</v>
      </c>
      <c r="C651" t="s">
        <v>16</v>
      </c>
      <c r="D651" t="s">
        <v>97</v>
      </c>
      <c r="E651" t="s">
        <v>27</v>
      </c>
      <c r="F651">
        <v>1132.67</v>
      </c>
      <c r="G651">
        <v>227.03</v>
      </c>
      <c r="H651" t="s">
        <v>19</v>
      </c>
      <c r="I651" t="s">
        <v>20</v>
      </c>
    </row>
    <row r="652" spans="1:9" x14ac:dyDescent="0.35">
      <c r="A652" t="s">
        <v>688</v>
      </c>
      <c r="B652" s="1">
        <v>45273</v>
      </c>
      <c r="C652" t="s">
        <v>16</v>
      </c>
      <c r="D652" t="s">
        <v>26</v>
      </c>
      <c r="E652" t="s">
        <v>27</v>
      </c>
      <c r="F652">
        <v>1569.3</v>
      </c>
      <c r="G652">
        <v>367.11</v>
      </c>
      <c r="H652" t="s">
        <v>19</v>
      </c>
      <c r="I652" t="s">
        <v>34</v>
      </c>
    </row>
    <row r="653" spans="1:9" x14ac:dyDescent="0.35">
      <c r="A653" t="s">
        <v>689</v>
      </c>
      <c r="B653" s="1">
        <v>45365</v>
      </c>
      <c r="C653" t="s">
        <v>22</v>
      </c>
      <c r="D653" t="s">
        <v>31</v>
      </c>
      <c r="E653" t="s">
        <v>12</v>
      </c>
      <c r="F653">
        <v>1690.44</v>
      </c>
      <c r="G653">
        <v>480.85</v>
      </c>
      <c r="H653" t="s">
        <v>13</v>
      </c>
      <c r="I653" t="s">
        <v>34</v>
      </c>
    </row>
    <row r="654" spans="1:9" x14ac:dyDescent="0.35">
      <c r="A654" t="s">
        <v>690</v>
      </c>
      <c r="B654" s="1">
        <v>44952</v>
      </c>
      <c r="C654" t="s">
        <v>25</v>
      </c>
      <c r="D654" t="s">
        <v>46</v>
      </c>
      <c r="E654" t="s">
        <v>18</v>
      </c>
      <c r="F654">
        <v>622.23</v>
      </c>
      <c r="G654">
        <v>110.16</v>
      </c>
      <c r="H654" t="s">
        <v>19</v>
      </c>
      <c r="I654" t="s">
        <v>20</v>
      </c>
    </row>
    <row r="655" spans="1:9" x14ac:dyDescent="0.35">
      <c r="A655" t="s">
        <v>691</v>
      </c>
      <c r="B655" s="1">
        <v>44691</v>
      </c>
      <c r="C655" t="s">
        <v>10</v>
      </c>
      <c r="D655" t="s">
        <v>41</v>
      </c>
      <c r="E655" t="s">
        <v>12</v>
      </c>
      <c r="F655">
        <v>702.65</v>
      </c>
      <c r="G655">
        <v>165.69</v>
      </c>
      <c r="H655" t="s">
        <v>28</v>
      </c>
      <c r="I655" t="s">
        <v>34</v>
      </c>
    </row>
    <row r="656" spans="1:9" x14ac:dyDescent="0.35">
      <c r="A656" t="s">
        <v>692</v>
      </c>
      <c r="B656" s="1">
        <v>45503</v>
      </c>
      <c r="C656" t="s">
        <v>16</v>
      </c>
      <c r="D656" t="s">
        <v>31</v>
      </c>
      <c r="E656" t="s">
        <v>12</v>
      </c>
      <c r="F656">
        <v>887.22</v>
      </c>
      <c r="G656">
        <v>193.84</v>
      </c>
      <c r="H656" t="s">
        <v>13</v>
      </c>
      <c r="I656" t="s">
        <v>29</v>
      </c>
    </row>
    <row r="657" spans="1:9" x14ac:dyDescent="0.35">
      <c r="A657" t="s">
        <v>693</v>
      </c>
      <c r="B657" s="1">
        <v>44664</v>
      </c>
      <c r="C657" t="s">
        <v>16</v>
      </c>
      <c r="D657" t="s">
        <v>11</v>
      </c>
      <c r="E657" t="s">
        <v>12</v>
      </c>
      <c r="F657">
        <v>247.68</v>
      </c>
      <c r="G657">
        <v>53.29</v>
      </c>
      <c r="H657" t="s">
        <v>13</v>
      </c>
      <c r="I657" t="s">
        <v>14</v>
      </c>
    </row>
    <row r="658" spans="1:9" x14ac:dyDescent="0.35">
      <c r="A658" t="s">
        <v>694</v>
      </c>
      <c r="B658" s="1">
        <v>45625</v>
      </c>
      <c r="C658" t="s">
        <v>22</v>
      </c>
      <c r="D658" t="s">
        <v>95</v>
      </c>
      <c r="E658" t="s">
        <v>18</v>
      </c>
      <c r="F658">
        <v>672.37</v>
      </c>
      <c r="G658">
        <v>147.81</v>
      </c>
      <c r="H658" t="s">
        <v>28</v>
      </c>
      <c r="I658" t="s">
        <v>20</v>
      </c>
    </row>
    <row r="659" spans="1:9" x14ac:dyDescent="0.35">
      <c r="A659" t="s">
        <v>695</v>
      </c>
      <c r="B659" s="1">
        <v>45200</v>
      </c>
      <c r="C659" t="s">
        <v>22</v>
      </c>
      <c r="D659" t="s">
        <v>38</v>
      </c>
      <c r="E659" t="s">
        <v>12</v>
      </c>
      <c r="F659">
        <v>1398.73</v>
      </c>
      <c r="G659">
        <v>165.25</v>
      </c>
      <c r="H659" t="s">
        <v>28</v>
      </c>
      <c r="I659" t="s">
        <v>14</v>
      </c>
    </row>
    <row r="660" spans="1:9" x14ac:dyDescent="0.35">
      <c r="A660" t="s">
        <v>696</v>
      </c>
      <c r="B660" s="1">
        <v>45468</v>
      </c>
      <c r="C660" t="s">
        <v>25</v>
      </c>
      <c r="D660" t="s">
        <v>73</v>
      </c>
      <c r="E660" t="s">
        <v>27</v>
      </c>
      <c r="F660">
        <v>321.45</v>
      </c>
      <c r="G660">
        <v>88.54</v>
      </c>
      <c r="H660" t="s">
        <v>13</v>
      </c>
      <c r="I660" t="s">
        <v>20</v>
      </c>
    </row>
    <row r="661" spans="1:9" x14ac:dyDescent="0.35">
      <c r="A661" t="s">
        <v>697</v>
      </c>
      <c r="B661" s="1">
        <v>45151</v>
      </c>
      <c r="C661" t="s">
        <v>25</v>
      </c>
      <c r="D661" t="s">
        <v>23</v>
      </c>
      <c r="E661" t="s">
        <v>18</v>
      </c>
      <c r="F661">
        <v>1047.44</v>
      </c>
      <c r="G661">
        <v>195.03</v>
      </c>
      <c r="H661" t="s">
        <v>19</v>
      </c>
      <c r="I661" t="s">
        <v>34</v>
      </c>
    </row>
    <row r="662" spans="1:9" x14ac:dyDescent="0.35">
      <c r="A662" t="s">
        <v>698</v>
      </c>
      <c r="B662" s="1">
        <v>45484</v>
      </c>
      <c r="C662" t="s">
        <v>16</v>
      </c>
      <c r="D662" t="s">
        <v>73</v>
      </c>
      <c r="E662" t="s">
        <v>27</v>
      </c>
      <c r="F662">
        <v>773.99</v>
      </c>
      <c r="G662">
        <v>221.79</v>
      </c>
      <c r="H662" t="s">
        <v>19</v>
      </c>
      <c r="I662" t="s">
        <v>34</v>
      </c>
    </row>
    <row r="663" spans="1:9" x14ac:dyDescent="0.35">
      <c r="A663" t="s">
        <v>699</v>
      </c>
      <c r="B663" s="1">
        <v>45185</v>
      </c>
      <c r="C663" t="s">
        <v>22</v>
      </c>
      <c r="D663" t="s">
        <v>95</v>
      </c>
      <c r="E663" t="s">
        <v>18</v>
      </c>
      <c r="F663">
        <v>179.72</v>
      </c>
      <c r="G663">
        <v>49.02</v>
      </c>
      <c r="H663" t="s">
        <v>28</v>
      </c>
      <c r="I663" t="s">
        <v>29</v>
      </c>
    </row>
    <row r="664" spans="1:9" x14ac:dyDescent="0.35">
      <c r="A664" t="s">
        <v>700</v>
      </c>
      <c r="B664" s="1">
        <v>44969</v>
      </c>
      <c r="C664" t="s">
        <v>10</v>
      </c>
      <c r="D664" t="s">
        <v>97</v>
      </c>
      <c r="E664" t="s">
        <v>27</v>
      </c>
      <c r="F664">
        <v>1973.28</v>
      </c>
      <c r="G664">
        <v>138.27000000000001</v>
      </c>
      <c r="H664" t="s">
        <v>19</v>
      </c>
      <c r="I664" t="s">
        <v>20</v>
      </c>
    </row>
    <row r="665" spans="1:9" x14ac:dyDescent="0.35">
      <c r="A665" t="s">
        <v>701</v>
      </c>
      <c r="B665" s="1">
        <v>45630</v>
      </c>
      <c r="C665" t="s">
        <v>22</v>
      </c>
      <c r="D665" t="s">
        <v>50</v>
      </c>
      <c r="E665" t="s">
        <v>12</v>
      </c>
      <c r="F665">
        <v>1260.3800000000001</v>
      </c>
      <c r="G665">
        <v>112.07</v>
      </c>
      <c r="H665" t="s">
        <v>19</v>
      </c>
      <c r="I665" t="s">
        <v>34</v>
      </c>
    </row>
    <row r="666" spans="1:9" x14ac:dyDescent="0.35">
      <c r="A666" t="s">
        <v>702</v>
      </c>
      <c r="B666" s="1">
        <v>45505</v>
      </c>
      <c r="C666" t="s">
        <v>16</v>
      </c>
      <c r="D666" t="s">
        <v>57</v>
      </c>
      <c r="E666" t="s">
        <v>27</v>
      </c>
      <c r="F666">
        <v>1319.54</v>
      </c>
      <c r="G666">
        <v>318.22000000000003</v>
      </c>
      <c r="H666" t="s">
        <v>28</v>
      </c>
      <c r="I666" t="s">
        <v>34</v>
      </c>
    </row>
    <row r="667" spans="1:9" x14ac:dyDescent="0.35">
      <c r="A667" t="s">
        <v>703</v>
      </c>
      <c r="B667" s="1">
        <v>44659</v>
      </c>
      <c r="C667" t="s">
        <v>22</v>
      </c>
      <c r="D667" t="s">
        <v>33</v>
      </c>
      <c r="E667" t="s">
        <v>18</v>
      </c>
      <c r="F667">
        <v>221.02</v>
      </c>
      <c r="G667">
        <v>37.590000000000003</v>
      </c>
      <c r="H667" t="s">
        <v>28</v>
      </c>
      <c r="I667" t="s">
        <v>14</v>
      </c>
    </row>
    <row r="668" spans="1:9" x14ac:dyDescent="0.35">
      <c r="A668" t="s">
        <v>704</v>
      </c>
      <c r="B668" s="1">
        <v>45325</v>
      </c>
      <c r="C668" t="s">
        <v>25</v>
      </c>
      <c r="D668" t="s">
        <v>11</v>
      </c>
      <c r="E668" t="s">
        <v>12</v>
      </c>
      <c r="F668">
        <v>1073.6600000000001</v>
      </c>
      <c r="G668">
        <v>160.65</v>
      </c>
      <c r="H668" t="s">
        <v>19</v>
      </c>
      <c r="I668" t="s">
        <v>29</v>
      </c>
    </row>
    <row r="669" spans="1:9" x14ac:dyDescent="0.35">
      <c r="A669" t="s">
        <v>705</v>
      </c>
      <c r="B669" s="1">
        <v>45063</v>
      </c>
      <c r="C669" t="s">
        <v>25</v>
      </c>
      <c r="D669" t="s">
        <v>97</v>
      </c>
      <c r="E669" t="s">
        <v>27</v>
      </c>
      <c r="F669">
        <v>1743.39</v>
      </c>
      <c r="G669">
        <v>95.49</v>
      </c>
      <c r="H669" t="s">
        <v>13</v>
      </c>
      <c r="I669" t="s">
        <v>29</v>
      </c>
    </row>
    <row r="670" spans="1:9" x14ac:dyDescent="0.35">
      <c r="A670" t="s">
        <v>706</v>
      </c>
      <c r="B670" s="1">
        <v>44906</v>
      </c>
      <c r="C670" t="s">
        <v>25</v>
      </c>
      <c r="D670" t="s">
        <v>11</v>
      </c>
      <c r="E670" t="s">
        <v>12</v>
      </c>
      <c r="F670">
        <v>1027.53</v>
      </c>
      <c r="G670">
        <v>192.54</v>
      </c>
      <c r="H670" t="s">
        <v>19</v>
      </c>
      <c r="I670" t="s">
        <v>29</v>
      </c>
    </row>
    <row r="671" spans="1:9" x14ac:dyDescent="0.35">
      <c r="A671" t="s">
        <v>707</v>
      </c>
      <c r="B671" s="1">
        <v>45005</v>
      </c>
      <c r="C671" t="s">
        <v>16</v>
      </c>
      <c r="D671" t="s">
        <v>97</v>
      </c>
      <c r="E671" t="s">
        <v>27</v>
      </c>
      <c r="F671">
        <v>773.61</v>
      </c>
      <c r="G671">
        <v>206.75</v>
      </c>
      <c r="H671" t="s">
        <v>19</v>
      </c>
      <c r="I671" t="s">
        <v>29</v>
      </c>
    </row>
    <row r="672" spans="1:9" x14ac:dyDescent="0.35">
      <c r="A672" t="s">
        <v>708</v>
      </c>
      <c r="B672" s="1">
        <v>45485</v>
      </c>
      <c r="C672" t="s">
        <v>22</v>
      </c>
      <c r="D672" t="s">
        <v>11</v>
      </c>
      <c r="E672" t="s">
        <v>12</v>
      </c>
      <c r="F672">
        <v>452.63</v>
      </c>
      <c r="G672">
        <v>93.95</v>
      </c>
      <c r="H672" t="s">
        <v>13</v>
      </c>
      <c r="I672" t="s">
        <v>14</v>
      </c>
    </row>
    <row r="673" spans="1:9" x14ac:dyDescent="0.35">
      <c r="A673" t="s">
        <v>709</v>
      </c>
      <c r="B673" s="1">
        <v>45309</v>
      </c>
      <c r="C673" t="s">
        <v>16</v>
      </c>
      <c r="D673" t="s">
        <v>95</v>
      </c>
      <c r="E673" t="s">
        <v>18</v>
      </c>
      <c r="F673">
        <v>1232.3599999999999</v>
      </c>
      <c r="G673">
        <v>253.13</v>
      </c>
      <c r="H673" t="s">
        <v>19</v>
      </c>
      <c r="I673" t="s">
        <v>34</v>
      </c>
    </row>
    <row r="674" spans="1:9" x14ac:dyDescent="0.35">
      <c r="A674" t="s">
        <v>710</v>
      </c>
      <c r="B674" s="1">
        <v>44720</v>
      </c>
      <c r="C674" t="s">
        <v>25</v>
      </c>
      <c r="D674" t="s">
        <v>38</v>
      </c>
      <c r="E674" t="s">
        <v>12</v>
      </c>
      <c r="F674">
        <v>922.39</v>
      </c>
      <c r="G674">
        <v>258.42</v>
      </c>
      <c r="H674" t="s">
        <v>19</v>
      </c>
      <c r="I674" t="s">
        <v>14</v>
      </c>
    </row>
    <row r="675" spans="1:9" x14ac:dyDescent="0.35">
      <c r="A675" t="s">
        <v>711</v>
      </c>
      <c r="B675" s="1">
        <v>45177</v>
      </c>
      <c r="C675" t="s">
        <v>22</v>
      </c>
      <c r="D675" t="s">
        <v>38</v>
      </c>
      <c r="E675" t="s">
        <v>12</v>
      </c>
      <c r="F675">
        <v>204.61</v>
      </c>
      <c r="G675">
        <v>29.92</v>
      </c>
      <c r="H675" t="s">
        <v>28</v>
      </c>
      <c r="I675" t="s">
        <v>34</v>
      </c>
    </row>
    <row r="676" spans="1:9" x14ac:dyDescent="0.35">
      <c r="A676" t="s">
        <v>712</v>
      </c>
      <c r="B676" s="1">
        <v>45046</v>
      </c>
      <c r="C676" t="s">
        <v>25</v>
      </c>
      <c r="D676" t="s">
        <v>17</v>
      </c>
      <c r="E676" t="s">
        <v>18</v>
      </c>
      <c r="F676">
        <v>1774.72</v>
      </c>
      <c r="G676">
        <v>89.96</v>
      </c>
      <c r="H676" t="s">
        <v>28</v>
      </c>
      <c r="I676" t="s">
        <v>29</v>
      </c>
    </row>
    <row r="677" spans="1:9" x14ac:dyDescent="0.35">
      <c r="A677" t="s">
        <v>713</v>
      </c>
      <c r="B677" s="1">
        <v>44589</v>
      </c>
      <c r="C677" t="s">
        <v>25</v>
      </c>
      <c r="D677" t="s">
        <v>26</v>
      </c>
      <c r="E677" t="s">
        <v>27</v>
      </c>
      <c r="F677">
        <v>269.05</v>
      </c>
      <c r="G677">
        <v>31.74</v>
      </c>
      <c r="H677" t="s">
        <v>28</v>
      </c>
      <c r="I677" t="s">
        <v>20</v>
      </c>
    </row>
    <row r="678" spans="1:9" x14ac:dyDescent="0.35">
      <c r="A678" t="s">
        <v>714</v>
      </c>
      <c r="B678" s="1">
        <v>45468</v>
      </c>
      <c r="C678" t="s">
        <v>25</v>
      </c>
      <c r="D678" t="s">
        <v>62</v>
      </c>
      <c r="E678" t="s">
        <v>27</v>
      </c>
      <c r="F678">
        <v>1713.34</v>
      </c>
      <c r="G678">
        <v>141.44</v>
      </c>
      <c r="H678" t="s">
        <v>28</v>
      </c>
      <c r="I678" t="s">
        <v>20</v>
      </c>
    </row>
    <row r="679" spans="1:9" x14ac:dyDescent="0.35">
      <c r="A679" t="s">
        <v>715</v>
      </c>
      <c r="B679" s="1">
        <v>45368</v>
      </c>
      <c r="C679" t="s">
        <v>25</v>
      </c>
      <c r="D679" t="s">
        <v>23</v>
      </c>
      <c r="E679" t="s">
        <v>18</v>
      </c>
      <c r="F679">
        <v>69.52</v>
      </c>
      <c r="G679">
        <v>15.51</v>
      </c>
      <c r="H679" t="s">
        <v>19</v>
      </c>
      <c r="I679" t="s">
        <v>20</v>
      </c>
    </row>
    <row r="680" spans="1:9" x14ac:dyDescent="0.35">
      <c r="A680" t="s">
        <v>716</v>
      </c>
      <c r="B680" s="1">
        <v>44918</v>
      </c>
      <c r="C680" t="s">
        <v>16</v>
      </c>
      <c r="D680" t="s">
        <v>97</v>
      </c>
      <c r="E680" t="s">
        <v>27</v>
      </c>
      <c r="F680">
        <v>85</v>
      </c>
      <c r="G680">
        <v>13.7</v>
      </c>
      <c r="H680" t="s">
        <v>13</v>
      </c>
      <c r="I680" t="s">
        <v>29</v>
      </c>
    </row>
    <row r="681" spans="1:9" x14ac:dyDescent="0.35">
      <c r="A681" t="s">
        <v>717</v>
      </c>
      <c r="B681" s="1">
        <v>44957</v>
      </c>
      <c r="C681" t="s">
        <v>16</v>
      </c>
      <c r="D681" t="s">
        <v>73</v>
      </c>
      <c r="E681" t="s">
        <v>27</v>
      </c>
      <c r="F681">
        <v>1064.07</v>
      </c>
      <c r="G681">
        <v>54.81</v>
      </c>
      <c r="H681" t="s">
        <v>13</v>
      </c>
      <c r="I681" t="s">
        <v>20</v>
      </c>
    </row>
    <row r="682" spans="1:9" x14ac:dyDescent="0.35">
      <c r="A682" t="s">
        <v>718</v>
      </c>
      <c r="B682" s="1">
        <v>44682</v>
      </c>
      <c r="C682" t="s">
        <v>25</v>
      </c>
      <c r="D682" t="s">
        <v>26</v>
      </c>
      <c r="E682" t="s">
        <v>27</v>
      </c>
      <c r="F682">
        <v>1636.05</v>
      </c>
      <c r="G682">
        <v>318.33</v>
      </c>
      <c r="H682" t="s">
        <v>13</v>
      </c>
      <c r="I682" t="s">
        <v>14</v>
      </c>
    </row>
    <row r="683" spans="1:9" x14ac:dyDescent="0.35">
      <c r="A683" t="s">
        <v>719</v>
      </c>
      <c r="B683" s="1">
        <v>45234</v>
      </c>
      <c r="C683" t="s">
        <v>22</v>
      </c>
      <c r="D683" t="s">
        <v>41</v>
      </c>
      <c r="E683" t="s">
        <v>12</v>
      </c>
      <c r="F683">
        <v>1448.33</v>
      </c>
      <c r="G683">
        <v>127.16</v>
      </c>
      <c r="H683" t="s">
        <v>13</v>
      </c>
      <c r="I683" t="s">
        <v>20</v>
      </c>
    </row>
    <row r="684" spans="1:9" x14ac:dyDescent="0.35">
      <c r="A684" t="s">
        <v>720</v>
      </c>
      <c r="B684" s="1">
        <v>44973</v>
      </c>
      <c r="C684" t="s">
        <v>25</v>
      </c>
      <c r="D684" t="s">
        <v>23</v>
      </c>
      <c r="E684" t="s">
        <v>18</v>
      </c>
      <c r="F684">
        <v>352.99</v>
      </c>
      <c r="G684">
        <v>20.85</v>
      </c>
      <c r="H684" t="s">
        <v>13</v>
      </c>
      <c r="I684" t="s">
        <v>29</v>
      </c>
    </row>
    <row r="685" spans="1:9" x14ac:dyDescent="0.35">
      <c r="A685" t="s">
        <v>721</v>
      </c>
      <c r="B685" s="1">
        <v>44673</v>
      </c>
      <c r="C685" t="s">
        <v>16</v>
      </c>
      <c r="D685" t="s">
        <v>57</v>
      </c>
      <c r="E685" t="s">
        <v>27</v>
      </c>
      <c r="F685">
        <v>1879.81</v>
      </c>
      <c r="G685">
        <v>271.42</v>
      </c>
      <c r="H685" t="s">
        <v>13</v>
      </c>
      <c r="I685" t="s">
        <v>29</v>
      </c>
    </row>
    <row r="686" spans="1:9" x14ac:dyDescent="0.35">
      <c r="A686" t="s">
        <v>722</v>
      </c>
      <c r="B686" s="1">
        <v>44591</v>
      </c>
      <c r="C686" t="s">
        <v>22</v>
      </c>
      <c r="D686" t="s">
        <v>50</v>
      </c>
      <c r="E686" t="s">
        <v>12</v>
      </c>
      <c r="F686">
        <v>349.16</v>
      </c>
      <c r="G686">
        <v>75.34</v>
      </c>
      <c r="H686" t="s">
        <v>13</v>
      </c>
      <c r="I686" t="s">
        <v>20</v>
      </c>
    </row>
    <row r="687" spans="1:9" x14ac:dyDescent="0.35">
      <c r="A687" t="s">
        <v>723</v>
      </c>
      <c r="B687" s="1">
        <v>45155</v>
      </c>
      <c r="C687" t="s">
        <v>16</v>
      </c>
      <c r="D687" t="s">
        <v>41</v>
      </c>
      <c r="E687" t="s">
        <v>12</v>
      </c>
      <c r="F687">
        <v>1734.01</v>
      </c>
      <c r="G687">
        <v>373.55</v>
      </c>
      <c r="H687" t="s">
        <v>19</v>
      </c>
      <c r="I687" t="s">
        <v>29</v>
      </c>
    </row>
    <row r="688" spans="1:9" x14ac:dyDescent="0.35">
      <c r="A688" t="s">
        <v>724</v>
      </c>
      <c r="B688" s="1">
        <v>44588</v>
      </c>
      <c r="C688" t="s">
        <v>16</v>
      </c>
      <c r="D688" t="s">
        <v>62</v>
      </c>
      <c r="E688" t="s">
        <v>27</v>
      </c>
      <c r="F688">
        <v>1000.04</v>
      </c>
      <c r="G688">
        <v>154.77000000000001</v>
      </c>
      <c r="H688" t="s">
        <v>13</v>
      </c>
      <c r="I688" t="s">
        <v>34</v>
      </c>
    </row>
    <row r="689" spans="1:9" x14ac:dyDescent="0.35">
      <c r="A689" t="s">
        <v>725</v>
      </c>
      <c r="B689" s="1">
        <v>45503</v>
      </c>
      <c r="C689" t="s">
        <v>10</v>
      </c>
      <c r="D689" t="s">
        <v>11</v>
      </c>
      <c r="E689" t="s">
        <v>12</v>
      </c>
      <c r="F689">
        <v>514.70000000000005</v>
      </c>
      <c r="G689">
        <v>40.67</v>
      </c>
      <c r="H689" t="s">
        <v>19</v>
      </c>
      <c r="I689" t="s">
        <v>34</v>
      </c>
    </row>
    <row r="690" spans="1:9" x14ac:dyDescent="0.35">
      <c r="A690" t="s">
        <v>726</v>
      </c>
      <c r="B690" s="1">
        <v>44782</v>
      </c>
      <c r="C690" t="s">
        <v>10</v>
      </c>
      <c r="D690" t="s">
        <v>50</v>
      </c>
      <c r="E690" t="s">
        <v>12</v>
      </c>
      <c r="F690">
        <v>1090.96</v>
      </c>
      <c r="G690">
        <v>319.27</v>
      </c>
      <c r="H690" t="s">
        <v>28</v>
      </c>
      <c r="I690" t="s">
        <v>29</v>
      </c>
    </row>
    <row r="691" spans="1:9" x14ac:dyDescent="0.35">
      <c r="A691" t="s">
        <v>727</v>
      </c>
      <c r="B691" s="1">
        <v>44901</v>
      </c>
      <c r="C691" t="s">
        <v>22</v>
      </c>
      <c r="D691" t="s">
        <v>62</v>
      </c>
      <c r="E691" t="s">
        <v>27</v>
      </c>
      <c r="F691">
        <v>133.30000000000001</v>
      </c>
      <c r="G691">
        <v>8.43</v>
      </c>
      <c r="H691" t="s">
        <v>28</v>
      </c>
      <c r="I691" t="s">
        <v>34</v>
      </c>
    </row>
    <row r="692" spans="1:9" x14ac:dyDescent="0.35">
      <c r="A692" t="s">
        <v>728</v>
      </c>
      <c r="B692" s="1">
        <v>44654</v>
      </c>
      <c r="C692" t="s">
        <v>16</v>
      </c>
      <c r="D692" t="s">
        <v>46</v>
      </c>
      <c r="E692" t="s">
        <v>18</v>
      </c>
      <c r="F692">
        <v>830.54</v>
      </c>
      <c r="G692">
        <v>119.31</v>
      </c>
      <c r="H692" t="s">
        <v>19</v>
      </c>
      <c r="I692" t="s">
        <v>14</v>
      </c>
    </row>
    <row r="693" spans="1:9" x14ac:dyDescent="0.35">
      <c r="A693" t="s">
        <v>729</v>
      </c>
      <c r="B693" s="1">
        <v>45195</v>
      </c>
      <c r="C693" t="s">
        <v>10</v>
      </c>
      <c r="D693" t="s">
        <v>26</v>
      </c>
      <c r="E693" t="s">
        <v>27</v>
      </c>
      <c r="F693">
        <v>132.80000000000001</v>
      </c>
      <c r="G693">
        <v>32.21</v>
      </c>
      <c r="H693" t="s">
        <v>19</v>
      </c>
      <c r="I693" t="s">
        <v>20</v>
      </c>
    </row>
    <row r="694" spans="1:9" x14ac:dyDescent="0.35">
      <c r="A694" t="s">
        <v>730</v>
      </c>
      <c r="B694" s="1">
        <v>44641</v>
      </c>
      <c r="C694" t="s">
        <v>10</v>
      </c>
      <c r="D694" t="s">
        <v>73</v>
      </c>
      <c r="E694" t="s">
        <v>27</v>
      </c>
      <c r="F694">
        <v>954.02</v>
      </c>
      <c r="G694">
        <v>226.7</v>
      </c>
      <c r="H694" t="s">
        <v>19</v>
      </c>
      <c r="I694" t="s">
        <v>34</v>
      </c>
    </row>
    <row r="695" spans="1:9" x14ac:dyDescent="0.35">
      <c r="A695" t="s">
        <v>731</v>
      </c>
      <c r="B695" s="1">
        <v>44831</v>
      </c>
      <c r="C695" t="s">
        <v>16</v>
      </c>
      <c r="D695" t="s">
        <v>23</v>
      </c>
      <c r="E695" t="s">
        <v>18</v>
      </c>
      <c r="F695">
        <v>1693.56</v>
      </c>
      <c r="G695">
        <v>279.77999999999997</v>
      </c>
      <c r="H695" t="s">
        <v>19</v>
      </c>
      <c r="I695" t="s">
        <v>14</v>
      </c>
    </row>
    <row r="696" spans="1:9" x14ac:dyDescent="0.35">
      <c r="A696" t="s">
        <v>732</v>
      </c>
      <c r="B696" s="1">
        <v>44714</v>
      </c>
      <c r="C696" t="s">
        <v>16</v>
      </c>
      <c r="D696" t="s">
        <v>17</v>
      </c>
      <c r="E696" t="s">
        <v>18</v>
      </c>
      <c r="F696">
        <v>618.66</v>
      </c>
      <c r="G696">
        <v>110.29</v>
      </c>
      <c r="H696" t="s">
        <v>13</v>
      </c>
      <c r="I696" t="s">
        <v>29</v>
      </c>
    </row>
    <row r="697" spans="1:9" x14ac:dyDescent="0.35">
      <c r="A697" t="s">
        <v>733</v>
      </c>
      <c r="B697" s="1">
        <v>45534</v>
      </c>
      <c r="C697" t="s">
        <v>16</v>
      </c>
      <c r="D697" t="s">
        <v>11</v>
      </c>
      <c r="E697" t="s">
        <v>12</v>
      </c>
      <c r="F697">
        <v>709.03</v>
      </c>
      <c r="G697">
        <v>45.45</v>
      </c>
      <c r="H697" t="s">
        <v>13</v>
      </c>
      <c r="I697" t="s">
        <v>29</v>
      </c>
    </row>
    <row r="698" spans="1:9" x14ac:dyDescent="0.35">
      <c r="A698" t="s">
        <v>734</v>
      </c>
      <c r="B698" s="1">
        <v>44792</v>
      </c>
      <c r="C698" t="s">
        <v>25</v>
      </c>
      <c r="D698" t="s">
        <v>17</v>
      </c>
      <c r="E698" t="s">
        <v>18</v>
      </c>
      <c r="F698">
        <v>1655.88</v>
      </c>
      <c r="G698">
        <v>233.59</v>
      </c>
      <c r="H698" t="s">
        <v>28</v>
      </c>
      <c r="I698" t="s">
        <v>34</v>
      </c>
    </row>
    <row r="699" spans="1:9" x14ac:dyDescent="0.35">
      <c r="A699" t="s">
        <v>735</v>
      </c>
      <c r="B699" s="1">
        <v>44872</v>
      </c>
      <c r="C699" t="s">
        <v>25</v>
      </c>
      <c r="D699" t="s">
        <v>62</v>
      </c>
      <c r="E699" t="s">
        <v>27</v>
      </c>
      <c r="F699">
        <v>1721.74</v>
      </c>
      <c r="G699">
        <v>340.84</v>
      </c>
      <c r="H699" t="s">
        <v>28</v>
      </c>
      <c r="I699" t="s">
        <v>14</v>
      </c>
    </row>
    <row r="700" spans="1:9" x14ac:dyDescent="0.35">
      <c r="A700" t="s">
        <v>736</v>
      </c>
      <c r="B700" s="1">
        <v>45140</v>
      </c>
      <c r="C700" t="s">
        <v>10</v>
      </c>
      <c r="D700" t="s">
        <v>26</v>
      </c>
      <c r="E700" t="s">
        <v>27</v>
      </c>
      <c r="F700">
        <v>1998.33</v>
      </c>
      <c r="G700">
        <v>366.99</v>
      </c>
      <c r="H700" t="s">
        <v>13</v>
      </c>
      <c r="I700" t="s">
        <v>29</v>
      </c>
    </row>
    <row r="701" spans="1:9" x14ac:dyDescent="0.35">
      <c r="A701" t="s">
        <v>737</v>
      </c>
      <c r="B701" s="1">
        <v>45445</v>
      </c>
      <c r="C701" t="s">
        <v>22</v>
      </c>
      <c r="D701" t="s">
        <v>17</v>
      </c>
      <c r="E701" t="s">
        <v>18</v>
      </c>
      <c r="F701">
        <v>1193.03</v>
      </c>
      <c r="G701">
        <v>215.08</v>
      </c>
      <c r="H701" t="s">
        <v>13</v>
      </c>
      <c r="I701" t="s">
        <v>14</v>
      </c>
    </row>
    <row r="702" spans="1:9" x14ac:dyDescent="0.35">
      <c r="A702" t="s">
        <v>738</v>
      </c>
      <c r="B702" s="1">
        <v>45107</v>
      </c>
      <c r="C702" t="s">
        <v>10</v>
      </c>
      <c r="D702" t="s">
        <v>11</v>
      </c>
      <c r="E702" t="s">
        <v>12</v>
      </c>
      <c r="F702">
        <v>175.94</v>
      </c>
      <c r="G702">
        <v>43.66</v>
      </c>
      <c r="H702" t="s">
        <v>28</v>
      </c>
      <c r="I702" t="s">
        <v>14</v>
      </c>
    </row>
    <row r="703" spans="1:9" x14ac:dyDescent="0.35">
      <c r="A703" t="s">
        <v>739</v>
      </c>
      <c r="B703" s="1">
        <v>44709</v>
      </c>
      <c r="C703" t="s">
        <v>25</v>
      </c>
      <c r="D703" t="s">
        <v>46</v>
      </c>
      <c r="E703" t="s">
        <v>18</v>
      </c>
      <c r="F703">
        <v>1483.44</v>
      </c>
      <c r="G703">
        <v>229.26</v>
      </c>
      <c r="H703" t="s">
        <v>28</v>
      </c>
      <c r="I703" t="s">
        <v>14</v>
      </c>
    </row>
    <row r="704" spans="1:9" x14ac:dyDescent="0.35">
      <c r="A704" t="s">
        <v>740</v>
      </c>
      <c r="B704" s="1">
        <v>45474</v>
      </c>
      <c r="C704" t="s">
        <v>25</v>
      </c>
      <c r="D704" t="s">
        <v>17</v>
      </c>
      <c r="E704" t="s">
        <v>18</v>
      </c>
      <c r="F704">
        <v>447.92</v>
      </c>
      <c r="G704">
        <v>65.37</v>
      </c>
      <c r="H704" t="s">
        <v>13</v>
      </c>
      <c r="I704" t="s">
        <v>29</v>
      </c>
    </row>
    <row r="705" spans="1:9" x14ac:dyDescent="0.35">
      <c r="A705" t="s">
        <v>741</v>
      </c>
      <c r="B705" s="1">
        <v>44838</v>
      </c>
      <c r="C705" t="s">
        <v>10</v>
      </c>
      <c r="D705" t="s">
        <v>50</v>
      </c>
      <c r="E705" t="s">
        <v>12</v>
      </c>
      <c r="F705">
        <v>822.51</v>
      </c>
      <c r="G705">
        <v>97.11</v>
      </c>
      <c r="H705" t="s">
        <v>13</v>
      </c>
      <c r="I705" t="s">
        <v>34</v>
      </c>
    </row>
    <row r="706" spans="1:9" x14ac:dyDescent="0.35">
      <c r="A706" t="s">
        <v>742</v>
      </c>
      <c r="B706" s="1">
        <v>45480</v>
      </c>
      <c r="C706" t="s">
        <v>10</v>
      </c>
      <c r="D706" t="s">
        <v>97</v>
      </c>
      <c r="E706" t="s">
        <v>27</v>
      </c>
      <c r="F706">
        <v>1383.99</v>
      </c>
      <c r="G706">
        <v>275.72000000000003</v>
      </c>
      <c r="H706" t="s">
        <v>13</v>
      </c>
      <c r="I706" t="s">
        <v>20</v>
      </c>
    </row>
    <row r="707" spans="1:9" x14ac:dyDescent="0.35">
      <c r="A707" t="s">
        <v>743</v>
      </c>
      <c r="B707" s="1">
        <v>44834</v>
      </c>
      <c r="C707" t="s">
        <v>10</v>
      </c>
      <c r="D707" t="s">
        <v>33</v>
      </c>
      <c r="E707" t="s">
        <v>18</v>
      </c>
      <c r="F707">
        <v>1451.26</v>
      </c>
      <c r="G707">
        <v>414.9</v>
      </c>
      <c r="H707" t="s">
        <v>19</v>
      </c>
      <c r="I707" t="s">
        <v>29</v>
      </c>
    </row>
    <row r="708" spans="1:9" x14ac:dyDescent="0.35">
      <c r="A708" t="s">
        <v>744</v>
      </c>
      <c r="B708" s="1">
        <v>45605</v>
      </c>
      <c r="C708" t="s">
        <v>10</v>
      </c>
      <c r="D708" t="s">
        <v>41</v>
      </c>
      <c r="E708" t="s">
        <v>12</v>
      </c>
      <c r="F708">
        <v>1971.36</v>
      </c>
      <c r="G708">
        <v>221.93</v>
      </c>
      <c r="H708" t="s">
        <v>28</v>
      </c>
      <c r="I708" t="s">
        <v>14</v>
      </c>
    </row>
    <row r="709" spans="1:9" x14ac:dyDescent="0.35">
      <c r="A709" t="s">
        <v>745</v>
      </c>
      <c r="B709" s="1">
        <v>44769</v>
      </c>
      <c r="C709" t="s">
        <v>25</v>
      </c>
      <c r="D709" t="s">
        <v>17</v>
      </c>
      <c r="E709" t="s">
        <v>18</v>
      </c>
      <c r="F709">
        <v>720.46</v>
      </c>
      <c r="G709">
        <v>172.89</v>
      </c>
      <c r="H709" t="s">
        <v>19</v>
      </c>
      <c r="I709" t="s">
        <v>29</v>
      </c>
    </row>
    <row r="710" spans="1:9" x14ac:dyDescent="0.35">
      <c r="A710" t="s">
        <v>746</v>
      </c>
      <c r="B710" s="1">
        <v>45133</v>
      </c>
      <c r="C710" t="s">
        <v>10</v>
      </c>
      <c r="D710" t="s">
        <v>38</v>
      </c>
      <c r="E710" t="s">
        <v>12</v>
      </c>
      <c r="F710">
        <v>155.72999999999999</v>
      </c>
      <c r="G710">
        <v>17.79</v>
      </c>
      <c r="H710" t="s">
        <v>13</v>
      </c>
      <c r="I710" t="s">
        <v>20</v>
      </c>
    </row>
    <row r="711" spans="1:9" x14ac:dyDescent="0.35">
      <c r="A711" t="s">
        <v>747</v>
      </c>
      <c r="B711" s="1">
        <v>44713</v>
      </c>
      <c r="C711" t="s">
        <v>22</v>
      </c>
      <c r="D711" t="s">
        <v>31</v>
      </c>
      <c r="E711" t="s">
        <v>12</v>
      </c>
      <c r="F711">
        <v>952.76</v>
      </c>
      <c r="G711">
        <v>115.23</v>
      </c>
      <c r="H711" t="s">
        <v>13</v>
      </c>
      <c r="I711" t="s">
        <v>20</v>
      </c>
    </row>
    <row r="712" spans="1:9" x14ac:dyDescent="0.35">
      <c r="A712" t="s">
        <v>748</v>
      </c>
      <c r="B712" s="1">
        <v>45242</v>
      </c>
      <c r="C712" t="s">
        <v>22</v>
      </c>
      <c r="D712" t="s">
        <v>95</v>
      </c>
      <c r="E712" t="s">
        <v>18</v>
      </c>
      <c r="F712">
        <v>466.59</v>
      </c>
      <c r="G712">
        <v>105.64</v>
      </c>
      <c r="H712" t="s">
        <v>28</v>
      </c>
      <c r="I712" t="s">
        <v>34</v>
      </c>
    </row>
    <row r="713" spans="1:9" x14ac:dyDescent="0.35">
      <c r="A713" t="s">
        <v>749</v>
      </c>
      <c r="B713" s="1">
        <v>45054</v>
      </c>
      <c r="C713" t="s">
        <v>16</v>
      </c>
      <c r="D713" t="s">
        <v>62</v>
      </c>
      <c r="E713" t="s">
        <v>27</v>
      </c>
      <c r="F713">
        <v>1496.48</v>
      </c>
      <c r="G713">
        <v>366.05</v>
      </c>
      <c r="H713" t="s">
        <v>28</v>
      </c>
      <c r="I713" t="s">
        <v>20</v>
      </c>
    </row>
    <row r="714" spans="1:9" x14ac:dyDescent="0.35">
      <c r="A714" t="s">
        <v>750</v>
      </c>
      <c r="B714" s="1">
        <v>45648</v>
      </c>
      <c r="C714" t="s">
        <v>10</v>
      </c>
      <c r="D714" t="s">
        <v>41</v>
      </c>
      <c r="E714" t="s">
        <v>12</v>
      </c>
      <c r="F714">
        <v>1210.4000000000001</v>
      </c>
      <c r="G714">
        <v>221.92</v>
      </c>
      <c r="H714" t="s">
        <v>19</v>
      </c>
      <c r="I714" t="s">
        <v>29</v>
      </c>
    </row>
    <row r="715" spans="1:9" x14ac:dyDescent="0.35">
      <c r="A715" t="s">
        <v>751</v>
      </c>
      <c r="B715" s="1">
        <v>45312</v>
      </c>
      <c r="C715" t="s">
        <v>22</v>
      </c>
      <c r="D715" t="s">
        <v>26</v>
      </c>
      <c r="E715" t="s">
        <v>27</v>
      </c>
      <c r="F715">
        <v>1151.1099999999999</v>
      </c>
      <c r="G715">
        <v>58.83</v>
      </c>
      <c r="H715" t="s">
        <v>28</v>
      </c>
      <c r="I715" t="s">
        <v>20</v>
      </c>
    </row>
    <row r="716" spans="1:9" x14ac:dyDescent="0.35">
      <c r="A716" t="s">
        <v>752</v>
      </c>
      <c r="B716" s="1">
        <v>45486</v>
      </c>
      <c r="C716" t="s">
        <v>22</v>
      </c>
      <c r="D716" t="s">
        <v>46</v>
      </c>
      <c r="E716" t="s">
        <v>18</v>
      </c>
      <c r="F716">
        <v>1638.14</v>
      </c>
      <c r="G716">
        <v>379.21</v>
      </c>
      <c r="H716" t="s">
        <v>28</v>
      </c>
      <c r="I716" t="s">
        <v>29</v>
      </c>
    </row>
    <row r="717" spans="1:9" x14ac:dyDescent="0.35">
      <c r="A717" t="s">
        <v>753</v>
      </c>
      <c r="B717" s="1">
        <v>45200</v>
      </c>
      <c r="C717" t="s">
        <v>25</v>
      </c>
      <c r="D717" t="s">
        <v>73</v>
      </c>
      <c r="E717" t="s">
        <v>27</v>
      </c>
      <c r="F717">
        <v>819.92</v>
      </c>
      <c r="G717">
        <v>146.78</v>
      </c>
      <c r="H717" t="s">
        <v>13</v>
      </c>
      <c r="I717" t="s">
        <v>20</v>
      </c>
    </row>
    <row r="718" spans="1:9" x14ac:dyDescent="0.35">
      <c r="A718" t="s">
        <v>754</v>
      </c>
      <c r="B718" s="1">
        <v>45510</v>
      </c>
      <c r="C718" t="s">
        <v>10</v>
      </c>
      <c r="D718" t="s">
        <v>41</v>
      </c>
      <c r="E718" t="s">
        <v>12</v>
      </c>
      <c r="F718">
        <v>649.14</v>
      </c>
      <c r="G718">
        <v>54.1</v>
      </c>
      <c r="H718" t="s">
        <v>19</v>
      </c>
      <c r="I718" t="s">
        <v>29</v>
      </c>
    </row>
    <row r="719" spans="1:9" x14ac:dyDescent="0.35">
      <c r="A719" t="s">
        <v>755</v>
      </c>
      <c r="B719" s="1">
        <v>44955</v>
      </c>
      <c r="C719" t="s">
        <v>10</v>
      </c>
      <c r="D719" t="s">
        <v>31</v>
      </c>
      <c r="E719" t="s">
        <v>12</v>
      </c>
      <c r="F719">
        <v>1675.46</v>
      </c>
      <c r="G719">
        <v>307.63</v>
      </c>
      <c r="H719" t="s">
        <v>19</v>
      </c>
      <c r="I719" t="s">
        <v>14</v>
      </c>
    </row>
    <row r="720" spans="1:9" x14ac:dyDescent="0.35">
      <c r="A720" t="s">
        <v>756</v>
      </c>
      <c r="B720" s="1">
        <v>45354</v>
      </c>
      <c r="C720" t="s">
        <v>10</v>
      </c>
      <c r="D720" t="s">
        <v>11</v>
      </c>
      <c r="E720" t="s">
        <v>12</v>
      </c>
      <c r="F720">
        <v>110.44</v>
      </c>
      <c r="G720">
        <v>27.48</v>
      </c>
      <c r="H720" t="s">
        <v>28</v>
      </c>
      <c r="I720" t="s">
        <v>34</v>
      </c>
    </row>
    <row r="721" spans="1:9" x14ac:dyDescent="0.35">
      <c r="A721" t="s">
        <v>757</v>
      </c>
      <c r="B721" s="1">
        <v>44626</v>
      </c>
      <c r="C721" t="s">
        <v>10</v>
      </c>
      <c r="D721" t="s">
        <v>26</v>
      </c>
      <c r="E721" t="s">
        <v>27</v>
      </c>
      <c r="F721">
        <v>258.91000000000003</v>
      </c>
      <c r="G721">
        <v>21.17</v>
      </c>
      <c r="H721" t="s">
        <v>13</v>
      </c>
      <c r="I721" t="s">
        <v>29</v>
      </c>
    </row>
    <row r="722" spans="1:9" x14ac:dyDescent="0.35">
      <c r="A722" t="s">
        <v>758</v>
      </c>
      <c r="B722" s="1">
        <v>45218</v>
      </c>
      <c r="C722" t="s">
        <v>25</v>
      </c>
      <c r="D722" t="s">
        <v>23</v>
      </c>
      <c r="E722" t="s">
        <v>18</v>
      </c>
      <c r="F722">
        <v>1768.68</v>
      </c>
      <c r="G722">
        <v>502.59</v>
      </c>
      <c r="H722" t="s">
        <v>13</v>
      </c>
      <c r="I722" t="s">
        <v>14</v>
      </c>
    </row>
    <row r="723" spans="1:9" x14ac:dyDescent="0.35">
      <c r="A723" t="s">
        <v>759</v>
      </c>
      <c r="B723" s="1">
        <v>44969</v>
      </c>
      <c r="C723" t="s">
        <v>16</v>
      </c>
      <c r="D723" t="s">
        <v>41</v>
      </c>
      <c r="E723" t="s">
        <v>12</v>
      </c>
      <c r="F723">
        <v>448.98</v>
      </c>
      <c r="G723">
        <v>33.94</v>
      </c>
      <c r="H723" t="s">
        <v>19</v>
      </c>
      <c r="I723" t="s">
        <v>20</v>
      </c>
    </row>
    <row r="724" spans="1:9" x14ac:dyDescent="0.35">
      <c r="A724" t="s">
        <v>760</v>
      </c>
      <c r="B724" s="1">
        <v>45081</v>
      </c>
      <c r="C724" t="s">
        <v>16</v>
      </c>
      <c r="D724" t="s">
        <v>33</v>
      </c>
      <c r="E724" t="s">
        <v>18</v>
      </c>
      <c r="F724">
        <v>1296.42</v>
      </c>
      <c r="G724">
        <v>245.17</v>
      </c>
      <c r="H724" t="s">
        <v>13</v>
      </c>
      <c r="I724" t="s">
        <v>34</v>
      </c>
    </row>
    <row r="725" spans="1:9" x14ac:dyDescent="0.35">
      <c r="A725" t="s">
        <v>761</v>
      </c>
      <c r="B725" s="1">
        <v>45551</v>
      </c>
      <c r="C725" t="s">
        <v>25</v>
      </c>
      <c r="D725" t="s">
        <v>62</v>
      </c>
      <c r="E725" t="s">
        <v>27</v>
      </c>
      <c r="F725">
        <v>1214.04</v>
      </c>
      <c r="G725">
        <v>334.47</v>
      </c>
      <c r="H725" t="s">
        <v>19</v>
      </c>
      <c r="I725" t="s">
        <v>20</v>
      </c>
    </row>
    <row r="726" spans="1:9" x14ac:dyDescent="0.35">
      <c r="A726" t="s">
        <v>762</v>
      </c>
      <c r="B726" s="1">
        <v>44609</v>
      </c>
      <c r="C726" t="s">
        <v>10</v>
      </c>
      <c r="D726" t="s">
        <v>31</v>
      </c>
      <c r="E726" t="s">
        <v>12</v>
      </c>
      <c r="F726">
        <v>732.45</v>
      </c>
      <c r="G726">
        <v>152.26</v>
      </c>
      <c r="H726" t="s">
        <v>19</v>
      </c>
      <c r="I726" t="s">
        <v>14</v>
      </c>
    </row>
    <row r="727" spans="1:9" x14ac:dyDescent="0.35">
      <c r="A727" t="s">
        <v>763</v>
      </c>
      <c r="B727" s="1">
        <v>44604</v>
      </c>
      <c r="C727" t="s">
        <v>25</v>
      </c>
      <c r="D727" t="s">
        <v>73</v>
      </c>
      <c r="E727" t="s">
        <v>27</v>
      </c>
      <c r="F727">
        <v>70.13</v>
      </c>
      <c r="G727">
        <v>6.52</v>
      </c>
      <c r="H727" t="s">
        <v>19</v>
      </c>
      <c r="I727" t="s">
        <v>34</v>
      </c>
    </row>
    <row r="728" spans="1:9" x14ac:dyDescent="0.35">
      <c r="A728" t="s">
        <v>764</v>
      </c>
      <c r="B728" s="1">
        <v>44819</v>
      </c>
      <c r="C728" t="s">
        <v>25</v>
      </c>
      <c r="D728" t="s">
        <v>95</v>
      </c>
      <c r="E728" t="s">
        <v>18</v>
      </c>
      <c r="F728">
        <v>929.06</v>
      </c>
      <c r="G728">
        <v>122.78</v>
      </c>
      <c r="H728" t="s">
        <v>13</v>
      </c>
      <c r="I728" t="s">
        <v>29</v>
      </c>
    </row>
    <row r="729" spans="1:9" x14ac:dyDescent="0.35">
      <c r="A729" t="s">
        <v>765</v>
      </c>
      <c r="B729" s="1">
        <v>45603</v>
      </c>
      <c r="C729" t="s">
        <v>16</v>
      </c>
      <c r="D729" t="s">
        <v>17</v>
      </c>
      <c r="E729" t="s">
        <v>18</v>
      </c>
      <c r="F729">
        <v>1448.39</v>
      </c>
      <c r="G729">
        <v>360.94</v>
      </c>
      <c r="H729" t="s">
        <v>28</v>
      </c>
      <c r="I729" t="s">
        <v>29</v>
      </c>
    </row>
    <row r="730" spans="1:9" x14ac:dyDescent="0.35">
      <c r="A730" t="s">
        <v>766</v>
      </c>
      <c r="B730" s="1">
        <v>44645</v>
      </c>
      <c r="C730" t="s">
        <v>10</v>
      </c>
      <c r="D730" t="s">
        <v>62</v>
      </c>
      <c r="E730" t="s">
        <v>27</v>
      </c>
      <c r="F730">
        <v>1055.83</v>
      </c>
      <c r="G730">
        <v>198.27</v>
      </c>
      <c r="H730" t="s">
        <v>28</v>
      </c>
      <c r="I730" t="s">
        <v>20</v>
      </c>
    </row>
    <row r="731" spans="1:9" x14ac:dyDescent="0.35">
      <c r="A731" t="s">
        <v>767</v>
      </c>
      <c r="B731" s="1">
        <v>45017</v>
      </c>
      <c r="C731" t="s">
        <v>22</v>
      </c>
      <c r="D731" t="s">
        <v>57</v>
      </c>
      <c r="E731" t="s">
        <v>27</v>
      </c>
      <c r="F731">
        <v>1138.8499999999999</v>
      </c>
      <c r="G731">
        <v>72.63</v>
      </c>
      <c r="H731" t="s">
        <v>13</v>
      </c>
      <c r="I731" t="s">
        <v>34</v>
      </c>
    </row>
    <row r="732" spans="1:9" x14ac:dyDescent="0.35">
      <c r="A732" t="s">
        <v>768</v>
      </c>
      <c r="B732" s="1">
        <v>45530</v>
      </c>
      <c r="C732" t="s">
        <v>16</v>
      </c>
      <c r="D732" t="s">
        <v>33</v>
      </c>
      <c r="E732" t="s">
        <v>18</v>
      </c>
      <c r="F732">
        <v>100.96</v>
      </c>
      <c r="G732">
        <v>26.48</v>
      </c>
      <c r="H732" t="s">
        <v>13</v>
      </c>
      <c r="I732" t="s">
        <v>34</v>
      </c>
    </row>
    <row r="733" spans="1:9" x14ac:dyDescent="0.35">
      <c r="A733" t="s">
        <v>769</v>
      </c>
      <c r="B733" s="1">
        <v>45356</v>
      </c>
      <c r="C733" t="s">
        <v>10</v>
      </c>
      <c r="D733" t="s">
        <v>57</v>
      </c>
      <c r="E733" t="s">
        <v>27</v>
      </c>
      <c r="F733">
        <v>976.49</v>
      </c>
      <c r="G733">
        <v>157.86000000000001</v>
      </c>
      <c r="H733" t="s">
        <v>19</v>
      </c>
      <c r="I733" t="s">
        <v>29</v>
      </c>
    </row>
    <row r="734" spans="1:9" x14ac:dyDescent="0.35">
      <c r="A734" t="s">
        <v>770</v>
      </c>
      <c r="B734" s="1">
        <v>44573</v>
      </c>
      <c r="C734" t="s">
        <v>10</v>
      </c>
      <c r="D734" t="s">
        <v>95</v>
      </c>
      <c r="E734" t="s">
        <v>18</v>
      </c>
      <c r="F734">
        <v>461.87</v>
      </c>
      <c r="G734">
        <v>85.2</v>
      </c>
      <c r="H734" t="s">
        <v>28</v>
      </c>
      <c r="I734" t="s">
        <v>14</v>
      </c>
    </row>
    <row r="735" spans="1:9" x14ac:dyDescent="0.35">
      <c r="A735" t="s">
        <v>771</v>
      </c>
      <c r="B735" s="1">
        <v>44685</v>
      </c>
      <c r="C735" t="s">
        <v>25</v>
      </c>
      <c r="D735" t="s">
        <v>50</v>
      </c>
      <c r="E735" t="s">
        <v>12</v>
      </c>
      <c r="F735">
        <v>627.26</v>
      </c>
      <c r="G735">
        <v>174.96</v>
      </c>
      <c r="H735" t="s">
        <v>19</v>
      </c>
      <c r="I735" t="s">
        <v>14</v>
      </c>
    </row>
    <row r="736" spans="1:9" x14ac:dyDescent="0.35">
      <c r="A736" t="s">
        <v>772</v>
      </c>
      <c r="B736" s="1">
        <v>45103</v>
      </c>
      <c r="C736" t="s">
        <v>16</v>
      </c>
      <c r="D736" t="s">
        <v>73</v>
      </c>
      <c r="E736" t="s">
        <v>27</v>
      </c>
      <c r="F736">
        <v>1854.16</v>
      </c>
      <c r="G736">
        <v>513.24</v>
      </c>
      <c r="H736" t="s">
        <v>28</v>
      </c>
      <c r="I736" t="s">
        <v>20</v>
      </c>
    </row>
    <row r="737" spans="1:9" x14ac:dyDescent="0.35">
      <c r="A737" t="s">
        <v>773</v>
      </c>
      <c r="B737" s="1">
        <v>45196</v>
      </c>
      <c r="C737" t="s">
        <v>16</v>
      </c>
      <c r="D737" t="s">
        <v>33</v>
      </c>
      <c r="E737" t="s">
        <v>18</v>
      </c>
      <c r="F737">
        <v>150.78</v>
      </c>
      <c r="G737">
        <v>34.28</v>
      </c>
      <c r="H737" t="s">
        <v>19</v>
      </c>
      <c r="I737" t="s">
        <v>34</v>
      </c>
    </row>
    <row r="738" spans="1:9" x14ac:dyDescent="0.35">
      <c r="A738" t="s">
        <v>774</v>
      </c>
      <c r="B738" s="1">
        <v>44857</v>
      </c>
      <c r="C738" t="s">
        <v>22</v>
      </c>
      <c r="D738" t="s">
        <v>41</v>
      </c>
      <c r="E738" t="s">
        <v>12</v>
      </c>
      <c r="F738">
        <v>583.15</v>
      </c>
      <c r="G738">
        <v>100.17</v>
      </c>
      <c r="H738" t="s">
        <v>19</v>
      </c>
      <c r="I738" t="s">
        <v>29</v>
      </c>
    </row>
    <row r="739" spans="1:9" x14ac:dyDescent="0.35">
      <c r="A739" t="s">
        <v>775</v>
      </c>
      <c r="B739" s="1">
        <v>44725</v>
      </c>
      <c r="C739" t="s">
        <v>25</v>
      </c>
      <c r="D739" t="s">
        <v>17</v>
      </c>
      <c r="E739" t="s">
        <v>18</v>
      </c>
      <c r="F739">
        <v>817.71</v>
      </c>
      <c r="G739">
        <v>87.09</v>
      </c>
      <c r="H739" t="s">
        <v>28</v>
      </c>
      <c r="I739" t="s">
        <v>14</v>
      </c>
    </row>
    <row r="740" spans="1:9" x14ac:dyDescent="0.35">
      <c r="A740" t="s">
        <v>776</v>
      </c>
      <c r="B740" s="1">
        <v>44846</v>
      </c>
      <c r="C740" t="s">
        <v>22</v>
      </c>
      <c r="D740" t="s">
        <v>50</v>
      </c>
      <c r="E740" t="s">
        <v>12</v>
      </c>
      <c r="F740">
        <v>1760.95</v>
      </c>
      <c r="G740">
        <v>273.37</v>
      </c>
      <c r="H740" t="s">
        <v>19</v>
      </c>
      <c r="I740" t="s">
        <v>34</v>
      </c>
    </row>
    <row r="741" spans="1:9" x14ac:dyDescent="0.35">
      <c r="A741" t="s">
        <v>777</v>
      </c>
      <c r="B741" s="1">
        <v>44855</v>
      </c>
      <c r="C741" t="s">
        <v>16</v>
      </c>
      <c r="D741" t="s">
        <v>57</v>
      </c>
      <c r="E741" t="s">
        <v>27</v>
      </c>
      <c r="F741">
        <v>1987.67</v>
      </c>
      <c r="G741">
        <v>112.39</v>
      </c>
      <c r="H741" t="s">
        <v>19</v>
      </c>
      <c r="I741" t="s">
        <v>29</v>
      </c>
    </row>
    <row r="742" spans="1:9" x14ac:dyDescent="0.35">
      <c r="A742" t="s">
        <v>778</v>
      </c>
      <c r="B742" s="1">
        <v>44662</v>
      </c>
      <c r="C742" t="s">
        <v>25</v>
      </c>
      <c r="D742" t="s">
        <v>97</v>
      </c>
      <c r="E742" t="s">
        <v>27</v>
      </c>
      <c r="F742">
        <v>754.23</v>
      </c>
      <c r="G742">
        <v>173.6</v>
      </c>
      <c r="H742" t="s">
        <v>13</v>
      </c>
      <c r="I742" t="s">
        <v>20</v>
      </c>
    </row>
    <row r="743" spans="1:9" x14ac:dyDescent="0.35">
      <c r="A743" t="s">
        <v>779</v>
      </c>
      <c r="B743" s="1">
        <v>44778</v>
      </c>
      <c r="C743" t="s">
        <v>25</v>
      </c>
      <c r="D743" t="s">
        <v>95</v>
      </c>
      <c r="E743" t="s">
        <v>18</v>
      </c>
      <c r="F743">
        <v>478.25</v>
      </c>
      <c r="G743">
        <v>118.61</v>
      </c>
      <c r="H743" t="s">
        <v>13</v>
      </c>
      <c r="I743" t="s">
        <v>14</v>
      </c>
    </row>
    <row r="744" spans="1:9" x14ac:dyDescent="0.35">
      <c r="A744" t="s">
        <v>780</v>
      </c>
      <c r="B744" s="1">
        <v>45112</v>
      </c>
      <c r="C744" t="s">
        <v>16</v>
      </c>
      <c r="D744" t="s">
        <v>31</v>
      </c>
      <c r="E744" t="s">
        <v>12</v>
      </c>
      <c r="F744">
        <v>1975.98</v>
      </c>
      <c r="G744">
        <v>472.72</v>
      </c>
      <c r="H744" t="s">
        <v>13</v>
      </c>
      <c r="I744" t="s">
        <v>20</v>
      </c>
    </row>
    <row r="745" spans="1:9" x14ac:dyDescent="0.35">
      <c r="A745" t="s">
        <v>781</v>
      </c>
      <c r="B745" s="1">
        <v>44734</v>
      </c>
      <c r="C745" t="s">
        <v>22</v>
      </c>
      <c r="D745" t="s">
        <v>31</v>
      </c>
      <c r="E745" t="s">
        <v>12</v>
      </c>
      <c r="F745">
        <v>1236.81</v>
      </c>
      <c r="G745">
        <v>357.27</v>
      </c>
      <c r="H745" t="s">
        <v>28</v>
      </c>
      <c r="I745" t="s">
        <v>34</v>
      </c>
    </row>
    <row r="746" spans="1:9" x14ac:dyDescent="0.35">
      <c r="A746" t="s">
        <v>782</v>
      </c>
      <c r="B746" s="1">
        <v>44624</v>
      </c>
      <c r="C746" t="s">
        <v>22</v>
      </c>
      <c r="D746" t="s">
        <v>73</v>
      </c>
      <c r="E746" t="s">
        <v>27</v>
      </c>
      <c r="F746">
        <v>957.13</v>
      </c>
      <c r="G746">
        <v>121.54</v>
      </c>
      <c r="H746" t="s">
        <v>28</v>
      </c>
      <c r="I746" t="s">
        <v>20</v>
      </c>
    </row>
    <row r="747" spans="1:9" x14ac:dyDescent="0.35">
      <c r="A747" t="s">
        <v>783</v>
      </c>
      <c r="B747" s="1">
        <v>45524</v>
      </c>
      <c r="C747" t="s">
        <v>16</v>
      </c>
      <c r="D747" t="s">
        <v>97</v>
      </c>
      <c r="E747" t="s">
        <v>27</v>
      </c>
      <c r="F747">
        <v>675.03</v>
      </c>
      <c r="G747">
        <v>123.06</v>
      </c>
      <c r="H747" t="s">
        <v>28</v>
      </c>
      <c r="I747" t="s">
        <v>29</v>
      </c>
    </row>
    <row r="748" spans="1:9" x14ac:dyDescent="0.35">
      <c r="A748" t="s">
        <v>784</v>
      </c>
      <c r="B748" s="1">
        <v>45277</v>
      </c>
      <c r="C748" t="s">
        <v>16</v>
      </c>
      <c r="D748" t="s">
        <v>57</v>
      </c>
      <c r="E748" t="s">
        <v>27</v>
      </c>
      <c r="F748">
        <v>764.52</v>
      </c>
      <c r="G748">
        <v>214.91</v>
      </c>
      <c r="H748" t="s">
        <v>19</v>
      </c>
      <c r="I748" t="s">
        <v>20</v>
      </c>
    </row>
    <row r="749" spans="1:9" x14ac:dyDescent="0.35">
      <c r="A749" t="s">
        <v>785</v>
      </c>
      <c r="B749" s="1">
        <v>45183</v>
      </c>
      <c r="C749" t="s">
        <v>22</v>
      </c>
      <c r="D749" t="s">
        <v>38</v>
      </c>
      <c r="E749" t="s">
        <v>12</v>
      </c>
      <c r="F749">
        <v>53.57</v>
      </c>
      <c r="G749">
        <v>9.57</v>
      </c>
      <c r="H749" t="s">
        <v>19</v>
      </c>
      <c r="I749" t="s">
        <v>20</v>
      </c>
    </row>
    <row r="750" spans="1:9" x14ac:dyDescent="0.35">
      <c r="A750" t="s">
        <v>786</v>
      </c>
      <c r="B750" s="1">
        <v>45168</v>
      </c>
      <c r="C750" t="s">
        <v>25</v>
      </c>
      <c r="D750" t="s">
        <v>31</v>
      </c>
      <c r="E750" t="s">
        <v>12</v>
      </c>
      <c r="F750">
        <v>1447.97</v>
      </c>
      <c r="G750">
        <v>173.61</v>
      </c>
      <c r="H750" t="s">
        <v>13</v>
      </c>
      <c r="I750" t="s">
        <v>34</v>
      </c>
    </row>
    <row r="751" spans="1:9" x14ac:dyDescent="0.35">
      <c r="A751" t="s">
        <v>787</v>
      </c>
      <c r="B751" s="1">
        <v>45171</v>
      </c>
      <c r="C751" t="s">
        <v>16</v>
      </c>
      <c r="D751" t="s">
        <v>31</v>
      </c>
      <c r="E751" t="s">
        <v>12</v>
      </c>
      <c r="F751">
        <v>812.41</v>
      </c>
      <c r="G751">
        <v>139.66</v>
      </c>
      <c r="H751" t="s">
        <v>19</v>
      </c>
      <c r="I751" t="s">
        <v>20</v>
      </c>
    </row>
    <row r="752" spans="1:9" x14ac:dyDescent="0.35">
      <c r="A752" t="s">
        <v>788</v>
      </c>
      <c r="B752" s="1">
        <v>45403</v>
      </c>
      <c r="C752" t="s">
        <v>22</v>
      </c>
      <c r="D752" t="s">
        <v>62</v>
      </c>
      <c r="E752" t="s">
        <v>27</v>
      </c>
      <c r="F752">
        <v>1401.03</v>
      </c>
      <c r="G752">
        <v>239.42</v>
      </c>
      <c r="H752" t="s">
        <v>28</v>
      </c>
      <c r="I752" t="s">
        <v>34</v>
      </c>
    </row>
    <row r="753" spans="1:9" x14ac:dyDescent="0.35">
      <c r="A753" t="s">
        <v>789</v>
      </c>
      <c r="B753" s="1">
        <v>44917</v>
      </c>
      <c r="C753" t="s">
        <v>16</v>
      </c>
      <c r="D753" t="s">
        <v>62</v>
      </c>
      <c r="E753" t="s">
        <v>27</v>
      </c>
      <c r="F753">
        <v>414.82</v>
      </c>
      <c r="G753">
        <v>22.7</v>
      </c>
      <c r="H753" t="s">
        <v>28</v>
      </c>
      <c r="I753" t="s">
        <v>20</v>
      </c>
    </row>
    <row r="754" spans="1:9" x14ac:dyDescent="0.35">
      <c r="A754" t="s">
        <v>790</v>
      </c>
      <c r="B754" s="1">
        <v>44663</v>
      </c>
      <c r="C754" t="s">
        <v>22</v>
      </c>
      <c r="D754" t="s">
        <v>57</v>
      </c>
      <c r="E754" t="s">
        <v>27</v>
      </c>
      <c r="F754">
        <v>1437.43</v>
      </c>
      <c r="G754">
        <v>219.49</v>
      </c>
      <c r="H754" t="s">
        <v>19</v>
      </c>
      <c r="I754" t="s">
        <v>29</v>
      </c>
    </row>
    <row r="755" spans="1:9" x14ac:dyDescent="0.35">
      <c r="A755" t="s">
        <v>791</v>
      </c>
      <c r="B755" s="1">
        <v>44689</v>
      </c>
      <c r="C755" t="s">
        <v>25</v>
      </c>
      <c r="D755" t="s">
        <v>73</v>
      </c>
      <c r="E755" t="s">
        <v>27</v>
      </c>
      <c r="F755">
        <v>749.39</v>
      </c>
      <c r="G755">
        <v>84.86</v>
      </c>
      <c r="H755" t="s">
        <v>28</v>
      </c>
      <c r="I755" t="s">
        <v>20</v>
      </c>
    </row>
    <row r="756" spans="1:9" x14ac:dyDescent="0.35">
      <c r="A756" t="s">
        <v>792</v>
      </c>
      <c r="B756" s="1">
        <v>45329</v>
      </c>
      <c r="C756" t="s">
        <v>10</v>
      </c>
      <c r="D756" t="s">
        <v>17</v>
      </c>
      <c r="E756" t="s">
        <v>18</v>
      </c>
      <c r="F756">
        <v>468.69</v>
      </c>
      <c r="G756">
        <v>47.22</v>
      </c>
      <c r="H756" t="s">
        <v>19</v>
      </c>
      <c r="I756" t="s">
        <v>34</v>
      </c>
    </row>
    <row r="757" spans="1:9" x14ac:dyDescent="0.35">
      <c r="A757" t="s">
        <v>793</v>
      </c>
      <c r="B757" s="1">
        <v>44563</v>
      </c>
      <c r="C757" t="s">
        <v>25</v>
      </c>
      <c r="D757" t="s">
        <v>62</v>
      </c>
      <c r="E757" t="s">
        <v>27</v>
      </c>
      <c r="F757">
        <v>1226.56</v>
      </c>
      <c r="G757">
        <v>65.430000000000007</v>
      </c>
      <c r="H757" t="s">
        <v>13</v>
      </c>
      <c r="I757" t="s">
        <v>14</v>
      </c>
    </row>
    <row r="758" spans="1:9" x14ac:dyDescent="0.35">
      <c r="A758" t="s">
        <v>794</v>
      </c>
      <c r="B758" s="1">
        <v>44875</v>
      </c>
      <c r="C758" t="s">
        <v>25</v>
      </c>
      <c r="D758" t="s">
        <v>31</v>
      </c>
      <c r="E758" t="s">
        <v>12</v>
      </c>
      <c r="F758">
        <v>742.4</v>
      </c>
      <c r="G758">
        <v>209.45</v>
      </c>
      <c r="H758" t="s">
        <v>19</v>
      </c>
      <c r="I758" t="s">
        <v>34</v>
      </c>
    </row>
    <row r="759" spans="1:9" x14ac:dyDescent="0.35">
      <c r="A759" t="s">
        <v>795</v>
      </c>
      <c r="B759" s="1">
        <v>44592</v>
      </c>
      <c r="C759" t="s">
        <v>10</v>
      </c>
      <c r="D759" t="s">
        <v>50</v>
      </c>
      <c r="E759" t="s">
        <v>12</v>
      </c>
      <c r="F759">
        <v>893.52</v>
      </c>
      <c r="G759">
        <v>148.63999999999999</v>
      </c>
      <c r="H759" t="s">
        <v>19</v>
      </c>
      <c r="I759" t="s">
        <v>29</v>
      </c>
    </row>
    <row r="760" spans="1:9" x14ac:dyDescent="0.35">
      <c r="A760" t="s">
        <v>796</v>
      </c>
      <c r="B760" s="1">
        <v>45253</v>
      </c>
      <c r="C760" t="s">
        <v>22</v>
      </c>
      <c r="D760" t="s">
        <v>38</v>
      </c>
      <c r="E760" t="s">
        <v>12</v>
      </c>
      <c r="F760">
        <v>782.94</v>
      </c>
      <c r="G760">
        <v>205.85</v>
      </c>
      <c r="H760" t="s">
        <v>19</v>
      </c>
      <c r="I760" t="s">
        <v>34</v>
      </c>
    </row>
    <row r="761" spans="1:9" x14ac:dyDescent="0.35">
      <c r="A761" t="s">
        <v>797</v>
      </c>
      <c r="B761" s="1">
        <v>44632</v>
      </c>
      <c r="C761" t="s">
        <v>10</v>
      </c>
      <c r="D761" t="s">
        <v>31</v>
      </c>
      <c r="E761" t="s">
        <v>12</v>
      </c>
      <c r="F761">
        <v>60.29</v>
      </c>
      <c r="G761">
        <v>3.77</v>
      </c>
      <c r="H761" t="s">
        <v>28</v>
      </c>
      <c r="I761" t="s">
        <v>34</v>
      </c>
    </row>
    <row r="762" spans="1:9" x14ac:dyDescent="0.35">
      <c r="A762" t="s">
        <v>798</v>
      </c>
      <c r="B762" s="1">
        <v>44627</v>
      </c>
      <c r="C762" t="s">
        <v>16</v>
      </c>
      <c r="D762" t="s">
        <v>11</v>
      </c>
      <c r="E762" t="s">
        <v>12</v>
      </c>
      <c r="F762">
        <v>948.24</v>
      </c>
      <c r="G762">
        <v>141.94</v>
      </c>
      <c r="H762" t="s">
        <v>19</v>
      </c>
      <c r="I762" t="s">
        <v>14</v>
      </c>
    </row>
    <row r="763" spans="1:9" x14ac:dyDescent="0.35">
      <c r="A763" t="s">
        <v>799</v>
      </c>
      <c r="B763" s="1">
        <v>45541</v>
      </c>
      <c r="C763" t="s">
        <v>16</v>
      </c>
      <c r="D763" t="s">
        <v>33</v>
      </c>
      <c r="E763" t="s">
        <v>18</v>
      </c>
      <c r="F763">
        <v>443.66</v>
      </c>
      <c r="G763">
        <v>117.02</v>
      </c>
      <c r="H763" t="s">
        <v>19</v>
      </c>
      <c r="I763" t="s">
        <v>14</v>
      </c>
    </row>
    <row r="764" spans="1:9" x14ac:dyDescent="0.35">
      <c r="A764" t="s">
        <v>800</v>
      </c>
      <c r="B764" s="1">
        <v>44768</v>
      </c>
      <c r="C764" t="s">
        <v>22</v>
      </c>
      <c r="D764" t="s">
        <v>26</v>
      </c>
      <c r="E764" t="s">
        <v>27</v>
      </c>
      <c r="F764">
        <v>1064.6199999999999</v>
      </c>
      <c r="G764">
        <v>307.73</v>
      </c>
      <c r="H764" t="s">
        <v>28</v>
      </c>
      <c r="I764" t="s">
        <v>14</v>
      </c>
    </row>
    <row r="765" spans="1:9" x14ac:dyDescent="0.35">
      <c r="A765" t="s">
        <v>801</v>
      </c>
      <c r="B765" s="1">
        <v>45392</v>
      </c>
      <c r="C765" t="s">
        <v>10</v>
      </c>
      <c r="D765" t="s">
        <v>62</v>
      </c>
      <c r="E765" t="s">
        <v>27</v>
      </c>
      <c r="F765">
        <v>1019.86</v>
      </c>
      <c r="G765">
        <v>263.48</v>
      </c>
      <c r="H765" t="s">
        <v>19</v>
      </c>
      <c r="I765" t="s">
        <v>14</v>
      </c>
    </row>
    <row r="766" spans="1:9" x14ac:dyDescent="0.35">
      <c r="A766" t="s">
        <v>802</v>
      </c>
      <c r="B766" s="1">
        <v>44986</v>
      </c>
      <c r="C766" t="s">
        <v>22</v>
      </c>
      <c r="D766" t="s">
        <v>46</v>
      </c>
      <c r="E766" t="s">
        <v>18</v>
      </c>
      <c r="F766">
        <v>978.09</v>
      </c>
      <c r="G766">
        <v>50.17</v>
      </c>
      <c r="H766" t="s">
        <v>28</v>
      </c>
      <c r="I766" t="s">
        <v>20</v>
      </c>
    </row>
    <row r="767" spans="1:9" x14ac:dyDescent="0.35">
      <c r="A767" t="s">
        <v>803</v>
      </c>
      <c r="B767" s="1">
        <v>44818</v>
      </c>
      <c r="C767" t="s">
        <v>10</v>
      </c>
      <c r="D767" t="s">
        <v>23</v>
      </c>
      <c r="E767" t="s">
        <v>18</v>
      </c>
      <c r="F767">
        <v>1016.7</v>
      </c>
      <c r="G767">
        <v>159.30000000000001</v>
      </c>
      <c r="H767" t="s">
        <v>13</v>
      </c>
      <c r="I767" t="s">
        <v>14</v>
      </c>
    </row>
    <row r="768" spans="1:9" x14ac:dyDescent="0.35">
      <c r="A768" t="s">
        <v>804</v>
      </c>
      <c r="B768" s="1">
        <v>45165</v>
      </c>
      <c r="C768" t="s">
        <v>25</v>
      </c>
      <c r="D768" t="s">
        <v>41</v>
      </c>
      <c r="E768" t="s">
        <v>12</v>
      </c>
      <c r="F768">
        <v>289.22000000000003</v>
      </c>
      <c r="G768">
        <v>40.450000000000003</v>
      </c>
      <c r="H768" t="s">
        <v>13</v>
      </c>
      <c r="I768" t="s">
        <v>34</v>
      </c>
    </row>
    <row r="769" spans="1:9" x14ac:dyDescent="0.35">
      <c r="A769" t="s">
        <v>805</v>
      </c>
      <c r="B769" s="1">
        <v>45301</v>
      </c>
      <c r="C769" t="s">
        <v>25</v>
      </c>
      <c r="D769" t="s">
        <v>38</v>
      </c>
      <c r="E769" t="s">
        <v>12</v>
      </c>
      <c r="F769">
        <v>459.36</v>
      </c>
      <c r="G769">
        <v>40.89</v>
      </c>
      <c r="H769" t="s">
        <v>13</v>
      </c>
      <c r="I769" t="s">
        <v>14</v>
      </c>
    </row>
    <row r="770" spans="1:9" x14ac:dyDescent="0.35">
      <c r="A770" t="s">
        <v>806</v>
      </c>
      <c r="B770" s="1">
        <v>45422</v>
      </c>
      <c r="C770" t="s">
        <v>22</v>
      </c>
      <c r="D770" t="s">
        <v>31</v>
      </c>
      <c r="E770" t="s">
        <v>12</v>
      </c>
      <c r="F770">
        <v>1737.82</v>
      </c>
      <c r="G770">
        <v>182.23</v>
      </c>
      <c r="H770" t="s">
        <v>13</v>
      </c>
      <c r="I770" t="s">
        <v>14</v>
      </c>
    </row>
    <row r="771" spans="1:9" x14ac:dyDescent="0.35">
      <c r="A771" t="s">
        <v>807</v>
      </c>
      <c r="B771" s="1">
        <v>44785</v>
      </c>
      <c r="C771" t="s">
        <v>10</v>
      </c>
      <c r="D771" t="s">
        <v>62</v>
      </c>
      <c r="E771" t="s">
        <v>27</v>
      </c>
      <c r="F771">
        <v>1908.97</v>
      </c>
      <c r="G771">
        <v>304.98</v>
      </c>
      <c r="H771" t="s">
        <v>19</v>
      </c>
      <c r="I771" t="s">
        <v>29</v>
      </c>
    </row>
    <row r="772" spans="1:9" x14ac:dyDescent="0.35">
      <c r="A772" t="s">
        <v>808</v>
      </c>
      <c r="B772" s="1">
        <v>45173</v>
      </c>
      <c r="C772" t="s">
        <v>25</v>
      </c>
      <c r="D772" t="s">
        <v>73</v>
      </c>
      <c r="E772" t="s">
        <v>27</v>
      </c>
      <c r="F772">
        <v>284.66000000000003</v>
      </c>
      <c r="G772">
        <v>45.56</v>
      </c>
      <c r="H772" t="s">
        <v>13</v>
      </c>
      <c r="I772" t="s">
        <v>20</v>
      </c>
    </row>
    <row r="773" spans="1:9" x14ac:dyDescent="0.35">
      <c r="A773" t="s">
        <v>809</v>
      </c>
      <c r="B773" s="1">
        <v>45601</v>
      </c>
      <c r="C773" t="s">
        <v>25</v>
      </c>
      <c r="D773" t="s">
        <v>41</v>
      </c>
      <c r="E773" t="s">
        <v>12</v>
      </c>
      <c r="F773">
        <v>1478.22</v>
      </c>
      <c r="G773">
        <v>365.99</v>
      </c>
      <c r="H773" t="s">
        <v>13</v>
      </c>
      <c r="I773" t="s">
        <v>14</v>
      </c>
    </row>
    <row r="774" spans="1:9" x14ac:dyDescent="0.35">
      <c r="A774" t="s">
        <v>810</v>
      </c>
      <c r="B774" s="1">
        <v>45421</v>
      </c>
      <c r="C774" t="s">
        <v>16</v>
      </c>
      <c r="D774" t="s">
        <v>33</v>
      </c>
      <c r="E774" t="s">
        <v>18</v>
      </c>
      <c r="F774">
        <v>101.67</v>
      </c>
      <c r="G774">
        <v>25.75</v>
      </c>
      <c r="H774" t="s">
        <v>13</v>
      </c>
      <c r="I774" t="s">
        <v>20</v>
      </c>
    </row>
    <row r="775" spans="1:9" x14ac:dyDescent="0.35">
      <c r="A775" t="s">
        <v>811</v>
      </c>
      <c r="B775" s="1">
        <v>45022</v>
      </c>
      <c r="C775" t="s">
        <v>10</v>
      </c>
      <c r="D775" t="s">
        <v>73</v>
      </c>
      <c r="E775" t="s">
        <v>27</v>
      </c>
      <c r="F775">
        <v>410.62</v>
      </c>
      <c r="G775">
        <v>64.180000000000007</v>
      </c>
      <c r="H775" t="s">
        <v>13</v>
      </c>
      <c r="I775" t="s">
        <v>34</v>
      </c>
    </row>
    <row r="776" spans="1:9" x14ac:dyDescent="0.35">
      <c r="A776" t="s">
        <v>812</v>
      </c>
      <c r="B776" s="1">
        <v>44891</v>
      </c>
      <c r="C776" t="s">
        <v>22</v>
      </c>
      <c r="D776" t="s">
        <v>38</v>
      </c>
      <c r="E776" t="s">
        <v>12</v>
      </c>
      <c r="F776">
        <v>1311.32</v>
      </c>
      <c r="G776">
        <v>108.26</v>
      </c>
      <c r="H776" t="s">
        <v>28</v>
      </c>
      <c r="I776" t="s">
        <v>20</v>
      </c>
    </row>
    <row r="777" spans="1:9" x14ac:dyDescent="0.35">
      <c r="A777" t="s">
        <v>813</v>
      </c>
      <c r="B777" s="1">
        <v>45550</v>
      </c>
      <c r="C777" t="s">
        <v>25</v>
      </c>
      <c r="D777" t="s">
        <v>41</v>
      </c>
      <c r="E777" t="s">
        <v>12</v>
      </c>
      <c r="F777">
        <v>941.46</v>
      </c>
      <c r="G777">
        <v>148.77000000000001</v>
      </c>
      <c r="H777" t="s">
        <v>19</v>
      </c>
      <c r="I777" t="s">
        <v>20</v>
      </c>
    </row>
    <row r="778" spans="1:9" x14ac:dyDescent="0.35">
      <c r="A778" t="s">
        <v>814</v>
      </c>
      <c r="B778" s="1">
        <v>44613</v>
      </c>
      <c r="C778" t="s">
        <v>25</v>
      </c>
      <c r="D778" t="s">
        <v>46</v>
      </c>
      <c r="E778" t="s">
        <v>18</v>
      </c>
      <c r="F778">
        <v>1467.76</v>
      </c>
      <c r="G778">
        <v>81.19</v>
      </c>
      <c r="H778" t="s">
        <v>19</v>
      </c>
      <c r="I778" t="s">
        <v>14</v>
      </c>
    </row>
    <row r="779" spans="1:9" x14ac:dyDescent="0.35">
      <c r="A779" t="s">
        <v>815</v>
      </c>
      <c r="B779" s="1">
        <v>44894</v>
      </c>
      <c r="C779" t="s">
        <v>25</v>
      </c>
      <c r="D779" t="s">
        <v>73</v>
      </c>
      <c r="E779" t="s">
        <v>27</v>
      </c>
      <c r="F779">
        <v>474.49</v>
      </c>
      <c r="G779">
        <v>70.180000000000007</v>
      </c>
      <c r="H779" t="s">
        <v>19</v>
      </c>
      <c r="I779" t="s">
        <v>14</v>
      </c>
    </row>
    <row r="780" spans="1:9" x14ac:dyDescent="0.35">
      <c r="A780" t="s">
        <v>816</v>
      </c>
      <c r="B780" s="1">
        <v>44882</v>
      </c>
      <c r="C780" t="s">
        <v>16</v>
      </c>
      <c r="D780" t="s">
        <v>33</v>
      </c>
      <c r="E780" t="s">
        <v>18</v>
      </c>
      <c r="F780">
        <v>1818.92</v>
      </c>
      <c r="G780">
        <v>138.05000000000001</v>
      </c>
      <c r="H780" t="s">
        <v>28</v>
      </c>
      <c r="I780" t="s">
        <v>20</v>
      </c>
    </row>
    <row r="781" spans="1:9" x14ac:dyDescent="0.35">
      <c r="A781" t="s">
        <v>817</v>
      </c>
      <c r="B781" s="1">
        <v>45037</v>
      </c>
      <c r="C781" t="s">
        <v>25</v>
      </c>
      <c r="D781" t="s">
        <v>11</v>
      </c>
      <c r="E781" t="s">
        <v>12</v>
      </c>
      <c r="F781">
        <v>209.25</v>
      </c>
      <c r="G781">
        <v>49.25</v>
      </c>
      <c r="H781" t="s">
        <v>19</v>
      </c>
      <c r="I781" t="s">
        <v>20</v>
      </c>
    </row>
    <row r="782" spans="1:9" x14ac:dyDescent="0.35">
      <c r="A782" t="s">
        <v>818</v>
      </c>
      <c r="B782" s="1">
        <v>44800</v>
      </c>
      <c r="C782" t="s">
        <v>25</v>
      </c>
      <c r="D782" t="s">
        <v>73</v>
      </c>
      <c r="E782" t="s">
        <v>27</v>
      </c>
      <c r="F782">
        <v>434.66</v>
      </c>
      <c r="G782">
        <v>64.45</v>
      </c>
      <c r="H782" t="s">
        <v>19</v>
      </c>
      <c r="I782" t="s">
        <v>34</v>
      </c>
    </row>
    <row r="783" spans="1:9" x14ac:dyDescent="0.35">
      <c r="A783" t="s">
        <v>819</v>
      </c>
      <c r="B783" s="1">
        <v>45543</v>
      </c>
      <c r="C783" t="s">
        <v>25</v>
      </c>
      <c r="D783" t="s">
        <v>97</v>
      </c>
      <c r="E783" t="s">
        <v>27</v>
      </c>
      <c r="F783">
        <v>1006.74</v>
      </c>
      <c r="G783">
        <v>288.57</v>
      </c>
      <c r="H783" t="s">
        <v>13</v>
      </c>
      <c r="I783" t="s">
        <v>29</v>
      </c>
    </row>
    <row r="784" spans="1:9" x14ac:dyDescent="0.35">
      <c r="A784" t="s">
        <v>820</v>
      </c>
      <c r="B784" s="1">
        <v>45264</v>
      </c>
      <c r="C784" t="s">
        <v>22</v>
      </c>
      <c r="D784" t="s">
        <v>57</v>
      </c>
      <c r="E784" t="s">
        <v>27</v>
      </c>
      <c r="F784">
        <v>727.07</v>
      </c>
      <c r="G784">
        <v>136.06</v>
      </c>
      <c r="H784" t="s">
        <v>28</v>
      </c>
      <c r="I784" t="s">
        <v>29</v>
      </c>
    </row>
    <row r="785" spans="1:9" x14ac:dyDescent="0.35">
      <c r="A785" t="s">
        <v>821</v>
      </c>
      <c r="B785" s="1">
        <v>44936</v>
      </c>
      <c r="C785" t="s">
        <v>10</v>
      </c>
      <c r="D785" t="s">
        <v>95</v>
      </c>
      <c r="E785" t="s">
        <v>18</v>
      </c>
      <c r="F785">
        <v>454.27</v>
      </c>
      <c r="G785">
        <v>34.93</v>
      </c>
      <c r="H785" t="s">
        <v>19</v>
      </c>
      <c r="I785" t="s">
        <v>29</v>
      </c>
    </row>
    <row r="786" spans="1:9" x14ac:dyDescent="0.35">
      <c r="A786" t="s">
        <v>822</v>
      </c>
      <c r="B786" s="1">
        <v>45276</v>
      </c>
      <c r="C786" t="s">
        <v>22</v>
      </c>
      <c r="D786" t="s">
        <v>50</v>
      </c>
      <c r="E786" t="s">
        <v>12</v>
      </c>
      <c r="F786">
        <v>1944.89</v>
      </c>
      <c r="G786">
        <v>426.27</v>
      </c>
      <c r="H786" t="s">
        <v>13</v>
      </c>
      <c r="I786" t="s">
        <v>20</v>
      </c>
    </row>
    <row r="787" spans="1:9" x14ac:dyDescent="0.35">
      <c r="A787" t="s">
        <v>823</v>
      </c>
      <c r="B787" s="1">
        <v>45609</v>
      </c>
      <c r="C787" t="s">
        <v>25</v>
      </c>
      <c r="D787" t="s">
        <v>95</v>
      </c>
      <c r="E787" t="s">
        <v>18</v>
      </c>
      <c r="F787">
        <v>379.86</v>
      </c>
      <c r="G787">
        <v>39.65</v>
      </c>
      <c r="H787" t="s">
        <v>28</v>
      </c>
      <c r="I787" t="s">
        <v>34</v>
      </c>
    </row>
    <row r="788" spans="1:9" x14ac:dyDescent="0.35">
      <c r="A788" t="s">
        <v>824</v>
      </c>
      <c r="B788" s="1">
        <v>45650</v>
      </c>
      <c r="C788" t="s">
        <v>22</v>
      </c>
      <c r="D788" t="s">
        <v>50</v>
      </c>
      <c r="E788" t="s">
        <v>12</v>
      </c>
      <c r="F788">
        <v>612.70000000000005</v>
      </c>
      <c r="G788">
        <v>129.66</v>
      </c>
      <c r="H788" t="s">
        <v>19</v>
      </c>
      <c r="I788" t="s">
        <v>14</v>
      </c>
    </row>
    <row r="789" spans="1:9" x14ac:dyDescent="0.35">
      <c r="A789" t="s">
        <v>825</v>
      </c>
      <c r="B789" s="1">
        <v>45651</v>
      </c>
      <c r="C789" t="s">
        <v>10</v>
      </c>
      <c r="D789" t="s">
        <v>46</v>
      </c>
      <c r="E789" t="s">
        <v>18</v>
      </c>
      <c r="F789">
        <v>1793.36</v>
      </c>
      <c r="G789">
        <v>90.8</v>
      </c>
      <c r="H789" t="s">
        <v>28</v>
      </c>
      <c r="I789" t="s">
        <v>20</v>
      </c>
    </row>
    <row r="790" spans="1:9" x14ac:dyDescent="0.35">
      <c r="A790" t="s">
        <v>826</v>
      </c>
      <c r="B790" s="1">
        <v>45029</v>
      </c>
      <c r="C790" t="s">
        <v>22</v>
      </c>
      <c r="D790" t="s">
        <v>17</v>
      </c>
      <c r="E790" t="s">
        <v>18</v>
      </c>
      <c r="F790">
        <v>729.11</v>
      </c>
      <c r="G790">
        <v>155.12</v>
      </c>
      <c r="H790" t="s">
        <v>19</v>
      </c>
      <c r="I790" t="s">
        <v>29</v>
      </c>
    </row>
    <row r="791" spans="1:9" x14ac:dyDescent="0.35">
      <c r="A791" t="s">
        <v>827</v>
      </c>
      <c r="B791" s="1">
        <v>45562</v>
      </c>
      <c r="C791" t="s">
        <v>22</v>
      </c>
      <c r="D791" t="s">
        <v>62</v>
      </c>
      <c r="E791" t="s">
        <v>27</v>
      </c>
      <c r="F791">
        <v>1125.26</v>
      </c>
      <c r="G791">
        <v>317.42</v>
      </c>
      <c r="H791" t="s">
        <v>28</v>
      </c>
      <c r="I791" t="s">
        <v>14</v>
      </c>
    </row>
    <row r="792" spans="1:9" x14ac:dyDescent="0.35">
      <c r="A792" t="s">
        <v>828</v>
      </c>
      <c r="B792" s="1">
        <v>45391</v>
      </c>
      <c r="C792" t="s">
        <v>10</v>
      </c>
      <c r="D792" t="s">
        <v>17</v>
      </c>
      <c r="E792" t="s">
        <v>18</v>
      </c>
      <c r="F792">
        <v>1435.28</v>
      </c>
      <c r="G792">
        <v>123.52</v>
      </c>
      <c r="H792" t="s">
        <v>13</v>
      </c>
      <c r="I792" t="s">
        <v>29</v>
      </c>
    </row>
    <row r="793" spans="1:9" x14ac:dyDescent="0.35">
      <c r="A793" t="s">
        <v>829</v>
      </c>
      <c r="B793" s="1">
        <v>45358</v>
      </c>
      <c r="C793" t="s">
        <v>16</v>
      </c>
      <c r="D793" t="s">
        <v>41</v>
      </c>
      <c r="E793" t="s">
        <v>12</v>
      </c>
      <c r="F793">
        <v>1593.66</v>
      </c>
      <c r="G793">
        <v>88.43</v>
      </c>
      <c r="H793" t="s">
        <v>13</v>
      </c>
      <c r="I793" t="s">
        <v>34</v>
      </c>
    </row>
    <row r="794" spans="1:9" x14ac:dyDescent="0.35">
      <c r="A794" t="s">
        <v>830</v>
      </c>
      <c r="B794" s="1">
        <v>45477</v>
      </c>
      <c r="C794" t="s">
        <v>16</v>
      </c>
      <c r="D794" t="s">
        <v>17</v>
      </c>
      <c r="E794" t="s">
        <v>18</v>
      </c>
      <c r="F794">
        <v>389.54</v>
      </c>
      <c r="G794">
        <v>94.08</v>
      </c>
      <c r="H794" t="s">
        <v>28</v>
      </c>
      <c r="I794" t="s">
        <v>20</v>
      </c>
    </row>
    <row r="795" spans="1:9" x14ac:dyDescent="0.35">
      <c r="A795" t="s">
        <v>831</v>
      </c>
      <c r="B795" s="1">
        <v>44844</v>
      </c>
      <c r="C795" t="s">
        <v>25</v>
      </c>
      <c r="D795" t="s">
        <v>23</v>
      </c>
      <c r="E795" t="s">
        <v>18</v>
      </c>
      <c r="F795">
        <v>357.53</v>
      </c>
      <c r="G795">
        <v>56.26</v>
      </c>
      <c r="H795" t="s">
        <v>13</v>
      </c>
      <c r="I795" t="s">
        <v>20</v>
      </c>
    </row>
    <row r="796" spans="1:9" x14ac:dyDescent="0.35">
      <c r="A796" t="s">
        <v>832</v>
      </c>
      <c r="B796" s="1">
        <v>45640</v>
      </c>
      <c r="C796" t="s">
        <v>25</v>
      </c>
      <c r="D796" t="s">
        <v>38</v>
      </c>
      <c r="E796" t="s">
        <v>12</v>
      </c>
      <c r="F796">
        <v>520.34</v>
      </c>
      <c r="G796">
        <v>80.599999999999994</v>
      </c>
      <c r="H796" t="s">
        <v>28</v>
      </c>
      <c r="I796" t="s">
        <v>34</v>
      </c>
    </row>
    <row r="797" spans="1:9" x14ac:dyDescent="0.35">
      <c r="A797" t="s">
        <v>833</v>
      </c>
      <c r="B797" s="1">
        <v>45512</v>
      </c>
      <c r="C797" t="s">
        <v>22</v>
      </c>
      <c r="D797" t="s">
        <v>73</v>
      </c>
      <c r="E797" t="s">
        <v>27</v>
      </c>
      <c r="F797">
        <v>340.8</v>
      </c>
      <c r="G797">
        <v>64.63</v>
      </c>
      <c r="H797" t="s">
        <v>13</v>
      </c>
      <c r="I797" t="s">
        <v>34</v>
      </c>
    </row>
    <row r="798" spans="1:9" x14ac:dyDescent="0.35">
      <c r="A798" t="s">
        <v>834</v>
      </c>
      <c r="B798" s="1">
        <v>45399</v>
      </c>
      <c r="C798" t="s">
        <v>10</v>
      </c>
      <c r="D798" t="s">
        <v>62</v>
      </c>
      <c r="E798" t="s">
        <v>27</v>
      </c>
      <c r="F798">
        <v>435.57</v>
      </c>
      <c r="G798">
        <v>52.69</v>
      </c>
      <c r="H798" t="s">
        <v>19</v>
      </c>
      <c r="I798" t="s">
        <v>34</v>
      </c>
    </row>
    <row r="799" spans="1:9" x14ac:dyDescent="0.35">
      <c r="A799" t="s">
        <v>835</v>
      </c>
      <c r="B799" s="1">
        <v>44916</v>
      </c>
      <c r="C799" t="s">
        <v>16</v>
      </c>
      <c r="D799" t="s">
        <v>62</v>
      </c>
      <c r="E799" t="s">
        <v>27</v>
      </c>
      <c r="F799">
        <v>1816.83</v>
      </c>
      <c r="G799">
        <v>377.01</v>
      </c>
      <c r="H799" t="s">
        <v>13</v>
      </c>
      <c r="I799" t="s">
        <v>20</v>
      </c>
    </row>
    <row r="800" spans="1:9" x14ac:dyDescent="0.35">
      <c r="A800" t="s">
        <v>836</v>
      </c>
      <c r="B800" s="1">
        <v>44883</v>
      </c>
      <c r="C800" t="s">
        <v>25</v>
      </c>
      <c r="D800" t="s">
        <v>38</v>
      </c>
      <c r="E800" t="s">
        <v>12</v>
      </c>
      <c r="F800">
        <v>1370.18</v>
      </c>
      <c r="G800">
        <v>292.86</v>
      </c>
      <c r="H800" t="s">
        <v>19</v>
      </c>
      <c r="I800" t="s">
        <v>14</v>
      </c>
    </row>
    <row r="801" spans="1:9" x14ac:dyDescent="0.35">
      <c r="A801" t="s">
        <v>837</v>
      </c>
      <c r="B801" s="1">
        <v>45012</v>
      </c>
      <c r="C801" t="s">
        <v>25</v>
      </c>
      <c r="D801" t="s">
        <v>17</v>
      </c>
      <c r="E801" t="s">
        <v>18</v>
      </c>
      <c r="F801">
        <v>1838.48</v>
      </c>
      <c r="G801">
        <v>424.78</v>
      </c>
      <c r="H801" t="s">
        <v>28</v>
      </c>
      <c r="I801" t="s">
        <v>29</v>
      </c>
    </row>
    <row r="802" spans="1:9" x14ac:dyDescent="0.35">
      <c r="A802" t="s">
        <v>838</v>
      </c>
      <c r="B802" s="1">
        <v>44741</v>
      </c>
      <c r="C802" t="s">
        <v>10</v>
      </c>
      <c r="D802" t="s">
        <v>38</v>
      </c>
      <c r="E802" t="s">
        <v>12</v>
      </c>
      <c r="F802">
        <v>1654.03</v>
      </c>
      <c r="G802">
        <v>109.99</v>
      </c>
      <c r="H802" t="s">
        <v>13</v>
      </c>
      <c r="I802" t="s">
        <v>29</v>
      </c>
    </row>
    <row r="803" spans="1:9" x14ac:dyDescent="0.35">
      <c r="A803" t="s">
        <v>839</v>
      </c>
      <c r="B803" s="1">
        <v>44797</v>
      </c>
      <c r="C803" t="s">
        <v>10</v>
      </c>
      <c r="D803" t="s">
        <v>46</v>
      </c>
      <c r="E803" t="s">
        <v>18</v>
      </c>
      <c r="F803">
        <v>710.58</v>
      </c>
      <c r="G803">
        <v>65.27</v>
      </c>
      <c r="H803" t="s">
        <v>28</v>
      </c>
      <c r="I803" t="s">
        <v>14</v>
      </c>
    </row>
    <row r="804" spans="1:9" x14ac:dyDescent="0.35">
      <c r="A804" t="s">
        <v>840</v>
      </c>
      <c r="B804" s="1">
        <v>45277</v>
      </c>
      <c r="C804" t="s">
        <v>25</v>
      </c>
      <c r="D804" t="s">
        <v>17</v>
      </c>
      <c r="E804" t="s">
        <v>18</v>
      </c>
      <c r="F804">
        <v>710.04</v>
      </c>
      <c r="G804">
        <v>121.29</v>
      </c>
      <c r="H804" t="s">
        <v>19</v>
      </c>
      <c r="I804" t="s">
        <v>20</v>
      </c>
    </row>
    <row r="805" spans="1:9" x14ac:dyDescent="0.35">
      <c r="A805" t="s">
        <v>841</v>
      </c>
      <c r="B805" s="1">
        <v>45618</v>
      </c>
      <c r="C805" t="s">
        <v>10</v>
      </c>
      <c r="D805" t="s">
        <v>17</v>
      </c>
      <c r="E805" t="s">
        <v>18</v>
      </c>
      <c r="F805">
        <v>1495.31</v>
      </c>
      <c r="G805">
        <v>248.41</v>
      </c>
      <c r="H805" t="s">
        <v>28</v>
      </c>
      <c r="I805" t="s">
        <v>20</v>
      </c>
    </row>
    <row r="806" spans="1:9" x14ac:dyDescent="0.35">
      <c r="A806" t="s">
        <v>842</v>
      </c>
      <c r="B806" s="1">
        <v>45259</v>
      </c>
      <c r="C806" t="s">
        <v>22</v>
      </c>
      <c r="D806" t="s">
        <v>31</v>
      </c>
      <c r="E806" t="s">
        <v>12</v>
      </c>
      <c r="F806">
        <v>1430.43</v>
      </c>
      <c r="G806">
        <v>260.43</v>
      </c>
      <c r="H806" t="s">
        <v>19</v>
      </c>
      <c r="I806" t="s">
        <v>29</v>
      </c>
    </row>
    <row r="807" spans="1:9" x14ac:dyDescent="0.35">
      <c r="A807" t="s">
        <v>843</v>
      </c>
      <c r="B807" s="1">
        <v>45579</v>
      </c>
      <c r="C807" t="s">
        <v>16</v>
      </c>
      <c r="D807" t="s">
        <v>23</v>
      </c>
      <c r="E807" t="s">
        <v>18</v>
      </c>
      <c r="F807">
        <v>54.49</v>
      </c>
      <c r="G807">
        <v>12.06</v>
      </c>
      <c r="H807" t="s">
        <v>13</v>
      </c>
      <c r="I807" t="s">
        <v>20</v>
      </c>
    </row>
    <row r="808" spans="1:9" x14ac:dyDescent="0.35">
      <c r="A808" t="s">
        <v>844</v>
      </c>
      <c r="B808" s="1">
        <v>45157</v>
      </c>
      <c r="C808" t="s">
        <v>10</v>
      </c>
      <c r="D808" t="s">
        <v>11</v>
      </c>
      <c r="E808" t="s">
        <v>12</v>
      </c>
      <c r="F808">
        <v>1016.64</v>
      </c>
      <c r="G808">
        <v>244.72</v>
      </c>
      <c r="H808" t="s">
        <v>13</v>
      </c>
      <c r="I808" t="s">
        <v>29</v>
      </c>
    </row>
    <row r="809" spans="1:9" x14ac:dyDescent="0.35">
      <c r="A809" t="s">
        <v>845</v>
      </c>
      <c r="B809" s="1">
        <v>44749</v>
      </c>
      <c r="C809" t="s">
        <v>25</v>
      </c>
      <c r="D809" t="s">
        <v>57</v>
      </c>
      <c r="E809" t="s">
        <v>27</v>
      </c>
      <c r="F809">
        <v>593.89</v>
      </c>
      <c r="G809">
        <v>176.12</v>
      </c>
      <c r="H809" t="s">
        <v>13</v>
      </c>
      <c r="I809" t="s">
        <v>20</v>
      </c>
    </row>
    <row r="810" spans="1:9" x14ac:dyDescent="0.35">
      <c r="A810" t="s">
        <v>846</v>
      </c>
      <c r="B810" s="1">
        <v>45027</v>
      </c>
      <c r="C810" t="s">
        <v>25</v>
      </c>
      <c r="D810" t="s">
        <v>23</v>
      </c>
      <c r="E810" t="s">
        <v>18</v>
      </c>
      <c r="F810">
        <v>1265.43</v>
      </c>
      <c r="G810">
        <v>185.06</v>
      </c>
      <c r="H810" t="s">
        <v>13</v>
      </c>
      <c r="I810" t="s">
        <v>20</v>
      </c>
    </row>
    <row r="811" spans="1:9" x14ac:dyDescent="0.35">
      <c r="A811" t="s">
        <v>847</v>
      </c>
      <c r="B811" s="1">
        <v>45137</v>
      </c>
      <c r="C811" t="s">
        <v>10</v>
      </c>
      <c r="D811" t="s">
        <v>73</v>
      </c>
      <c r="E811" t="s">
        <v>27</v>
      </c>
      <c r="F811">
        <v>378.31</v>
      </c>
      <c r="G811">
        <v>26.73</v>
      </c>
      <c r="H811" t="s">
        <v>28</v>
      </c>
      <c r="I811" t="s">
        <v>34</v>
      </c>
    </row>
    <row r="812" spans="1:9" x14ac:dyDescent="0.35">
      <c r="A812" t="s">
        <v>848</v>
      </c>
      <c r="B812" s="1">
        <v>45320</v>
      </c>
      <c r="C812" t="s">
        <v>16</v>
      </c>
      <c r="D812" t="s">
        <v>33</v>
      </c>
      <c r="E812" t="s">
        <v>18</v>
      </c>
      <c r="F812">
        <v>959.84</v>
      </c>
      <c r="G812">
        <v>247.93</v>
      </c>
      <c r="H812" t="s">
        <v>19</v>
      </c>
      <c r="I812" t="s">
        <v>20</v>
      </c>
    </row>
    <row r="813" spans="1:9" x14ac:dyDescent="0.35">
      <c r="A813" t="s">
        <v>849</v>
      </c>
      <c r="B813" s="1">
        <v>45553</v>
      </c>
      <c r="C813" t="s">
        <v>22</v>
      </c>
      <c r="D813" t="s">
        <v>26</v>
      </c>
      <c r="E813" t="s">
        <v>27</v>
      </c>
      <c r="F813">
        <v>159.68</v>
      </c>
      <c r="G813">
        <v>33.04</v>
      </c>
      <c r="H813" t="s">
        <v>13</v>
      </c>
      <c r="I813" t="s">
        <v>14</v>
      </c>
    </row>
    <row r="814" spans="1:9" x14ac:dyDescent="0.35">
      <c r="A814" t="s">
        <v>850</v>
      </c>
      <c r="B814" s="1">
        <v>44875</v>
      </c>
      <c r="C814" t="s">
        <v>22</v>
      </c>
      <c r="D814" t="s">
        <v>31</v>
      </c>
      <c r="E814" t="s">
        <v>12</v>
      </c>
      <c r="F814">
        <v>700.99</v>
      </c>
      <c r="G814">
        <v>193.97</v>
      </c>
      <c r="H814" t="s">
        <v>28</v>
      </c>
      <c r="I814" t="s">
        <v>14</v>
      </c>
    </row>
    <row r="815" spans="1:9" x14ac:dyDescent="0.35">
      <c r="A815" t="s">
        <v>851</v>
      </c>
      <c r="B815" s="1">
        <v>45315</v>
      </c>
      <c r="C815" t="s">
        <v>16</v>
      </c>
      <c r="D815" t="s">
        <v>57</v>
      </c>
      <c r="E815" t="s">
        <v>27</v>
      </c>
      <c r="F815">
        <v>421.55</v>
      </c>
      <c r="G815">
        <v>116.19</v>
      </c>
      <c r="H815" t="s">
        <v>19</v>
      </c>
      <c r="I815" t="s">
        <v>14</v>
      </c>
    </row>
    <row r="816" spans="1:9" x14ac:dyDescent="0.35">
      <c r="A816" t="s">
        <v>852</v>
      </c>
      <c r="B816" s="1">
        <v>44963</v>
      </c>
      <c r="C816" t="s">
        <v>22</v>
      </c>
      <c r="D816" t="s">
        <v>97</v>
      </c>
      <c r="E816" t="s">
        <v>27</v>
      </c>
      <c r="F816">
        <v>825.35</v>
      </c>
      <c r="G816">
        <v>56.79</v>
      </c>
      <c r="H816" t="s">
        <v>13</v>
      </c>
      <c r="I816" t="s">
        <v>34</v>
      </c>
    </row>
    <row r="817" spans="1:9" x14ac:dyDescent="0.35">
      <c r="A817" t="s">
        <v>853</v>
      </c>
      <c r="B817" s="1">
        <v>44958</v>
      </c>
      <c r="C817" t="s">
        <v>22</v>
      </c>
      <c r="D817" t="s">
        <v>26</v>
      </c>
      <c r="E817" t="s">
        <v>27</v>
      </c>
      <c r="F817">
        <v>888.48</v>
      </c>
      <c r="G817">
        <v>162.05000000000001</v>
      </c>
      <c r="H817" t="s">
        <v>19</v>
      </c>
      <c r="I817" t="s">
        <v>14</v>
      </c>
    </row>
    <row r="818" spans="1:9" x14ac:dyDescent="0.35">
      <c r="A818" t="s">
        <v>854</v>
      </c>
      <c r="B818" s="1">
        <v>45391</v>
      </c>
      <c r="C818" t="s">
        <v>10</v>
      </c>
      <c r="D818" t="s">
        <v>62</v>
      </c>
      <c r="E818" t="s">
        <v>27</v>
      </c>
      <c r="F818">
        <v>1795.59</v>
      </c>
      <c r="G818">
        <v>161.03</v>
      </c>
      <c r="H818" t="s">
        <v>19</v>
      </c>
      <c r="I818" t="s">
        <v>29</v>
      </c>
    </row>
    <row r="819" spans="1:9" x14ac:dyDescent="0.35">
      <c r="A819" t="s">
        <v>855</v>
      </c>
      <c r="B819" s="1">
        <v>44988</v>
      </c>
      <c r="C819" t="s">
        <v>22</v>
      </c>
      <c r="D819" t="s">
        <v>17</v>
      </c>
      <c r="E819" t="s">
        <v>18</v>
      </c>
      <c r="F819">
        <v>587.19000000000005</v>
      </c>
      <c r="G819">
        <v>64.36</v>
      </c>
      <c r="H819" t="s">
        <v>13</v>
      </c>
      <c r="I819" t="s">
        <v>20</v>
      </c>
    </row>
    <row r="820" spans="1:9" x14ac:dyDescent="0.35">
      <c r="A820" t="s">
        <v>856</v>
      </c>
      <c r="B820" s="1">
        <v>44701</v>
      </c>
      <c r="C820" t="s">
        <v>25</v>
      </c>
      <c r="D820" t="s">
        <v>26</v>
      </c>
      <c r="E820" t="s">
        <v>27</v>
      </c>
      <c r="F820">
        <v>1190.6099999999999</v>
      </c>
      <c r="G820">
        <v>124.54</v>
      </c>
      <c r="H820" t="s">
        <v>28</v>
      </c>
      <c r="I820" t="s">
        <v>20</v>
      </c>
    </row>
    <row r="821" spans="1:9" x14ac:dyDescent="0.35">
      <c r="A821" t="s">
        <v>857</v>
      </c>
      <c r="B821" s="1">
        <v>44643</v>
      </c>
      <c r="C821" t="s">
        <v>10</v>
      </c>
      <c r="D821" t="s">
        <v>73</v>
      </c>
      <c r="E821" t="s">
        <v>27</v>
      </c>
      <c r="F821">
        <v>678.76</v>
      </c>
      <c r="G821">
        <v>37.24</v>
      </c>
      <c r="H821" t="s">
        <v>13</v>
      </c>
      <c r="I821" t="s">
        <v>14</v>
      </c>
    </row>
    <row r="822" spans="1:9" x14ac:dyDescent="0.35">
      <c r="A822" t="s">
        <v>858</v>
      </c>
      <c r="B822" s="1">
        <v>45572</v>
      </c>
      <c r="C822" t="s">
        <v>16</v>
      </c>
      <c r="D822" t="s">
        <v>38</v>
      </c>
      <c r="E822" t="s">
        <v>12</v>
      </c>
      <c r="F822">
        <v>418.24</v>
      </c>
      <c r="G822">
        <v>75.69</v>
      </c>
      <c r="H822" t="s">
        <v>13</v>
      </c>
      <c r="I822" t="s">
        <v>14</v>
      </c>
    </row>
    <row r="823" spans="1:9" x14ac:dyDescent="0.35">
      <c r="A823" t="s">
        <v>859</v>
      </c>
      <c r="B823" s="1">
        <v>44568</v>
      </c>
      <c r="C823" t="s">
        <v>16</v>
      </c>
      <c r="D823" t="s">
        <v>50</v>
      </c>
      <c r="E823" t="s">
        <v>12</v>
      </c>
      <c r="F823">
        <v>1543.42</v>
      </c>
      <c r="G823">
        <v>220.59</v>
      </c>
      <c r="H823" t="s">
        <v>13</v>
      </c>
      <c r="I823" t="s">
        <v>20</v>
      </c>
    </row>
    <row r="824" spans="1:9" x14ac:dyDescent="0.35">
      <c r="A824" t="s">
        <v>860</v>
      </c>
      <c r="B824" s="1">
        <v>45159</v>
      </c>
      <c r="C824" t="s">
        <v>22</v>
      </c>
      <c r="D824" t="s">
        <v>57</v>
      </c>
      <c r="E824" t="s">
        <v>27</v>
      </c>
      <c r="F824">
        <v>1675.24</v>
      </c>
      <c r="G824">
        <v>425.62</v>
      </c>
      <c r="H824" t="s">
        <v>28</v>
      </c>
      <c r="I824" t="s">
        <v>29</v>
      </c>
    </row>
    <row r="825" spans="1:9" x14ac:dyDescent="0.35">
      <c r="A825" t="s">
        <v>861</v>
      </c>
      <c r="B825" s="1">
        <v>44894</v>
      </c>
      <c r="C825" t="s">
        <v>22</v>
      </c>
      <c r="D825" t="s">
        <v>41</v>
      </c>
      <c r="E825" t="s">
        <v>12</v>
      </c>
      <c r="F825">
        <v>1325.97</v>
      </c>
      <c r="G825">
        <v>74.11</v>
      </c>
      <c r="H825" t="s">
        <v>28</v>
      </c>
      <c r="I825" t="s">
        <v>34</v>
      </c>
    </row>
    <row r="826" spans="1:9" x14ac:dyDescent="0.35">
      <c r="A826" t="s">
        <v>862</v>
      </c>
      <c r="B826" s="1">
        <v>45312</v>
      </c>
      <c r="C826" t="s">
        <v>16</v>
      </c>
      <c r="D826" t="s">
        <v>62</v>
      </c>
      <c r="E826" t="s">
        <v>27</v>
      </c>
      <c r="F826">
        <v>1532.31</v>
      </c>
      <c r="G826">
        <v>389.97</v>
      </c>
      <c r="H826" t="s">
        <v>28</v>
      </c>
      <c r="I826" t="s">
        <v>29</v>
      </c>
    </row>
    <row r="827" spans="1:9" x14ac:dyDescent="0.35">
      <c r="A827" t="s">
        <v>863</v>
      </c>
      <c r="B827" s="1">
        <v>44655</v>
      </c>
      <c r="C827" t="s">
        <v>22</v>
      </c>
      <c r="D827" t="s">
        <v>11</v>
      </c>
      <c r="E827" t="s">
        <v>12</v>
      </c>
      <c r="F827">
        <v>246.84</v>
      </c>
      <c r="G827">
        <v>19.45</v>
      </c>
      <c r="H827" t="s">
        <v>28</v>
      </c>
      <c r="I827" t="s">
        <v>29</v>
      </c>
    </row>
    <row r="828" spans="1:9" x14ac:dyDescent="0.35">
      <c r="A828" t="s">
        <v>864</v>
      </c>
      <c r="B828" s="1">
        <v>45225</v>
      </c>
      <c r="C828" t="s">
        <v>10</v>
      </c>
      <c r="D828" t="s">
        <v>11</v>
      </c>
      <c r="E828" t="s">
        <v>12</v>
      </c>
      <c r="F828">
        <v>281.38</v>
      </c>
      <c r="G828">
        <v>24.36</v>
      </c>
      <c r="H828" t="s">
        <v>28</v>
      </c>
      <c r="I828" t="s">
        <v>29</v>
      </c>
    </row>
    <row r="829" spans="1:9" x14ac:dyDescent="0.35">
      <c r="A829" t="s">
        <v>865</v>
      </c>
      <c r="B829" s="1">
        <v>44744</v>
      </c>
      <c r="C829" t="s">
        <v>10</v>
      </c>
      <c r="D829" t="s">
        <v>62</v>
      </c>
      <c r="E829" t="s">
        <v>27</v>
      </c>
      <c r="F829">
        <v>1839.56</v>
      </c>
      <c r="G829">
        <v>163.38</v>
      </c>
      <c r="H829" t="s">
        <v>28</v>
      </c>
      <c r="I829" t="s">
        <v>29</v>
      </c>
    </row>
    <row r="830" spans="1:9" x14ac:dyDescent="0.35">
      <c r="A830" t="s">
        <v>866</v>
      </c>
      <c r="B830" s="1">
        <v>44927</v>
      </c>
      <c r="C830" t="s">
        <v>22</v>
      </c>
      <c r="D830" t="s">
        <v>73</v>
      </c>
      <c r="E830" t="s">
        <v>27</v>
      </c>
      <c r="F830">
        <v>1489.36</v>
      </c>
      <c r="G830">
        <v>376.47</v>
      </c>
      <c r="H830" t="s">
        <v>28</v>
      </c>
      <c r="I830" t="s">
        <v>14</v>
      </c>
    </row>
    <row r="831" spans="1:9" x14ac:dyDescent="0.35">
      <c r="A831" t="s">
        <v>867</v>
      </c>
      <c r="B831" s="1">
        <v>44842</v>
      </c>
      <c r="C831" t="s">
        <v>16</v>
      </c>
      <c r="D831" t="s">
        <v>46</v>
      </c>
      <c r="E831" t="s">
        <v>18</v>
      </c>
      <c r="F831">
        <v>1919.21</v>
      </c>
      <c r="G831">
        <v>574.09</v>
      </c>
      <c r="H831" t="s">
        <v>13</v>
      </c>
      <c r="I831" t="s">
        <v>14</v>
      </c>
    </row>
    <row r="832" spans="1:9" x14ac:dyDescent="0.35">
      <c r="A832" t="s">
        <v>868</v>
      </c>
      <c r="B832" s="1">
        <v>45261</v>
      </c>
      <c r="C832" t="s">
        <v>25</v>
      </c>
      <c r="D832" t="s">
        <v>11</v>
      </c>
      <c r="E832" t="s">
        <v>12</v>
      </c>
      <c r="F832">
        <v>488.94</v>
      </c>
      <c r="G832">
        <v>139.52000000000001</v>
      </c>
      <c r="H832" t="s">
        <v>13</v>
      </c>
      <c r="I832" t="s">
        <v>20</v>
      </c>
    </row>
    <row r="833" spans="1:9" x14ac:dyDescent="0.35">
      <c r="A833" t="s">
        <v>869</v>
      </c>
      <c r="B833" s="1">
        <v>45363</v>
      </c>
      <c r="C833" t="s">
        <v>22</v>
      </c>
      <c r="D833" t="s">
        <v>41</v>
      </c>
      <c r="E833" t="s">
        <v>12</v>
      </c>
      <c r="F833">
        <v>399.62</v>
      </c>
      <c r="G833">
        <v>104.79</v>
      </c>
      <c r="H833" t="s">
        <v>28</v>
      </c>
      <c r="I833" t="s">
        <v>14</v>
      </c>
    </row>
    <row r="834" spans="1:9" x14ac:dyDescent="0.35">
      <c r="A834" t="s">
        <v>870</v>
      </c>
      <c r="B834" s="1">
        <v>44964</v>
      </c>
      <c r="C834" t="s">
        <v>25</v>
      </c>
      <c r="D834" t="s">
        <v>23</v>
      </c>
      <c r="E834" t="s">
        <v>18</v>
      </c>
      <c r="F834">
        <v>720.6</v>
      </c>
      <c r="G834">
        <v>141.72999999999999</v>
      </c>
      <c r="H834" t="s">
        <v>13</v>
      </c>
      <c r="I834" t="s">
        <v>29</v>
      </c>
    </row>
    <row r="835" spans="1:9" x14ac:dyDescent="0.35">
      <c r="A835" t="s">
        <v>871</v>
      </c>
      <c r="B835" s="1">
        <v>45409</v>
      </c>
      <c r="C835" t="s">
        <v>16</v>
      </c>
      <c r="D835" t="s">
        <v>50</v>
      </c>
      <c r="E835" t="s">
        <v>12</v>
      </c>
      <c r="F835">
        <v>777.22</v>
      </c>
      <c r="G835">
        <v>161.49</v>
      </c>
      <c r="H835" t="s">
        <v>19</v>
      </c>
      <c r="I835" t="s">
        <v>14</v>
      </c>
    </row>
    <row r="836" spans="1:9" x14ac:dyDescent="0.35">
      <c r="A836" t="s">
        <v>872</v>
      </c>
      <c r="B836" s="1">
        <v>44613</v>
      </c>
      <c r="C836" t="s">
        <v>22</v>
      </c>
      <c r="D836" t="s">
        <v>97</v>
      </c>
      <c r="E836" t="s">
        <v>27</v>
      </c>
      <c r="F836">
        <v>479.31</v>
      </c>
      <c r="G836">
        <v>121.5</v>
      </c>
      <c r="H836" t="s">
        <v>19</v>
      </c>
      <c r="I836" t="s">
        <v>20</v>
      </c>
    </row>
    <row r="837" spans="1:9" x14ac:dyDescent="0.35">
      <c r="A837" t="s">
        <v>873</v>
      </c>
      <c r="B837" s="1">
        <v>44773</v>
      </c>
      <c r="C837" t="s">
        <v>22</v>
      </c>
      <c r="D837" t="s">
        <v>11</v>
      </c>
      <c r="E837" t="s">
        <v>12</v>
      </c>
      <c r="F837">
        <v>1551.65</v>
      </c>
      <c r="G837">
        <v>96.01</v>
      </c>
      <c r="H837" t="s">
        <v>13</v>
      </c>
      <c r="I837" t="s">
        <v>34</v>
      </c>
    </row>
    <row r="838" spans="1:9" x14ac:dyDescent="0.35">
      <c r="A838" t="s">
        <v>874</v>
      </c>
      <c r="B838" s="1">
        <v>44622</v>
      </c>
      <c r="C838" t="s">
        <v>25</v>
      </c>
      <c r="D838" t="s">
        <v>23</v>
      </c>
      <c r="E838" t="s">
        <v>18</v>
      </c>
      <c r="F838">
        <v>1349.66</v>
      </c>
      <c r="G838">
        <v>309.86</v>
      </c>
      <c r="H838" t="s">
        <v>13</v>
      </c>
      <c r="I838" t="s">
        <v>14</v>
      </c>
    </row>
    <row r="839" spans="1:9" x14ac:dyDescent="0.35">
      <c r="A839" t="s">
        <v>875</v>
      </c>
      <c r="B839" s="1">
        <v>44642</v>
      </c>
      <c r="C839" t="s">
        <v>25</v>
      </c>
      <c r="D839" t="s">
        <v>17</v>
      </c>
      <c r="E839" t="s">
        <v>18</v>
      </c>
      <c r="F839">
        <v>997.6</v>
      </c>
      <c r="G839">
        <v>137.52000000000001</v>
      </c>
      <c r="H839" t="s">
        <v>13</v>
      </c>
      <c r="I839" t="s">
        <v>14</v>
      </c>
    </row>
    <row r="840" spans="1:9" x14ac:dyDescent="0.35">
      <c r="A840" t="s">
        <v>876</v>
      </c>
      <c r="B840" s="1">
        <v>45450</v>
      </c>
      <c r="C840" t="s">
        <v>16</v>
      </c>
      <c r="D840" t="s">
        <v>17</v>
      </c>
      <c r="E840" t="s">
        <v>18</v>
      </c>
      <c r="F840">
        <v>128.63999999999999</v>
      </c>
      <c r="G840">
        <v>24.62</v>
      </c>
      <c r="H840" t="s">
        <v>19</v>
      </c>
      <c r="I840" t="s">
        <v>14</v>
      </c>
    </row>
    <row r="841" spans="1:9" x14ac:dyDescent="0.35">
      <c r="A841" t="s">
        <v>877</v>
      </c>
      <c r="B841" s="1">
        <v>44700</v>
      </c>
      <c r="C841" t="s">
        <v>22</v>
      </c>
      <c r="D841" t="s">
        <v>17</v>
      </c>
      <c r="E841" t="s">
        <v>18</v>
      </c>
      <c r="F841">
        <v>1975.79</v>
      </c>
      <c r="G841">
        <v>412.42</v>
      </c>
      <c r="H841" t="s">
        <v>28</v>
      </c>
      <c r="I841" t="s">
        <v>20</v>
      </c>
    </row>
    <row r="842" spans="1:9" x14ac:dyDescent="0.35">
      <c r="A842" t="s">
        <v>878</v>
      </c>
      <c r="B842" s="1">
        <v>44868</v>
      </c>
      <c r="C842" t="s">
        <v>10</v>
      </c>
      <c r="D842" t="s">
        <v>95</v>
      </c>
      <c r="E842" t="s">
        <v>18</v>
      </c>
      <c r="F842">
        <v>79.010000000000005</v>
      </c>
      <c r="G842">
        <v>17.07</v>
      </c>
      <c r="H842" t="s">
        <v>19</v>
      </c>
      <c r="I842" t="s">
        <v>34</v>
      </c>
    </row>
    <row r="843" spans="1:9" x14ac:dyDescent="0.35">
      <c r="A843" t="s">
        <v>879</v>
      </c>
      <c r="B843" s="1">
        <v>44865</v>
      </c>
      <c r="C843" t="s">
        <v>25</v>
      </c>
      <c r="D843" t="s">
        <v>31</v>
      </c>
      <c r="E843" t="s">
        <v>12</v>
      </c>
      <c r="F843">
        <v>783.37</v>
      </c>
      <c r="G843">
        <v>208.77</v>
      </c>
      <c r="H843" t="s">
        <v>28</v>
      </c>
      <c r="I843" t="s">
        <v>34</v>
      </c>
    </row>
    <row r="844" spans="1:9" x14ac:dyDescent="0.35">
      <c r="A844" t="s">
        <v>880</v>
      </c>
      <c r="B844" s="1">
        <v>44947</v>
      </c>
      <c r="C844" t="s">
        <v>22</v>
      </c>
      <c r="D844" t="s">
        <v>97</v>
      </c>
      <c r="E844" t="s">
        <v>27</v>
      </c>
      <c r="F844">
        <v>456.45</v>
      </c>
      <c r="G844">
        <v>83.29</v>
      </c>
      <c r="H844" t="s">
        <v>19</v>
      </c>
      <c r="I844" t="s">
        <v>14</v>
      </c>
    </row>
    <row r="845" spans="1:9" x14ac:dyDescent="0.35">
      <c r="A845" t="s">
        <v>881</v>
      </c>
      <c r="B845" s="1">
        <v>44571</v>
      </c>
      <c r="C845" t="s">
        <v>16</v>
      </c>
      <c r="D845" t="s">
        <v>26</v>
      </c>
      <c r="E845" t="s">
        <v>27</v>
      </c>
      <c r="F845">
        <v>702.4</v>
      </c>
      <c r="G845">
        <v>162.9</v>
      </c>
      <c r="H845" t="s">
        <v>19</v>
      </c>
      <c r="I845" t="s">
        <v>14</v>
      </c>
    </row>
    <row r="846" spans="1:9" x14ac:dyDescent="0.35">
      <c r="A846" t="s">
        <v>882</v>
      </c>
      <c r="B846" s="1">
        <v>44653</v>
      </c>
      <c r="C846" t="s">
        <v>16</v>
      </c>
      <c r="D846" t="s">
        <v>38</v>
      </c>
      <c r="E846" t="s">
        <v>12</v>
      </c>
      <c r="F846">
        <v>1366.89</v>
      </c>
      <c r="G846">
        <v>126.15</v>
      </c>
      <c r="H846" t="s">
        <v>13</v>
      </c>
      <c r="I846" t="s">
        <v>34</v>
      </c>
    </row>
    <row r="847" spans="1:9" x14ac:dyDescent="0.35">
      <c r="A847" t="s">
        <v>883</v>
      </c>
      <c r="B847" s="1">
        <v>45323</v>
      </c>
      <c r="C847" t="s">
        <v>22</v>
      </c>
      <c r="D847" t="s">
        <v>38</v>
      </c>
      <c r="E847" t="s">
        <v>12</v>
      </c>
      <c r="F847">
        <v>385.09</v>
      </c>
      <c r="G847">
        <v>29.45</v>
      </c>
      <c r="H847" t="s">
        <v>19</v>
      </c>
      <c r="I847" t="s">
        <v>29</v>
      </c>
    </row>
    <row r="848" spans="1:9" x14ac:dyDescent="0.35">
      <c r="A848" t="s">
        <v>884</v>
      </c>
      <c r="B848" s="1">
        <v>45176</v>
      </c>
      <c r="C848" t="s">
        <v>16</v>
      </c>
      <c r="D848" t="s">
        <v>33</v>
      </c>
      <c r="E848" t="s">
        <v>18</v>
      </c>
      <c r="F848">
        <v>745.03</v>
      </c>
      <c r="G848">
        <v>221.34</v>
      </c>
      <c r="H848" t="s">
        <v>19</v>
      </c>
      <c r="I848" t="s">
        <v>34</v>
      </c>
    </row>
    <row r="849" spans="1:9" x14ac:dyDescent="0.35">
      <c r="A849" t="s">
        <v>885</v>
      </c>
      <c r="B849" s="1">
        <v>44827</v>
      </c>
      <c r="C849" t="s">
        <v>22</v>
      </c>
      <c r="D849" t="s">
        <v>33</v>
      </c>
      <c r="E849" t="s">
        <v>18</v>
      </c>
      <c r="F849">
        <v>1212.8</v>
      </c>
      <c r="G849">
        <v>236.9</v>
      </c>
      <c r="H849" t="s">
        <v>19</v>
      </c>
      <c r="I849" t="s">
        <v>34</v>
      </c>
    </row>
    <row r="850" spans="1:9" x14ac:dyDescent="0.35">
      <c r="A850" t="s">
        <v>886</v>
      </c>
      <c r="B850" s="1">
        <v>45514</v>
      </c>
      <c r="C850" t="s">
        <v>16</v>
      </c>
      <c r="D850" t="s">
        <v>26</v>
      </c>
      <c r="E850" t="s">
        <v>27</v>
      </c>
      <c r="F850">
        <v>120.27</v>
      </c>
      <c r="G850">
        <v>9.9700000000000006</v>
      </c>
      <c r="H850" t="s">
        <v>19</v>
      </c>
      <c r="I850" t="s">
        <v>20</v>
      </c>
    </row>
    <row r="851" spans="1:9" x14ac:dyDescent="0.35">
      <c r="A851" t="s">
        <v>887</v>
      </c>
      <c r="B851" s="1">
        <v>45561</v>
      </c>
      <c r="C851" t="s">
        <v>10</v>
      </c>
      <c r="D851" t="s">
        <v>46</v>
      </c>
      <c r="E851" t="s">
        <v>18</v>
      </c>
      <c r="F851">
        <v>1410.49</v>
      </c>
      <c r="G851">
        <v>147.38</v>
      </c>
      <c r="H851" t="s">
        <v>19</v>
      </c>
      <c r="I851" t="s">
        <v>29</v>
      </c>
    </row>
    <row r="852" spans="1:9" x14ac:dyDescent="0.35">
      <c r="A852" t="s">
        <v>888</v>
      </c>
      <c r="B852" s="1">
        <v>45466</v>
      </c>
      <c r="C852" t="s">
        <v>10</v>
      </c>
      <c r="D852" t="s">
        <v>97</v>
      </c>
      <c r="E852" t="s">
        <v>27</v>
      </c>
      <c r="F852">
        <v>1357.08</v>
      </c>
      <c r="G852">
        <v>145.38999999999999</v>
      </c>
      <c r="H852" t="s">
        <v>19</v>
      </c>
      <c r="I852" t="s">
        <v>34</v>
      </c>
    </row>
    <row r="853" spans="1:9" x14ac:dyDescent="0.35">
      <c r="A853" t="s">
        <v>889</v>
      </c>
      <c r="B853" s="1">
        <v>45040</v>
      </c>
      <c r="C853" t="s">
        <v>25</v>
      </c>
      <c r="D853" t="s">
        <v>50</v>
      </c>
      <c r="E853" t="s">
        <v>12</v>
      </c>
      <c r="F853">
        <v>944.96</v>
      </c>
      <c r="G853">
        <v>275.69</v>
      </c>
      <c r="H853" t="s">
        <v>28</v>
      </c>
      <c r="I853" t="s">
        <v>20</v>
      </c>
    </row>
    <row r="854" spans="1:9" x14ac:dyDescent="0.35">
      <c r="A854" t="s">
        <v>890</v>
      </c>
      <c r="B854" s="1">
        <v>45620</v>
      </c>
      <c r="C854" t="s">
        <v>16</v>
      </c>
      <c r="D854" t="s">
        <v>50</v>
      </c>
      <c r="E854" t="s">
        <v>12</v>
      </c>
      <c r="F854">
        <v>1933.04</v>
      </c>
      <c r="G854">
        <v>469.43</v>
      </c>
      <c r="H854" t="s">
        <v>28</v>
      </c>
      <c r="I854" t="s">
        <v>20</v>
      </c>
    </row>
    <row r="855" spans="1:9" x14ac:dyDescent="0.35">
      <c r="A855" t="s">
        <v>891</v>
      </c>
      <c r="B855" s="1">
        <v>45639</v>
      </c>
      <c r="C855" t="s">
        <v>10</v>
      </c>
      <c r="D855" t="s">
        <v>17</v>
      </c>
      <c r="E855" t="s">
        <v>18</v>
      </c>
      <c r="F855">
        <v>295.49</v>
      </c>
      <c r="G855">
        <v>26.92</v>
      </c>
      <c r="H855" t="s">
        <v>28</v>
      </c>
      <c r="I855" t="s">
        <v>34</v>
      </c>
    </row>
    <row r="856" spans="1:9" x14ac:dyDescent="0.35">
      <c r="A856" t="s">
        <v>892</v>
      </c>
      <c r="B856" s="1">
        <v>45253</v>
      </c>
      <c r="C856" t="s">
        <v>16</v>
      </c>
      <c r="D856" t="s">
        <v>62</v>
      </c>
      <c r="E856" t="s">
        <v>27</v>
      </c>
      <c r="F856">
        <v>1344.26</v>
      </c>
      <c r="G856">
        <v>80.77</v>
      </c>
      <c r="H856" t="s">
        <v>13</v>
      </c>
      <c r="I856" t="s">
        <v>20</v>
      </c>
    </row>
    <row r="857" spans="1:9" x14ac:dyDescent="0.35">
      <c r="A857" t="s">
        <v>893</v>
      </c>
      <c r="B857" s="1">
        <v>45078</v>
      </c>
      <c r="C857" t="s">
        <v>16</v>
      </c>
      <c r="D857" t="s">
        <v>95</v>
      </c>
      <c r="E857" t="s">
        <v>18</v>
      </c>
      <c r="F857">
        <v>1169.93</v>
      </c>
      <c r="G857">
        <v>150.80000000000001</v>
      </c>
      <c r="H857" t="s">
        <v>19</v>
      </c>
      <c r="I857" t="s">
        <v>20</v>
      </c>
    </row>
    <row r="858" spans="1:9" x14ac:dyDescent="0.35">
      <c r="A858" t="s">
        <v>894</v>
      </c>
      <c r="B858" s="1">
        <v>45613</v>
      </c>
      <c r="C858" t="s">
        <v>25</v>
      </c>
      <c r="D858" t="s">
        <v>97</v>
      </c>
      <c r="E858" t="s">
        <v>27</v>
      </c>
      <c r="F858">
        <v>106.18</v>
      </c>
      <c r="G858">
        <v>22.84</v>
      </c>
      <c r="H858" t="s">
        <v>28</v>
      </c>
      <c r="I858" t="s">
        <v>34</v>
      </c>
    </row>
    <row r="859" spans="1:9" x14ac:dyDescent="0.35">
      <c r="A859" t="s">
        <v>895</v>
      </c>
      <c r="B859" s="1">
        <v>45117</v>
      </c>
      <c r="C859" t="s">
        <v>16</v>
      </c>
      <c r="D859" t="s">
        <v>57</v>
      </c>
      <c r="E859" t="s">
        <v>27</v>
      </c>
      <c r="F859">
        <v>547.44000000000005</v>
      </c>
      <c r="G859">
        <v>111.37</v>
      </c>
      <c r="H859" t="s">
        <v>28</v>
      </c>
      <c r="I859" t="s">
        <v>29</v>
      </c>
    </row>
    <row r="860" spans="1:9" x14ac:dyDescent="0.35">
      <c r="A860" t="s">
        <v>896</v>
      </c>
      <c r="B860" s="1">
        <v>45469</v>
      </c>
      <c r="C860" t="s">
        <v>25</v>
      </c>
      <c r="D860" t="s">
        <v>57</v>
      </c>
      <c r="E860" t="s">
        <v>27</v>
      </c>
      <c r="F860">
        <v>371.74</v>
      </c>
      <c r="G860">
        <v>56.84</v>
      </c>
      <c r="H860" t="s">
        <v>28</v>
      </c>
      <c r="I860" t="s">
        <v>14</v>
      </c>
    </row>
    <row r="861" spans="1:9" x14ac:dyDescent="0.35">
      <c r="A861" t="s">
        <v>897</v>
      </c>
      <c r="B861" s="1">
        <v>44636</v>
      </c>
      <c r="C861" t="s">
        <v>25</v>
      </c>
      <c r="D861" t="s">
        <v>57</v>
      </c>
      <c r="E861" t="s">
        <v>27</v>
      </c>
      <c r="F861">
        <v>1484.39</v>
      </c>
      <c r="G861">
        <v>188.46</v>
      </c>
      <c r="H861" t="s">
        <v>19</v>
      </c>
      <c r="I861" t="s">
        <v>20</v>
      </c>
    </row>
    <row r="862" spans="1:9" x14ac:dyDescent="0.35">
      <c r="A862" t="s">
        <v>898</v>
      </c>
      <c r="B862" s="1">
        <v>45560</v>
      </c>
      <c r="C862" t="s">
        <v>10</v>
      </c>
      <c r="D862" t="s">
        <v>73</v>
      </c>
      <c r="E862" t="s">
        <v>27</v>
      </c>
      <c r="F862">
        <v>893.97</v>
      </c>
      <c r="G862">
        <v>89.08</v>
      </c>
      <c r="H862" t="s">
        <v>19</v>
      </c>
      <c r="I862" t="s">
        <v>34</v>
      </c>
    </row>
    <row r="863" spans="1:9" x14ac:dyDescent="0.35">
      <c r="A863" t="s">
        <v>899</v>
      </c>
      <c r="B863" s="1">
        <v>45443</v>
      </c>
      <c r="C863" t="s">
        <v>10</v>
      </c>
      <c r="D863" t="s">
        <v>11</v>
      </c>
      <c r="E863" t="s">
        <v>12</v>
      </c>
      <c r="F863">
        <v>1573.91</v>
      </c>
      <c r="G863">
        <v>431.03</v>
      </c>
      <c r="H863" t="s">
        <v>13</v>
      </c>
      <c r="I863" t="s">
        <v>29</v>
      </c>
    </row>
    <row r="864" spans="1:9" x14ac:dyDescent="0.35">
      <c r="A864" t="s">
        <v>900</v>
      </c>
      <c r="B864" s="1">
        <v>45060</v>
      </c>
      <c r="C864" t="s">
        <v>10</v>
      </c>
      <c r="D864" t="s">
        <v>11</v>
      </c>
      <c r="E864" t="s">
        <v>12</v>
      </c>
      <c r="F864">
        <v>1680.47</v>
      </c>
      <c r="G864">
        <v>341.4</v>
      </c>
      <c r="H864" t="s">
        <v>13</v>
      </c>
      <c r="I864" t="s">
        <v>20</v>
      </c>
    </row>
    <row r="865" spans="1:9" x14ac:dyDescent="0.35">
      <c r="A865" t="s">
        <v>901</v>
      </c>
      <c r="B865" s="1">
        <v>44961</v>
      </c>
      <c r="C865" t="s">
        <v>22</v>
      </c>
      <c r="D865" t="s">
        <v>46</v>
      </c>
      <c r="E865" t="s">
        <v>18</v>
      </c>
      <c r="F865">
        <v>1714.28</v>
      </c>
      <c r="G865">
        <v>425.62</v>
      </c>
      <c r="H865" t="s">
        <v>19</v>
      </c>
      <c r="I865" t="s">
        <v>20</v>
      </c>
    </row>
    <row r="866" spans="1:9" x14ac:dyDescent="0.35">
      <c r="A866" t="s">
        <v>902</v>
      </c>
      <c r="B866" s="1">
        <v>45319</v>
      </c>
      <c r="C866" t="s">
        <v>10</v>
      </c>
      <c r="D866" t="s">
        <v>97</v>
      </c>
      <c r="E866" t="s">
        <v>27</v>
      </c>
      <c r="F866">
        <v>443.84</v>
      </c>
      <c r="G866">
        <v>93.13</v>
      </c>
      <c r="H866" t="s">
        <v>13</v>
      </c>
      <c r="I866" t="s">
        <v>34</v>
      </c>
    </row>
    <row r="867" spans="1:9" x14ac:dyDescent="0.35">
      <c r="A867" t="s">
        <v>903</v>
      </c>
      <c r="B867" s="1">
        <v>45172</v>
      </c>
      <c r="C867" t="s">
        <v>16</v>
      </c>
      <c r="D867" t="s">
        <v>46</v>
      </c>
      <c r="E867" t="s">
        <v>18</v>
      </c>
      <c r="F867">
        <v>118.91</v>
      </c>
      <c r="G867">
        <v>13.79</v>
      </c>
      <c r="H867" t="s">
        <v>19</v>
      </c>
      <c r="I867" t="s">
        <v>34</v>
      </c>
    </row>
    <row r="868" spans="1:9" x14ac:dyDescent="0.35">
      <c r="A868" t="s">
        <v>904</v>
      </c>
      <c r="B868" s="1">
        <v>44936</v>
      </c>
      <c r="C868" t="s">
        <v>25</v>
      </c>
      <c r="D868" t="s">
        <v>31</v>
      </c>
      <c r="E868" t="s">
        <v>12</v>
      </c>
      <c r="F868">
        <v>681.49</v>
      </c>
      <c r="G868">
        <v>120.62</v>
      </c>
      <c r="H868" t="s">
        <v>19</v>
      </c>
      <c r="I868" t="s">
        <v>14</v>
      </c>
    </row>
    <row r="869" spans="1:9" x14ac:dyDescent="0.35">
      <c r="A869" t="s">
        <v>905</v>
      </c>
      <c r="B869" s="1">
        <v>45341</v>
      </c>
      <c r="C869" t="s">
        <v>25</v>
      </c>
      <c r="D869" t="s">
        <v>50</v>
      </c>
      <c r="E869" t="s">
        <v>12</v>
      </c>
      <c r="F869">
        <v>100.67</v>
      </c>
      <c r="G869">
        <v>27.72</v>
      </c>
      <c r="H869" t="s">
        <v>19</v>
      </c>
      <c r="I869" t="s">
        <v>29</v>
      </c>
    </row>
    <row r="870" spans="1:9" x14ac:dyDescent="0.35">
      <c r="A870" t="s">
        <v>906</v>
      </c>
      <c r="B870" s="1">
        <v>45108</v>
      </c>
      <c r="C870" t="s">
        <v>16</v>
      </c>
      <c r="D870" t="s">
        <v>95</v>
      </c>
      <c r="E870" t="s">
        <v>18</v>
      </c>
      <c r="F870">
        <v>1146.6300000000001</v>
      </c>
      <c r="G870">
        <v>153.16</v>
      </c>
      <c r="H870" t="s">
        <v>28</v>
      </c>
      <c r="I870" t="s">
        <v>34</v>
      </c>
    </row>
    <row r="871" spans="1:9" x14ac:dyDescent="0.35">
      <c r="A871" t="s">
        <v>907</v>
      </c>
      <c r="B871" s="1">
        <v>45140</v>
      </c>
      <c r="C871" t="s">
        <v>22</v>
      </c>
      <c r="D871" t="s">
        <v>57</v>
      </c>
      <c r="E871" t="s">
        <v>27</v>
      </c>
      <c r="F871">
        <v>151.97</v>
      </c>
      <c r="G871">
        <v>9.23</v>
      </c>
      <c r="H871" t="s">
        <v>28</v>
      </c>
      <c r="I871" t="s">
        <v>34</v>
      </c>
    </row>
    <row r="872" spans="1:9" x14ac:dyDescent="0.35">
      <c r="A872" t="s">
        <v>908</v>
      </c>
      <c r="B872" s="1">
        <v>44705</v>
      </c>
      <c r="C872" t="s">
        <v>22</v>
      </c>
      <c r="D872" t="s">
        <v>73</v>
      </c>
      <c r="E872" t="s">
        <v>27</v>
      </c>
      <c r="F872">
        <v>1736.27</v>
      </c>
      <c r="G872">
        <v>311.22000000000003</v>
      </c>
      <c r="H872" t="s">
        <v>19</v>
      </c>
      <c r="I872" t="s">
        <v>20</v>
      </c>
    </row>
    <row r="873" spans="1:9" x14ac:dyDescent="0.35">
      <c r="A873" t="s">
        <v>909</v>
      </c>
      <c r="B873" s="1">
        <v>44637</v>
      </c>
      <c r="C873" t="s">
        <v>16</v>
      </c>
      <c r="D873" t="s">
        <v>26</v>
      </c>
      <c r="E873" t="s">
        <v>27</v>
      </c>
      <c r="F873">
        <v>271.60000000000002</v>
      </c>
      <c r="G873">
        <v>71.64</v>
      </c>
      <c r="H873" t="s">
        <v>13</v>
      </c>
      <c r="I873" t="s">
        <v>29</v>
      </c>
    </row>
    <row r="874" spans="1:9" x14ac:dyDescent="0.35">
      <c r="A874" t="s">
        <v>910</v>
      </c>
      <c r="B874" s="1">
        <v>45398</v>
      </c>
      <c r="C874" t="s">
        <v>25</v>
      </c>
      <c r="D874" t="s">
        <v>97</v>
      </c>
      <c r="E874" t="s">
        <v>27</v>
      </c>
      <c r="F874">
        <v>492.33</v>
      </c>
      <c r="G874">
        <v>70.099999999999994</v>
      </c>
      <c r="H874" t="s">
        <v>28</v>
      </c>
      <c r="I874" t="s">
        <v>20</v>
      </c>
    </row>
    <row r="875" spans="1:9" x14ac:dyDescent="0.35">
      <c r="A875" t="s">
        <v>911</v>
      </c>
      <c r="B875" s="1">
        <v>44856</v>
      </c>
      <c r="C875" t="s">
        <v>10</v>
      </c>
      <c r="D875" t="s">
        <v>62</v>
      </c>
      <c r="E875" t="s">
        <v>27</v>
      </c>
      <c r="F875">
        <v>1395.96</v>
      </c>
      <c r="G875">
        <v>155.97</v>
      </c>
      <c r="H875" t="s">
        <v>19</v>
      </c>
      <c r="I875" t="s">
        <v>20</v>
      </c>
    </row>
    <row r="876" spans="1:9" x14ac:dyDescent="0.35">
      <c r="A876" t="s">
        <v>912</v>
      </c>
      <c r="B876" s="1">
        <v>45089</v>
      </c>
      <c r="C876" t="s">
        <v>16</v>
      </c>
      <c r="D876" t="s">
        <v>23</v>
      </c>
      <c r="E876" t="s">
        <v>18</v>
      </c>
      <c r="F876">
        <v>1687.51</v>
      </c>
      <c r="G876">
        <v>152.49</v>
      </c>
      <c r="H876" t="s">
        <v>19</v>
      </c>
      <c r="I876" t="s">
        <v>20</v>
      </c>
    </row>
    <row r="877" spans="1:9" x14ac:dyDescent="0.35">
      <c r="A877" t="s">
        <v>913</v>
      </c>
      <c r="B877" s="1">
        <v>45212</v>
      </c>
      <c r="C877" t="s">
        <v>22</v>
      </c>
      <c r="D877" t="s">
        <v>38</v>
      </c>
      <c r="E877" t="s">
        <v>12</v>
      </c>
      <c r="F877">
        <v>1030.2</v>
      </c>
      <c r="G877">
        <v>258.35000000000002</v>
      </c>
      <c r="H877" t="s">
        <v>13</v>
      </c>
      <c r="I877" t="s">
        <v>34</v>
      </c>
    </row>
    <row r="878" spans="1:9" x14ac:dyDescent="0.35">
      <c r="A878" t="s">
        <v>914</v>
      </c>
      <c r="B878" s="1">
        <v>44942</v>
      </c>
      <c r="C878" t="s">
        <v>22</v>
      </c>
      <c r="D878" t="s">
        <v>57</v>
      </c>
      <c r="E878" t="s">
        <v>27</v>
      </c>
      <c r="F878">
        <v>773.11</v>
      </c>
      <c r="G878">
        <v>55.38</v>
      </c>
      <c r="H878" t="s">
        <v>28</v>
      </c>
      <c r="I878" t="s">
        <v>29</v>
      </c>
    </row>
    <row r="879" spans="1:9" x14ac:dyDescent="0.35">
      <c r="A879" t="s">
        <v>915</v>
      </c>
      <c r="B879" s="1">
        <v>45278</v>
      </c>
      <c r="C879" t="s">
        <v>22</v>
      </c>
      <c r="D879" t="s">
        <v>26</v>
      </c>
      <c r="E879" t="s">
        <v>27</v>
      </c>
      <c r="F879">
        <v>716.58</v>
      </c>
      <c r="G879">
        <v>128.9</v>
      </c>
      <c r="H879" t="s">
        <v>28</v>
      </c>
      <c r="I879" t="s">
        <v>29</v>
      </c>
    </row>
    <row r="880" spans="1:9" x14ac:dyDescent="0.35">
      <c r="A880" t="s">
        <v>916</v>
      </c>
      <c r="B880" s="1">
        <v>44665</v>
      </c>
      <c r="C880" t="s">
        <v>22</v>
      </c>
      <c r="D880" t="s">
        <v>73</v>
      </c>
      <c r="E880" t="s">
        <v>27</v>
      </c>
      <c r="F880">
        <v>379.76</v>
      </c>
      <c r="G880">
        <v>57.26</v>
      </c>
      <c r="H880" t="s">
        <v>28</v>
      </c>
      <c r="I880" t="s">
        <v>14</v>
      </c>
    </row>
    <row r="881" spans="1:9" x14ac:dyDescent="0.35">
      <c r="A881" t="s">
        <v>917</v>
      </c>
      <c r="B881" s="1">
        <v>44920</v>
      </c>
      <c r="C881" t="s">
        <v>10</v>
      </c>
      <c r="D881" t="s">
        <v>95</v>
      </c>
      <c r="E881" t="s">
        <v>18</v>
      </c>
      <c r="F881">
        <v>295.56</v>
      </c>
      <c r="G881">
        <v>28.75</v>
      </c>
      <c r="H881" t="s">
        <v>19</v>
      </c>
      <c r="I881" t="s">
        <v>34</v>
      </c>
    </row>
    <row r="882" spans="1:9" x14ac:dyDescent="0.35">
      <c r="A882" t="s">
        <v>918</v>
      </c>
      <c r="B882" s="1">
        <v>45248</v>
      </c>
      <c r="C882" t="s">
        <v>10</v>
      </c>
      <c r="D882" t="s">
        <v>31</v>
      </c>
      <c r="E882" t="s">
        <v>12</v>
      </c>
      <c r="F882">
        <v>252.15</v>
      </c>
      <c r="G882">
        <v>38.700000000000003</v>
      </c>
      <c r="H882" t="s">
        <v>28</v>
      </c>
      <c r="I882" t="s">
        <v>20</v>
      </c>
    </row>
    <row r="883" spans="1:9" x14ac:dyDescent="0.35">
      <c r="A883" t="s">
        <v>919</v>
      </c>
      <c r="B883" s="1">
        <v>45320</v>
      </c>
      <c r="C883" t="s">
        <v>10</v>
      </c>
      <c r="D883" t="s">
        <v>41</v>
      </c>
      <c r="E883" t="s">
        <v>12</v>
      </c>
      <c r="F883">
        <v>1444.74</v>
      </c>
      <c r="G883">
        <v>302.20999999999998</v>
      </c>
      <c r="H883" t="s">
        <v>13</v>
      </c>
      <c r="I883" t="s">
        <v>20</v>
      </c>
    </row>
    <row r="884" spans="1:9" x14ac:dyDescent="0.35">
      <c r="A884" t="s">
        <v>920</v>
      </c>
      <c r="B884" s="1">
        <v>44897</v>
      </c>
      <c r="C884" t="s">
        <v>10</v>
      </c>
      <c r="D884" t="s">
        <v>41</v>
      </c>
      <c r="E884" t="s">
        <v>12</v>
      </c>
      <c r="F884">
        <v>179.64</v>
      </c>
      <c r="G884">
        <v>51.97</v>
      </c>
      <c r="H884" t="s">
        <v>19</v>
      </c>
      <c r="I884" t="s">
        <v>20</v>
      </c>
    </row>
    <row r="885" spans="1:9" x14ac:dyDescent="0.35">
      <c r="A885" t="s">
        <v>921</v>
      </c>
      <c r="B885" s="1">
        <v>45288</v>
      </c>
      <c r="C885" t="s">
        <v>10</v>
      </c>
      <c r="D885" t="s">
        <v>11</v>
      </c>
      <c r="E885" t="s">
        <v>12</v>
      </c>
      <c r="F885">
        <v>919.88</v>
      </c>
      <c r="G885">
        <v>117.63</v>
      </c>
      <c r="H885" t="s">
        <v>28</v>
      </c>
      <c r="I885" t="s">
        <v>20</v>
      </c>
    </row>
    <row r="886" spans="1:9" x14ac:dyDescent="0.35">
      <c r="A886" t="s">
        <v>922</v>
      </c>
      <c r="B886" s="1">
        <v>44761</v>
      </c>
      <c r="C886" t="s">
        <v>22</v>
      </c>
      <c r="D886" t="s">
        <v>11</v>
      </c>
      <c r="E886" t="s">
        <v>12</v>
      </c>
      <c r="F886">
        <v>534.54</v>
      </c>
      <c r="G886">
        <v>141.82</v>
      </c>
      <c r="H886" t="s">
        <v>28</v>
      </c>
      <c r="I886" t="s">
        <v>14</v>
      </c>
    </row>
    <row r="887" spans="1:9" x14ac:dyDescent="0.35">
      <c r="A887" t="s">
        <v>923</v>
      </c>
      <c r="B887" s="1">
        <v>44800</v>
      </c>
      <c r="C887" t="s">
        <v>25</v>
      </c>
      <c r="D887" t="s">
        <v>41</v>
      </c>
      <c r="E887" t="s">
        <v>12</v>
      </c>
      <c r="F887">
        <v>1247.08</v>
      </c>
      <c r="G887">
        <v>243.45</v>
      </c>
      <c r="H887" t="s">
        <v>28</v>
      </c>
      <c r="I887" t="s">
        <v>20</v>
      </c>
    </row>
    <row r="888" spans="1:9" x14ac:dyDescent="0.35">
      <c r="A888" t="s">
        <v>924</v>
      </c>
      <c r="B888" s="1">
        <v>45644</v>
      </c>
      <c r="C888" t="s">
        <v>22</v>
      </c>
      <c r="D888" t="s">
        <v>31</v>
      </c>
      <c r="E888" t="s">
        <v>12</v>
      </c>
      <c r="F888">
        <v>862.95</v>
      </c>
      <c r="G888">
        <v>71.12</v>
      </c>
      <c r="H888" t="s">
        <v>19</v>
      </c>
      <c r="I888" t="s">
        <v>20</v>
      </c>
    </row>
    <row r="889" spans="1:9" x14ac:dyDescent="0.35">
      <c r="A889" t="s">
        <v>925</v>
      </c>
      <c r="B889" s="1">
        <v>44759</v>
      </c>
      <c r="C889" t="s">
        <v>16</v>
      </c>
      <c r="D889" t="s">
        <v>50</v>
      </c>
      <c r="E889" t="s">
        <v>12</v>
      </c>
      <c r="F889">
        <v>584.75</v>
      </c>
      <c r="G889">
        <v>75.599999999999994</v>
      </c>
      <c r="H889" t="s">
        <v>19</v>
      </c>
      <c r="I889" t="s">
        <v>20</v>
      </c>
    </row>
    <row r="890" spans="1:9" x14ac:dyDescent="0.35">
      <c r="A890" t="s">
        <v>926</v>
      </c>
      <c r="B890" s="1">
        <v>45056</v>
      </c>
      <c r="C890" t="s">
        <v>25</v>
      </c>
      <c r="D890" t="s">
        <v>97</v>
      </c>
      <c r="E890" t="s">
        <v>27</v>
      </c>
      <c r="F890">
        <v>1601.63</v>
      </c>
      <c r="G890">
        <v>222.73</v>
      </c>
      <c r="H890" t="s">
        <v>28</v>
      </c>
      <c r="I890" t="s">
        <v>14</v>
      </c>
    </row>
    <row r="891" spans="1:9" x14ac:dyDescent="0.35">
      <c r="A891" t="s">
        <v>927</v>
      </c>
      <c r="B891" s="1">
        <v>45023</v>
      </c>
      <c r="C891" t="s">
        <v>25</v>
      </c>
      <c r="D891" t="s">
        <v>62</v>
      </c>
      <c r="E891" t="s">
        <v>27</v>
      </c>
      <c r="F891">
        <v>797.83</v>
      </c>
      <c r="G891">
        <v>172.84</v>
      </c>
      <c r="H891" t="s">
        <v>19</v>
      </c>
      <c r="I891" t="s">
        <v>14</v>
      </c>
    </row>
    <row r="892" spans="1:9" x14ac:dyDescent="0.35">
      <c r="A892" t="s">
        <v>928</v>
      </c>
      <c r="B892" s="1">
        <v>44804</v>
      </c>
      <c r="C892" t="s">
        <v>25</v>
      </c>
      <c r="D892" t="s">
        <v>11</v>
      </c>
      <c r="E892" t="s">
        <v>12</v>
      </c>
      <c r="F892">
        <v>863.41</v>
      </c>
      <c r="G892">
        <v>118.02</v>
      </c>
      <c r="H892" t="s">
        <v>28</v>
      </c>
      <c r="I892" t="s">
        <v>34</v>
      </c>
    </row>
    <row r="893" spans="1:9" x14ac:dyDescent="0.35">
      <c r="A893" t="s">
        <v>929</v>
      </c>
      <c r="B893" s="1">
        <v>45217</v>
      </c>
      <c r="C893" t="s">
        <v>10</v>
      </c>
      <c r="D893" t="s">
        <v>26</v>
      </c>
      <c r="E893" t="s">
        <v>27</v>
      </c>
      <c r="F893">
        <v>1392.15</v>
      </c>
      <c r="G893">
        <v>215.89</v>
      </c>
      <c r="H893" t="s">
        <v>13</v>
      </c>
      <c r="I893" t="s">
        <v>14</v>
      </c>
    </row>
    <row r="894" spans="1:9" x14ac:dyDescent="0.35">
      <c r="A894" t="s">
        <v>930</v>
      </c>
      <c r="B894" s="1">
        <v>45465</v>
      </c>
      <c r="C894" t="s">
        <v>16</v>
      </c>
      <c r="D894" t="s">
        <v>57</v>
      </c>
      <c r="E894" t="s">
        <v>27</v>
      </c>
      <c r="F894">
        <v>1341</v>
      </c>
      <c r="G894">
        <v>116.54</v>
      </c>
      <c r="H894" t="s">
        <v>19</v>
      </c>
      <c r="I894" t="s">
        <v>14</v>
      </c>
    </row>
    <row r="895" spans="1:9" x14ac:dyDescent="0.35">
      <c r="A895" t="s">
        <v>931</v>
      </c>
      <c r="B895" s="1">
        <v>44996</v>
      </c>
      <c r="C895" t="s">
        <v>22</v>
      </c>
      <c r="D895" t="s">
        <v>97</v>
      </c>
      <c r="E895" t="s">
        <v>27</v>
      </c>
      <c r="F895">
        <v>506.39</v>
      </c>
      <c r="G895">
        <v>136.16999999999999</v>
      </c>
      <c r="H895" t="s">
        <v>28</v>
      </c>
      <c r="I895" t="s">
        <v>14</v>
      </c>
    </row>
    <row r="896" spans="1:9" x14ac:dyDescent="0.35">
      <c r="A896" t="s">
        <v>932</v>
      </c>
      <c r="B896" s="1">
        <v>45329</v>
      </c>
      <c r="C896" t="s">
        <v>16</v>
      </c>
      <c r="D896" t="s">
        <v>41</v>
      </c>
      <c r="E896" t="s">
        <v>12</v>
      </c>
      <c r="F896">
        <v>1926.03</v>
      </c>
      <c r="G896">
        <v>191.5</v>
      </c>
      <c r="H896" t="s">
        <v>13</v>
      </c>
      <c r="I896" t="s">
        <v>20</v>
      </c>
    </row>
    <row r="897" spans="1:9" x14ac:dyDescent="0.35">
      <c r="A897" t="s">
        <v>933</v>
      </c>
      <c r="B897" s="1">
        <v>44956</v>
      </c>
      <c r="C897" t="s">
        <v>10</v>
      </c>
      <c r="D897" t="s">
        <v>62</v>
      </c>
      <c r="E897" t="s">
        <v>27</v>
      </c>
      <c r="F897">
        <v>930.25</v>
      </c>
      <c r="G897">
        <v>138.87</v>
      </c>
      <c r="H897" t="s">
        <v>19</v>
      </c>
      <c r="I897" t="s">
        <v>20</v>
      </c>
    </row>
    <row r="898" spans="1:9" x14ac:dyDescent="0.35">
      <c r="A898" t="s">
        <v>934</v>
      </c>
      <c r="B898" s="1">
        <v>45234</v>
      </c>
      <c r="C898" t="s">
        <v>10</v>
      </c>
      <c r="D898" t="s">
        <v>46</v>
      </c>
      <c r="E898" t="s">
        <v>18</v>
      </c>
      <c r="F898">
        <v>222.78</v>
      </c>
      <c r="G898">
        <v>41.18</v>
      </c>
      <c r="H898" t="s">
        <v>28</v>
      </c>
      <c r="I898" t="s">
        <v>20</v>
      </c>
    </row>
    <row r="899" spans="1:9" x14ac:dyDescent="0.35">
      <c r="A899" t="s">
        <v>935</v>
      </c>
      <c r="B899" s="1">
        <v>45190</v>
      </c>
      <c r="C899" t="s">
        <v>25</v>
      </c>
      <c r="D899" t="s">
        <v>57</v>
      </c>
      <c r="E899" t="s">
        <v>27</v>
      </c>
      <c r="F899">
        <v>1291.8399999999999</v>
      </c>
      <c r="G899">
        <v>206.1</v>
      </c>
      <c r="H899" t="s">
        <v>19</v>
      </c>
      <c r="I899" t="s">
        <v>14</v>
      </c>
    </row>
    <row r="900" spans="1:9" x14ac:dyDescent="0.35">
      <c r="A900" t="s">
        <v>936</v>
      </c>
      <c r="B900" s="1">
        <v>45389</v>
      </c>
      <c r="C900" t="s">
        <v>16</v>
      </c>
      <c r="D900" t="s">
        <v>46</v>
      </c>
      <c r="E900" t="s">
        <v>18</v>
      </c>
      <c r="F900">
        <v>664.2</v>
      </c>
      <c r="G900">
        <v>42.28</v>
      </c>
      <c r="H900" t="s">
        <v>13</v>
      </c>
      <c r="I900" t="s">
        <v>14</v>
      </c>
    </row>
    <row r="901" spans="1:9" x14ac:dyDescent="0.35">
      <c r="A901" t="s">
        <v>937</v>
      </c>
      <c r="B901" s="1">
        <v>45105</v>
      </c>
      <c r="C901" t="s">
        <v>16</v>
      </c>
      <c r="D901" t="s">
        <v>26</v>
      </c>
      <c r="E901" t="s">
        <v>27</v>
      </c>
      <c r="F901">
        <v>394.45</v>
      </c>
      <c r="G901">
        <v>73.22</v>
      </c>
      <c r="H901" t="s">
        <v>19</v>
      </c>
      <c r="I901" t="s">
        <v>20</v>
      </c>
    </row>
    <row r="902" spans="1:9" x14ac:dyDescent="0.35">
      <c r="A902" t="s">
        <v>938</v>
      </c>
      <c r="B902" s="1">
        <v>44677</v>
      </c>
      <c r="C902" t="s">
        <v>25</v>
      </c>
      <c r="D902" t="s">
        <v>38</v>
      </c>
      <c r="E902" t="s">
        <v>12</v>
      </c>
      <c r="F902">
        <v>1918.16</v>
      </c>
      <c r="G902">
        <v>144.91999999999999</v>
      </c>
      <c r="H902" t="s">
        <v>28</v>
      </c>
      <c r="I902" t="s">
        <v>29</v>
      </c>
    </row>
    <row r="903" spans="1:9" x14ac:dyDescent="0.35">
      <c r="A903" t="s">
        <v>939</v>
      </c>
      <c r="B903" s="1">
        <v>45091</v>
      </c>
      <c r="C903" t="s">
        <v>16</v>
      </c>
      <c r="D903" t="s">
        <v>26</v>
      </c>
      <c r="E903" t="s">
        <v>27</v>
      </c>
      <c r="F903">
        <v>1311.84</v>
      </c>
      <c r="G903">
        <v>358.13</v>
      </c>
      <c r="H903" t="s">
        <v>19</v>
      </c>
      <c r="I903" t="s">
        <v>34</v>
      </c>
    </row>
    <row r="904" spans="1:9" x14ac:dyDescent="0.35">
      <c r="A904" t="s">
        <v>940</v>
      </c>
      <c r="B904" s="1">
        <v>45339</v>
      </c>
      <c r="C904" t="s">
        <v>22</v>
      </c>
      <c r="D904" t="s">
        <v>46</v>
      </c>
      <c r="E904" t="s">
        <v>18</v>
      </c>
      <c r="F904">
        <v>1252</v>
      </c>
      <c r="G904">
        <v>188.38</v>
      </c>
      <c r="H904" t="s">
        <v>28</v>
      </c>
      <c r="I904" t="s">
        <v>29</v>
      </c>
    </row>
    <row r="905" spans="1:9" x14ac:dyDescent="0.35">
      <c r="A905" t="s">
        <v>941</v>
      </c>
      <c r="B905" s="1">
        <v>44866</v>
      </c>
      <c r="C905" t="s">
        <v>16</v>
      </c>
      <c r="D905" t="s">
        <v>33</v>
      </c>
      <c r="E905" t="s">
        <v>18</v>
      </c>
      <c r="F905">
        <v>952.06</v>
      </c>
      <c r="G905">
        <v>112.06</v>
      </c>
      <c r="H905" t="s">
        <v>28</v>
      </c>
      <c r="I905" t="s">
        <v>14</v>
      </c>
    </row>
    <row r="906" spans="1:9" x14ac:dyDescent="0.35">
      <c r="A906" t="s">
        <v>942</v>
      </c>
      <c r="B906" s="1">
        <v>45411</v>
      </c>
      <c r="C906" t="s">
        <v>10</v>
      </c>
      <c r="D906" t="s">
        <v>46</v>
      </c>
      <c r="E906" t="s">
        <v>18</v>
      </c>
      <c r="F906">
        <v>723.55</v>
      </c>
      <c r="G906">
        <v>57.73</v>
      </c>
      <c r="H906" t="s">
        <v>19</v>
      </c>
      <c r="I906" t="s">
        <v>29</v>
      </c>
    </row>
    <row r="907" spans="1:9" x14ac:dyDescent="0.35">
      <c r="A907" t="s">
        <v>943</v>
      </c>
      <c r="B907" s="1">
        <v>45207</v>
      </c>
      <c r="C907" t="s">
        <v>10</v>
      </c>
      <c r="D907" t="s">
        <v>57</v>
      </c>
      <c r="E907" t="s">
        <v>27</v>
      </c>
      <c r="F907">
        <v>1558.45</v>
      </c>
      <c r="G907">
        <v>311.82</v>
      </c>
      <c r="H907" t="s">
        <v>28</v>
      </c>
      <c r="I907" t="s">
        <v>14</v>
      </c>
    </row>
    <row r="908" spans="1:9" x14ac:dyDescent="0.35">
      <c r="A908" t="s">
        <v>944</v>
      </c>
      <c r="B908" s="1">
        <v>45110</v>
      </c>
      <c r="C908" t="s">
        <v>10</v>
      </c>
      <c r="D908" t="s">
        <v>41</v>
      </c>
      <c r="E908" t="s">
        <v>12</v>
      </c>
      <c r="F908">
        <v>1502.02</v>
      </c>
      <c r="G908">
        <v>267.88</v>
      </c>
      <c r="H908" t="s">
        <v>19</v>
      </c>
      <c r="I908" t="s">
        <v>14</v>
      </c>
    </row>
    <row r="909" spans="1:9" x14ac:dyDescent="0.35">
      <c r="A909" t="s">
        <v>945</v>
      </c>
      <c r="B909" s="1">
        <v>45372</v>
      </c>
      <c r="C909" t="s">
        <v>25</v>
      </c>
      <c r="D909" t="s">
        <v>31</v>
      </c>
      <c r="E909" t="s">
        <v>12</v>
      </c>
      <c r="F909">
        <v>653.26</v>
      </c>
      <c r="G909">
        <v>115.4</v>
      </c>
      <c r="H909" t="s">
        <v>28</v>
      </c>
      <c r="I909" t="s">
        <v>14</v>
      </c>
    </row>
    <row r="910" spans="1:9" x14ac:dyDescent="0.35">
      <c r="A910" t="s">
        <v>946</v>
      </c>
      <c r="B910" s="1">
        <v>45099</v>
      </c>
      <c r="C910" t="s">
        <v>25</v>
      </c>
      <c r="D910" t="s">
        <v>11</v>
      </c>
      <c r="E910" t="s">
        <v>12</v>
      </c>
      <c r="F910">
        <v>507.14</v>
      </c>
      <c r="G910">
        <v>82.05</v>
      </c>
      <c r="H910" t="s">
        <v>19</v>
      </c>
      <c r="I910" t="s">
        <v>34</v>
      </c>
    </row>
    <row r="911" spans="1:9" x14ac:dyDescent="0.35">
      <c r="A911" t="s">
        <v>947</v>
      </c>
      <c r="B911" s="1">
        <v>44764</v>
      </c>
      <c r="C911" t="s">
        <v>10</v>
      </c>
      <c r="D911" t="s">
        <v>97</v>
      </c>
      <c r="E911" t="s">
        <v>27</v>
      </c>
      <c r="F911">
        <v>1280.81</v>
      </c>
      <c r="G911">
        <v>217.66</v>
      </c>
      <c r="H911" t="s">
        <v>19</v>
      </c>
      <c r="I911" t="s">
        <v>34</v>
      </c>
    </row>
    <row r="912" spans="1:9" x14ac:dyDescent="0.35">
      <c r="A912" t="s">
        <v>948</v>
      </c>
      <c r="B912" s="1">
        <v>45551</v>
      </c>
      <c r="C912" t="s">
        <v>10</v>
      </c>
      <c r="D912" t="s">
        <v>57</v>
      </c>
      <c r="E912" t="s">
        <v>27</v>
      </c>
      <c r="F912">
        <v>1600.09</v>
      </c>
      <c r="G912">
        <v>248.8</v>
      </c>
      <c r="H912" t="s">
        <v>28</v>
      </c>
      <c r="I912" t="s">
        <v>29</v>
      </c>
    </row>
    <row r="913" spans="1:9" x14ac:dyDescent="0.35">
      <c r="A913" t="s">
        <v>949</v>
      </c>
      <c r="B913" s="1">
        <v>44931</v>
      </c>
      <c r="C913" t="s">
        <v>10</v>
      </c>
      <c r="D913" t="s">
        <v>73</v>
      </c>
      <c r="E913" t="s">
        <v>27</v>
      </c>
      <c r="F913">
        <v>83.32</v>
      </c>
      <c r="G913">
        <v>17.09</v>
      </c>
      <c r="H913" t="s">
        <v>13</v>
      </c>
      <c r="I913" t="s">
        <v>20</v>
      </c>
    </row>
    <row r="914" spans="1:9" x14ac:dyDescent="0.35">
      <c r="A914" t="s">
        <v>950</v>
      </c>
      <c r="B914" s="1">
        <v>44707</v>
      </c>
      <c r="C914" t="s">
        <v>25</v>
      </c>
      <c r="D914" t="s">
        <v>33</v>
      </c>
      <c r="E914" t="s">
        <v>18</v>
      </c>
      <c r="F914">
        <v>1558.25</v>
      </c>
      <c r="G914">
        <v>176.78</v>
      </c>
      <c r="H914" t="s">
        <v>28</v>
      </c>
      <c r="I914" t="s">
        <v>29</v>
      </c>
    </row>
    <row r="915" spans="1:9" x14ac:dyDescent="0.35">
      <c r="A915" t="s">
        <v>951</v>
      </c>
      <c r="B915" s="1">
        <v>45481</v>
      </c>
      <c r="C915" t="s">
        <v>22</v>
      </c>
      <c r="D915" t="s">
        <v>73</v>
      </c>
      <c r="E915" t="s">
        <v>27</v>
      </c>
      <c r="F915">
        <v>1044.51</v>
      </c>
      <c r="G915">
        <v>88.6</v>
      </c>
      <c r="H915" t="s">
        <v>13</v>
      </c>
      <c r="I915" t="s">
        <v>29</v>
      </c>
    </row>
    <row r="916" spans="1:9" x14ac:dyDescent="0.35">
      <c r="A916" t="s">
        <v>952</v>
      </c>
      <c r="B916" s="1">
        <v>45383</v>
      </c>
      <c r="C916" t="s">
        <v>16</v>
      </c>
      <c r="D916" t="s">
        <v>73</v>
      </c>
      <c r="E916" t="s">
        <v>27</v>
      </c>
      <c r="F916">
        <v>303.44</v>
      </c>
      <c r="G916">
        <v>73.42</v>
      </c>
      <c r="H916" t="s">
        <v>13</v>
      </c>
      <c r="I916" t="s">
        <v>29</v>
      </c>
    </row>
    <row r="917" spans="1:9" x14ac:dyDescent="0.35">
      <c r="A917" t="s">
        <v>953</v>
      </c>
      <c r="B917" s="1">
        <v>45089</v>
      </c>
      <c r="C917" t="s">
        <v>10</v>
      </c>
      <c r="D917" t="s">
        <v>97</v>
      </c>
      <c r="E917" t="s">
        <v>27</v>
      </c>
      <c r="F917">
        <v>1925.09</v>
      </c>
      <c r="G917">
        <v>558.92999999999995</v>
      </c>
      <c r="H917" t="s">
        <v>28</v>
      </c>
      <c r="I917" t="s">
        <v>20</v>
      </c>
    </row>
    <row r="918" spans="1:9" x14ac:dyDescent="0.35">
      <c r="A918" t="s">
        <v>954</v>
      </c>
      <c r="B918" s="1">
        <v>45362</v>
      </c>
      <c r="C918" t="s">
        <v>10</v>
      </c>
      <c r="D918" t="s">
        <v>73</v>
      </c>
      <c r="E918" t="s">
        <v>27</v>
      </c>
      <c r="F918">
        <v>616.49</v>
      </c>
      <c r="G918">
        <v>76.38</v>
      </c>
      <c r="H918" t="s">
        <v>28</v>
      </c>
      <c r="I918" t="s">
        <v>20</v>
      </c>
    </row>
    <row r="919" spans="1:9" x14ac:dyDescent="0.35">
      <c r="A919" t="s">
        <v>955</v>
      </c>
      <c r="B919" s="1">
        <v>44684</v>
      </c>
      <c r="C919" t="s">
        <v>10</v>
      </c>
      <c r="D919" t="s">
        <v>62</v>
      </c>
      <c r="E919" t="s">
        <v>27</v>
      </c>
      <c r="F919">
        <v>64.52</v>
      </c>
      <c r="G919">
        <v>7.67</v>
      </c>
      <c r="H919" t="s">
        <v>13</v>
      </c>
      <c r="I919" t="s">
        <v>14</v>
      </c>
    </row>
    <row r="920" spans="1:9" x14ac:dyDescent="0.35">
      <c r="A920" t="s">
        <v>956</v>
      </c>
      <c r="B920" s="1">
        <v>44850</v>
      </c>
      <c r="C920" t="s">
        <v>25</v>
      </c>
      <c r="D920" t="s">
        <v>17</v>
      </c>
      <c r="E920" t="s">
        <v>18</v>
      </c>
      <c r="F920">
        <v>1198.6099999999999</v>
      </c>
      <c r="G920">
        <v>282.47000000000003</v>
      </c>
      <c r="H920" t="s">
        <v>28</v>
      </c>
      <c r="I920" t="s">
        <v>20</v>
      </c>
    </row>
    <row r="921" spans="1:9" x14ac:dyDescent="0.35">
      <c r="A921" t="s">
        <v>957</v>
      </c>
      <c r="B921" s="1">
        <v>45150</v>
      </c>
      <c r="C921" t="s">
        <v>25</v>
      </c>
      <c r="D921" t="s">
        <v>95</v>
      </c>
      <c r="E921" t="s">
        <v>18</v>
      </c>
      <c r="F921">
        <v>1325.88</v>
      </c>
      <c r="G921">
        <v>197.72</v>
      </c>
      <c r="H921" t="s">
        <v>28</v>
      </c>
      <c r="I921" t="s">
        <v>14</v>
      </c>
    </row>
    <row r="922" spans="1:9" x14ac:dyDescent="0.35">
      <c r="A922" t="s">
        <v>958</v>
      </c>
      <c r="B922" s="1">
        <v>45200</v>
      </c>
      <c r="C922" t="s">
        <v>16</v>
      </c>
      <c r="D922" t="s">
        <v>62</v>
      </c>
      <c r="E922" t="s">
        <v>27</v>
      </c>
      <c r="F922">
        <v>1382.86</v>
      </c>
      <c r="G922">
        <v>333.38</v>
      </c>
      <c r="H922" t="s">
        <v>28</v>
      </c>
      <c r="I922" t="s">
        <v>34</v>
      </c>
    </row>
    <row r="923" spans="1:9" x14ac:dyDescent="0.35">
      <c r="A923" t="s">
        <v>959</v>
      </c>
      <c r="B923" s="1">
        <v>45298</v>
      </c>
      <c r="C923" t="s">
        <v>22</v>
      </c>
      <c r="D923" t="s">
        <v>17</v>
      </c>
      <c r="E923" t="s">
        <v>18</v>
      </c>
      <c r="F923">
        <v>148.11000000000001</v>
      </c>
      <c r="G923">
        <v>23.54</v>
      </c>
      <c r="H923" t="s">
        <v>19</v>
      </c>
      <c r="I923" t="s">
        <v>34</v>
      </c>
    </row>
    <row r="924" spans="1:9" x14ac:dyDescent="0.35">
      <c r="A924" t="s">
        <v>960</v>
      </c>
      <c r="B924" s="1">
        <v>45123</v>
      </c>
      <c r="C924" t="s">
        <v>25</v>
      </c>
      <c r="D924" t="s">
        <v>11</v>
      </c>
      <c r="E924" t="s">
        <v>12</v>
      </c>
      <c r="F924">
        <v>355.56</v>
      </c>
      <c r="G924">
        <v>86.01</v>
      </c>
      <c r="H924" t="s">
        <v>19</v>
      </c>
      <c r="I924" t="s">
        <v>34</v>
      </c>
    </row>
    <row r="925" spans="1:9" x14ac:dyDescent="0.35">
      <c r="A925" t="s">
        <v>961</v>
      </c>
      <c r="B925" s="1">
        <v>45551</v>
      </c>
      <c r="C925" t="s">
        <v>25</v>
      </c>
      <c r="D925" t="s">
        <v>11</v>
      </c>
      <c r="E925" t="s">
        <v>12</v>
      </c>
      <c r="F925">
        <v>394.32</v>
      </c>
      <c r="G925">
        <v>110.46</v>
      </c>
      <c r="H925" t="s">
        <v>28</v>
      </c>
      <c r="I925" t="s">
        <v>34</v>
      </c>
    </row>
    <row r="926" spans="1:9" x14ac:dyDescent="0.35">
      <c r="A926" t="s">
        <v>962</v>
      </c>
      <c r="B926" s="1">
        <v>44781</v>
      </c>
      <c r="C926" t="s">
        <v>16</v>
      </c>
      <c r="D926" t="s">
        <v>26</v>
      </c>
      <c r="E926" t="s">
        <v>27</v>
      </c>
      <c r="F926">
        <v>1846.33</v>
      </c>
      <c r="G926">
        <v>320.39</v>
      </c>
      <c r="H926" t="s">
        <v>28</v>
      </c>
      <c r="I926" t="s">
        <v>20</v>
      </c>
    </row>
    <row r="927" spans="1:9" x14ac:dyDescent="0.35">
      <c r="A927" t="s">
        <v>963</v>
      </c>
      <c r="B927" s="1">
        <v>44654</v>
      </c>
      <c r="C927" t="s">
        <v>10</v>
      </c>
      <c r="D927" t="s">
        <v>41</v>
      </c>
      <c r="E927" t="s">
        <v>12</v>
      </c>
      <c r="F927">
        <v>188.91</v>
      </c>
      <c r="G927">
        <v>42.1</v>
      </c>
      <c r="H927" t="s">
        <v>28</v>
      </c>
      <c r="I927" t="s">
        <v>29</v>
      </c>
    </row>
    <row r="928" spans="1:9" x14ac:dyDescent="0.35">
      <c r="A928" t="s">
        <v>964</v>
      </c>
      <c r="B928" s="1">
        <v>44823</v>
      </c>
      <c r="C928" t="s">
        <v>10</v>
      </c>
      <c r="D928" t="s">
        <v>23</v>
      </c>
      <c r="E928" t="s">
        <v>18</v>
      </c>
      <c r="F928">
        <v>1659</v>
      </c>
      <c r="G928">
        <v>179.78</v>
      </c>
      <c r="H928" t="s">
        <v>13</v>
      </c>
      <c r="I928" t="s">
        <v>34</v>
      </c>
    </row>
    <row r="929" spans="1:9" x14ac:dyDescent="0.35">
      <c r="A929" t="s">
        <v>965</v>
      </c>
      <c r="B929" s="1">
        <v>45564</v>
      </c>
      <c r="C929" t="s">
        <v>16</v>
      </c>
      <c r="D929" t="s">
        <v>95</v>
      </c>
      <c r="E929" t="s">
        <v>18</v>
      </c>
      <c r="F929">
        <v>1980.28</v>
      </c>
      <c r="G929">
        <v>173.99</v>
      </c>
      <c r="H929" t="s">
        <v>28</v>
      </c>
      <c r="I929" t="s">
        <v>29</v>
      </c>
    </row>
    <row r="930" spans="1:9" x14ac:dyDescent="0.35">
      <c r="A930" t="s">
        <v>966</v>
      </c>
      <c r="B930" s="1">
        <v>44776</v>
      </c>
      <c r="C930" t="s">
        <v>10</v>
      </c>
      <c r="D930" t="s">
        <v>38</v>
      </c>
      <c r="E930" t="s">
        <v>12</v>
      </c>
      <c r="F930">
        <v>351.62</v>
      </c>
      <c r="G930">
        <v>40.4</v>
      </c>
      <c r="H930" t="s">
        <v>13</v>
      </c>
      <c r="I930" t="s">
        <v>20</v>
      </c>
    </row>
    <row r="931" spans="1:9" x14ac:dyDescent="0.35">
      <c r="A931" t="s">
        <v>967</v>
      </c>
      <c r="B931" s="1">
        <v>45307</v>
      </c>
      <c r="C931" t="s">
        <v>22</v>
      </c>
      <c r="D931" t="s">
        <v>50</v>
      </c>
      <c r="E931" t="s">
        <v>12</v>
      </c>
      <c r="F931">
        <v>1692.02</v>
      </c>
      <c r="G931">
        <v>111.59</v>
      </c>
      <c r="H931" t="s">
        <v>13</v>
      </c>
      <c r="I931" t="s">
        <v>14</v>
      </c>
    </row>
    <row r="932" spans="1:9" x14ac:dyDescent="0.35">
      <c r="A932" t="s">
        <v>968</v>
      </c>
      <c r="B932" s="1">
        <v>44658</v>
      </c>
      <c r="C932" t="s">
        <v>16</v>
      </c>
      <c r="D932" t="s">
        <v>95</v>
      </c>
      <c r="E932" t="s">
        <v>18</v>
      </c>
      <c r="F932">
        <v>1934.52</v>
      </c>
      <c r="G932">
        <v>101.27</v>
      </c>
      <c r="H932" t="s">
        <v>28</v>
      </c>
      <c r="I932" t="s">
        <v>20</v>
      </c>
    </row>
    <row r="933" spans="1:9" x14ac:dyDescent="0.35">
      <c r="A933" t="s">
        <v>969</v>
      </c>
      <c r="B933" s="1">
        <v>44632</v>
      </c>
      <c r="C933" t="s">
        <v>10</v>
      </c>
      <c r="D933" t="s">
        <v>11</v>
      </c>
      <c r="E933" t="s">
        <v>12</v>
      </c>
      <c r="F933">
        <v>598.84</v>
      </c>
      <c r="G933">
        <v>68.13</v>
      </c>
      <c r="H933" t="s">
        <v>28</v>
      </c>
      <c r="I933" t="s">
        <v>14</v>
      </c>
    </row>
    <row r="934" spans="1:9" x14ac:dyDescent="0.35">
      <c r="A934" t="s">
        <v>970</v>
      </c>
      <c r="B934" s="1">
        <v>45414</v>
      </c>
      <c r="C934" t="s">
        <v>22</v>
      </c>
      <c r="D934" t="s">
        <v>33</v>
      </c>
      <c r="E934" t="s">
        <v>18</v>
      </c>
      <c r="F934">
        <v>1876.72</v>
      </c>
      <c r="G934">
        <v>312.02</v>
      </c>
      <c r="H934" t="s">
        <v>13</v>
      </c>
      <c r="I934" t="s">
        <v>34</v>
      </c>
    </row>
    <row r="935" spans="1:9" x14ac:dyDescent="0.35">
      <c r="A935" t="s">
        <v>971</v>
      </c>
      <c r="B935" s="1">
        <v>44973</v>
      </c>
      <c r="C935" t="s">
        <v>22</v>
      </c>
      <c r="D935" t="s">
        <v>95</v>
      </c>
      <c r="E935" t="s">
        <v>18</v>
      </c>
      <c r="F935">
        <v>356.04</v>
      </c>
      <c r="G935">
        <v>80.819999999999993</v>
      </c>
      <c r="H935" t="s">
        <v>13</v>
      </c>
      <c r="I935" t="s">
        <v>29</v>
      </c>
    </row>
    <row r="936" spans="1:9" x14ac:dyDescent="0.35">
      <c r="A936" t="s">
        <v>972</v>
      </c>
      <c r="B936" s="1">
        <v>44801</v>
      </c>
      <c r="C936" t="s">
        <v>25</v>
      </c>
      <c r="D936" t="s">
        <v>33</v>
      </c>
      <c r="E936" t="s">
        <v>18</v>
      </c>
      <c r="F936">
        <v>1302.56</v>
      </c>
      <c r="G936">
        <v>145.79</v>
      </c>
      <c r="H936" t="s">
        <v>28</v>
      </c>
      <c r="I936" t="s">
        <v>34</v>
      </c>
    </row>
    <row r="937" spans="1:9" x14ac:dyDescent="0.35">
      <c r="A937" t="s">
        <v>973</v>
      </c>
      <c r="B937" s="1">
        <v>45633</v>
      </c>
      <c r="C937" t="s">
        <v>16</v>
      </c>
      <c r="D937" t="s">
        <v>50</v>
      </c>
      <c r="E937" t="s">
        <v>12</v>
      </c>
      <c r="F937">
        <v>376.17</v>
      </c>
      <c r="G937">
        <v>52.67</v>
      </c>
      <c r="H937" t="s">
        <v>13</v>
      </c>
      <c r="I937" t="s">
        <v>34</v>
      </c>
    </row>
    <row r="938" spans="1:9" x14ac:dyDescent="0.35">
      <c r="A938" t="s">
        <v>974</v>
      </c>
      <c r="B938" s="1">
        <v>45297</v>
      </c>
      <c r="C938" t="s">
        <v>25</v>
      </c>
      <c r="D938" t="s">
        <v>57</v>
      </c>
      <c r="E938" t="s">
        <v>27</v>
      </c>
      <c r="F938">
        <v>196.02</v>
      </c>
      <c r="G938">
        <v>40.46</v>
      </c>
      <c r="H938" t="s">
        <v>28</v>
      </c>
      <c r="I938" t="s">
        <v>14</v>
      </c>
    </row>
    <row r="939" spans="1:9" x14ac:dyDescent="0.35">
      <c r="A939" t="s">
        <v>975</v>
      </c>
      <c r="B939" s="1">
        <v>44981</v>
      </c>
      <c r="C939" t="s">
        <v>25</v>
      </c>
      <c r="D939" t="s">
        <v>38</v>
      </c>
      <c r="E939" t="s">
        <v>12</v>
      </c>
      <c r="F939">
        <v>1565.24</v>
      </c>
      <c r="G939">
        <v>283.69</v>
      </c>
      <c r="H939" t="s">
        <v>28</v>
      </c>
      <c r="I939" t="s">
        <v>14</v>
      </c>
    </row>
    <row r="940" spans="1:9" x14ac:dyDescent="0.35">
      <c r="A940" t="s">
        <v>976</v>
      </c>
      <c r="B940" s="1">
        <v>45164</v>
      </c>
      <c r="C940" t="s">
        <v>16</v>
      </c>
      <c r="D940" t="s">
        <v>97</v>
      </c>
      <c r="E940" t="s">
        <v>27</v>
      </c>
      <c r="F940">
        <v>213.83</v>
      </c>
      <c r="G940">
        <v>37.659999999999997</v>
      </c>
      <c r="H940" t="s">
        <v>19</v>
      </c>
      <c r="I940" t="s">
        <v>29</v>
      </c>
    </row>
    <row r="941" spans="1:9" x14ac:dyDescent="0.35">
      <c r="A941" t="s">
        <v>977</v>
      </c>
      <c r="B941" s="1">
        <v>45649</v>
      </c>
      <c r="C941" t="s">
        <v>22</v>
      </c>
      <c r="D941" t="s">
        <v>17</v>
      </c>
      <c r="E941" t="s">
        <v>18</v>
      </c>
      <c r="F941">
        <v>1421.42</v>
      </c>
      <c r="G941">
        <v>208.16</v>
      </c>
      <c r="H941" t="s">
        <v>19</v>
      </c>
      <c r="I941" t="s">
        <v>29</v>
      </c>
    </row>
    <row r="942" spans="1:9" x14ac:dyDescent="0.35">
      <c r="A942" t="s">
        <v>978</v>
      </c>
      <c r="B942" s="1">
        <v>45612</v>
      </c>
      <c r="C942" t="s">
        <v>25</v>
      </c>
      <c r="D942" t="s">
        <v>33</v>
      </c>
      <c r="E942" t="s">
        <v>18</v>
      </c>
      <c r="F942">
        <v>1948.25</v>
      </c>
      <c r="G942">
        <v>161.94999999999999</v>
      </c>
      <c r="H942" t="s">
        <v>13</v>
      </c>
      <c r="I942" t="s">
        <v>14</v>
      </c>
    </row>
    <row r="943" spans="1:9" x14ac:dyDescent="0.35">
      <c r="A943" t="s">
        <v>979</v>
      </c>
      <c r="B943" s="1">
        <v>45580</v>
      </c>
      <c r="C943" t="s">
        <v>22</v>
      </c>
      <c r="D943" t="s">
        <v>62</v>
      </c>
      <c r="E943" t="s">
        <v>27</v>
      </c>
      <c r="F943">
        <v>83.35</v>
      </c>
      <c r="G943">
        <v>11.85</v>
      </c>
      <c r="H943" t="s">
        <v>13</v>
      </c>
      <c r="I943" t="s">
        <v>14</v>
      </c>
    </row>
    <row r="944" spans="1:9" x14ac:dyDescent="0.35">
      <c r="A944" t="s">
        <v>980</v>
      </c>
      <c r="B944" s="1">
        <v>45376</v>
      </c>
      <c r="C944" t="s">
        <v>10</v>
      </c>
      <c r="D944" t="s">
        <v>97</v>
      </c>
      <c r="E944" t="s">
        <v>27</v>
      </c>
      <c r="F944">
        <v>242.96</v>
      </c>
      <c r="G944">
        <v>64.959999999999994</v>
      </c>
      <c r="H944" t="s">
        <v>19</v>
      </c>
      <c r="I944" t="s">
        <v>34</v>
      </c>
    </row>
    <row r="945" spans="1:9" x14ac:dyDescent="0.35">
      <c r="A945" t="s">
        <v>981</v>
      </c>
      <c r="B945" s="1">
        <v>44795</v>
      </c>
      <c r="C945" t="s">
        <v>16</v>
      </c>
      <c r="D945" t="s">
        <v>23</v>
      </c>
      <c r="E945" t="s">
        <v>18</v>
      </c>
      <c r="F945">
        <v>52.25</v>
      </c>
      <c r="G945">
        <v>6.3</v>
      </c>
      <c r="H945" t="s">
        <v>28</v>
      </c>
      <c r="I945" t="s">
        <v>14</v>
      </c>
    </row>
    <row r="946" spans="1:9" x14ac:dyDescent="0.35">
      <c r="A946" t="s">
        <v>982</v>
      </c>
      <c r="B946" s="1">
        <v>44967</v>
      </c>
      <c r="C946" t="s">
        <v>25</v>
      </c>
      <c r="D946" t="s">
        <v>38</v>
      </c>
      <c r="E946" t="s">
        <v>12</v>
      </c>
      <c r="F946">
        <v>1337.12</v>
      </c>
      <c r="G946">
        <v>117.27</v>
      </c>
      <c r="H946" t="s">
        <v>19</v>
      </c>
      <c r="I946" t="s">
        <v>34</v>
      </c>
    </row>
    <row r="947" spans="1:9" x14ac:dyDescent="0.35">
      <c r="A947" t="s">
        <v>983</v>
      </c>
      <c r="B947" s="1">
        <v>44953</v>
      </c>
      <c r="C947" t="s">
        <v>16</v>
      </c>
      <c r="D947" t="s">
        <v>41</v>
      </c>
      <c r="E947" t="s">
        <v>12</v>
      </c>
      <c r="F947">
        <v>650.29999999999995</v>
      </c>
      <c r="G947">
        <v>177.53</v>
      </c>
      <c r="H947" t="s">
        <v>13</v>
      </c>
      <c r="I947" t="s">
        <v>29</v>
      </c>
    </row>
    <row r="948" spans="1:9" x14ac:dyDescent="0.35">
      <c r="A948" t="s">
        <v>984</v>
      </c>
      <c r="B948" s="1">
        <v>45237</v>
      </c>
      <c r="C948" t="s">
        <v>25</v>
      </c>
      <c r="D948" t="s">
        <v>23</v>
      </c>
      <c r="E948" t="s">
        <v>18</v>
      </c>
      <c r="F948">
        <v>757.42</v>
      </c>
      <c r="G948">
        <v>166.5</v>
      </c>
      <c r="H948" t="s">
        <v>19</v>
      </c>
      <c r="I948" t="s">
        <v>20</v>
      </c>
    </row>
    <row r="949" spans="1:9" x14ac:dyDescent="0.35">
      <c r="A949" t="s">
        <v>985</v>
      </c>
      <c r="B949" s="1">
        <v>44562</v>
      </c>
      <c r="C949" t="s">
        <v>25</v>
      </c>
      <c r="D949" t="s">
        <v>17</v>
      </c>
      <c r="E949" t="s">
        <v>18</v>
      </c>
      <c r="F949">
        <v>1244.73</v>
      </c>
      <c r="G949">
        <v>155.27000000000001</v>
      </c>
      <c r="H949" t="s">
        <v>28</v>
      </c>
      <c r="I949" t="s">
        <v>29</v>
      </c>
    </row>
    <row r="950" spans="1:9" x14ac:dyDescent="0.35">
      <c r="A950" t="s">
        <v>986</v>
      </c>
      <c r="B950" s="1">
        <v>45183</v>
      </c>
      <c r="C950" t="s">
        <v>22</v>
      </c>
      <c r="D950" t="s">
        <v>17</v>
      </c>
      <c r="E950" t="s">
        <v>18</v>
      </c>
      <c r="F950">
        <v>654.99</v>
      </c>
      <c r="G950">
        <v>174.9</v>
      </c>
      <c r="H950" t="s">
        <v>19</v>
      </c>
      <c r="I950" t="s">
        <v>20</v>
      </c>
    </row>
    <row r="951" spans="1:9" x14ac:dyDescent="0.35">
      <c r="A951" t="s">
        <v>987</v>
      </c>
      <c r="B951" s="1">
        <v>44740</v>
      </c>
      <c r="C951" t="s">
        <v>16</v>
      </c>
      <c r="D951" t="s">
        <v>11</v>
      </c>
      <c r="E951" t="s">
        <v>12</v>
      </c>
      <c r="F951">
        <v>1265.7</v>
      </c>
      <c r="G951">
        <v>236.12</v>
      </c>
      <c r="H951" t="s">
        <v>28</v>
      </c>
      <c r="I951" t="s">
        <v>14</v>
      </c>
    </row>
    <row r="952" spans="1:9" x14ac:dyDescent="0.35">
      <c r="A952" t="s">
        <v>988</v>
      </c>
      <c r="B952" s="1">
        <v>45152</v>
      </c>
      <c r="C952" t="s">
        <v>10</v>
      </c>
      <c r="D952" t="s">
        <v>62</v>
      </c>
      <c r="E952" t="s">
        <v>27</v>
      </c>
      <c r="F952">
        <v>1051.1500000000001</v>
      </c>
      <c r="G952">
        <v>238.92</v>
      </c>
      <c r="H952" t="s">
        <v>19</v>
      </c>
      <c r="I952" t="s">
        <v>29</v>
      </c>
    </row>
    <row r="953" spans="1:9" x14ac:dyDescent="0.35">
      <c r="A953" t="s">
        <v>989</v>
      </c>
      <c r="B953" s="1">
        <v>45013</v>
      </c>
      <c r="C953" t="s">
        <v>10</v>
      </c>
      <c r="D953" t="s">
        <v>62</v>
      </c>
      <c r="E953" t="s">
        <v>27</v>
      </c>
      <c r="F953">
        <v>1648.05</v>
      </c>
      <c r="G953">
        <v>103.59</v>
      </c>
      <c r="H953" t="s">
        <v>13</v>
      </c>
      <c r="I953" t="s">
        <v>34</v>
      </c>
    </row>
    <row r="954" spans="1:9" x14ac:dyDescent="0.35">
      <c r="A954" t="s">
        <v>990</v>
      </c>
      <c r="B954" s="1">
        <v>44842</v>
      </c>
      <c r="C954" t="s">
        <v>25</v>
      </c>
      <c r="D954" t="s">
        <v>97</v>
      </c>
      <c r="E954" t="s">
        <v>27</v>
      </c>
      <c r="F954">
        <v>615.82000000000005</v>
      </c>
      <c r="G954">
        <v>159.16</v>
      </c>
      <c r="H954" t="s">
        <v>28</v>
      </c>
      <c r="I954" t="s">
        <v>14</v>
      </c>
    </row>
    <row r="955" spans="1:9" x14ac:dyDescent="0.35">
      <c r="A955" t="s">
        <v>991</v>
      </c>
      <c r="B955" s="1">
        <v>45062</v>
      </c>
      <c r="C955" t="s">
        <v>25</v>
      </c>
      <c r="D955" t="s">
        <v>38</v>
      </c>
      <c r="E955" t="s">
        <v>12</v>
      </c>
      <c r="F955">
        <v>1482.84</v>
      </c>
      <c r="G955">
        <v>106.55</v>
      </c>
      <c r="H955" t="s">
        <v>28</v>
      </c>
      <c r="I955" t="s">
        <v>29</v>
      </c>
    </row>
    <row r="956" spans="1:9" x14ac:dyDescent="0.35">
      <c r="A956" t="s">
        <v>992</v>
      </c>
      <c r="B956" s="1">
        <v>45124</v>
      </c>
      <c r="C956" t="s">
        <v>10</v>
      </c>
      <c r="D956" t="s">
        <v>11</v>
      </c>
      <c r="E956" t="s">
        <v>12</v>
      </c>
      <c r="F956">
        <v>325.26</v>
      </c>
      <c r="G956">
        <v>21.29</v>
      </c>
      <c r="H956" t="s">
        <v>28</v>
      </c>
      <c r="I956" t="s">
        <v>34</v>
      </c>
    </row>
    <row r="957" spans="1:9" x14ac:dyDescent="0.35">
      <c r="A957" t="s">
        <v>993</v>
      </c>
      <c r="B957" s="1">
        <v>45004</v>
      </c>
      <c r="C957" t="s">
        <v>16</v>
      </c>
      <c r="D957" t="s">
        <v>95</v>
      </c>
      <c r="E957" t="s">
        <v>18</v>
      </c>
      <c r="F957">
        <v>640.5</v>
      </c>
      <c r="G957">
        <v>99.74</v>
      </c>
      <c r="H957" t="s">
        <v>28</v>
      </c>
      <c r="I957" t="s">
        <v>34</v>
      </c>
    </row>
    <row r="958" spans="1:9" x14ac:dyDescent="0.35">
      <c r="A958" t="s">
        <v>994</v>
      </c>
      <c r="B958" s="1">
        <v>45397</v>
      </c>
      <c r="C958" t="s">
        <v>25</v>
      </c>
      <c r="D958" t="s">
        <v>50</v>
      </c>
      <c r="E958" t="s">
        <v>12</v>
      </c>
      <c r="F958">
        <v>1086.26</v>
      </c>
      <c r="G958">
        <v>236.78</v>
      </c>
      <c r="H958" t="s">
        <v>19</v>
      </c>
      <c r="I958" t="s">
        <v>14</v>
      </c>
    </row>
    <row r="959" spans="1:9" x14ac:dyDescent="0.35">
      <c r="A959" t="s">
        <v>995</v>
      </c>
      <c r="B959" s="1">
        <v>44579</v>
      </c>
      <c r="C959" t="s">
        <v>10</v>
      </c>
      <c r="D959" t="s">
        <v>62</v>
      </c>
      <c r="E959" t="s">
        <v>27</v>
      </c>
      <c r="F959">
        <v>79.95</v>
      </c>
      <c r="G959">
        <v>6</v>
      </c>
      <c r="H959" t="s">
        <v>13</v>
      </c>
      <c r="I959" t="s">
        <v>20</v>
      </c>
    </row>
    <row r="960" spans="1:9" x14ac:dyDescent="0.35">
      <c r="A960" t="s">
        <v>996</v>
      </c>
      <c r="B960" s="1">
        <v>44977</v>
      </c>
      <c r="C960" t="s">
        <v>25</v>
      </c>
      <c r="D960" t="s">
        <v>50</v>
      </c>
      <c r="E960" t="s">
        <v>12</v>
      </c>
      <c r="F960">
        <v>769.24</v>
      </c>
      <c r="G960">
        <v>73.22</v>
      </c>
      <c r="H960" t="s">
        <v>28</v>
      </c>
      <c r="I960" t="s">
        <v>14</v>
      </c>
    </row>
    <row r="961" spans="1:9" x14ac:dyDescent="0.35">
      <c r="A961" t="s">
        <v>997</v>
      </c>
      <c r="B961" s="1">
        <v>44983</v>
      </c>
      <c r="C961" t="s">
        <v>16</v>
      </c>
      <c r="D961" t="s">
        <v>31</v>
      </c>
      <c r="E961" t="s">
        <v>12</v>
      </c>
      <c r="F961">
        <v>693.99</v>
      </c>
      <c r="G961">
        <v>187.9</v>
      </c>
      <c r="H961" t="s">
        <v>19</v>
      </c>
      <c r="I961" t="s">
        <v>20</v>
      </c>
    </row>
    <row r="962" spans="1:9" x14ac:dyDescent="0.35">
      <c r="A962" t="s">
        <v>998</v>
      </c>
      <c r="B962" s="1">
        <v>45491</v>
      </c>
      <c r="C962" t="s">
        <v>25</v>
      </c>
      <c r="D962" t="s">
        <v>50</v>
      </c>
      <c r="E962" t="s">
        <v>12</v>
      </c>
      <c r="F962">
        <v>1419.33</v>
      </c>
      <c r="G962">
        <v>152.97999999999999</v>
      </c>
      <c r="H962" t="s">
        <v>13</v>
      </c>
      <c r="I962" t="s">
        <v>14</v>
      </c>
    </row>
    <row r="963" spans="1:9" x14ac:dyDescent="0.35">
      <c r="A963" t="s">
        <v>999</v>
      </c>
      <c r="B963" s="1">
        <v>45342</v>
      </c>
      <c r="C963" t="s">
        <v>22</v>
      </c>
      <c r="D963" t="s">
        <v>31</v>
      </c>
      <c r="E963" t="s">
        <v>12</v>
      </c>
      <c r="F963">
        <v>265.93</v>
      </c>
      <c r="G963">
        <v>16.38</v>
      </c>
      <c r="H963" t="s">
        <v>28</v>
      </c>
      <c r="I963" t="s">
        <v>29</v>
      </c>
    </row>
    <row r="964" spans="1:9" x14ac:dyDescent="0.35">
      <c r="A964" t="s">
        <v>1000</v>
      </c>
      <c r="B964" s="1">
        <v>45065</v>
      </c>
      <c r="C964" t="s">
        <v>10</v>
      </c>
      <c r="D964" t="s">
        <v>38</v>
      </c>
      <c r="E964" t="s">
        <v>12</v>
      </c>
      <c r="F964">
        <v>1277.75</v>
      </c>
      <c r="G964">
        <v>195.36</v>
      </c>
      <c r="H964" t="s">
        <v>13</v>
      </c>
      <c r="I964" t="s">
        <v>14</v>
      </c>
    </row>
    <row r="965" spans="1:9" x14ac:dyDescent="0.35">
      <c r="A965" t="s">
        <v>1001</v>
      </c>
      <c r="B965" s="1">
        <v>44625</v>
      </c>
      <c r="C965" t="s">
        <v>22</v>
      </c>
      <c r="D965" t="s">
        <v>33</v>
      </c>
      <c r="E965" t="s">
        <v>18</v>
      </c>
      <c r="F965">
        <v>521.82000000000005</v>
      </c>
      <c r="G965">
        <v>69.900000000000006</v>
      </c>
      <c r="H965" t="s">
        <v>13</v>
      </c>
      <c r="I965" t="s">
        <v>34</v>
      </c>
    </row>
    <row r="966" spans="1:9" x14ac:dyDescent="0.35">
      <c r="A966" t="s">
        <v>1002</v>
      </c>
      <c r="B966" s="1">
        <v>44572</v>
      </c>
      <c r="C966" t="s">
        <v>22</v>
      </c>
      <c r="D966" t="s">
        <v>95</v>
      </c>
      <c r="E966" t="s">
        <v>18</v>
      </c>
      <c r="F966">
        <v>595.25</v>
      </c>
      <c r="G966">
        <v>140.94999999999999</v>
      </c>
      <c r="H966" t="s">
        <v>13</v>
      </c>
      <c r="I966" t="s">
        <v>29</v>
      </c>
    </row>
    <row r="967" spans="1:9" x14ac:dyDescent="0.35">
      <c r="A967" t="s">
        <v>1003</v>
      </c>
      <c r="B967" s="1">
        <v>45616</v>
      </c>
      <c r="C967" t="s">
        <v>10</v>
      </c>
      <c r="D967" t="s">
        <v>41</v>
      </c>
      <c r="E967" t="s">
        <v>12</v>
      </c>
      <c r="F967">
        <v>551.89</v>
      </c>
      <c r="G967">
        <v>146.88</v>
      </c>
      <c r="H967" t="s">
        <v>28</v>
      </c>
      <c r="I967" t="s">
        <v>29</v>
      </c>
    </row>
    <row r="968" spans="1:9" x14ac:dyDescent="0.35">
      <c r="A968" t="s">
        <v>1004</v>
      </c>
      <c r="B968" s="1">
        <v>44751</v>
      </c>
      <c r="C968" t="s">
        <v>10</v>
      </c>
      <c r="D968" t="s">
        <v>46</v>
      </c>
      <c r="E968" t="s">
        <v>18</v>
      </c>
      <c r="F968">
        <v>1160.47</v>
      </c>
      <c r="G968">
        <v>152.37</v>
      </c>
      <c r="H968" t="s">
        <v>28</v>
      </c>
      <c r="I968" t="s">
        <v>34</v>
      </c>
    </row>
    <row r="969" spans="1:9" x14ac:dyDescent="0.35">
      <c r="A969" t="s">
        <v>1005</v>
      </c>
      <c r="B969" s="1">
        <v>45401</v>
      </c>
      <c r="C969" t="s">
        <v>22</v>
      </c>
      <c r="D969" t="s">
        <v>97</v>
      </c>
      <c r="E969" t="s">
        <v>27</v>
      </c>
      <c r="F969">
        <v>1361.41</v>
      </c>
      <c r="G969">
        <v>188.7</v>
      </c>
      <c r="H969" t="s">
        <v>13</v>
      </c>
      <c r="I969" t="s">
        <v>14</v>
      </c>
    </row>
    <row r="970" spans="1:9" x14ac:dyDescent="0.35">
      <c r="A970" t="s">
        <v>1006</v>
      </c>
      <c r="B970" s="1">
        <v>44708</v>
      </c>
      <c r="C970" t="s">
        <v>10</v>
      </c>
      <c r="D970" t="s">
        <v>62</v>
      </c>
      <c r="E970" t="s">
        <v>27</v>
      </c>
      <c r="F970">
        <v>860.23</v>
      </c>
      <c r="G970">
        <v>154.49</v>
      </c>
      <c r="H970" t="s">
        <v>13</v>
      </c>
      <c r="I970" t="s">
        <v>14</v>
      </c>
    </row>
    <row r="971" spans="1:9" x14ac:dyDescent="0.35">
      <c r="A971" t="s">
        <v>1007</v>
      </c>
      <c r="B971" s="1">
        <v>45060</v>
      </c>
      <c r="C971" t="s">
        <v>25</v>
      </c>
      <c r="D971" t="s">
        <v>57</v>
      </c>
      <c r="E971" t="s">
        <v>27</v>
      </c>
      <c r="F971">
        <v>1266.3699999999999</v>
      </c>
      <c r="G971">
        <v>289.27</v>
      </c>
      <c r="H971" t="s">
        <v>13</v>
      </c>
      <c r="I971" t="s">
        <v>20</v>
      </c>
    </row>
    <row r="972" spans="1:9" x14ac:dyDescent="0.35">
      <c r="A972" t="s">
        <v>1008</v>
      </c>
      <c r="B972" s="1">
        <v>45432</v>
      </c>
      <c r="C972" t="s">
        <v>10</v>
      </c>
      <c r="D972" t="s">
        <v>26</v>
      </c>
      <c r="E972" t="s">
        <v>27</v>
      </c>
      <c r="F972">
        <v>1365.01</v>
      </c>
      <c r="G972">
        <v>285.68</v>
      </c>
      <c r="H972" t="s">
        <v>13</v>
      </c>
      <c r="I972" t="s">
        <v>14</v>
      </c>
    </row>
    <row r="973" spans="1:9" x14ac:dyDescent="0.35">
      <c r="A973" t="s">
        <v>1009</v>
      </c>
      <c r="B973" s="1">
        <v>45628</v>
      </c>
      <c r="C973" t="s">
        <v>25</v>
      </c>
      <c r="D973" t="s">
        <v>17</v>
      </c>
      <c r="E973" t="s">
        <v>18</v>
      </c>
      <c r="F973">
        <v>1962.08</v>
      </c>
      <c r="G973">
        <v>255.01</v>
      </c>
      <c r="H973" t="s">
        <v>28</v>
      </c>
      <c r="I973" t="s">
        <v>29</v>
      </c>
    </row>
    <row r="974" spans="1:9" x14ac:dyDescent="0.35">
      <c r="A974" t="s">
        <v>1010</v>
      </c>
      <c r="B974" s="1">
        <v>45288</v>
      </c>
      <c r="C974" t="s">
        <v>16</v>
      </c>
      <c r="D974" t="s">
        <v>97</v>
      </c>
      <c r="E974" t="s">
        <v>27</v>
      </c>
      <c r="F974">
        <v>509.33</v>
      </c>
      <c r="G974">
        <v>35.18</v>
      </c>
      <c r="H974" t="s">
        <v>13</v>
      </c>
      <c r="I974" t="s">
        <v>29</v>
      </c>
    </row>
    <row r="975" spans="1:9" x14ac:dyDescent="0.35">
      <c r="A975" t="s">
        <v>1011</v>
      </c>
      <c r="B975" s="1">
        <v>45435</v>
      </c>
      <c r="C975" t="s">
        <v>25</v>
      </c>
      <c r="D975" t="s">
        <v>62</v>
      </c>
      <c r="E975" t="s">
        <v>27</v>
      </c>
      <c r="F975">
        <v>1114.8900000000001</v>
      </c>
      <c r="G975">
        <v>254.9</v>
      </c>
      <c r="H975" t="s">
        <v>28</v>
      </c>
      <c r="I975" t="s">
        <v>34</v>
      </c>
    </row>
    <row r="976" spans="1:9" x14ac:dyDescent="0.35">
      <c r="A976" t="s">
        <v>1012</v>
      </c>
      <c r="B976" s="1">
        <v>44649</v>
      </c>
      <c r="C976" t="s">
        <v>10</v>
      </c>
      <c r="D976" t="s">
        <v>62</v>
      </c>
      <c r="E976" t="s">
        <v>27</v>
      </c>
      <c r="F976">
        <v>1750.65</v>
      </c>
      <c r="G976">
        <v>400.12</v>
      </c>
      <c r="H976" t="s">
        <v>28</v>
      </c>
      <c r="I976" t="s">
        <v>34</v>
      </c>
    </row>
    <row r="977" spans="1:9" x14ac:dyDescent="0.35">
      <c r="A977" t="s">
        <v>1013</v>
      </c>
      <c r="B977" s="1">
        <v>45547</v>
      </c>
      <c r="C977" t="s">
        <v>16</v>
      </c>
      <c r="D977" t="s">
        <v>62</v>
      </c>
      <c r="E977" t="s">
        <v>27</v>
      </c>
      <c r="F977">
        <v>1514.92</v>
      </c>
      <c r="G977">
        <v>348.65</v>
      </c>
      <c r="H977" t="s">
        <v>28</v>
      </c>
      <c r="I977" t="s">
        <v>20</v>
      </c>
    </row>
    <row r="978" spans="1:9" x14ac:dyDescent="0.35">
      <c r="A978" t="s">
        <v>1014</v>
      </c>
      <c r="B978" s="1">
        <v>45581</v>
      </c>
      <c r="C978" t="s">
        <v>16</v>
      </c>
      <c r="D978" t="s">
        <v>95</v>
      </c>
      <c r="E978" t="s">
        <v>18</v>
      </c>
      <c r="F978">
        <v>1331.2</v>
      </c>
      <c r="G978">
        <v>93.15</v>
      </c>
      <c r="H978" t="s">
        <v>13</v>
      </c>
      <c r="I978" t="s">
        <v>29</v>
      </c>
    </row>
    <row r="979" spans="1:9" x14ac:dyDescent="0.35">
      <c r="A979" t="s">
        <v>1015</v>
      </c>
      <c r="B979" s="1">
        <v>45108</v>
      </c>
      <c r="C979" t="s">
        <v>25</v>
      </c>
      <c r="D979" t="s">
        <v>50</v>
      </c>
      <c r="E979" t="s">
        <v>12</v>
      </c>
      <c r="F979">
        <v>1469.58</v>
      </c>
      <c r="G979">
        <v>371.6</v>
      </c>
      <c r="H979" t="s">
        <v>13</v>
      </c>
      <c r="I979" t="s">
        <v>29</v>
      </c>
    </row>
    <row r="980" spans="1:9" x14ac:dyDescent="0.35">
      <c r="A980" t="s">
        <v>1016</v>
      </c>
      <c r="B980" s="1">
        <v>45405</v>
      </c>
      <c r="C980" t="s">
        <v>10</v>
      </c>
      <c r="D980" t="s">
        <v>17</v>
      </c>
      <c r="E980" t="s">
        <v>18</v>
      </c>
      <c r="F980">
        <v>1025.07</v>
      </c>
      <c r="G980">
        <v>136.62</v>
      </c>
      <c r="H980" t="s">
        <v>28</v>
      </c>
      <c r="I980" t="s">
        <v>14</v>
      </c>
    </row>
    <row r="981" spans="1:9" x14ac:dyDescent="0.35">
      <c r="A981" t="s">
        <v>1017</v>
      </c>
      <c r="B981" s="1">
        <v>45346</v>
      </c>
      <c r="C981" t="s">
        <v>22</v>
      </c>
      <c r="D981" t="s">
        <v>38</v>
      </c>
      <c r="E981" t="s">
        <v>12</v>
      </c>
      <c r="F981">
        <v>1194.26</v>
      </c>
      <c r="G981">
        <v>308.39999999999998</v>
      </c>
      <c r="H981" t="s">
        <v>28</v>
      </c>
      <c r="I981" t="s">
        <v>34</v>
      </c>
    </row>
    <row r="982" spans="1:9" x14ac:dyDescent="0.35">
      <c r="A982" t="s">
        <v>1018</v>
      </c>
      <c r="B982" s="1">
        <v>45135</v>
      </c>
      <c r="C982" t="s">
        <v>10</v>
      </c>
      <c r="D982" t="s">
        <v>62</v>
      </c>
      <c r="E982" t="s">
        <v>27</v>
      </c>
      <c r="F982">
        <v>189.59</v>
      </c>
      <c r="G982">
        <v>12.89</v>
      </c>
      <c r="H982" t="s">
        <v>28</v>
      </c>
      <c r="I982" t="s">
        <v>20</v>
      </c>
    </row>
    <row r="983" spans="1:9" x14ac:dyDescent="0.35">
      <c r="A983" t="s">
        <v>1019</v>
      </c>
      <c r="B983" s="1">
        <v>45014</v>
      </c>
      <c r="C983" t="s">
        <v>22</v>
      </c>
      <c r="D983" t="s">
        <v>57</v>
      </c>
      <c r="E983" t="s">
        <v>27</v>
      </c>
      <c r="F983">
        <v>73.89</v>
      </c>
      <c r="G983">
        <v>16.98</v>
      </c>
      <c r="H983" t="s">
        <v>13</v>
      </c>
      <c r="I983" t="s">
        <v>34</v>
      </c>
    </row>
    <row r="984" spans="1:9" x14ac:dyDescent="0.35">
      <c r="A984" t="s">
        <v>1020</v>
      </c>
      <c r="B984" s="1">
        <v>45219</v>
      </c>
      <c r="C984" t="s">
        <v>10</v>
      </c>
      <c r="D984" t="s">
        <v>33</v>
      </c>
      <c r="E984" t="s">
        <v>18</v>
      </c>
      <c r="F984">
        <v>1517.84</v>
      </c>
      <c r="G984">
        <v>122.17</v>
      </c>
      <c r="H984" t="s">
        <v>28</v>
      </c>
      <c r="I984" t="s">
        <v>20</v>
      </c>
    </row>
    <row r="985" spans="1:9" x14ac:dyDescent="0.35">
      <c r="A985" t="s">
        <v>1021</v>
      </c>
      <c r="B985" s="1">
        <v>44679</v>
      </c>
      <c r="C985" t="s">
        <v>25</v>
      </c>
      <c r="D985" t="s">
        <v>33</v>
      </c>
      <c r="E985" t="s">
        <v>18</v>
      </c>
      <c r="F985">
        <v>1198.52</v>
      </c>
      <c r="G985">
        <v>270.62</v>
      </c>
      <c r="H985" t="s">
        <v>28</v>
      </c>
      <c r="I985" t="s">
        <v>14</v>
      </c>
    </row>
    <row r="986" spans="1:9" x14ac:dyDescent="0.35">
      <c r="A986" t="s">
        <v>1022</v>
      </c>
      <c r="B986" s="1">
        <v>44770</v>
      </c>
      <c r="C986" t="s">
        <v>22</v>
      </c>
      <c r="D986" t="s">
        <v>46</v>
      </c>
      <c r="E986" t="s">
        <v>18</v>
      </c>
      <c r="F986">
        <v>1694.38</v>
      </c>
      <c r="G986">
        <v>443.76</v>
      </c>
      <c r="H986" t="s">
        <v>13</v>
      </c>
      <c r="I986" t="s">
        <v>29</v>
      </c>
    </row>
    <row r="987" spans="1:9" x14ac:dyDescent="0.35">
      <c r="A987" t="s">
        <v>1023</v>
      </c>
      <c r="B987" s="1">
        <v>44603</v>
      </c>
      <c r="C987" t="s">
        <v>16</v>
      </c>
      <c r="D987" t="s">
        <v>41</v>
      </c>
      <c r="E987" t="s">
        <v>12</v>
      </c>
      <c r="F987">
        <v>1501.38</v>
      </c>
      <c r="G987">
        <v>106.89</v>
      </c>
      <c r="H987" t="s">
        <v>19</v>
      </c>
      <c r="I987" t="s">
        <v>34</v>
      </c>
    </row>
    <row r="988" spans="1:9" x14ac:dyDescent="0.35">
      <c r="A988" t="s">
        <v>1024</v>
      </c>
      <c r="B988" s="1">
        <v>45219</v>
      </c>
      <c r="C988" t="s">
        <v>25</v>
      </c>
      <c r="D988" t="s">
        <v>46</v>
      </c>
      <c r="E988" t="s">
        <v>18</v>
      </c>
      <c r="F988">
        <v>309.99</v>
      </c>
      <c r="G988">
        <v>55.7</v>
      </c>
      <c r="H988" t="s">
        <v>13</v>
      </c>
      <c r="I988" t="s">
        <v>34</v>
      </c>
    </row>
    <row r="989" spans="1:9" x14ac:dyDescent="0.35">
      <c r="A989" t="s">
        <v>1025</v>
      </c>
      <c r="B989" s="1">
        <v>45073</v>
      </c>
      <c r="C989" t="s">
        <v>22</v>
      </c>
      <c r="D989" t="s">
        <v>95</v>
      </c>
      <c r="E989" t="s">
        <v>18</v>
      </c>
      <c r="F989">
        <v>1629.95</v>
      </c>
      <c r="G989">
        <v>462.08</v>
      </c>
      <c r="H989" t="s">
        <v>19</v>
      </c>
      <c r="I989" t="s">
        <v>14</v>
      </c>
    </row>
    <row r="990" spans="1:9" x14ac:dyDescent="0.35">
      <c r="A990" t="s">
        <v>1026</v>
      </c>
      <c r="B990" s="1">
        <v>44998</v>
      </c>
      <c r="C990" t="s">
        <v>25</v>
      </c>
      <c r="D990" t="s">
        <v>17</v>
      </c>
      <c r="E990" t="s">
        <v>18</v>
      </c>
      <c r="F990">
        <v>1732.83</v>
      </c>
      <c r="G990">
        <v>180.38</v>
      </c>
      <c r="H990" t="s">
        <v>19</v>
      </c>
      <c r="I990" t="s">
        <v>34</v>
      </c>
    </row>
    <row r="991" spans="1:9" x14ac:dyDescent="0.35">
      <c r="A991" t="s">
        <v>1027</v>
      </c>
      <c r="B991" s="1">
        <v>45512</v>
      </c>
      <c r="C991" t="s">
        <v>10</v>
      </c>
      <c r="D991" t="s">
        <v>46</v>
      </c>
      <c r="E991" t="s">
        <v>18</v>
      </c>
      <c r="F991">
        <v>1918.69</v>
      </c>
      <c r="G991">
        <v>345.86</v>
      </c>
      <c r="H991" t="s">
        <v>13</v>
      </c>
      <c r="I991" t="s">
        <v>29</v>
      </c>
    </row>
    <row r="992" spans="1:9" x14ac:dyDescent="0.35">
      <c r="A992" t="s">
        <v>1028</v>
      </c>
      <c r="B992" s="1">
        <v>45547</v>
      </c>
      <c r="C992" t="s">
        <v>16</v>
      </c>
      <c r="D992" t="s">
        <v>17</v>
      </c>
      <c r="E992" t="s">
        <v>18</v>
      </c>
      <c r="F992">
        <v>1773.86</v>
      </c>
      <c r="G992">
        <v>226.27</v>
      </c>
      <c r="H992" t="s">
        <v>13</v>
      </c>
      <c r="I992" t="s">
        <v>29</v>
      </c>
    </row>
    <row r="993" spans="1:9" x14ac:dyDescent="0.35">
      <c r="A993" t="s">
        <v>1029</v>
      </c>
      <c r="B993" s="1">
        <v>44902</v>
      </c>
      <c r="C993" t="s">
        <v>25</v>
      </c>
      <c r="D993" t="s">
        <v>73</v>
      </c>
      <c r="E993" t="s">
        <v>27</v>
      </c>
      <c r="F993">
        <v>1706.17</v>
      </c>
      <c r="G993">
        <v>424.83</v>
      </c>
      <c r="H993" t="s">
        <v>28</v>
      </c>
      <c r="I993" t="s">
        <v>20</v>
      </c>
    </row>
    <row r="994" spans="1:9" x14ac:dyDescent="0.35">
      <c r="A994" t="s">
        <v>1030</v>
      </c>
      <c r="B994" s="1">
        <v>45441</v>
      </c>
      <c r="C994" t="s">
        <v>10</v>
      </c>
      <c r="D994" t="s">
        <v>97</v>
      </c>
      <c r="E994" t="s">
        <v>27</v>
      </c>
      <c r="F994">
        <v>1252.82</v>
      </c>
      <c r="G994">
        <v>182.82</v>
      </c>
      <c r="H994" t="s">
        <v>19</v>
      </c>
      <c r="I994" t="s">
        <v>34</v>
      </c>
    </row>
    <row r="995" spans="1:9" x14ac:dyDescent="0.35">
      <c r="A995" t="s">
        <v>1031</v>
      </c>
      <c r="B995" s="1">
        <v>45427</v>
      </c>
      <c r="C995" t="s">
        <v>25</v>
      </c>
      <c r="D995" t="s">
        <v>38</v>
      </c>
      <c r="E995" t="s">
        <v>12</v>
      </c>
      <c r="F995">
        <v>1131.46</v>
      </c>
      <c r="G995">
        <v>320.89999999999998</v>
      </c>
      <c r="H995" t="s">
        <v>13</v>
      </c>
      <c r="I995" t="s">
        <v>29</v>
      </c>
    </row>
    <row r="996" spans="1:9" x14ac:dyDescent="0.35">
      <c r="A996" t="s">
        <v>1032</v>
      </c>
      <c r="B996" s="1">
        <v>44966</v>
      </c>
      <c r="C996" t="s">
        <v>10</v>
      </c>
      <c r="D996" t="s">
        <v>97</v>
      </c>
      <c r="E996" t="s">
        <v>27</v>
      </c>
      <c r="F996">
        <v>1275.04</v>
      </c>
      <c r="G996">
        <v>352.83</v>
      </c>
      <c r="H996" t="s">
        <v>13</v>
      </c>
      <c r="I996" t="s">
        <v>34</v>
      </c>
    </row>
    <row r="997" spans="1:9" x14ac:dyDescent="0.35">
      <c r="A997" t="s">
        <v>1033</v>
      </c>
      <c r="B997" s="1">
        <v>44602</v>
      </c>
      <c r="C997" t="s">
        <v>25</v>
      </c>
      <c r="D997" t="s">
        <v>41</v>
      </c>
      <c r="E997" t="s">
        <v>12</v>
      </c>
      <c r="F997">
        <v>1255.71</v>
      </c>
      <c r="G997">
        <v>346.49</v>
      </c>
      <c r="H997" t="s">
        <v>28</v>
      </c>
      <c r="I997" t="s">
        <v>29</v>
      </c>
    </row>
    <row r="998" spans="1:9" x14ac:dyDescent="0.35">
      <c r="A998" t="s">
        <v>1034</v>
      </c>
      <c r="B998" s="1">
        <v>45486</v>
      </c>
      <c r="C998" t="s">
        <v>10</v>
      </c>
      <c r="D998" t="s">
        <v>62</v>
      </c>
      <c r="E998" t="s">
        <v>27</v>
      </c>
      <c r="F998">
        <v>1995.88</v>
      </c>
      <c r="G998">
        <v>150.29</v>
      </c>
      <c r="H998" t="s">
        <v>13</v>
      </c>
      <c r="I998" t="s">
        <v>34</v>
      </c>
    </row>
    <row r="999" spans="1:9" x14ac:dyDescent="0.35">
      <c r="A999" t="s">
        <v>1035</v>
      </c>
      <c r="B999" s="1">
        <v>45638</v>
      </c>
      <c r="C999" t="s">
        <v>10</v>
      </c>
      <c r="D999" t="s">
        <v>73</v>
      </c>
      <c r="E999" t="s">
        <v>27</v>
      </c>
      <c r="F999">
        <v>143.63</v>
      </c>
      <c r="G999">
        <v>30.04</v>
      </c>
      <c r="H999" t="s">
        <v>13</v>
      </c>
      <c r="I999" t="s">
        <v>14</v>
      </c>
    </row>
    <row r="1000" spans="1:9" x14ac:dyDescent="0.35">
      <c r="A1000" t="s">
        <v>1036</v>
      </c>
      <c r="B1000" s="1">
        <v>44687</v>
      </c>
      <c r="C1000" t="s">
        <v>25</v>
      </c>
      <c r="D1000" t="s">
        <v>31</v>
      </c>
      <c r="E1000" t="s">
        <v>12</v>
      </c>
      <c r="F1000">
        <v>511.07</v>
      </c>
      <c r="G1000">
        <v>83.59</v>
      </c>
      <c r="H1000" t="s">
        <v>28</v>
      </c>
      <c r="I1000" t="s">
        <v>29</v>
      </c>
    </row>
    <row r="1001" spans="1:9" x14ac:dyDescent="0.35">
      <c r="A1001" t="s">
        <v>1037</v>
      </c>
      <c r="B1001" s="1">
        <v>45429</v>
      </c>
      <c r="C1001" t="s">
        <v>25</v>
      </c>
      <c r="D1001" t="s">
        <v>46</v>
      </c>
      <c r="E1001" t="s">
        <v>18</v>
      </c>
      <c r="F1001">
        <v>959.63</v>
      </c>
      <c r="G1001">
        <v>136.28</v>
      </c>
      <c r="H1001" t="s">
        <v>13</v>
      </c>
      <c r="I1001" t="s">
        <v>14</v>
      </c>
    </row>
    <row r="1002" spans="1:9" x14ac:dyDescent="0.35">
      <c r="A1002" t="s">
        <v>1038</v>
      </c>
      <c r="B1002" s="1">
        <v>45003</v>
      </c>
      <c r="C1002" t="s">
        <v>16</v>
      </c>
      <c r="D1002" t="s">
        <v>17</v>
      </c>
      <c r="E1002" t="s">
        <v>18</v>
      </c>
      <c r="F1002">
        <v>1621.09</v>
      </c>
      <c r="G1002">
        <v>170.78</v>
      </c>
      <c r="H1002" t="s">
        <v>28</v>
      </c>
      <c r="I1002" t="s">
        <v>29</v>
      </c>
    </row>
    <row r="1003" spans="1:9" x14ac:dyDescent="0.35">
      <c r="A1003" t="s">
        <v>1039</v>
      </c>
      <c r="B1003" s="1">
        <v>44932</v>
      </c>
      <c r="C1003" t="s">
        <v>16</v>
      </c>
      <c r="D1003" t="s">
        <v>62</v>
      </c>
      <c r="E1003" t="s">
        <v>27</v>
      </c>
      <c r="F1003">
        <v>1648.41</v>
      </c>
      <c r="G1003">
        <v>118.71</v>
      </c>
      <c r="H1003" t="s">
        <v>13</v>
      </c>
      <c r="I1003" t="s">
        <v>29</v>
      </c>
    </row>
    <row r="1004" spans="1:9" x14ac:dyDescent="0.35">
      <c r="A1004" t="s">
        <v>1040</v>
      </c>
      <c r="B1004" s="1">
        <v>45457</v>
      </c>
      <c r="C1004" t="s">
        <v>25</v>
      </c>
      <c r="D1004" t="s">
        <v>46</v>
      </c>
      <c r="E1004" t="s">
        <v>18</v>
      </c>
      <c r="F1004">
        <v>1203.6600000000001</v>
      </c>
      <c r="G1004">
        <v>124.65</v>
      </c>
      <c r="H1004" t="s">
        <v>13</v>
      </c>
      <c r="I1004" t="s">
        <v>14</v>
      </c>
    </row>
    <row r="1005" spans="1:9" x14ac:dyDescent="0.35">
      <c r="A1005" t="s">
        <v>1041</v>
      </c>
      <c r="B1005" s="1">
        <v>45462</v>
      </c>
      <c r="C1005" t="s">
        <v>25</v>
      </c>
      <c r="D1005" t="s">
        <v>62</v>
      </c>
      <c r="E1005" t="s">
        <v>27</v>
      </c>
      <c r="F1005">
        <v>1555.01</v>
      </c>
      <c r="G1005">
        <v>427.5</v>
      </c>
      <c r="H1005" t="s">
        <v>28</v>
      </c>
      <c r="I1005" t="s">
        <v>14</v>
      </c>
    </row>
    <row r="1006" spans="1:9" x14ac:dyDescent="0.35">
      <c r="A1006" t="s">
        <v>1042</v>
      </c>
      <c r="B1006" s="1">
        <v>44713</v>
      </c>
      <c r="C1006" t="s">
        <v>25</v>
      </c>
      <c r="D1006" t="s">
        <v>31</v>
      </c>
      <c r="E1006" t="s">
        <v>12</v>
      </c>
      <c r="F1006">
        <v>1715.87</v>
      </c>
      <c r="G1006">
        <v>482.66</v>
      </c>
      <c r="H1006" t="s">
        <v>13</v>
      </c>
      <c r="I1006" t="s">
        <v>34</v>
      </c>
    </row>
    <row r="1007" spans="1:9" x14ac:dyDescent="0.35">
      <c r="A1007" t="s">
        <v>1043</v>
      </c>
      <c r="B1007" s="1">
        <v>45240</v>
      </c>
      <c r="C1007" t="s">
        <v>10</v>
      </c>
      <c r="D1007" t="s">
        <v>50</v>
      </c>
      <c r="E1007" t="s">
        <v>12</v>
      </c>
      <c r="F1007">
        <v>301.07</v>
      </c>
      <c r="G1007">
        <v>58.13</v>
      </c>
      <c r="H1007" t="s">
        <v>28</v>
      </c>
      <c r="I1007" t="s">
        <v>20</v>
      </c>
    </row>
    <row r="1008" spans="1:9" x14ac:dyDescent="0.35">
      <c r="A1008" t="s">
        <v>1044</v>
      </c>
      <c r="B1008" s="1">
        <v>44781</v>
      </c>
      <c r="C1008" t="s">
        <v>16</v>
      </c>
      <c r="D1008" t="s">
        <v>62</v>
      </c>
      <c r="E1008" t="s">
        <v>27</v>
      </c>
      <c r="F1008">
        <v>1917.21</v>
      </c>
      <c r="G1008">
        <v>562.76</v>
      </c>
      <c r="H1008" t="s">
        <v>13</v>
      </c>
      <c r="I1008" t="s">
        <v>29</v>
      </c>
    </row>
    <row r="1009" spans="1:9" x14ac:dyDescent="0.35">
      <c r="A1009" t="s">
        <v>1045</v>
      </c>
      <c r="B1009" s="1">
        <v>45276</v>
      </c>
      <c r="C1009" t="s">
        <v>10</v>
      </c>
      <c r="D1009" t="s">
        <v>38</v>
      </c>
      <c r="E1009" t="s">
        <v>12</v>
      </c>
      <c r="F1009">
        <v>1252.31</v>
      </c>
      <c r="G1009">
        <v>263.82</v>
      </c>
      <c r="H1009" t="s">
        <v>19</v>
      </c>
      <c r="I1009" t="s">
        <v>20</v>
      </c>
    </row>
    <row r="1010" spans="1:9" x14ac:dyDescent="0.35">
      <c r="A1010" t="s">
        <v>1046</v>
      </c>
      <c r="B1010" s="1">
        <v>45622</v>
      </c>
      <c r="C1010" t="s">
        <v>22</v>
      </c>
      <c r="D1010" t="s">
        <v>95</v>
      </c>
      <c r="E1010" t="s">
        <v>18</v>
      </c>
      <c r="F1010">
        <v>404.95</v>
      </c>
      <c r="G1010">
        <v>114.74</v>
      </c>
      <c r="H1010" t="s">
        <v>13</v>
      </c>
      <c r="I1010" t="s">
        <v>14</v>
      </c>
    </row>
    <row r="1011" spans="1:9" x14ac:dyDescent="0.35">
      <c r="A1011" t="s">
        <v>1047</v>
      </c>
      <c r="B1011" s="1">
        <v>44822</v>
      </c>
      <c r="C1011" t="s">
        <v>10</v>
      </c>
      <c r="D1011" t="s">
        <v>97</v>
      </c>
      <c r="E1011" t="s">
        <v>27</v>
      </c>
      <c r="F1011">
        <v>489.89</v>
      </c>
      <c r="G1011">
        <v>75.11</v>
      </c>
      <c r="H1011" t="s">
        <v>13</v>
      </c>
      <c r="I1011" t="s">
        <v>29</v>
      </c>
    </row>
    <row r="1012" spans="1:9" x14ac:dyDescent="0.35">
      <c r="A1012" t="s">
        <v>1048</v>
      </c>
      <c r="B1012" s="1">
        <v>45311</v>
      </c>
      <c r="C1012" t="s">
        <v>16</v>
      </c>
      <c r="D1012" t="s">
        <v>50</v>
      </c>
      <c r="E1012" t="s">
        <v>12</v>
      </c>
      <c r="F1012">
        <v>582.11</v>
      </c>
      <c r="G1012">
        <v>29.88</v>
      </c>
      <c r="H1012" t="s">
        <v>13</v>
      </c>
      <c r="I1012" t="s">
        <v>34</v>
      </c>
    </row>
    <row r="1013" spans="1:9" x14ac:dyDescent="0.35">
      <c r="A1013" t="s">
        <v>1049</v>
      </c>
      <c r="B1013" s="1">
        <v>45131</v>
      </c>
      <c r="C1013" t="s">
        <v>16</v>
      </c>
      <c r="D1013" t="s">
        <v>17</v>
      </c>
      <c r="E1013" t="s">
        <v>18</v>
      </c>
      <c r="F1013">
        <v>447.61</v>
      </c>
      <c r="G1013">
        <v>54.21</v>
      </c>
      <c r="H1013" t="s">
        <v>19</v>
      </c>
      <c r="I1013" t="s">
        <v>29</v>
      </c>
    </row>
    <row r="1014" spans="1:9" x14ac:dyDescent="0.35">
      <c r="A1014" t="s">
        <v>1050</v>
      </c>
      <c r="B1014" s="1">
        <v>44627</v>
      </c>
      <c r="C1014" t="s">
        <v>25</v>
      </c>
      <c r="D1014" t="s">
        <v>50</v>
      </c>
      <c r="E1014" t="s">
        <v>12</v>
      </c>
      <c r="F1014">
        <v>581.41999999999996</v>
      </c>
      <c r="G1014">
        <v>117.42</v>
      </c>
      <c r="H1014" t="s">
        <v>19</v>
      </c>
      <c r="I1014" t="s">
        <v>14</v>
      </c>
    </row>
    <row r="1015" spans="1:9" x14ac:dyDescent="0.35">
      <c r="A1015" t="s">
        <v>1051</v>
      </c>
      <c r="B1015" s="1">
        <v>44825</v>
      </c>
      <c r="C1015" t="s">
        <v>22</v>
      </c>
      <c r="D1015" t="s">
        <v>97</v>
      </c>
      <c r="E1015" t="s">
        <v>27</v>
      </c>
      <c r="F1015">
        <v>1607.09</v>
      </c>
      <c r="G1015">
        <v>402.72</v>
      </c>
      <c r="H1015" t="s">
        <v>13</v>
      </c>
      <c r="I1015" t="s">
        <v>20</v>
      </c>
    </row>
    <row r="1016" spans="1:9" x14ac:dyDescent="0.35">
      <c r="A1016" t="s">
        <v>1052</v>
      </c>
      <c r="B1016" s="1">
        <v>44592</v>
      </c>
      <c r="C1016" t="s">
        <v>25</v>
      </c>
      <c r="D1016" t="s">
        <v>57</v>
      </c>
      <c r="E1016" t="s">
        <v>27</v>
      </c>
      <c r="F1016">
        <v>285.83</v>
      </c>
      <c r="G1016">
        <v>25.55</v>
      </c>
      <c r="H1016" t="s">
        <v>19</v>
      </c>
      <c r="I1016" t="s">
        <v>20</v>
      </c>
    </row>
    <row r="1017" spans="1:9" x14ac:dyDescent="0.35">
      <c r="A1017" t="s">
        <v>1053</v>
      </c>
      <c r="B1017" s="1">
        <v>45379</v>
      </c>
      <c r="C1017" t="s">
        <v>22</v>
      </c>
      <c r="D1017" t="s">
        <v>26</v>
      </c>
      <c r="E1017" t="s">
        <v>27</v>
      </c>
      <c r="F1017">
        <v>1421.15</v>
      </c>
      <c r="G1017">
        <v>345.03</v>
      </c>
      <c r="H1017" t="s">
        <v>13</v>
      </c>
      <c r="I1017" t="s">
        <v>14</v>
      </c>
    </row>
    <row r="1018" spans="1:9" x14ac:dyDescent="0.35">
      <c r="A1018" t="s">
        <v>1054</v>
      </c>
      <c r="B1018" s="1">
        <v>44697</v>
      </c>
      <c r="C1018" t="s">
        <v>10</v>
      </c>
      <c r="D1018" t="s">
        <v>62</v>
      </c>
      <c r="E1018" t="s">
        <v>27</v>
      </c>
      <c r="F1018">
        <v>1957.67</v>
      </c>
      <c r="G1018">
        <v>205.38</v>
      </c>
      <c r="H1018" t="s">
        <v>13</v>
      </c>
      <c r="I1018" t="s">
        <v>29</v>
      </c>
    </row>
    <row r="1019" spans="1:9" x14ac:dyDescent="0.35">
      <c r="A1019" t="s">
        <v>1055</v>
      </c>
      <c r="B1019" s="1">
        <v>45620</v>
      </c>
      <c r="C1019" t="s">
        <v>25</v>
      </c>
      <c r="D1019" t="s">
        <v>57</v>
      </c>
      <c r="E1019" t="s">
        <v>27</v>
      </c>
      <c r="F1019">
        <v>843.25</v>
      </c>
      <c r="G1019">
        <v>224.62</v>
      </c>
      <c r="H1019" t="s">
        <v>13</v>
      </c>
      <c r="I1019" t="s">
        <v>34</v>
      </c>
    </row>
    <row r="1020" spans="1:9" x14ac:dyDescent="0.35">
      <c r="A1020" t="s">
        <v>1056</v>
      </c>
      <c r="B1020" s="1">
        <v>44786</v>
      </c>
      <c r="C1020" t="s">
        <v>16</v>
      </c>
      <c r="D1020" t="s">
        <v>46</v>
      </c>
      <c r="E1020" t="s">
        <v>18</v>
      </c>
      <c r="F1020">
        <v>752.89</v>
      </c>
      <c r="G1020">
        <v>182.54</v>
      </c>
      <c r="H1020" t="s">
        <v>19</v>
      </c>
      <c r="I1020" t="s">
        <v>20</v>
      </c>
    </row>
    <row r="1021" spans="1:9" x14ac:dyDescent="0.35">
      <c r="A1021" t="s">
        <v>1057</v>
      </c>
      <c r="B1021" s="1">
        <v>44993</v>
      </c>
      <c r="C1021" t="s">
        <v>10</v>
      </c>
      <c r="D1021" t="s">
        <v>26</v>
      </c>
      <c r="E1021" t="s">
        <v>27</v>
      </c>
      <c r="F1021">
        <v>579.62</v>
      </c>
      <c r="G1021">
        <v>66.19</v>
      </c>
      <c r="H1021" t="s">
        <v>13</v>
      </c>
      <c r="I1021" t="s">
        <v>20</v>
      </c>
    </row>
    <row r="1022" spans="1:9" x14ac:dyDescent="0.35">
      <c r="A1022" t="s">
        <v>1058</v>
      </c>
      <c r="B1022" s="1">
        <v>45102</v>
      </c>
      <c r="C1022" t="s">
        <v>22</v>
      </c>
      <c r="D1022" t="s">
        <v>31</v>
      </c>
      <c r="E1022" t="s">
        <v>12</v>
      </c>
      <c r="F1022">
        <v>720.92</v>
      </c>
      <c r="G1022">
        <v>179.69</v>
      </c>
      <c r="H1022" t="s">
        <v>19</v>
      </c>
      <c r="I1022" t="s">
        <v>34</v>
      </c>
    </row>
    <row r="1023" spans="1:9" x14ac:dyDescent="0.35">
      <c r="A1023" t="s">
        <v>1059</v>
      </c>
      <c r="B1023" s="1">
        <v>45058</v>
      </c>
      <c r="C1023" t="s">
        <v>10</v>
      </c>
      <c r="D1023" t="s">
        <v>41</v>
      </c>
      <c r="E1023" t="s">
        <v>12</v>
      </c>
      <c r="F1023">
        <v>1088.4000000000001</v>
      </c>
      <c r="G1023">
        <v>173.54</v>
      </c>
      <c r="H1023" t="s">
        <v>19</v>
      </c>
      <c r="I1023" t="s">
        <v>34</v>
      </c>
    </row>
    <row r="1024" spans="1:9" x14ac:dyDescent="0.35">
      <c r="A1024" t="s">
        <v>1060</v>
      </c>
      <c r="B1024" s="1">
        <v>44985</v>
      </c>
      <c r="C1024" t="s">
        <v>10</v>
      </c>
      <c r="D1024" t="s">
        <v>73</v>
      </c>
      <c r="E1024" t="s">
        <v>27</v>
      </c>
      <c r="F1024">
        <v>654.92999999999995</v>
      </c>
      <c r="G1024">
        <v>109.05</v>
      </c>
      <c r="H1024" t="s">
        <v>28</v>
      </c>
      <c r="I1024" t="s">
        <v>20</v>
      </c>
    </row>
    <row r="1025" spans="1:9" x14ac:dyDescent="0.35">
      <c r="A1025" t="s">
        <v>1061</v>
      </c>
      <c r="B1025" s="1">
        <v>45608</v>
      </c>
      <c r="C1025" t="s">
        <v>16</v>
      </c>
      <c r="D1025" t="s">
        <v>95</v>
      </c>
      <c r="E1025" t="s">
        <v>18</v>
      </c>
      <c r="F1025">
        <v>1330.44</v>
      </c>
      <c r="G1025">
        <v>178.45</v>
      </c>
      <c r="H1025" t="s">
        <v>13</v>
      </c>
      <c r="I1025" t="s">
        <v>14</v>
      </c>
    </row>
    <row r="1026" spans="1:9" x14ac:dyDescent="0.35">
      <c r="A1026" t="s">
        <v>1062</v>
      </c>
      <c r="B1026" s="1">
        <v>45487</v>
      </c>
      <c r="C1026" t="s">
        <v>25</v>
      </c>
      <c r="D1026" t="s">
        <v>38</v>
      </c>
      <c r="E1026" t="s">
        <v>12</v>
      </c>
      <c r="F1026">
        <v>1283.8599999999999</v>
      </c>
      <c r="G1026">
        <v>282.63</v>
      </c>
      <c r="H1026" t="s">
        <v>28</v>
      </c>
      <c r="I1026" t="s">
        <v>20</v>
      </c>
    </row>
    <row r="1027" spans="1:9" x14ac:dyDescent="0.35">
      <c r="A1027" t="s">
        <v>1063</v>
      </c>
      <c r="B1027" s="1">
        <v>45522</v>
      </c>
      <c r="C1027" t="s">
        <v>16</v>
      </c>
      <c r="D1027" t="s">
        <v>31</v>
      </c>
      <c r="E1027" t="s">
        <v>12</v>
      </c>
      <c r="F1027">
        <v>207.57</v>
      </c>
      <c r="G1027">
        <v>14.29</v>
      </c>
      <c r="H1027" t="s">
        <v>13</v>
      </c>
      <c r="I1027" t="s">
        <v>20</v>
      </c>
    </row>
    <row r="1028" spans="1:9" x14ac:dyDescent="0.35">
      <c r="A1028" t="s">
        <v>1064</v>
      </c>
      <c r="B1028" s="1">
        <v>44622</v>
      </c>
      <c r="C1028" t="s">
        <v>16</v>
      </c>
      <c r="D1028" t="s">
        <v>57</v>
      </c>
      <c r="E1028" t="s">
        <v>27</v>
      </c>
      <c r="F1028">
        <v>883.51</v>
      </c>
      <c r="G1028">
        <v>133.76</v>
      </c>
      <c r="H1028" t="s">
        <v>28</v>
      </c>
      <c r="I1028" t="s">
        <v>14</v>
      </c>
    </row>
    <row r="1029" spans="1:9" x14ac:dyDescent="0.35">
      <c r="A1029" t="s">
        <v>1065</v>
      </c>
      <c r="B1029" s="1">
        <v>44794</v>
      </c>
      <c r="C1029" t="s">
        <v>10</v>
      </c>
      <c r="D1029" t="s">
        <v>73</v>
      </c>
      <c r="E1029" t="s">
        <v>27</v>
      </c>
      <c r="F1029">
        <v>1247.3699999999999</v>
      </c>
      <c r="G1029">
        <v>111.37</v>
      </c>
      <c r="H1029" t="s">
        <v>13</v>
      </c>
      <c r="I1029" t="s">
        <v>34</v>
      </c>
    </row>
    <row r="1030" spans="1:9" x14ac:dyDescent="0.35">
      <c r="A1030" t="s">
        <v>1066</v>
      </c>
      <c r="B1030" s="1">
        <v>44878</v>
      </c>
      <c r="C1030" t="s">
        <v>16</v>
      </c>
      <c r="D1030" t="s">
        <v>31</v>
      </c>
      <c r="E1030" t="s">
        <v>12</v>
      </c>
      <c r="F1030">
        <v>1529.1</v>
      </c>
      <c r="G1030">
        <v>343.61</v>
      </c>
      <c r="H1030" t="s">
        <v>13</v>
      </c>
      <c r="I1030" t="s">
        <v>14</v>
      </c>
    </row>
    <row r="1031" spans="1:9" x14ac:dyDescent="0.35">
      <c r="A1031" t="s">
        <v>1067</v>
      </c>
      <c r="B1031" s="1">
        <v>45100</v>
      </c>
      <c r="C1031" t="s">
        <v>16</v>
      </c>
      <c r="D1031" t="s">
        <v>95</v>
      </c>
      <c r="E1031" t="s">
        <v>18</v>
      </c>
      <c r="F1031">
        <v>397.14</v>
      </c>
      <c r="G1031">
        <v>103.74</v>
      </c>
      <c r="H1031" t="s">
        <v>19</v>
      </c>
      <c r="I1031" t="s">
        <v>14</v>
      </c>
    </row>
    <row r="1032" spans="1:9" x14ac:dyDescent="0.35">
      <c r="A1032" t="s">
        <v>1068</v>
      </c>
      <c r="B1032" s="1">
        <v>45001</v>
      </c>
      <c r="C1032" t="s">
        <v>16</v>
      </c>
      <c r="D1032" t="s">
        <v>95</v>
      </c>
      <c r="E1032" t="s">
        <v>18</v>
      </c>
      <c r="F1032">
        <v>500.05</v>
      </c>
      <c r="G1032">
        <v>140.44</v>
      </c>
      <c r="H1032" t="s">
        <v>13</v>
      </c>
      <c r="I1032" t="s">
        <v>34</v>
      </c>
    </row>
    <row r="1033" spans="1:9" x14ac:dyDescent="0.35">
      <c r="A1033" t="s">
        <v>1069</v>
      </c>
      <c r="B1033" s="1">
        <v>44903</v>
      </c>
      <c r="C1033" t="s">
        <v>10</v>
      </c>
      <c r="D1033" t="s">
        <v>41</v>
      </c>
      <c r="E1033" t="s">
        <v>12</v>
      </c>
      <c r="F1033">
        <v>582.13</v>
      </c>
      <c r="G1033">
        <v>53.74</v>
      </c>
      <c r="H1033" t="s">
        <v>13</v>
      </c>
      <c r="I1033" t="s">
        <v>34</v>
      </c>
    </row>
    <row r="1034" spans="1:9" x14ac:dyDescent="0.35">
      <c r="A1034" t="s">
        <v>1070</v>
      </c>
      <c r="B1034" s="1">
        <v>45510</v>
      </c>
      <c r="C1034" t="s">
        <v>16</v>
      </c>
      <c r="D1034" t="s">
        <v>95</v>
      </c>
      <c r="E1034" t="s">
        <v>18</v>
      </c>
      <c r="F1034">
        <v>391.37</v>
      </c>
      <c r="G1034">
        <v>114.19</v>
      </c>
      <c r="H1034" t="s">
        <v>13</v>
      </c>
      <c r="I1034" t="s">
        <v>29</v>
      </c>
    </row>
    <row r="1035" spans="1:9" x14ac:dyDescent="0.35">
      <c r="A1035" t="s">
        <v>1071</v>
      </c>
      <c r="B1035" s="1">
        <v>45408</v>
      </c>
      <c r="C1035" t="s">
        <v>16</v>
      </c>
      <c r="D1035" t="s">
        <v>73</v>
      </c>
      <c r="E1035" t="s">
        <v>27</v>
      </c>
      <c r="F1035">
        <v>1294.6300000000001</v>
      </c>
      <c r="G1035">
        <v>279.73</v>
      </c>
      <c r="H1035" t="s">
        <v>28</v>
      </c>
      <c r="I1035" t="s">
        <v>34</v>
      </c>
    </row>
    <row r="1036" spans="1:9" x14ac:dyDescent="0.35">
      <c r="A1036" t="s">
        <v>1072</v>
      </c>
      <c r="B1036" s="1">
        <v>45058</v>
      </c>
      <c r="C1036" t="s">
        <v>16</v>
      </c>
      <c r="D1036" t="s">
        <v>50</v>
      </c>
      <c r="E1036" t="s">
        <v>12</v>
      </c>
      <c r="F1036">
        <v>132.24</v>
      </c>
      <c r="G1036">
        <v>21.57</v>
      </c>
      <c r="H1036" t="s">
        <v>28</v>
      </c>
      <c r="I1036" t="s">
        <v>20</v>
      </c>
    </row>
    <row r="1037" spans="1:9" x14ac:dyDescent="0.35">
      <c r="A1037" t="s">
        <v>1073</v>
      </c>
      <c r="B1037" s="1">
        <v>45626</v>
      </c>
      <c r="C1037" t="s">
        <v>16</v>
      </c>
      <c r="D1037" t="s">
        <v>11</v>
      </c>
      <c r="E1037" t="s">
        <v>12</v>
      </c>
      <c r="F1037">
        <v>1200.78</v>
      </c>
      <c r="G1037">
        <v>72.709999999999994</v>
      </c>
      <c r="H1037" t="s">
        <v>13</v>
      </c>
      <c r="I1037" t="s">
        <v>14</v>
      </c>
    </row>
    <row r="1038" spans="1:9" x14ac:dyDescent="0.35">
      <c r="A1038" t="s">
        <v>1074</v>
      </c>
      <c r="B1038" s="1">
        <v>45556</v>
      </c>
      <c r="C1038" t="s">
        <v>10</v>
      </c>
      <c r="D1038" t="s">
        <v>33</v>
      </c>
      <c r="E1038" t="s">
        <v>18</v>
      </c>
      <c r="F1038">
        <v>1687.89</v>
      </c>
      <c r="G1038">
        <v>98.57</v>
      </c>
      <c r="H1038" t="s">
        <v>13</v>
      </c>
      <c r="I1038" t="s">
        <v>14</v>
      </c>
    </row>
    <row r="1039" spans="1:9" x14ac:dyDescent="0.35">
      <c r="A1039" t="s">
        <v>1075</v>
      </c>
      <c r="B1039" s="1">
        <v>44597</v>
      </c>
      <c r="C1039" t="s">
        <v>16</v>
      </c>
      <c r="D1039" t="s">
        <v>11</v>
      </c>
      <c r="E1039" t="s">
        <v>12</v>
      </c>
      <c r="F1039">
        <v>1970.03</v>
      </c>
      <c r="G1039">
        <v>289.56</v>
      </c>
      <c r="H1039" t="s">
        <v>19</v>
      </c>
      <c r="I1039" t="s">
        <v>14</v>
      </c>
    </row>
    <row r="1040" spans="1:9" x14ac:dyDescent="0.35">
      <c r="A1040" t="s">
        <v>1076</v>
      </c>
      <c r="B1040" s="1">
        <v>45410</v>
      </c>
      <c r="C1040" t="s">
        <v>16</v>
      </c>
      <c r="D1040" t="s">
        <v>26</v>
      </c>
      <c r="E1040" t="s">
        <v>27</v>
      </c>
      <c r="F1040">
        <v>1181.28</v>
      </c>
      <c r="G1040">
        <v>145.18</v>
      </c>
      <c r="H1040" t="s">
        <v>28</v>
      </c>
      <c r="I1040" t="s">
        <v>29</v>
      </c>
    </row>
    <row r="1041" spans="1:9" x14ac:dyDescent="0.35">
      <c r="A1041" t="s">
        <v>1077</v>
      </c>
      <c r="B1041" s="1">
        <v>45363</v>
      </c>
      <c r="C1041" t="s">
        <v>25</v>
      </c>
      <c r="D1041" t="s">
        <v>57</v>
      </c>
      <c r="E1041" t="s">
        <v>27</v>
      </c>
      <c r="F1041">
        <v>1828.61</v>
      </c>
      <c r="G1041">
        <v>328.96</v>
      </c>
      <c r="H1041" t="s">
        <v>19</v>
      </c>
      <c r="I1041" t="s">
        <v>14</v>
      </c>
    </row>
    <row r="1042" spans="1:9" x14ac:dyDescent="0.35">
      <c r="A1042" t="s">
        <v>1078</v>
      </c>
      <c r="B1042" s="1">
        <v>45493</v>
      </c>
      <c r="C1042" t="s">
        <v>25</v>
      </c>
      <c r="D1042" t="s">
        <v>57</v>
      </c>
      <c r="E1042" t="s">
        <v>27</v>
      </c>
      <c r="F1042">
        <v>1829.93</v>
      </c>
      <c r="G1042">
        <v>294.95</v>
      </c>
      <c r="H1042" t="s">
        <v>13</v>
      </c>
      <c r="I1042" t="s">
        <v>20</v>
      </c>
    </row>
    <row r="1043" spans="1:9" x14ac:dyDescent="0.35">
      <c r="A1043" t="s">
        <v>1079</v>
      </c>
      <c r="B1043" s="1">
        <v>44635</v>
      </c>
      <c r="C1043" t="s">
        <v>22</v>
      </c>
      <c r="D1043" t="s">
        <v>73</v>
      </c>
      <c r="E1043" t="s">
        <v>27</v>
      </c>
      <c r="F1043">
        <v>1326.72</v>
      </c>
      <c r="G1043">
        <v>314.39999999999998</v>
      </c>
      <c r="H1043" t="s">
        <v>28</v>
      </c>
      <c r="I1043" t="s">
        <v>34</v>
      </c>
    </row>
    <row r="1044" spans="1:9" x14ac:dyDescent="0.35">
      <c r="A1044" t="s">
        <v>1080</v>
      </c>
      <c r="B1044" s="1">
        <v>45542</v>
      </c>
      <c r="C1044" t="s">
        <v>16</v>
      </c>
      <c r="D1044" t="s">
        <v>31</v>
      </c>
      <c r="E1044" t="s">
        <v>12</v>
      </c>
      <c r="F1044">
        <v>430.21</v>
      </c>
      <c r="G1044">
        <v>89.82</v>
      </c>
      <c r="H1044" t="s">
        <v>28</v>
      </c>
      <c r="I1044" t="s">
        <v>20</v>
      </c>
    </row>
    <row r="1045" spans="1:9" x14ac:dyDescent="0.35">
      <c r="A1045" t="s">
        <v>1081</v>
      </c>
      <c r="B1045" s="1">
        <v>44584</v>
      </c>
      <c r="C1045" t="s">
        <v>16</v>
      </c>
      <c r="D1045" t="s">
        <v>50</v>
      </c>
      <c r="E1045" t="s">
        <v>12</v>
      </c>
      <c r="F1045">
        <v>304.83</v>
      </c>
      <c r="G1045">
        <v>82.06</v>
      </c>
      <c r="H1045" t="s">
        <v>19</v>
      </c>
      <c r="I1045" t="s">
        <v>20</v>
      </c>
    </row>
    <row r="1046" spans="1:9" x14ac:dyDescent="0.35">
      <c r="A1046" t="s">
        <v>1082</v>
      </c>
      <c r="B1046" s="1">
        <v>45023</v>
      </c>
      <c r="C1046" t="s">
        <v>16</v>
      </c>
      <c r="D1046" t="s">
        <v>46</v>
      </c>
      <c r="E1046" t="s">
        <v>18</v>
      </c>
      <c r="F1046">
        <v>1105.55</v>
      </c>
      <c r="G1046">
        <v>196.1</v>
      </c>
      <c r="H1046" t="s">
        <v>28</v>
      </c>
      <c r="I1046" t="s">
        <v>34</v>
      </c>
    </row>
    <row r="1047" spans="1:9" x14ac:dyDescent="0.35">
      <c r="A1047" t="s">
        <v>1083</v>
      </c>
      <c r="B1047" s="1">
        <v>45510</v>
      </c>
      <c r="C1047" t="s">
        <v>22</v>
      </c>
      <c r="D1047" t="s">
        <v>11</v>
      </c>
      <c r="E1047" t="s">
        <v>12</v>
      </c>
      <c r="F1047">
        <v>1073</v>
      </c>
      <c r="G1047">
        <v>113.18</v>
      </c>
      <c r="H1047" t="s">
        <v>13</v>
      </c>
      <c r="I1047" t="s">
        <v>34</v>
      </c>
    </row>
    <row r="1048" spans="1:9" x14ac:dyDescent="0.35">
      <c r="A1048" t="s">
        <v>1084</v>
      </c>
      <c r="B1048" s="1">
        <v>45164</v>
      </c>
      <c r="C1048" t="s">
        <v>16</v>
      </c>
      <c r="D1048" t="s">
        <v>97</v>
      </c>
      <c r="E1048" t="s">
        <v>27</v>
      </c>
      <c r="F1048">
        <v>1051.21</v>
      </c>
      <c r="G1048">
        <v>212.56</v>
      </c>
      <c r="H1048" t="s">
        <v>13</v>
      </c>
      <c r="I1048" t="s">
        <v>29</v>
      </c>
    </row>
    <row r="1049" spans="1:9" x14ac:dyDescent="0.35">
      <c r="A1049" t="s">
        <v>1085</v>
      </c>
      <c r="B1049" s="1">
        <v>44572</v>
      </c>
      <c r="C1049" t="s">
        <v>25</v>
      </c>
      <c r="D1049" t="s">
        <v>97</v>
      </c>
      <c r="E1049" t="s">
        <v>27</v>
      </c>
      <c r="F1049">
        <v>227.06</v>
      </c>
      <c r="G1049">
        <v>36.049999999999997</v>
      </c>
      <c r="H1049" t="s">
        <v>28</v>
      </c>
      <c r="I1049" t="s">
        <v>20</v>
      </c>
    </row>
    <row r="1050" spans="1:9" x14ac:dyDescent="0.35">
      <c r="A1050" t="s">
        <v>1086</v>
      </c>
      <c r="B1050" s="1">
        <v>45579</v>
      </c>
      <c r="C1050" t="s">
        <v>22</v>
      </c>
      <c r="D1050" t="s">
        <v>46</v>
      </c>
      <c r="E1050" t="s">
        <v>18</v>
      </c>
      <c r="F1050">
        <v>693.05</v>
      </c>
      <c r="G1050">
        <v>76.430000000000007</v>
      </c>
      <c r="H1050" t="s">
        <v>28</v>
      </c>
      <c r="I1050" t="s">
        <v>34</v>
      </c>
    </row>
    <row r="1051" spans="1:9" x14ac:dyDescent="0.35">
      <c r="A1051" t="s">
        <v>1087</v>
      </c>
      <c r="B1051" s="1">
        <v>45191</v>
      </c>
      <c r="C1051" t="s">
        <v>10</v>
      </c>
      <c r="D1051" t="s">
        <v>46</v>
      </c>
      <c r="E1051" t="s">
        <v>18</v>
      </c>
      <c r="F1051">
        <v>1980.23</v>
      </c>
      <c r="G1051">
        <v>111.97</v>
      </c>
      <c r="H1051" t="s">
        <v>28</v>
      </c>
      <c r="I1051" t="s">
        <v>29</v>
      </c>
    </row>
    <row r="1052" spans="1:9" x14ac:dyDescent="0.35">
      <c r="A1052" t="s">
        <v>1088</v>
      </c>
      <c r="B1052" s="1">
        <v>44778</v>
      </c>
      <c r="C1052" t="s">
        <v>10</v>
      </c>
      <c r="D1052" t="s">
        <v>26</v>
      </c>
      <c r="E1052" t="s">
        <v>27</v>
      </c>
      <c r="F1052">
        <v>971.18</v>
      </c>
      <c r="G1052">
        <v>90.35</v>
      </c>
      <c r="H1052" t="s">
        <v>13</v>
      </c>
      <c r="I1052" t="s">
        <v>29</v>
      </c>
    </row>
    <row r="1053" spans="1:9" x14ac:dyDescent="0.35">
      <c r="A1053" t="s">
        <v>1089</v>
      </c>
      <c r="B1053" s="1">
        <v>45585</v>
      </c>
      <c r="C1053" t="s">
        <v>10</v>
      </c>
      <c r="D1053" t="s">
        <v>31</v>
      </c>
      <c r="E1053" t="s">
        <v>12</v>
      </c>
      <c r="F1053">
        <v>1809.36</v>
      </c>
      <c r="G1053">
        <v>307.27</v>
      </c>
      <c r="H1053" t="s">
        <v>28</v>
      </c>
      <c r="I1053" t="s">
        <v>20</v>
      </c>
    </row>
    <row r="1054" spans="1:9" x14ac:dyDescent="0.35">
      <c r="A1054" t="s">
        <v>1090</v>
      </c>
      <c r="B1054" s="1">
        <v>44696</v>
      </c>
      <c r="C1054" t="s">
        <v>10</v>
      </c>
      <c r="D1054" t="s">
        <v>31</v>
      </c>
      <c r="E1054" t="s">
        <v>12</v>
      </c>
      <c r="F1054">
        <v>1850.72</v>
      </c>
      <c r="G1054">
        <v>278.27999999999997</v>
      </c>
      <c r="H1054" t="s">
        <v>28</v>
      </c>
      <c r="I1054" t="s">
        <v>20</v>
      </c>
    </row>
    <row r="1055" spans="1:9" x14ac:dyDescent="0.35">
      <c r="A1055" t="s">
        <v>1091</v>
      </c>
      <c r="B1055" s="1">
        <v>45643</v>
      </c>
      <c r="C1055" t="s">
        <v>16</v>
      </c>
      <c r="D1055" t="s">
        <v>57</v>
      </c>
      <c r="E1055" t="s">
        <v>27</v>
      </c>
      <c r="F1055">
        <v>1776.2</v>
      </c>
      <c r="G1055">
        <v>172.72</v>
      </c>
      <c r="H1055" t="s">
        <v>13</v>
      </c>
      <c r="I1055" t="s">
        <v>34</v>
      </c>
    </row>
    <row r="1056" spans="1:9" x14ac:dyDescent="0.35">
      <c r="A1056" t="s">
        <v>1092</v>
      </c>
      <c r="B1056" s="1">
        <v>45329</v>
      </c>
      <c r="C1056" t="s">
        <v>10</v>
      </c>
      <c r="D1056" t="s">
        <v>95</v>
      </c>
      <c r="E1056" t="s">
        <v>18</v>
      </c>
      <c r="F1056">
        <v>1788.86</v>
      </c>
      <c r="G1056">
        <v>207.65</v>
      </c>
      <c r="H1056" t="s">
        <v>19</v>
      </c>
      <c r="I1056" t="s">
        <v>29</v>
      </c>
    </row>
    <row r="1057" spans="1:9" x14ac:dyDescent="0.35">
      <c r="A1057" t="s">
        <v>1093</v>
      </c>
      <c r="B1057" s="1">
        <v>44750</v>
      </c>
      <c r="C1057" t="s">
        <v>16</v>
      </c>
      <c r="D1057" t="s">
        <v>41</v>
      </c>
      <c r="E1057" t="s">
        <v>12</v>
      </c>
      <c r="F1057">
        <v>1430.76</v>
      </c>
      <c r="G1057">
        <v>264.31</v>
      </c>
      <c r="H1057" t="s">
        <v>13</v>
      </c>
      <c r="I1057" t="s">
        <v>14</v>
      </c>
    </row>
    <row r="1058" spans="1:9" x14ac:dyDescent="0.35">
      <c r="A1058" t="s">
        <v>1094</v>
      </c>
      <c r="B1058" s="1">
        <v>45093</v>
      </c>
      <c r="C1058" t="s">
        <v>16</v>
      </c>
      <c r="D1058" t="s">
        <v>38</v>
      </c>
      <c r="E1058" t="s">
        <v>12</v>
      </c>
      <c r="F1058">
        <v>141.97999999999999</v>
      </c>
      <c r="G1058">
        <v>22.66</v>
      </c>
      <c r="H1058" t="s">
        <v>28</v>
      </c>
      <c r="I1058" t="s">
        <v>29</v>
      </c>
    </row>
    <row r="1059" spans="1:9" x14ac:dyDescent="0.35">
      <c r="A1059" t="s">
        <v>1095</v>
      </c>
      <c r="B1059" s="1">
        <v>45364</v>
      </c>
      <c r="C1059" t="s">
        <v>25</v>
      </c>
      <c r="D1059" t="s">
        <v>17</v>
      </c>
      <c r="E1059" t="s">
        <v>18</v>
      </c>
      <c r="F1059">
        <v>890.91</v>
      </c>
      <c r="G1059">
        <v>172.83</v>
      </c>
      <c r="H1059" t="s">
        <v>19</v>
      </c>
      <c r="I1059" t="s">
        <v>14</v>
      </c>
    </row>
    <row r="1060" spans="1:9" x14ac:dyDescent="0.35">
      <c r="A1060" t="s">
        <v>1096</v>
      </c>
      <c r="B1060" s="1">
        <v>45298</v>
      </c>
      <c r="C1060" t="s">
        <v>22</v>
      </c>
      <c r="D1060" t="s">
        <v>62</v>
      </c>
      <c r="E1060" t="s">
        <v>27</v>
      </c>
      <c r="F1060">
        <v>1001.34</v>
      </c>
      <c r="G1060">
        <v>163.81</v>
      </c>
      <c r="H1060" t="s">
        <v>28</v>
      </c>
      <c r="I1060" t="s">
        <v>29</v>
      </c>
    </row>
    <row r="1061" spans="1:9" x14ac:dyDescent="0.35">
      <c r="A1061" t="s">
        <v>1097</v>
      </c>
      <c r="B1061" s="1">
        <v>44708</v>
      </c>
      <c r="C1061" t="s">
        <v>16</v>
      </c>
      <c r="D1061" t="s">
        <v>97</v>
      </c>
      <c r="E1061" t="s">
        <v>27</v>
      </c>
      <c r="F1061">
        <v>1394.48</v>
      </c>
      <c r="G1061">
        <v>410.16</v>
      </c>
      <c r="H1061" t="s">
        <v>19</v>
      </c>
      <c r="I1061" t="s">
        <v>20</v>
      </c>
    </row>
    <row r="1062" spans="1:9" x14ac:dyDescent="0.35">
      <c r="A1062" t="s">
        <v>1098</v>
      </c>
      <c r="B1062" s="1">
        <v>44868</v>
      </c>
      <c r="C1062" t="s">
        <v>16</v>
      </c>
      <c r="D1062" t="s">
        <v>38</v>
      </c>
      <c r="E1062" t="s">
        <v>12</v>
      </c>
      <c r="F1062">
        <v>1967.04</v>
      </c>
      <c r="G1062">
        <v>114.13</v>
      </c>
      <c r="H1062" t="s">
        <v>28</v>
      </c>
      <c r="I1062" t="s">
        <v>34</v>
      </c>
    </row>
    <row r="1063" spans="1:9" x14ac:dyDescent="0.35">
      <c r="A1063" t="s">
        <v>1099</v>
      </c>
      <c r="B1063" s="1">
        <v>44667</v>
      </c>
      <c r="C1063" t="s">
        <v>25</v>
      </c>
      <c r="D1063" t="s">
        <v>73</v>
      </c>
      <c r="E1063" t="s">
        <v>27</v>
      </c>
      <c r="F1063">
        <v>392.34</v>
      </c>
      <c r="G1063">
        <v>97.49</v>
      </c>
      <c r="H1063" t="s">
        <v>19</v>
      </c>
      <c r="I1063" t="s">
        <v>34</v>
      </c>
    </row>
    <row r="1064" spans="1:9" x14ac:dyDescent="0.35">
      <c r="A1064" t="s">
        <v>1100</v>
      </c>
      <c r="B1064" s="1">
        <v>45377</v>
      </c>
      <c r="C1064" t="s">
        <v>16</v>
      </c>
      <c r="D1064" t="s">
        <v>57</v>
      </c>
      <c r="E1064" t="s">
        <v>27</v>
      </c>
      <c r="F1064">
        <v>336.57</v>
      </c>
      <c r="G1064">
        <v>52.7</v>
      </c>
      <c r="H1064" t="s">
        <v>19</v>
      </c>
      <c r="I1064" t="s">
        <v>20</v>
      </c>
    </row>
    <row r="1065" spans="1:9" x14ac:dyDescent="0.35">
      <c r="A1065" t="s">
        <v>1101</v>
      </c>
      <c r="B1065" s="1">
        <v>45046</v>
      </c>
      <c r="C1065" t="s">
        <v>16</v>
      </c>
      <c r="D1065" t="s">
        <v>33</v>
      </c>
      <c r="E1065" t="s">
        <v>18</v>
      </c>
      <c r="F1065">
        <v>758.89</v>
      </c>
      <c r="G1065">
        <v>225.53</v>
      </c>
      <c r="H1065" t="s">
        <v>19</v>
      </c>
      <c r="I1065" t="s">
        <v>29</v>
      </c>
    </row>
    <row r="1066" spans="1:9" x14ac:dyDescent="0.35">
      <c r="A1066" t="s">
        <v>1102</v>
      </c>
      <c r="B1066" s="1">
        <v>45105</v>
      </c>
      <c r="C1066" t="s">
        <v>16</v>
      </c>
      <c r="D1066" t="s">
        <v>31</v>
      </c>
      <c r="E1066" t="s">
        <v>12</v>
      </c>
      <c r="F1066">
        <v>1803.77</v>
      </c>
      <c r="G1066">
        <v>279.99</v>
      </c>
      <c r="H1066" t="s">
        <v>19</v>
      </c>
      <c r="I1066" t="s">
        <v>14</v>
      </c>
    </row>
    <row r="1067" spans="1:9" x14ac:dyDescent="0.35">
      <c r="A1067" t="s">
        <v>1103</v>
      </c>
      <c r="B1067" s="1">
        <v>44946</v>
      </c>
      <c r="C1067" t="s">
        <v>25</v>
      </c>
      <c r="D1067" t="s">
        <v>33</v>
      </c>
      <c r="E1067" t="s">
        <v>18</v>
      </c>
      <c r="F1067">
        <v>953.98</v>
      </c>
      <c r="G1067">
        <v>121.79</v>
      </c>
      <c r="H1067" t="s">
        <v>19</v>
      </c>
      <c r="I1067" t="s">
        <v>29</v>
      </c>
    </row>
    <row r="1068" spans="1:9" x14ac:dyDescent="0.35">
      <c r="A1068" t="s">
        <v>1104</v>
      </c>
      <c r="B1068" s="1">
        <v>44629</v>
      </c>
      <c r="C1068" t="s">
        <v>10</v>
      </c>
      <c r="D1068" t="s">
        <v>38</v>
      </c>
      <c r="E1068" t="s">
        <v>12</v>
      </c>
      <c r="F1068">
        <v>1440.75</v>
      </c>
      <c r="G1068">
        <v>243.18</v>
      </c>
      <c r="H1068" t="s">
        <v>19</v>
      </c>
      <c r="I1068" t="s">
        <v>20</v>
      </c>
    </row>
    <row r="1069" spans="1:9" x14ac:dyDescent="0.35">
      <c r="A1069" t="s">
        <v>1105</v>
      </c>
      <c r="B1069" s="1">
        <v>44821</v>
      </c>
      <c r="C1069" t="s">
        <v>25</v>
      </c>
      <c r="D1069" t="s">
        <v>26</v>
      </c>
      <c r="E1069" t="s">
        <v>27</v>
      </c>
      <c r="F1069">
        <v>1884.28</v>
      </c>
      <c r="G1069">
        <v>279.54000000000002</v>
      </c>
      <c r="H1069" t="s">
        <v>13</v>
      </c>
      <c r="I1069" t="s">
        <v>34</v>
      </c>
    </row>
    <row r="1070" spans="1:9" x14ac:dyDescent="0.35">
      <c r="A1070" t="s">
        <v>1106</v>
      </c>
      <c r="B1070" s="1">
        <v>45244</v>
      </c>
      <c r="C1070" t="s">
        <v>25</v>
      </c>
      <c r="D1070" t="s">
        <v>31</v>
      </c>
      <c r="E1070" t="s">
        <v>12</v>
      </c>
      <c r="F1070">
        <v>691.31</v>
      </c>
      <c r="G1070">
        <v>195.7</v>
      </c>
      <c r="H1070" t="s">
        <v>28</v>
      </c>
      <c r="I1070" t="s">
        <v>34</v>
      </c>
    </row>
    <row r="1071" spans="1:9" x14ac:dyDescent="0.35">
      <c r="A1071" t="s">
        <v>1107</v>
      </c>
      <c r="B1071" s="1">
        <v>44740</v>
      </c>
      <c r="C1071" t="s">
        <v>10</v>
      </c>
      <c r="D1071" t="s">
        <v>50</v>
      </c>
      <c r="E1071" t="s">
        <v>12</v>
      </c>
      <c r="F1071">
        <v>836.31</v>
      </c>
      <c r="G1071">
        <v>163.74</v>
      </c>
      <c r="H1071" t="s">
        <v>28</v>
      </c>
      <c r="I1071" t="s">
        <v>14</v>
      </c>
    </row>
    <row r="1072" spans="1:9" x14ac:dyDescent="0.35">
      <c r="A1072" t="s">
        <v>1108</v>
      </c>
      <c r="B1072" s="1">
        <v>44625</v>
      </c>
      <c r="C1072" t="s">
        <v>10</v>
      </c>
      <c r="D1072" t="s">
        <v>38</v>
      </c>
      <c r="E1072" t="s">
        <v>12</v>
      </c>
      <c r="F1072">
        <v>1000.93</v>
      </c>
      <c r="G1072">
        <v>95.56</v>
      </c>
      <c r="H1072" t="s">
        <v>28</v>
      </c>
      <c r="I1072" t="s">
        <v>34</v>
      </c>
    </row>
    <row r="1073" spans="1:9" x14ac:dyDescent="0.35">
      <c r="A1073" t="s">
        <v>1109</v>
      </c>
      <c r="B1073" s="1">
        <v>44740</v>
      </c>
      <c r="C1073" t="s">
        <v>16</v>
      </c>
      <c r="D1073" t="s">
        <v>33</v>
      </c>
      <c r="E1073" t="s">
        <v>18</v>
      </c>
      <c r="F1073">
        <v>823.94</v>
      </c>
      <c r="G1073">
        <v>43.51</v>
      </c>
      <c r="H1073" t="s">
        <v>13</v>
      </c>
      <c r="I1073" t="s">
        <v>29</v>
      </c>
    </row>
    <row r="1074" spans="1:9" x14ac:dyDescent="0.35">
      <c r="A1074" t="s">
        <v>1110</v>
      </c>
      <c r="B1074" s="1">
        <v>45265</v>
      </c>
      <c r="C1074" t="s">
        <v>10</v>
      </c>
      <c r="D1074" t="s">
        <v>97</v>
      </c>
      <c r="E1074" t="s">
        <v>27</v>
      </c>
      <c r="F1074">
        <v>1976.99</v>
      </c>
      <c r="G1074">
        <v>404.73</v>
      </c>
      <c r="H1074" t="s">
        <v>28</v>
      </c>
      <c r="I1074" t="s">
        <v>29</v>
      </c>
    </row>
    <row r="1075" spans="1:9" x14ac:dyDescent="0.35">
      <c r="A1075" t="s">
        <v>1111</v>
      </c>
      <c r="B1075" s="1">
        <v>45511</v>
      </c>
      <c r="C1075" t="s">
        <v>10</v>
      </c>
      <c r="D1075" t="s">
        <v>41</v>
      </c>
      <c r="E1075" t="s">
        <v>12</v>
      </c>
      <c r="F1075">
        <v>1759.74</v>
      </c>
      <c r="G1075">
        <v>309.75</v>
      </c>
      <c r="H1075" t="s">
        <v>19</v>
      </c>
      <c r="I1075" t="s">
        <v>34</v>
      </c>
    </row>
    <row r="1076" spans="1:9" x14ac:dyDescent="0.35">
      <c r="A1076" t="s">
        <v>1112</v>
      </c>
      <c r="B1076" s="1">
        <v>44622</v>
      </c>
      <c r="C1076" t="s">
        <v>25</v>
      </c>
      <c r="D1076" t="s">
        <v>50</v>
      </c>
      <c r="E1076" t="s">
        <v>12</v>
      </c>
      <c r="F1076">
        <v>1438.04</v>
      </c>
      <c r="G1076">
        <v>189.49</v>
      </c>
      <c r="H1076" t="s">
        <v>28</v>
      </c>
      <c r="I1076" t="s">
        <v>20</v>
      </c>
    </row>
    <row r="1077" spans="1:9" x14ac:dyDescent="0.35">
      <c r="A1077" t="s">
        <v>1113</v>
      </c>
      <c r="B1077" s="1">
        <v>44617</v>
      </c>
      <c r="C1077" t="s">
        <v>25</v>
      </c>
      <c r="D1077" t="s">
        <v>97</v>
      </c>
      <c r="E1077" t="s">
        <v>27</v>
      </c>
      <c r="F1077">
        <v>136.24</v>
      </c>
      <c r="G1077">
        <v>14.88</v>
      </c>
      <c r="H1077" t="s">
        <v>28</v>
      </c>
      <c r="I1077" t="s">
        <v>34</v>
      </c>
    </row>
    <row r="1078" spans="1:9" x14ac:dyDescent="0.35">
      <c r="A1078" t="s">
        <v>1114</v>
      </c>
      <c r="B1078" s="1">
        <v>45310</v>
      </c>
      <c r="C1078" t="s">
        <v>22</v>
      </c>
      <c r="D1078" t="s">
        <v>26</v>
      </c>
      <c r="E1078" t="s">
        <v>27</v>
      </c>
      <c r="F1078">
        <v>397.3</v>
      </c>
      <c r="G1078">
        <v>48.94</v>
      </c>
      <c r="H1078" t="s">
        <v>13</v>
      </c>
      <c r="I1078" t="s">
        <v>20</v>
      </c>
    </row>
    <row r="1079" spans="1:9" x14ac:dyDescent="0.35">
      <c r="A1079" t="s">
        <v>1115</v>
      </c>
      <c r="B1079" s="1">
        <v>44782</v>
      </c>
      <c r="C1079" t="s">
        <v>10</v>
      </c>
      <c r="D1079" t="s">
        <v>26</v>
      </c>
      <c r="E1079" t="s">
        <v>27</v>
      </c>
      <c r="F1079">
        <v>779.58</v>
      </c>
      <c r="G1079">
        <v>192.88</v>
      </c>
      <c r="H1079" t="s">
        <v>28</v>
      </c>
      <c r="I1079" t="s">
        <v>29</v>
      </c>
    </row>
    <row r="1080" spans="1:9" x14ac:dyDescent="0.35">
      <c r="A1080" t="s">
        <v>1116</v>
      </c>
      <c r="B1080" s="1">
        <v>44798</v>
      </c>
      <c r="C1080" t="s">
        <v>25</v>
      </c>
      <c r="D1080" t="s">
        <v>62</v>
      </c>
      <c r="E1080" t="s">
        <v>27</v>
      </c>
      <c r="F1080">
        <v>1200.17</v>
      </c>
      <c r="G1080">
        <v>302.58999999999997</v>
      </c>
      <c r="H1080" t="s">
        <v>13</v>
      </c>
      <c r="I1080" t="s">
        <v>14</v>
      </c>
    </row>
    <row r="1081" spans="1:9" x14ac:dyDescent="0.35">
      <c r="A1081" t="s">
        <v>1117</v>
      </c>
      <c r="B1081" s="1">
        <v>44842</v>
      </c>
      <c r="C1081" t="s">
        <v>10</v>
      </c>
      <c r="D1081" t="s">
        <v>62</v>
      </c>
      <c r="E1081" t="s">
        <v>27</v>
      </c>
      <c r="F1081">
        <v>1309.67</v>
      </c>
      <c r="G1081">
        <v>100.37</v>
      </c>
      <c r="H1081" t="s">
        <v>28</v>
      </c>
      <c r="I1081" t="s">
        <v>34</v>
      </c>
    </row>
    <row r="1082" spans="1:9" x14ac:dyDescent="0.35">
      <c r="A1082" t="s">
        <v>1118</v>
      </c>
      <c r="B1082" s="1">
        <v>44953</v>
      </c>
      <c r="C1082" t="s">
        <v>16</v>
      </c>
      <c r="D1082" t="s">
        <v>31</v>
      </c>
      <c r="E1082" t="s">
        <v>12</v>
      </c>
      <c r="F1082">
        <v>1997.28</v>
      </c>
      <c r="G1082">
        <v>454.16</v>
      </c>
      <c r="H1082" t="s">
        <v>13</v>
      </c>
      <c r="I1082" t="s">
        <v>14</v>
      </c>
    </row>
    <row r="1083" spans="1:9" x14ac:dyDescent="0.35">
      <c r="A1083" t="s">
        <v>1119</v>
      </c>
      <c r="B1083" s="1">
        <v>45449</v>
      </c>
      <c r="C1083" t="s">
        <v>22</v>
      </c>
      <c r="D1083" t="s">
        <v>73</v>
      </c>
      <c r="E1083" t="s">
        <v>27</v>
      </c>
      <c r="F1083">
        <v>154.79</v>
      </c>
      <c r="G1083">
        <v>31.46</v>
      </c>
      <c r="H1083" t="s">
        <v>28</v>
      </c>
      <c r="I1083" t="s">
        <v>20</v>
      </c>
    </row>
    <row r="1084" spans="1:9" x14ac:dyDescent="0.35">
      <c r="A1084" t="s">
        <v>1120</v>
      </c>
      <c r="B1084" s="1">
        <v>44783</v>
      </c>
      <c r="C1084" t="s">
        <v>10</v>
      </c>
      <c r="D1084" t="s">
        <v>97</v>
      </c>
      <c r="E1084" t="s">
        <v>27</v>
      </c>
      <c r="F1084">
        <v>1836.46</v>
      </c>
      <c r="G1084">
        <v>507.07</v>
      </c>
      <c r="H1084" t="s">
        <v>13</v>
      </c>
      <c r="I1084" t="s">
        <v>34</v>
      </c>
    </row>
    <row r="1085" spans="1:9" x14ac:dyDescent="0.35">
      <c r="A1085" t="s">
        <v>1121</v>
      </c>
      <c r="B1085" s="1">
        <v>44874</v>
      </c>
      <c r="C1085" t="s">
        <v>25</v>
      </c>
      <c r="D1085" t="s">
        <v>23</v>
      </c>
      <c r="E1085" t="s">
        <v>18</v>
      </c>
      <c r="F1085">
        <v>540.84</v>
      </c>
      <c r="G1085">
        <v>149.63999999999999</v>
      </c>
      <c r="H1085" t="s">
        <v>13</v>
      </c>
      <c r="I1085" t="s">
        <v>34</v>
      </c>
    </row>
    <row r="1086" spans="1:9" x14ac:dyDescent="0.35">
      <c r="A1086" t="s">
        <v>1122</v>
      </c>
      <c r="B1086" s="1">
        <v>45463</v>
      </c>
      <c r="C1086" t="s">
        <v>25</v>
      </c>
      <c r="D1086" t="s">
        <v>38</v>
      </c>
      <c r="E1086" t="s">
        <v>12</v>
      </c>
      <c r="F1086">
        <v>1431.94</v>
      </c>
      <c r="G1086">
        <v>168.46</v>
      </c>
      <c r="H1086" t="s">
        <v>28</v>
      </c>
      <c r="I1086" t="s">
        <v>14</v>
      </c>
    </row>
    <row r="1087" spans="1:9" x14ac:dyDescent="0.35">
      <c r="A1087" t="s">
        <v>1123</v>
      </c>
      <c r="B1087" s="1">
        <v>45503</v>
      </c>
      <c r="C1087" t="s">
        <v>22</v>
      </c>
      <c r="D1087" t="s">
        <v>31</v>
      </c>
      <c r="E1087" t="s">
        <v>12</v>
      </c>
      <c r="F1087">
        <v>1446.05</v>
      </c>
      <c r="G1087">
        <v>208.71</v>
      </c>
      <c r="H1087" t="s">
        <v>19</v>
      </c>
      <c r="I1087" t="s">
        <v>29</v>
      </c>
    </row>
    <row r="1088" spans="1:9" x14ac:dyDescent="0.35">
      <c r="A1088" t="s">
        <v>1124</v>
      </c>
      <c r="B1088" s="1">
        <v>45078</v>
      </c>
      <c r="C1088" t="s">
        <v>22</v>
      </c>
      <c r="D1088" t="s">
        <v>97</v>
      </c>
      <c r="E1088" t="s">
        <v>27</v>
      </c>
      <c r="F1088">
        <v>1520.79</v>
      </c>
      <c r="G1088">
        <v>358.51</v>
      </c>
      <c r="H1088" t="s">
        <v>28</v>
      </c>
      <c r="I1088" t="s">
        <v>20</v>
      </c>
    </row>
    <row r="1089" spans="1:9" x14ac:dyDescent="0.35">
      <c r="A1089" t="s">
        <v>1125</v>
      </c>
      <c r="B1089" s="1">
        <v>45123</v>
      </c>
      <c r="C1089" t="s">
        <v>22</v>
      </c>
      <c r="D1089" t="s">
        <v>73</v>
      </c>
      <c r="E1089" t="s">
        <v>27</v>
      </c>
      <c r="F1089">
        <v>1268.68</v>
      </c>
      <c r="G1089">
        <v>158.99</v>
      </c>
      <c r="H1089" t="s">
        <v>28</v>
      </c>
      <c r="I1089" t="s">
        <v>20</v>
      </c>
    </row>
    <row r="1090" spans="1:9" x14ac:dyDescent="0.35">
      <c r="A1090" t="s">
        <v>1126</v>
      </c>
      <c r="B1090" s="1">
        <v>45319</v>
      </c>
      <c r="C1090" t="s">
        <v>10</v>
      </c>
      <c r="D1090" t="s">
        <v>11</v>
      </c>
      <c r="E1090" t="s">
        <v>12</v>
      </c>
      <c r="F1090">
        <v>899.85</v>
      </c>
      <c r="G1090">
        <v>183.2</v>
      </c>
      <c r="H1090" t="s">
        <v>13</v>
      </c>
      <c r="I1090" t="s">
        <v>14</v>
      </c>
    </row>
    <row r="1091" spans="1:9" x14ac:dyDescent="0.35">
      <c r="A1091" t="s">
        <v>1127</v>
      </c>
      <c r="B1091" s="1">
        <v>45310</v>
      </c>
      <c r="C1091" t="s">
        <v>16</v>
      </c>
      <c r="D1091" t="s">
        <v>17</v>
      </c>
      <c r="E1091" t="s">
        <v>18</v>
      </c>
      <c r="F1091">
        <v>549.46</v>
      </c>
      <c r="G1091">
        <v>94.22</v>
      </c>
      <c r="H1091" t="s">
        <v>28</v>
      </c>
      <c r="I1091" t="s">
        <v>34</v>
      </c>
    </row>
    <row r="1092" spans="1:9" x14ac:dyDescent="0.35">
      <c r="A1092" t="s">
        <v>1128</v>
      </c>
      <c r="B1092" s="1">
        <v>45004</v>
      </c>
      <c r="C1092" t="s">
        <v>10</v>
      </c>
      <c r="D1092" t="s">
        <v>97</v>
      </c>
      <c r="E1092" t="s">
        <v>27</v>
      </c>
      <c r="F1092">
        <v>1775.52</v>
      </c>
      <c r="G1092">
        <v>310.26</v>
      </c>
      <c r="H1092" t="s">
        <v>13</v>
      </c>
      <c r="I1092" t="s">
        <v>14</v>
      </c>
    </row>
    <row r="1093" spans="1:9" x14ac:dyDescent="0.35">
      <c r="A1093" t="s">
        <v>1129</v>
      </c>
      <c r="B1093" s="1">
        <v>45136</v>
      </c>
      <c r="C1093" t="s">
        <v>16</v>
      </c>
      <c r="D1093" t="s">
        <v>97</v>
      </c>
      <c r="E1093" t="s">
        <v>27</v>
      </c>
      <c r="F1093">
        <v>1529.59</v>
      </c>
      <c r="G1093">
        <v>437.34</v>
      </c>
      <c r="H1093" t="s">
        <v>28</v>
      </c>
      <c r="I1093" t="s">
        <v>14</v>
      </c>
    </row>
    <row r="1094" spans="1:9" x14ac:dyDescent="0.35">
      <c r="A1094" t="s">
        <v>1130</v>
      </c>
      <c r="B1094" s="1">
        <v>44943</v>
      </c>
      <c r="C1094" t="s">
        <v>25</v>
      </c>
      <c r="D1094" t="s">
        <v>97</v>
      </c>
      <c r="E1094" t="s">
        <v>27</v>
      </c>
      <c r="F1094">
        <v>1029.5999999999999</v>
      </c>
      <c r="G1094">
        <v>174.23</v>
      </c>
      <c r="H1094" t="s">
        <v>28</v>
      </c>
      <c r="I1094" t="s">
        <v>14</v>
      </c>
    </row>
    <row r="1095" spans="1:9" x14ac:dyDescent="0.35">
      <c r="A1095" t="s">
        <v>1131</v>
      </c>
      <c r="B1095" s="1">
        <v>45442</v>
      </c>
      <c r="C1095" t="s">
        <v>25</v>
      </c>
      <c r="D1095" t="s">
        <v>50</v>
      </c>
      <c r="E1095" t="s">
        <v>12</v>
      </c>
      <c r="F1095">
        <v>581.07000000000005</v>
      </c>
      <c r="G1095">
        <v>136.1</v>
      </c>
      <c r="H1095" t="s">
        <v>28</v>
      </c>
      <c r="I1095" t="s">
        <v>14</v>
      </c>
    </row>
    <row r="1096" spans="1:9" x14ac:dyDescent="0.35">
      <c r="A1096" t="s">
        <v>1132</v>
      </c>
      <c r="B1096" s="1">
        <v>44680</v>
      </c>
      <c r="C1096" t="s">
        <v>10</v>
      </c>
      <c r="D1096" t="s">
        <v>97</v>
      </c>
      <c r="E1096" t="s">
        <v>27</v>
      </c>
      <c r="F1096">
        <v>224.15</v>
      </c>
      <c r="G1096">
        <v>39.78</v>
      </c>
      <c r="H1096" t="s">
        <v>13</v>
      </c>
      <c r="I1096" t="s">
        <v>14</v>
      </c>
    </row>
    <row r="1097" spans="1:9" x14ac:dyDescent="0.35">
      <c r="A1097" t="s">
        <v>1133</v>
      </c>
      <c r="B1097" s="1">
        <v>45172</v>
      </c>
      <c r="C1097" t="s">
        <v>10</v>
      </c>
      <c r="D1097" t="s">
        <v>41</v>
      </c>
      <c r="E1097" t="s">
        <v>12</v>
      </c>
      <c r="F1097">
        <v>661.17</v>
      </c>
      <c r="G1097">
        <v>48.71</v>
      </c>
      <c r="H1097" t="s">
        <v>19</v>
      </c>
      <c r="I1097" t="s">
        <v>29</v>
      </c>
    </row>
    <row r="1098" spans="1:9" x14ac:dyDescent="0.35">
      <c r="A1098" t="s">
        <v>1134</v>
      </c>
      <c r="B1098" s="1">
        <v>44597</v>
      </c>
      <c r="C1098" t="s">
        <v>16</v>
      </c>
      <c r="D1098" t="s">
        <v>97</v>
      </c>
      <c r="E1098" t="s">
        <v>27</v>
      </c>
      <c r="F1098">
        <v>1554.95</v>
      </c>
      <c r="G1098">
        <v>234.47</v>
      </c>
      <c r="H1098" t="s">
        <v>28</v>
      </c>
      <c r="I1098" t="s">
        <v>14</v>
      </c>
    </row>
    <row r="1099" spans="1:9" x14ac:dyDescent="0.35">
      <c r="A1099" t="s">
        <v>1135</v>
      </c>
      <c r="B1099" s="1">
        <v>44750</v>
      </c>
      <c r="C1099" t="s">
        <v>16</v>
      </c>
      <c r="D1099" t="s">
        <v>95</v>
      </c>
      <c r="E1099" t="s">
        <v>18</v>
      </c>
      <c r="F1099">
        <v>1652.68</v>
      </c>
      <c r="G1099">
        <v>433.84</v>
      </c>
      <c r="H1099" t="s">
        <v>28</v>
      </c>
      <c r="I1099" t="s">
        <v>14</v>
      </c>
    </row>
    <row r="1100" spans="1:9" x14ac:dyDescent="0.35">
      <c r="A1100" t="s">
        <v>1136</v>
      </c>
      <c r="B1100" s="1">
        <v>44782</v>
      </c>
      <c r="C1100" t="s">
        <v>10</v>
      </c>
      <c r="D1100" t="s">
        <v>41</v>
      </c>
      <c r="E1100" t="s">
        <v>12</v>
      </c>
      <c r="F1100">
        <v>171.34</v>
      </c>
      <c r="G1100">
        <v>30.61</v>
      </c>
      <c r="H1100" t="s">
        <v>28</v>
      </c>
      <c r="I1100" t="s">
        <v>34</v>
      </c>
    </row>
    <row r="1101" spans="1:9" x14ac:dyDescent="0.35">
      <c r="A1101" t="s">
        <v>1137</v>
      </c>
      <c r="B1101" s="1">
        <v>45145</v>
      </c>
      <c r="C1101" t="s">
        <v>25</v>
      </c>
      <c r="D1101" t="s">
        <v>31</v>
      </c>
      <c r="E1101" t="s">
        <v>12</v>
      </c>
      <c r="F1101">
        <v>1160.3800000000001</v>
      </c>
      <c r="G1101">
        <v>269.72000000000003</v>
      </c>
      <c r="H1101" t="s">
        <v>13</v>
      </c>
      <c r="I1101" t="s">
        <v>29</v>
      </c>
    </row>
    <row r="1102" spans="1:9" x14ac:dyDescent="0.35">
      <c r="A1102" t="s">
        <v>1138</v>
      </c>
      <c r="B1102" s="1">
        <v>44690</v>
      </c>
      <c r="C1102" t="s">
        <v>25</v>
      </c>
      <c r="D1102" t="s">
        <v>31</v>
      </c>
      <c r="E1102" t="s">
        <v>12</v>
      </c>
      <c r="F1102">
        <v>1183.2</v>
      </c>
      <c r="G1102">
        <v>228.22</v>
      </c>
      <c r="H1102" t="s">
        <v>28</v>
      </c>
      <c r="I1102" t="s">
        <v>29</v>
      </c>
    </row>
    <row r="1103" spans="1:9" x14ac:dyDescent="0.35">
      <c r="A1103" t="s">
        <v>1139</v>
      </c>
      <c r="B1103" s="1">
        <v>44855</v>
      </c>
      <c r="C1103" t="s">
        <v>22</v>
      </c>
      <c r="D1103" t="s">
        <v>41</v>
      </c>
      <c r="E1103" t="s">
        <v>12</v>
      </c>
      <c r="F1103">
        <v>1940.69</v>
      </c>
      <c r="G1103">
        <v>489.81</v>
      </c>
      <c r="H1103" t="s">
        <v>28</v>
      </c>
      <c r="I1103" t="s">
        <v>34</v>
      </c>
    </row>
    <row r="1104" spans="1:9" x14ac:dyDescent="0.35">
      <c r="A1104" t="s">
        <v>1140</v>
      </c>
      <c r="B1104" s="1">
        <v>45184</v>
      </c>
      <c r="C1104" t="s">
        <v>16</v>
      </c>
      <c r="D1104" t="s">
        <v>95</v>
      </c>
      <c r="E1104" t="s">
        <v>18</v>
      </c>
      <c r="F1104">
        <v>1610.29</v>
      </c>
      <c r="G1104">
        <v>278.82</v>
      </c>
      <c r="H1104" t="s">
        <v>13</v>
      </c>
      <c r="I1104" t="s">
        <v>34</v>
      </c>
    </row>
    <row r="1105" spans="1:9" x14ac:dyDescent="0.35">
      <c r="A1105" t="s">
        <v>1141</v>
      </c>
      <c r="B1105" s="1">
        <v>44911</v>
      </c>
      <c r="C1105" t="s">
        <v>25</v>
      </c>
      <c r="D1105" t="s">
        <v>73</v>
      </c>
      <c r="E1105" t="s">
        <v>27</v>
      </c>
      <c r="F1105">
        <v>847.68</v>
      </c>
      <c r="G1105">
        <v>145.19</v>
      </c>
      <c r="H1105" t="s">
        <v>28</v>
      </c>
      <c r="I1105" t="s">
        <v>20</v>
      </c>
    </row>
    <row r="1106" spans="1:9" x14ac:dyDescent="0.35">
      <c r="A1106" t="s">
        <v>1142</v>
      </c>
      <c r="B1106" s="1">
        <v>44580</v>
      </c>
      <c r="C1106" t="s">
        <v>25</v>
      </c>
      <c r="D1106" t="s">
        <v>31</v>
      </c>
      <c r="E1106" t="s">
        <v>12</v>
      </c>
      <c r="F1106">
        <v>1348.91</v>
      </c>
      <c r="G1106">
        <v>176.9</v>
      </c>
      <c r="H1106" t="s">
        <v>19</v>
      </c>
      <c r="I1106" t="s">
        <v>20</v>
      </c>
    </row>
    <row r="1107" spans="1:9" x14ac:dyDescent="0.35">
      <c r="A1107" t="s">
        <v>1143</v>
      </c>
      <c r="B1107" s="1">
        <v>45466</v>
      </c>
      <c r="C1107" t="s">
        <v>16</v>
      </c>
      <c r="D1107" t="s">
        <v>46</v>
      </c>
      <c r="E1107" t="s">
        <v>18</v>
      </c>
      <c r="F1107">
        <v>169.07</v>
      </c>
      <c r="G1107">
        <v>50.41</v>
      </c>
      <c r="H1107" t="s">
        <v>19</v>
      </c>
      <c r="I1107" t="s">
        <v>20</v>
      </c>
    </row>
    <row r="1108" spans="1:9" x14ac:dyDescent="0.35">
      <c r="A1108" t="s">
        <v>1144</v>
      </c>
      <c r="B1108" s="1">
        <v>45285</v>
      </c>
      <c r="C1108" t="s">
        <v>16</v>
      </c>
      <c r="D1108" t="s">
        <v>33</v>
      </c>
      <c r="E1108" t="s">
        <v>18</v>
      </c>
      <c r="F1108">
        <v>745.33</v>
      </c>
      <c r="G1108">
        <v>77.040000000000006</v>
      </c>
      <c r="H1108" t="s">
        <v>28</v>
      </c>
      <c r="I1108" t="s">
        <v>14</v>
      </c>
    </row>
    <row r="1109" spans="1:9" x14ac:dyDescent="0.35">
      <c r="A1109" t="s">
        <v>1145</v>
      </c>
      <c r="B1109" s="1">
        <v>45015</v>
      </c>
      <c r="C1109" t="s">
        <v>22</v>
      </c>
      <c r="D1109" t="s">
        <v>62</v>
      </c>
      <c r="E1109" t="s">
        <v>27</v>
      </c>
      <c r="F1109">
        <v>52.83</v>
      </c>
      <c r="G1109">
        <v>4.8600000000000003</v>
      </c>
      <c r="H1109" t="s">
        <v>28</v>
      </c>
      <c r="I1109" t="s">
        <v>29</v>
      </c>
    </row>
    <row r="1110" spans="1:9" x14ac:dyDescent="0.35">
      <c r="A1110" t="s">
        <v>1146</v>
      </c>
      <c r="B1110" s="1">
        <v>45261</v>
      </c>
      <c r="C1110" t="s">
        <v>16</v>
      </c>
      <c r="D1110" t="s">
        <v>95</v>
      </c>
      <c r="E1110" t="s">
        <v>18</v>
      </c>
      <c r="F1110">
        <v>1087.99</v>
      </c>
      <c r="G1110">
        <v>80.959999999999994</v>
      </c>
      <c r="H1110" t="s">
        <v>28</v>
      </c>
      <c r="I1110" t="s">
        <v>20</v>
      </c>
    </row>
    <row r="1111" spans="1:9" x14ac:dyDescent="0.35">
      <c r="A1111" t="s">
        <v>1147</v>
      </c>
      <c r="B1111" s="1">
        <v>45280</v>
      </c>
      <c r="C1111" t="s">
        <v>25</v>
      </c>
      <c r="D1111" t="s">
        <v>50</v>
      </c>
      <c r="E1111" t="s">
        <v>12</v>
      </c>
      <c r="F1111">
        <v>1549.46</v>
      </c>
      <c r="G1111">
        <v>136.77000000000001</v>
      </c>
      <c r="H1111" t="s">
        <v>19</v>
      </c>
      <c r="I1111" t="s">
        <v>14</v>
      </c>
    </row>
    <row r="1112" spans="1:9" x14ac:dyDescent="0.35">
      <c r="A1112" t="s">
        <v>1148</v>
      </c>
      <c r="B1112" s="1">
        <v>44989</v>
      </c>
      <c r="C1112" t="s">
        <v>22</v>
      </c>
      <c r="D1112" t="s">
        <v>38</v>
      </c>
      <c r="E1112" t="s">
        <v>12</v>
      </c>
      <c r="F1112">
        <v>429.28</v>
      </c>
      <c r="G1112">
        <v>60.28</v>
      </c>
      <c r="H1112" t="s">
        <v>19</v>
      </c>
      <c r="I1112" t="s">
        <v>29</v>
      </c>
    </row>
    <row r="1113" spans="1:9" x14ac:dyDescent="0.35">
      <c r="A1113" t="s">
        <v>1149</v>
      </c>
      <c r="B1113" s="1">
        <v>45403</v>
      </c>
      <c r="C1113" t="s">
        <v>16</v>
      </c>
      <c r="D1113" t="s">
        <v>73</v>
      </c>
      <c r="E1113" t="s">
        <v>27</v>
      </c>
      <c r="F1113">
        <v>1170.5</v>
      </c>
      <c r="G1113">
        <v>111.64</v>
      </c>
      <c r="H1113" t="s">
        <v>19</v>
      </c>
      <c r="I1113" t="s">
        <v>29</v>
      </c>
    </row>
    <row r="1114" spans="1:9" x14ac:dyDescent="0.35">
      <c r="A1114" t="s">
        <v>1150</v>
      </c>
      <c r="B1114" s="1">
        <v>45044</v>
      </c>
      <c r="C1114" t="s">
        <v>16</v>
      </c>
      <c r="D1114" t="s">
        <v>46</v>
      </c>
      <c r="E1114" t="s">
        <v>18</v>
      </c>
      <c r="F1114">
        <v>421.07</v>
      </c>
      <c r="G1114">
        <v>69.63</v>
      </c>
      <c r="H1114" t="s">
        <v>13</v>
      </c>
      <c r="I1114" t="s">
        <v>34</v>
      </c>
    </row>
    <row r="1115" spans="1:9" x14ac:dyDescent="0.35">
      <c r="A1115" t="s">
        <v>1151</v>
      </c>
      <c r="B1115" s="1">
        <v>45273</v>
      </c>
      <c r="C1115" t="s">
        <v>10</v>
      </c>
      <c r="D1115" t="s">
        <v>62</v>
      </c>
      <c r="E1115" t="s">
        <v>27</v>
      </c>
      <c r="F1115">
        <v>1879.84</v>
      </c>
      <c r="G1115">
        <v>486.85</v>
      </c>
      <c r="H1115" t="s">
        <v>19</v>
      </c>
      <c r="I1115" t="s">
        <v>20</v>
      </c>
    </row>
    <row r="1116" spans="1:9" x14ac:dyDescent="0.35">
      <c r="A1116" t="s">
        <v>1152</v>
      </c>
      <c r="B1116" s="1">
        <v>45464</v>
      </c>
      <c r="C1116" t="s">
        <v>10</v>
      </c>
      <c r="D1116" t="s">
        <v>23</v>
      </c>
      <c r="E1116" t="s">
        <v>18</v>
      </c>
      <c r="F1116">
        <v>1444.43</v>
      </c>
      <c r="G1116">
        <v>327.51</v>
      </c>
      <c r="H1116" t="s">
        <v>28</v>
      </c>
      <c r="I1116" t="s">
        <v>14</v>
      </c>
    </row>
    <row r="1117" spans="1:9" x14ac:dyDescent="0.35">
      <c r="A1117" t="s">
        <v>1153</v>
      </c>
      <c r="B1117" s="1">
        <v>45477</v>
      </c>
      <c r="C1117" t="s">
        <v>10</v>
      </c>
      <c r="D1117" t="s">
        <v>17</v>
      </c>
      <c r="E1117" t="s">
        <v>18</v>
      </c>
      <c r="F1117">
        <v>232.39</v>
      </c>
      <c r="G1117">
        <v>12.9</v>
      </c>
      <c r="H1117" t="s">
        <v>19</v>
      </c>
      <c r="I1117" t="s">
        <v>34</v>
      </c>
    </row>
    <row r="1118" spans="1:9" x14ac:dyDescent="0.35">
      <c r="A1118" t="s">
        <v>1154</v>
      </c>
      <c r="B1118" s="1">
        <v>44700</v>
      </c>
      <c r="C1118" t="s">
        <v>16</v>
      </c>
      <c r="D1118" t="s">
        <v>73</v>
      </c>
      <c r="E1118" t="s">
        <v>27</v>
      </c>
      <c r="F1118">
        <v>1230.31</v>
      </c>
      <c r="G1118">
        <v>175.89</v>
      </c>
      <c r="H1118" t="s">
        <v>19</v>
      </c>
      <c r="I1118" t="s">
        <v>29</v>
      </c>
    </row>
    <row r="1119" spans="1:9" x14ac:dyDescent="0.35">
      <c r="A1119" t="s">
        <v>1155</v>
      </c>
      <c r="B1119" s="1">
        <v>45597</v>
      </c>
      <c r="C1119" t="s">
        <v>10</v>
      </c>
      <c r="D1119" t="s">
        <v>50</v>
      </c>
      <c r="E1119" t="s">
        <v>12</v>
      </c>
      <c r="F1119">
        <v>468.39</v>
      </c>
      <c r="G1119">
        <v>59.27</v>
      </c>
      <c r="H1119" t="s">
        <v>19</v>
      </c>
      <c r="I1119" t="s">
        <v>20</v>
      </c>
    </row>
    <row r="1120" spans="1:9" x14ac:dyDescent="0.35">
      <c r="A1120" t="s">
        <v>1156</v>
      </c>
      <c r="B1120" s="1">
        <v>44567</v>
      </c>
      <c r="C1120" t="s">
        <v>10</v>
      </c>
      <c r="D1120" t="s">
        <v>33</v>
      </c>
      <c r="E1120" t="s">
        <v>18</v>
      </c>
      <c r="F1120">
        <v>1281.74</v>
      </c>
      <c r="G1120">
        <v>327.86</v>
      </c>
      <c r="H1120" t="s">
        <v>28</v>
      </c>
      <c r="I1120" t="s">
        <v>29</v>
      </c>
    </row>
    <row r="1121" spans="1:9" x14ac:dyDescent="0.35">
      <c r="A1121" t="s">
        <v>1157</v>
      </c>
      <c r="B1121" s="1">
        <v>44654</v>
      </c>
      <c r="C1121" t="s">
        <v>10</v>
      </c>
      <c r="D1121" t="s">
        <v>11</v>
      </c>
      <c r="E1121" t="s">
        <v>12</v>
      </c>
      <c r="F1121">
        <v>566.49</v>
      </c>
      <c r="G1121">
        <v>105.68</v>
      </c>
      <c r="H1121" t="s">
        <v>13</v>
      </c>
      <c r="I1121" t="s">
        <v>29</v>
      </c>
    </row>
    <row r="1122" spans="1:9" x14ac:dyDescent="0.35">
      <c r="A1122" t="s">
        <v>1158</v>
      </c>
      <c r="B1122" s="1">
        <v>44849</v>
      </c>
      <c r="C1122" t="s">
        <v>16</v>
      </c>
      <c r="D1122" t="s">
        <v>11</v>
      </c>
      <c r="E1122" t="s">
        <v>12</v>
      </c>
      <c r="F1122">
        <v>1395.31</v>
      </c>
      <c r="G1122">
        <v>317.85000000000002</v>
      </c>
      <c r="H1122" t="s">
        <v>13</v>
      </c>
      <c r="I1122" t="s">
        <v>20</v>
      </c>
    </row>
    <row r="1123" spans="1:9" x14ac:dyDescent="0.35">
      <c r="A1123" t="s">
        <v>1159</v>
      </c>
      <c r="B1123" s="1">
        <v>45379</v>
      </c>
      <c r="C1123" t="s">
        <v>10</v>
      </c>
      <c r="D1123" t="s">
        <v>50</v>
      </c>
      <c r="E1123" t="s">
        <v>12</v>
      </c>
      <c r="F1123">
        <v>1460.4</v>
      </c>
      <c r="G1123">
        <v>408.25</v>
      </c>
      <c r="H1123" t="s">
        <v>28</v>
      </c>
      <c r="I1123" t="s">
        <v>20</v>
      </c>
    </row>
    <row r="1124" spans="1:9" x14ac:dyDescent="0.35">
      <c r="A1124" t="s">
        <v>1160</v>
      </c>
      <c r="B1124" s="1">
        <v>45139</v>
      </c>
      <c r="C1124" t="s">
        <v>25</v>
      </c>
      <c r="D1124" t="s">
        <v>38</v>
      </c>
      <c r="E1124" t="s">
        <v>12</v>
      </c>
      <c r="F1124">
        <v>1344.82</v>
      </c>
      <c r="G1124">
        <v>376.32</v>
      </c>
      <c r="H1124" t="s">
        <v>28</v>
      </c>
      <c r="I1124" t="s">
        <v>20</v>
      </c>
    </row>
    <row r="1125" spans="1:9" x14ac:dyDescent="0.35">
      <c r="A1125" t="s">
        <v>1161</v>
      </c>
      <c r="B1125" s="1">
        <v>45532</v>
      </c>
      <c r="C1125" t="s">
        <v>22</v>
      </c>
      <c r="D1125" t="s">
        <v>73</v>
      </c>
      <c r="E1125" t="s">
        <v>27</v>
      </c>
      <c r="F1125">
        <v>1020.12</v>
      </c>
      <c r="G1125">
        <v>68.61</v>
      </c>
      <c r="H1125" t="s">
        <v>13</v>
      </c>
      <c r="I1125" t="s">
        <v>29</v>
      </c>
    </row>
    <row r="1126" spans="1:9" x14ac:dyDescent="0.35">
      <c r="A1126" t="s">
        <v>1162</v>
      </c>
      <c r="B1126" s="1">
        <v>45066</v>
      </c>
      <c r="C1126" t="s">
        <v>25</v>
      </c>
      <c r="D1126" t="s">
        <v>31</v>
      </c>
      <c r="E1126" t="s">
        <v>12</v>
      </c>
      <c r="F1126">
        <v>1219.75</v>
      </c>
      <c r="G1126">
        <v>146.91</v>
      </c>
      <c r="H1126" t="s">
        <v>13</v>
      </c>
      <c r="I1126" t="s">
        <v>20</v>
      </c>
    </row>
    <row r="1127" spans="1:9" x14ac:dyDescent="0.35">
      <c r="A1127" t="s">
        <v>1163</v>
      </c>
      <c r="B1127" s="1">
        <v>45250</v>
      </c>
      <c r="C1127" t="s">
        <v>10</v>
      </c>
      <c r="D1127" t="s">
        <v>97</v>
      </c>
      <c r="E1127" t="s">
        <v>27</v>
      </c>
      <c r="F1127">
        <v>318.38</v>
      </c>
      <c r="G1127">
        <v>88.53</v>
      </c>
      <c r="H1127" t="s">
        <v>13</v>
      </c>
      <c r="I1127" t="s">
        <v>20</v>
      </c>
    </row>
    <row r="1128" spans="1:9" x14ac:dyDescent="0.35">
      <c r="A1128" t="s">
        <v>1164</v>
      </c>
      <c r="B1128" s="1">
        <v>45641</v>
      </c>
      <c r="C1128" t="s">
        <v>16</v>
      </c>
      <c r="D1128" t="s">
        <v>95</v>
      </c>
      <c r="E1128" t="s">
        <v>18</v>
      </c>
      <c r="F1128">
        <v>1555.06</v>
      </c>
      <c r="G1128">
        <v>256.85000000000002</v>
      </c>
      <c r="H1128" t="s">
        <v>19</v>
      </c>
      <c r="I1128" t="s">
        <v>20</v>
      </c>
    </row>
    <row r="1129" spans="1:9" x14ac:dyDescent="0.35">
      <c r="A1129" t="s">
        <v>1165</v>
      </c>
      <c r="B1129" s="1">
        <v>44803</v>
      </c>
      <c r="C1129" t="s">
        <v>16</v>
      </c>
      <c r="D1129" t="s">
        <v>62</v>
      </c>
      <c r="E1129" t="s">
        <v>27</v>
      </c>
      <c r="F1129">
        <v>1570.76</v>
      </c>
      <c r="G1129">
        <v>247.76</v>
      </c>
      <c r="H1129" t="s">
        <v>13</v>
      </c>
      <c r="I1129" t="s">
        <v>34</v>
      </c>
    </row>
    <row r="1130" spans="1:9" x14ac:dyDescent="0.35">
      <c r="A1130" t="s">
        <v>1166</v>
      </c>
      <c r="B1130" s="1">
        <v>45277</v>
      </c>
      <c r="C1130" t="s">
        <v>25</v>
      </c>
      <c r="D1130" t="s">
        <v>17</v>
      </c>
      <c r="E1130" t="s">
        <v>18</v>
      </c>
      <c r="F1130">
        <v>195.3</v>
      </c>
      <c r="G1130">
        <v>57.96</v>
      </c>
      <c r="H1130" t="s">
        <v>19</v>
      </c>
      <c r="I1130" t="s">
        <v>29</v>
      </c>
    </row>
    <row r="1131" spans="1:9" x14ac:dyDescent="0.35">
      <c r="A1131" t="s">
        <v>1167</v>
      </c>
      <c r="B1131" s="1">
        <v>44576</v>
      </c>
      <c r="C1131" t="s">
        <v>10</v>
      </c>
      <c r="D1131" t="s">
        <v>41</v>
      </c>
      <c r="E1131" t="s">
        <v>12</v>
      </c>
      <c r="F1131">
        <v>1882.59</v>
      </c>
      <c r="G1131">
        <v>319.66000000000003</v>
      </c>
      <c r="H1131" t="s">
        <v>19</v>
      </c>
      <c r="I1131" t="s">
        <v>14</v>
      </c>
    </row>
    <row r="1132" spans="1:9" x14ac:dyDescent="0.35">
      <c r="A1132" t="s">
        <v>1168</v>
      </c>
      <c r="B1132" s="1">
        <v>44713</v>
      </c>
      <c r="C1132" t="s">
        <v>25</v>
      </c>
      <c r="D1132" t="s">
        <v>17</v>
      </c>
      <c r="E1132" t="s">
        <v>18</v>
      </c>
      <c r="F1132">
        <v>1618.88</v>
      </c>
      <c r="G1132">
        <v>255.12</v>
      </c>
      <c r="H1132" t="s">
        <v>19</v>
      </c>
      <c r="I1132" t="s">
        <v>34</v>
      </c>
    </row>
    <row r="1133" spans="1:9" x14ac:dyDescent="0.35">
      <c r="A1133" t="s">
        <v>1169</v>
      </c>
      <c r="B1133" s="1">
        <v>44600</v>
      </c>
      <c r="C1133" t="s">
        <v>10</v>
      </c>
      <c r="D1133" t="s">
        <v>31</v>
      </c>
      <c r="E1133" t="s">
        <v>12</v>
      </c>
      <c r="F1133">
        <v>1166.2</v>
      </c>
      <c r="G1133">
        <v>277.08999999999997</v>
      </c>
      <c r="H1133" t="s">
        <v>19</v>
      </c>
      <c r="I1133" t="s">
        <v>29</v>
      </c>
    </row>
    <row r="1134" spans="1:9" x14ac:dyDescent="0.35">
      <c r="A1134" t="s">
        <v>1170</v>
      </c>
      <c r="B1134" s="1">
        <v>45570</v>
      </c>
      <c r="C1134" t="s">
        <v>16</v>
      </c>
      <c r="D1134" t="s">
        <v>46</v>
      </c>
      <c r="E1134" t="s">
        <v>18</v>
      </c>
      <c r="F1134">
        <v>867.37</v>
      </c>
      <c r="G1134">
        <v>145.66999999999999</v>
      </c>
      <c r="H1134" t="s">
        <v>19</v>
      </c>
      <c r="I1134" t="s">
        <v>14</v>
      </c>
    </row>
    <row r="1135" spans="1:9" x14ac:dyDescent="0.35">
      <c r="A1135" t="s">
        <v>1171</v>
      </c>
      <c r="B1135" s="1">
        <v>45602</v>
      </c>
      <c r="C1135" t="s">
        <v>16</v>
      </c>
      <c r="D1135" t="s">
        <v>97</v>
      </c>
      <c r="E1135" t="s">
        <v>27</v>
      </c>
      <c r="F1135">
        <v>868.71</v>
      </c>
      <c r="G1135">
        <v>135.80000000000001</v>
      </c>
      <c r="H1135" t="s">
        <v>28</v>
      </c>
      <c r="I1135" t="s">
        <v>20</v>
      </c>
    </row>
    <row r="1136" spans="1:9" x14ac:dyDescent="0.35">
      <c r="A1136" t="s">
        <v>1172</v>
      </c>
      <c r="B1136" s="1">
        <v>45324</v>
      </c>
      <c r="C1136" t="s">
        <v>25</v>
      </c>
      <c r="D1136" t="s">
        <v>23</v>
      </c>
      <c r="E1136" t="s">
        <v>18</v>
      </c>
      <c r="F1136">
        <v>866.69</v>
      </c>
      <c r="G1136">
        <v>159.30000000000001</v>
      </c>
      <c r="H1136" t="s">
        <v>19</v>
      </c>
      <c r="I1136" t="s">
        <v>29</v>
      </c>
    </row>
    <row r="1137" spans="1:9" x14ac:dyDescent="0.35">
      <c r="A1137" t="s">
        <v>1173</v>
      </c>
      <c r="B1137" s="1">
        <v>45300</v>
      </c>
      <c r="C1137" t="s">
        <v>25</v>
      </c>
      <c r="D1137" t="s">
        <v>11</v>
      </c>
      <c r="E1137" t="s">
        <v>12</v>
      </c>
      <c r="F1137">
        <v>1479.82</v>
      </c>
      <c r="G1137">
        <v>281.69</v>
      </c>
      <c r="H1137" t="s">
        <v>19</v>
      </c>
      <c r="I1137" t="s">
        <v>14</v>
      </c>
    </row>
    <row r="1138" spans="1:9" x14ac:dyDescent="0.35">
      <c r="A1138" t="s">
        <v>1174</v>
      </c>
      <c r="B1138" s="1">
        <v>44883</v>
      </c>
      <c r="C1138" t="s">
        <v>10</v>
      </c>
      <c r="D1138" t="s">
        <v>31</v>
      </c>
      <c r="E1138" t="s">
        <v>12</v>
      </c>
      <c r="F1138">
        <v>1243.0999999999999</v>
      </c>
      <c r="G1138">
        <v>69.650000000000006</v>
      </c>
      <c r="H1138" t="s">
        <v>19</v>
      </c>
      <c r="I1138" t="s">
        <v>29</v>
      </c>
    </row>
    <row r="1139" spans="1:9" x14ac:dyDescent="0.35">
      <c r="A1139" t="s">
        <v>1175</v>
      </c>
      <c r="B1139" s="1">
        <v>44769</v>
      </c>
      <c r="C1139" t="s">
        <v>25</v>
      </c>
      <c r="D1139" t="s">
        <v>11</v>
      </c>
      <c r="E1139" t="s">
        <v>12</v>
      </c>
      <c r="F1139">
        <v>1356.91</v>
      </c>
      <c r="G1139">
        <v>119.59</v>
      </c>
      <c r="H1139" t="s">
        <v>28</v>
      </c>
      <c r="I1139" t="s">
        <v>14</v>
      </c>
    </row>
    <row r="1140" spans="1:9" x14ac:dyDescent="0.35">
      <c r="A1140" t="s">
        <v>1176</v>
      </c>
      <c r="B1140" s="1">
        <v>44614</v>
      </c>
      <c r="C1140" t="s">
        <v>25</v>
      </c>
      <c r="D1140" t="s">
        <v>62</v>
      </c>
      <c r="E1140" t="s">
        <v>27</v>
      </c>
      <c r="F1140">
        <v>904.6</v>
      </c>
      <c r="G1140">
        <v>159.51</v>
      </c>
      <c r="H1140" t="s">
        <v>28</v>
      </c>
      <c r="I1140" t="s">
        <v>14</v>
      </c>
    </row>
    <row r="1141" spans="1:9" x14ac:dyDescent="0.35">
      <c r="A1141" t="s">
        <v>1177</v>
      </c>
      <c r="B1141" s="1">
        <v>44682</v>
      </c>
      <c r="C1141" t="s">
        <v>10</v>
      </c>
      <c r="D1141" t="s">
        <v>33</v>
      </c>
      <c r="E1141" t="s">
        <v>18</v>
      </c>
      <c r="F1141">
        <v>1439.15</v>
      </c>
      <c r="G1141">
        <v>168.73</v>
      </c>
      <c r="H1141" t="s">
        <v>13</v>
      </c>
      <c r="I1141" t="s">
        <v>34</v>
      </c>
    </row>
    <row r="1142" spans="1:9" x14ac:dyDescent="0.35">
      <c r="A1142" t="s">
        <v>1178</v>
      </c>
      <c r="B1142" s="1">
        <v>45085</v>
      </c>
      <c r="C1142" t="s">
        <v>25</v>
      </c>
      <c r="D1142" t="s">
        <v>62</v>
      </c>
      <c r="E1142" t="s">
        <v>27</v>
      </c>
      <c r="F1142">
        <v>1068.8599999999999</v>
      </c>
      <c r="G1142">
        <v>214.63</v>
      </c>
      <c r="H1142" t="s">
        <v>28</v>
      </c>
      <c r="I1142" t="s">
        <v>20</v>
      </c>
    </row>
    <row r="1143" spans="1:9" x14ac:dyDescent="0.35">
      <c r="A1143" t="s">
        <v>1179</v>
      </c>
      <c r="B1143" s="1">
        <v>45600</v>
      </c>
      <c r="C1143" t="s">
        <v>16</v>
      </c>
      <c r="D1143" t="s">
        <v>31</v>
      </c>
      <c r="E1143" t="s">
        <v>12</v>
      </c>
      <c r="F1143">
        <v>1796.54</v>
      </c>
      <c r="G1143">
        <v>157.22999999999999</v>
      </c>
      <c r="H1143" t="s">
        <v>13</v>
      </c>
      <c r="I1143" t="s">
        <v>20</v>
      </c>
    </row>
    <row r="1144" spans="1:9" x14ac:dyDescent="0.35">
      <c r="A1144" t="s">
        <v>1180</v>
      </c>
      <c r="B1144" s="1">
        <v>44617</v>
      </c>
      <c r="C1144" t="s">
        <v>25</v>
      </c>
      <c r="D1144" t="s">
        <v>46</v>
      </c>
      <c r="E1144" t="s">
        <v>18</v>
      </c>
      <c r="F1144">
        <v>685.75</v>
      </c>
      <c r="G1144">
        <v>88.19</v>
      </c>
      <c r="H1144" t="s">
        <v>13</v>
      </c>
      <c r="I1144" t="s">
        <v>29</v>
      </c>
    </row>
    <row r="1145" spans="1:9" x14ac:dyDescent="0.35">
      <c r="A1145" t="s">
        <v>1181</v>
      </c>
      <c r="B1145" s="1">
        <v>45235</v>
      </c>
      <c r="C1145" t="s">
        <v>16</v>
      </c>
      <c r="D1145" t="s">
        <v>50</v>
      </c>
      <c r="E1145" t="s">
        <v>12</v>
      </c>
      <c r="F1145">
        <v>835.59</v>
      </c>
      <c r="G1145">
        <v>201.17</v>
      </c>
      <c r="H1145" t="s">
        <v>19</v>
      </c>
      <c r="I1145" t="s">
        <v>14</v>
      </c>
    </row>
    <row r="1146" spans="1:9" x14ac:dyDescent="0.35">
      <c r="A1146" t="s">
        <v>1182</v>
      </c>
      <c r="B1146" s="1">
        <v>45223</v>
      </c>
      <c r="C1146" t="s">
        <v>10</v>
      </c>
      <c r="D1146" t="s">
        <v>17</v>
      </c>
      <c r="E1146" t="s">
        <v>18</v>
      </c>
      <c r="F1146">
        <v>596.25</v>
      </c>
      <c r="G1146">
        <v>125.84</v>
      </c>
      <c r="H1146" t="s">
        <v>28</v>
      </c>
      <c r="I1146" t="s">
        <v>20</v>
      </c>
    </row>
    <row r="1147" spans="1:9" x14ac:dyDescent="0.35">
      <c r="A1147" t="s">
        <v>1183</v>
      </c>
      <c r="B1147" s="1">
        <v>45584</v>
      </c>
      <c r="C1147" t="s">
        <v>22</v>
      </c>
      <c r="D1147" t="s">
        <v>23</v>
      </c>
      <c r="E1147" t="s">
        <v>18</v>
      </c>
      <c r="F1147">
        <v>1877.89</v>
      </c>
      <c r="G1147">
        <v>115.01</v>
      </c>
      <c r="H1147" t="s">
        <v>19</v>
      </c>
      <c r="I1147" t="s">
        <v>29</v>
      </c>
    </row>
    <row r="1148" spans="1:9" x14ac:dyDescent="0.35">
      <c r="A1148" t="s">
        <v>1184</v>
      </c>
      <c r="B1148" s="1">
        <v>45436</v>
      </c>
      <c r="C1148" t="s">
        <v>25</v>
      </c>
      <c r="D1148" t="s">
        <v>73</v>
      </c>
      <c r="E1148" t="s">
        <v>27</v>
      </c>
      <c r="F1148">
        <v>538.02</v>
      </c>
      <c r="G1148">
        <v>153.01</v>
      </c>
      <c r="H1148" t="s">
        <v>13</v>
      </c>
      <c r="I1148" t="s">
        <v>20</v>
      </c>
    </row>
    <row r="1149" spans="1:9" x14ac:dyDescent="0.35">
      <c r="A1149" t="s">
        <v>1185</v>
      </c>
      <c r="B1149" s="1">
        <v>45391</v>
      </c>
      <c r="C1149" t="s">
        <v>10</v>
      </c>
      <c r="D1149" t="s">
        <v>26</v>
      </c>
      <c r="E1149" t="s">
        <v>27</v>
      </c>
      <c r="F1149">
        <v>809.51</v>
      </c>
      <c r="G1149">
        <v>186.43</v>
      </c>
      <c r="H1149" t="s">
        <v>13</v>
      </c>
      <c r="I1149" t="s">
        <v>29</v>
      </c>
    </row>
    <row r="1150" spans="1:9" x14ac:dyDescent="0.35">
      <c r="A1150" t="s">
        <v>1186</v>
      </c>
      <c r="B1150" s="1">
        <v>45492</v>
      </c>
      <c r="C1150" t="s">
        <v>22</v>
      </c>
      <c r="D1150" t="s">
        <v>38</v>
      </c>
      <c r="E1150" t="s">
        <v>12</v>
      </c>
      <c r="F1150">
        <v>1413.34</v>
      </c>
      <c r="G1150">
        <v>358.1</v>
      </c>
      <c r="H1150" t="s">
        <v>13</v>
      </c>
      <c r="I1150" t="s">
        <v>34</v>
      </c>
    </row>
    <row r="1151" spans="1:9" x14ac:dyDescent="0.35">
      <c r="A1151" t="s">
        <v>1187</v>
      </c>
      <c r="B1151" s="1">
        <v>45226</v>
      </c>
      <c r="C1151" t="s">
        <v>22</v>
      </c>
      <c r="D1151" t="s">
        <v>31</v>
      </c>
      <c r="E1151" t="s">
        <v>12</v>
      </c>
      <c r="F1151">
        <v>1973.25</v>
      </c>
      <c r="G1151">
        <v>568.26</v>
      </c>
      <c r="H1151" t="s">
        <v>13</v>
      </c>
      <c r="I1151" t="s">
        <v>29</v>
      </c>
    </row>
    <row r="1152" spans="1:9" x14ac:dyDescent="0.35">
      <c r="A1152" t="s">
        <v>1188</v>
      </c>
      <c r="B1152" s="1">
        <v>45130</v>
      </c>
      <c r="C1152" t="s">
        <v>25</v>
      </c>
      <c r="D1152" t="s">
        <v>50</v>
      </c>
      <c r="E1152" t="s">
        <v>12</v>
      </c>
      <c r="F1152">
        <v>1896.15</v>
      </c>
      <c r="G1152">
        <v>385.99</v>
      </c>
      <c r="H1152" t="s">
        <v>28</v>
      </c>
      <c r="I1152" t="s">
        <v>20</v>
      </c>
    </row>
    <row r="1153" spans="1:9" x14ac:dyDescent="0.35">
      <c r="A1153" t="s">
        <v>1189</v>
      </c>
      <c r="B1153" s="1">
        <v>45331</v>
      </c>
      <c r="C1153" t="s">
        <v>10</v>
      </c>
      <c r="D1153" t="s">
        <v>73</v>
      </c>
      <c r="E1153" t="s">
        <v>27</v>
      </c>
      <c r="F1153">
        <v>1114.0999999999999</v>
      </c>
      <c r="G1153">
        <v>63.42</v>
      </c>
      <c r="H1153" t="s">
        <v>13</v>
      </c>
      <c r="I1153" t="s">
        <v>14</v>
      </c>
    </row>
    <row r="1154" spans="1:9" x14ac:dyDescent="0.35">
      <c r="A1154" t="s">
        <v>1190</v>
      </c>
      <c r="B1154" s="1">
        <v>45300</v>
      </c>
      <c r="C1154" t="s">
        <v>10</v>
      </c>
      <c r="D1154" t="s">
        <v>23</v>
      </c>
      <c r="E1154" t="s">
        <v>18</v>
      </c>
      <c r="F1154">
        <v>1862.86</v>
      </c>
      <c r="G1154">
        <v>202.01</v>
      </c>
      <c r="H1154" t="s">
        <v>19</v>
      </c>
      <c r="I1154" t="s">
        <v>14</v>
      </c>
    </row>
    <row r="1155" spans="1:9" x14ac:dyDescent="0.35">
      <c r="A1155" t="s">
        <v>1191</v>
      </c>
      <c r="B1155" s="1">
        <v>44598</v>
      </c>
      <c r="C1155" t="s">
        <v>22</v>
      </c>
      <c r="D1155" t="s">
        <v>62</v>
      </c>
      <c r="E1155" t="s">
        <v>27</v>
      </c>
      <c r="F1155">
        <v>114.35</v>
      </c>
      <c r="G1155">
        <v>17.72</v>
      </c>
      <c r="H1155" t="s">
        <v>28</v>
      </c>
      <c r="I1155" t="s">
        <v>34</v>
      </c>
    </row>
    <row r="1156" spans="1:9" x14ac:dyDescent="0.35">
      <c r="A1156" t="s">
        <v>1192</v>
      </c>
      <c r="B1156" s="1">
        <v>44759</v>
      </c>
      <c r="C1156" t="s">
        <v>10</v>
      </c>
      <c r="D1156" t="s">
        <v>46</v>
      </c>
      <c r="E1156" t="s">
        <v>18</v>
      </c>
      <c r="F1156">
        <v>749.69</v>
      </c>
      <c r="G1156">
        <v>107.79</v>
      </c>
      <c r="H1156" t="s">
        <v>19</v>
      </c>
      <c r="I1156" t="s">
        <v>14</v>
      </c>
    </row>
    <row r="1157" spans="1:9" x14ac:dyDescent="0.35">
      <c r="A1157" t="s">
        <v>1193</v>
      </c>
      <c r="B1157" s="1">
        <v>45562</v>
      </c>
      <c r="C1157" t="s">
        <v>22</v>
      </c>
      <c r="D1157" t="s">
        <v>33</v>
      </c>
      <c r="E1157" t="s">
        <v>18</v>
      </c>
      <c r="F1157">
        <v>784.03</v>
      </c>
      <c r="G1157">
        <v>47.59</v>
      </c>
      <c r="H1157" t="s">
        <v>13</v>
      </c>
      <c r="I1157" t="s">
        <v>34</v>
      </c>
    </row>
    <row r="1158" spans="1:9" x14ac:dyDescent="0.35">
      <c r="A1158" t="s">
        <v>1194</v>
      </c>
      <c r="B1158" s="1">
        <v>44918</v>
      </c>
      <c r="C1158" t="s">
        <v>22</v>
      </c>
      <c r="D1158" t="s">
        <v>33</v>
      </c>
      <c r="E1158" t="s">
        <v>18</v>
      </c>
      <c r="F1158">
        <v>1576.73</v>
      </c>
      <c r="G1158">
        <v>281.86</v>
      </c>
      <c r="H1158" t="s">
        <v>19</v>
      </c>
      <c r="I1158" t="s">
        <v>14</v>
      </c>
    </row>
    <row r="1159" spans="1:9" x14ac:dyDescent="0.35">
      <c r="A1159" t="s">
        <v>1195</v>
      </c>
      <c r="B1159" s="1">
        <v>45595</v>
      </c>
      <c r="C1159" t="s">
        <v>25</v>
      </c>
      <c r="D1159" t="s">
        <v>17</v>
      </c>
      <c r="E1159" t="s">
        <v>18</v>
      </c>
      <c r="F1159">
        <v>593.41</v>
      </c>
      <c r="G1159">
        <v>37.56</v>
      </c>
      <c r="H1159" t="s">
        <v>19</v>
      </c>
      <c r="I1159" t="s">
        <v>14</v>
      </c>
    </row>
    <row r="1160" spans="1:9" x14ac:dyDescent="0.35">
      <c r="A1160" t="s">
        <v>1196</v>
      </c>
      <c r="B1160" s="1">
        <v>44711</v>
      </c>
      <c r="C1160" t="s">
        <v>10</v>
      </c>
      <c r="D1160" t="s">
        <v>23</v>
      </c>
      <c r="E1160" t="s">
        <v>18</v>
      </c>
      <c r="F1160">
        <v>59.55</v>
      </c>
      <c r="G1160">
        <v>17.61</v>
      </c>
      <c r="H1160" t="s">
        <v>28</v>
      </c>
      <c r="I1160" t="s">
        <v>14</v>
      </c>
    </row>
    <row r="1161" spans="1:9" x14ac:dyDescent="0.35">
      <c r="A1161" t="s">
        <v>1197</v>
      </c>
      <c r="B1161" s="1">
        <v>44700</v>
      </c>
      <c r="C1161" t="s">
        <v>16</v>
      </c>
      <c r="D1161" t="s">
        <v>73</v>
      </c>
      <c r="E1161" t="s">
        <v>27</v>
      </c>
      <c r="F1161">
        <v>1880.62</v>
      </c>
      <c r="G1161">
        <v>270.55</v>
      </c>
      <c r="H1161" t="s">
        <v>28</v>
      </c>
      <c r="I1161" t="s">
        <v>14</v>
      </c>
    </row>
    <row r="1162" spans="1:9" x14ac:dyDescent="0.35">
      <c r="A1162" t="s">
        <v>1198</v>
      </c>
      <c r="B1162" s="1">
        <v>44764</v>
      </c>
      <c r="C1162" t="s">
        <v>25</v>
      </c>
      <c r="D1162" t="s">
        <v>17</v>
      </c>
      <c r="E1162" t="s">
        <v>18</v>
      </c>
      <c r="F1162">
        <v>338.01</v>
      </c>
      <c r="G1162">
        <v>93.76</v>
      </c>
      <c r="H1162" t="s">
        <v>13</v>
      </c>
      <c r="I1162" t="s">
        <v>34</v>
      </c>
    </row>
    <row r="1163" spans="1:9" x14ac:dyDescent="0.35">
      <c r="A1163" t="s">
        <v>1199</v>
      </c>
      <c r="B1163" s="1">
        <v>44839</v>
      </c>
      <c r="C1163" t="s">
        <v>25</v>
      </c>
      <c r="D1163" t="s">
        <v>97</v>
      </c>
      <c r="E1163" t="s">
        <v>27</v>
      </c>
      <c r="F1163">
        <v>1076.92</v>
      </c>
      <c r="G1163">
        <v>133.12</v>
      </c>
      <c r="H1163" t="s">
        <v>19</v>
      </c>
      <c r="I1163" t="s">
        <v>14</v>
      </c>
    </row>
    <row r="1164" spans="1:9" x14ac:dyDescent="0.35">
      <c r="A1164" t="s">
        <v>1200</v>
      </c>
      <c r="B1164" s="1">
        <v>44930</v>
      </c>
      <c r="C1164" t="s">
        <v>22</v>
      </c>
      <c r="D1164" t="s">
        <v>57</v>
      </c>
      <c r="E1164" t="s">
        <v>27</v>
      </c>
      <c r="F1164">
        <v>408.34</v>
      </c>
      <c r="G1164">
        <v>107.43</v>
      </c>
      <c r="H1164" t="s">
        <v>28</v>
      </c>
      <c r="I1164" t="s">
        <v>29</v>
      </c>
    </row>
    <row r="1165" spans="1:9" x14ac:dyDescent="0.35">
      <c r="A1165" t="s">
        <v>1201</v>
      </c>
      <c r="B1165" s="1">
        <v>44893</v>
      </c>
      <c r="C1165" t="s">
        <v>22</v>
      </c>
      <c r="D1165" t="s">
        <v>41</v>
      </c>
      <c r="E1165" t="s">
        <v>12</v>
      </c>
      <c r="F1165">
        <v>1924.51</v>
      </c>
      <c r="G1165">
        <v>569.67999999999995</v>
      </c>
      <c r="H1165" t="s">
        <v>28</v>
      </c>
      <c r="I1165" t="s">
        <v>14</v>
      </c>
    </row>
    <row r="1166" spans="1:9" x14ac:dyDescent="0.35">
      <c r="A1166" t="s">
        <v>1202</v>
      </c>
      <c r="B1166" s="1">
        <v>44903</v>
      </c>
      <c r="C1166" t="s">
        <v>25</v>
      </c>
      <c r="D1166" t="s">
        <v>41</v>
      </c>
      <c r="E1166" t="s">
        <v>12</v>
      </c>
      <c r="F1166">
        <v>400.77</v>
      </c>
      <c r="G1166">
        <v>108.15</v>
      </c>
      <c r="H1166" t="s">
        <v>28</v>
      </c>
      <c r="I1166" t="s">
        <v>14</v>
      </c>
    </row>
    <row r="1167" spans="1:9" x14ac:dyDescent="0.35">
      <c r="A1167" t="s">
        <v>1203</v>
      </c>
      <c r="B1167" s="1">
        <v>44863</v>
      </c>
      <c r="C1167" t="s">
        <v>22</v>
      </c>
      <c r="D1167" t="s">
        <v>38</v>
      </c>
      <c r="E1167" t="s">
        <v>12</v>
      </c>
      <c r="F1167">
        <v>1149.05</v>
      </c>
      <c r="G1167">
        <v>135.88</v>
      </c>
      <c r="H1167" t="s">
        <v>19</v>
      </c>
      <c r="I1167" t="s">
        <v>14</v>
      </c>
    </row>
    <row r="1168" spans="1:9" x14ac:dyDescent="0.35">
      <c r="A1168" t="s">
        <v>1204</v>
      </c>
      <c r="B1168" s="1">
        <v>44657</v>
      </c>
      <c r="C1168" t="s">
        <v>22</v>
      </c>
      <c r="D1168" t="s">
        <v>46</v>
      </c>
      <c r="E1168" t="s">
        <v>18</v>
      </c>
      <c r="F1168">
        <v>491.86</v>
      </c>
      <c r="G1168">
        <v>44.49</v>
      </c>
      <c r="H1168" t="s">
        <v>19</v>
      </c>
      <c r="I1168" t="s">
        <v>20</v>
      </c>
    </row>
    <row r="1169" spans="1:9" x14ac:dyDescent="0.35">
      <c r="A1169" t="s">
        <v>1205</v>
      </c>
      <c r="B1169" s="1">
        <v>45362</v>
      </c>
      <c r="C1169" t="s">
        <v>10</v>
      </c>
      <c r="D1169" t="s">
        <v>38</v>
      </c>
      <c r="E1169" t="s">
        <v>12</v>
      </c>
      <c r="F1169">
        <v>611.34</v>
      </c>
      <c r="G1169">
        <v>58.49</v>
      </c>
      <c r="H1169" t="s">
        <v>28</v>
      </c>
      <c r="I1169" t="s">
        <v>14</v>
      </c>
    </row>
    <row r="1170" spans="1:9" x14ac:dyDescent="0.35">
      <c r="A1170" t="s">
        <v>1206</v>
      </c>
      <c r="B1170" s="1">
        <v>45522</v>
      </c>
      <c r="C1170" t="s">
        <v>16</v>
      </c>
      <c r="D1170" t="s">
        <v>23</v>
      </c>
      <c r="E1170" t="s">
        <v>18</v>
      </c>
      <c r="F1170">
        <v>1509.79</v>
      </c>
      <c r="G1170">
        <v>360.13</v>
      </c>
      <c r="H1170" t="s">
        <v>19</v>
      </c>
      <c r="I1170" t="s">
        <v>29</v>
      </c>
    </row>
    <row r="1171" spans="1:9" x14ac:dyDescent="0.35">
      <c r="A1171" t="s">
        <v>1207</v>
      </c>
      <c r="B1171" s="1">
        <v>45407</v>
      </c>
      <c r="C1171" t="s">
        <v>16</v>
      </c>
      <c r="D1171" t="s">
        <v>50</v>
      </c>
      <c r="E1171" t="s">
        <v>12</v>
      </c>
      <c r="F1171">
        <v>1307.71</v>
      </c>
      <c r="G1171">
        <v>97.9</v>
      </c>
      <c r="H1171" t="s">
        <v>13</v>
      </c>
      <c r="I1171" t="s">
        <v>29</v>
      </c>
    </row>
    <row r="1172" spans="1:9" x14ac:dyDescent="0.35">
      <c r="A1172" t="s">
        <v>1208</v>
      </c>
      <c r="B1172" s="1">
        <v>44916</v>
      </c>
      <c r="C1172" t="s">
        <v>22</v>
      </c>
      <c r="D1172" t="s">
        <v>17</v>
      </c>
      <c r="E1172" t="s">
        <v>18</v>
      </c>
      <c r="F1172">
        <v>805.05</v>
      </c>
      <c r="G1172">
        <v>121.23</v>
      </c>
      <c r="H1172" t="s">
        <v>28</v>
      </c>
      <c r="I1172" t="s">
        <v>14</v>
      </c>
    </row>
    <row r="1173" spans="1:9" x14ac:dyDescent="0.35">
      <c r="A1173" t="s">
        <v>1209</v>
      </c>
      <c r="B1173" s="1">
        <v>45207</v>
      </c>
      <c r="C1173" t="s">
        <v>16</v>
      </c>
      <c r="D1173" t="s">
        <v>11</v>
      </c>
      <c r="E1173" t="s">
        <v>12</v>
      </c>
      <c r="F1173">
        <v>1539.73</v>
      </c>
      <c r="G1173">
        <v>366.18</v>
      </c>
      <c r="H1173" t="s">
        <v>13</v>
      </c>
      <c r="I1173" t="s">
        <v>29</v>
      </c>
    </row>
    <row r="1174" spans="1:9" x14ac:dyDescent="0.35">
      <c r="A1174" t="s">
        <v>1210</v>
      </c>
      <c r="B1174" s="1">
        <v>44690</v>
      </c>
      <c r="C1174" t="s">
        <v>25</v>
      </c>
      <c r="D1174" t="s">
        <v>23</v>
      </c>
      <c r="E1174" t="s">
        <v>18</v>
      </c>
      <c r="F1174">
        <v>945.39</v>
      </c>
      <c r="G1174">
        <v>235.76</v>
      </c>
      <c r="H1174" t="s">
        <v>19</v>
      </c>
      <c r="I1174" t="s">
        <v>14</v>
      </c>
    </row>
    <row r="1175" spans="1:9" x14ac:dyDescent="0.35">
      <c r="A1175" t="s">
        <v>1211</v>
      </c>
      <c r="B1175" s="1">
        <v>45435</v>
      </c>
      <c r="C1175" t="s">
        <v>10</v>
      </c>
      <c r="D1175" t="s">
        <v>17</v>
      </c>
      <c r="E1175" t="s">
        <v>18</v>
      </c>
      <c r="F1175">
        <v>1997.42</v>
      </c>
      <c r="G1175">
        <v>443.16</v>
      </c>
      <c r="H1175" t="s">
        <v>28</v>
      </c>
      <c r="I1175" t="s">
        <v>14</v>
      </c>
    </row>
    <row r="1176" spans="1:9" x14ac:dyDescent="0.35">
      <c r="A1176" t="s">
        <v>1212</v>
      </c>
      <c r="B1176" s="1">
        <v>44565</v>
      </c>
      <c r="C1176" t="s">
        <v>25</v>
      </c>
      <c r="D1176" t="s">
        <v>26</v>
      </c>
      <c r="E1176" t="s">
        <v>27</v>
      </c>
      <c r="F1176">
        <v>1472.73</v>
      </c>
      <c r="G1176">
        <v>286.36</v>
      </c>
      <c r="H1176" t="s">
        <v>19</v>
      </c>
      <c r="I1176" t="s">
        <v>20</v>
      </c>
    </row>
    <row r="1177" spans="1:9" x14ac:dyDescent="0.35">
      <c r="A1177" t="s">
        <v>1213</v>
      </c>
      <c r="B1177" s="1">
        <v>45271</v>
      </c>
      <c r="C1177" t="s">
        <v>25</v>
      </c>
      <c r="D1177" t="s">
        <v>95</v>
      </c>
      <c r="E1177" t="s">
        <v>18</v>
      </c>
      <c r="F1177">
        <v>104.97</v>
      </c>
      <c r="G1177">
        <v>6.88</v>
      </c>
      <c r="H1177" t="s">
        <v>28</v>
      </c>
      <c r="I1177" t="s">
        <v>20</v>
      </c>
    </row>
    <row r="1178" spans="1:9" x14ac:dyDescent="0.35">
      <c r="A1178" t="s">
        <v>1214</v>
      </c>
      <c r="B1178" s="1">
        <v>45031</v>
      </c>
      <c r="C1178" t="s">
        <v>16</v>
      </c>
      <c r="D1178" t="s">
        <v>95</v>
      </c>
      <c r="E1178" t="s">
        <v>18</v>
      </c>
      <c r="F1178">
        <v>1917.87</v>
      </c>
      <c r="G1178">
        <v>282.76</v>
      </c>
      <c r="H1178" t="s">
        <v>13</v>
      </c>
      <c r="I1178" t="s">
        <v>34</v>
      </c>
    </row>
    <row r="1179" spans="1:9" x14ac:dyDescent="0.35">
      <c r="A1179" t="s">
        <v>1215</v>
      </c>
      <c r="B1179" s="1">
        <v>44746</v>
      </c>
      <c r="C1179" t="s">
        <v>10</v>
      </c>
      <c r="D1179" t="s">
        <v>46</v>
      </c>
      <c r="E1179" t="s">
        <v>18</v>
      </c>
      <c r="F1179">
        <v>1683.98</v>
      </c>
      <c r="G1179">
        <v>440.78</v>
      </c>
      <c r="H1179" t="s">
        <v>28</v>
      </c>
      <c r="I1179" t="s">
        <v>29</v>
      </c>
    </row>
    <row r="1180" spans="1:9" x14ac:dyDescent="0.35">
      <c r="A1180" t="s">
        <v>1216</v>
      </c>
      <c r="B1180" s="1">
        <v>45234</v>
      </c>
      <c r="C1180" t="s">
        <v>25</v>
      </c>
      <c r="D1180" t="s">
        <v>31</v>
      </c>
      <c r="E1180" t="s">
        <v>12</v>
      </c>
      <c r="F1180">
        <v>1850.17</v>
      </c>
      <c r="G1180">
        <v>368.16</v>
      </c>
      <c r="H1180" t="s">
        <v>13</v>
      </c>
      <c r="I1180" t="s">
        <v>29</v>
      </c>
    </row>
    <row r="1181" spans="1:9" x14ac:dyDescent="0.35">
      <c r="A1181" t="s">
        <v>1217</v>
      </c>
      <c r="B1181" s="1">
        <v>45461</v>
      </c>
      <c r="C1181" t="s">
        <v>22</v>
      </c>
      <c r="D1181" t="s">
        <v>38</v>
      </c>
      <c r="E1181" t="s">
        <v>12</v>
      </c>
      <c r="F1181">
        <v>747.39</v>
      </c>
      <c r="G1181">
        <v>167.76</v>
      </c>
      <c r="H1181" t="s">
        <v>19</v>
      </c>
      <c r="I1181" t="s">
        <v>14</v>
      </c>
    </row>
    <row r="1182" spans="1:9" x14ac:dyDescent="0.35">
      <c r="A1182" t="s">
        <v>1218</v>
      </c>
      <c r="B1182" s="1">
        <v>45477</v>
      </c>
      <c r="C1182" t="s">
        <v>16</v>
      </c>
      <c r="D1182" t="s">
        <v>11</v>
      </c>
      <c r="E1182" t="s">
        <v>12</v>
      </c>
      <c r="F1182">
        <v>1337.34</v>
      </c>
      <c r="G1182">
        <v>147.22</v>
      </c>
      <c r="H1182" t="s">
        <v>19</v>
      </c>
      <c r="I1182" t="s">
        <v>29</v>
      </c>
    </row>
    <row r="1183" spans="1:9" x14ac:dyDescent="0.35">
      <c r="A1183" t="s">
        <v>1219</v>
      </c>
      <c r="B1183" s="1">
        <v>44562</v>
      </c>
      <c r="C1183" t="s">
        <v>22</v>
      </c>
      <c r="D1183" t="s">
        <v>97</v>
      </c>
      <c r="E1183" t="s">
        <v>27</v>
      </c>
      <c r="F1183">
        <v>1869.07</v>
      </c>
      <c r="G1183">
        <v>384.17</v>
      </c>
      <c r="H1183" t="s">
        <v>28</v>
      </c>
      <c r="I1183" t="s">
        <v>34</v>
      </c>
    </row>
    <row r="1184" spans="1:9" x14ac:dyDescent="0.35">
      <c r="A1184" t="s">
        <v>1220</v>
      </c>
      <c r="B1184" s="1">
        <v>45569</v>
      </c>
      <c r="C1184" t="s">
        <v>25</v>
      </c>
      <c r="D1184" t="s">
        <v>33</v>
      </c>
      <c r="E1184" t="s">
        <v>18</v>
      </c>
      <c r="F1184">
        <v>492.32</v>
      </c>
      <c r="G1184">
        <v>86.47</v>
      </c>
      <c r="H1184" t="s">
        <v>19</v>
      </c>
      <c r="I1184" t="s">
        <v>20</v>
      </c>
    </row>
    <row r="1185" spans="1:9" x14ac:dyDescent="0.35">
      <c r="A1185" t="s">
        <v>1221</v>
      </c>
      <c r="B1185" s="1">
        <v>45223</v>
      </c>
      <c r="C1185" t="s">
        <v>16</v>
      </c>
      <c r="D1185" t="s">
        <v>11</v>
      </c>
      <c r="E1185" t="s">
        <v>12</v>
      </c>
      <c r="F1185">
        <v>977.56</v>
      </c>
      <c r="G1185">
        <v>139.16999999999999</v>
      </c>
      <c r="H1185" t="s">
        <v>19</v>
      </c>
      <c r="I1185" t="s">
        <v>29</v>
      </c>
    </row>
    <row r="1186" spans="1:9" x14ac:dyDescent="0.35">
      <c r="A1186" t="s">
        <v>1222</v>
      </c>
      <c r="B1186" s="1">
        <v>45653</v>
      </c>
      <c r="C1186" t="s">
        <v>16</v>
      </c>
      <c r="D1186" t="s">
        <v>41</v>
      </c>
      <c r="E1186" t="s">
        <v>12</v>
      </c>
      <c r="F1186">
        <v>1826.17</v>
      </c>
      <c r="G1186">
        <v>147.06</v>
      </c>
      <c r="H1186" t="s">
        <v>13</v>
      </c>
      <c r="I1186" t="s">
        <v>34</v>
      </c>
    </row>
    <row r="1187" spans="1:9" x14ac:dyDescent="0.35">
      <c r="A1187" t="s">
        <v>1223</v>
      </c>
      <c r="B1187" s="1">
        <v>45118</v>
      </c>
      <c r="C1187" t="s">
        <v>16</v>
      </c>
      <c r="D1187" t="s">
        <v>26</v>
      </c>
      <c r="E1187" t="s">
        <v>27</v>
      </c>
      <c r="F1187">
        <v>1561.24</v>
      </c>
      <c r="G1187">
        <v>132.88999999999999</v>
      </c>
      <c r="H1187" t="s">
        <v>13</v>
      </c>
      <c r="I1187" t="s">
        <v>34</v>
      </c>
    </row>
    <row r="1188" spans="1:9" x14ac:dyDescent="0.35">
      <c r="A1188" t="s">
        <v>1224</v>
      </c>
      <c r="B1188" s="1">
        <v>45271</v>
      </c>
      <c r="C1188" t="s">
        <v>25</v>
      </c>
      <c r="D1188" t="s">
        <v>41</v>
      </c>
      <c r="E1188" t="s">
        <v>12</v>
      </c>
      <c r="F1188">
        <v>1938.15</v>
      </c>
      <c r="G1188">
        <v>490.71</v>
      </c>
      <c r="H1188" t="s">
        <v>19</v>
      </c>
      <c r="I1188" t="s">
        <v>34</v>
      </c>
    </row>
    <row r="1189" spans="1:9" x14ac:dyDescent="0.35">
      <c r="A1189" t="s">
        <v>1225</v>
      </c>
      <c r="B1189" s="1">
        <v>44820</v>
      </c>
      <c r="C1189" t="s">
        <v>22</v>
      </c>
      <c r="D1189" t="s">
        <v>95</v>
      </c>
      <c r="E1189" t="s">
        <v>18</v>
      </c>
      <c r="F1189">
        <v>1688.28</v>
      </c>
      <c r="G1189">
        <v>423.26</v>
      </c>
      <c r="H1189" t="s">
        <v>19</v>
      </c>
      <c r="I1189" t="s">
        <v>14</v>
      </c>
    </row>
    <row r="1190" spans="1:9" x14ac:dyDescent="0.35">
      <c r="A1190" t="s">
        <v>1226</v>
      </c>
      <c r="B1190" s="1">
        <v>44766</v>
      </c>
      <c r="C1190" t="s">
        <v>10</v>
      </c>
      <c r="D1190" t="s">
        <v>62</v>
      </c>
      <c r="E1190" t="s">
        <v>27</v>
      </c>
      <c r="F1190">
        <v>69.92</v>
      </c>
      <c r="G1190">
        <v>20.55</v>
      </c>
      <c r="H1190" t="s">
        <v>28</v>
      </c>
      <c r="I1190" t="s">
        <v>14</v>
      </c>
    </row>
    <row r="1191" spans="1:9" x14ac:dyDescent="0.35">
      <c r="A1191" t="s">
        <v>1227</v>
      </c>
      <c r="B1191" s="1">
        <v>44653</v>
      </c>
      <c r="C1191" t="s">
        <v>10</v>
      </c>
      <c r="D1191" t="s">
        <v>26</v>
      </c>
      <c r="E1191" t="s">
        <v>27</v>
      </c>
      <c r="F1191">
        <v>551.46</v>
      </c>
      <c r="G1191">
        <v>161</v>
      </c>
      <c r="H1191" t="s">
        <v>19</v>
      </c>
      <c r="I1191" t="s">
        <v>29</v>
      </c>
    </row>
    <row r="1192" spans="1:9" x14ac:dyDescent="0.35">
      <c r="A1192" t="s">
        <v>1228</v>
      </c>
      <c r="B1192" s="1">
        <v>44790</v>
      </c>
      <c r="C1192" t="s">
        <v>22</v>
      </c>
      <c r="D1192" t="s">
        <v>95</v>
      </c>
      <c r="E1192" t="s">
        <v>18</v>
      </c>
      <c r="F1192">
        <v>892.36</v>
      </c>
      <c r="G1192">
        <v>93.3</v>
      </c>
      <c r="H1192" t="s">
        <v>13</v>
      </c>
      <c r="I1192" t="s">
        <v>20</v>
      </c>
    </row>
    <row r="1193" spans="1:9" x14ac:dyDescent="0.35">
      <c r="A1193" t="s">
        <v>1229</v>
      </c>
      <c r="B1193" s="1">
        <v>44861</v>
      </c>
      <c r="C1193" t="s">
        <v>16</v>
      </c>
      <c r="D1193" t="s">
        <v>38</v>
      </c>
      <c r="E1193" t="s">
        <v>12</v>
      </c>
      <c r="F1193">
        <v>1017.24</v>
      </c>
      <c r="G1193">
        <v>96.25</v>
      </c>
      <c r="H1193" t="s">
        <v>28</v>
      </c>
      <c r="I1193" t="s">
        <v>20</v>
      </c>
    </row>
    <row r="1194" spans="1:9" x14ac:dyDescent="0.35">
      <c r="A1194" t="s">
        <v>1230</v>
      </c>
      <c r="B1194" s="1">
        <v>44645</v>
      </c>
      <c r="C1194" t="s">
        <v>16</v>
      </c>
      <c r="D1194" t="s">
        <v>11</v>
      </c>
      <c r="E1194" t="s">
        <v>12</v>
      </c>
      <c r="F1194">
        <v>233.25</v>
      </c>
      <c r="G1194">
        <v>14.01</v>
      </c>
      <c r="H1194" t="s">
        <v>13</v>
      </c>
      <c r="I1194" t="s">
        <v>14</v>
      </c>
    </row>
    <row r="1195" spans="1:9" x14ac:dyDescent="0.35">
      <c r="A1195" t="s">
        <v>1231</v>
      </c>
      <c r="B1195" s="1">
        <v>44751</v>
      </c>
      <c r="C1195" t="s">
        <v>25</v>
      </c>
      <c r="D1195" t="s">
        <v>26</v>
      </c>
      <c r="E1195" t="s">
        <v>27</v>
      </c>
      <c r="F1195">
        <v>1476.63</v>
      </c>
      <c r="G1195">
        <v>349.56</v>
      </c>
      <c r="H1195" t="s">
        <v>13</v>
      </c>
      <c r="I1195" t="s">
        <v>34</v>
      </c>
    </row>
    <row r="1196" spans="1:9" x14ac:dyDescent="0.35">
      <c r="A1196" t="s">
        <v>1232</v>
      </c>
      <c r="B1196" s="1">
        <v>44766</v>
      </c>
      <c r="C1196" t="s">
        <v>25</v>
      </c>
      <c r="D1196" t="s">
        <v>11</v>
      </c>
      <c r="E1196" t="s">
        <v>12</v>
      </c>
      <c r="F1196">
        <v>1684.13</v>
      </c>
      <c r="G1196">
        <v>103.63</v>
      </c>
      <c r="H1196" t="s">
        <v>28</v>
      </c>
      <c r="I1196" t="s">
        <v>20</v>
      </c>
    </row>
    <row r="1197" spans="1:9" x14ac:dyDescent="0.35">
      <c r="A1197" t="s">
        <v>1233</v>
      </c>
      <c r="B1197" s="1">
        <v>44774</v>
      </c>
      <c r="C1197" t="s">
        <v>10</v>
      </c>
      <c r="D1197" t="s">
        <v>17</v>
      </c>
      <c r="E1197" t="s">
        <v>18</v>
      </c>
      <c r="F1197">
        <v>1905.36</v>
      </c>
      <c r="G1197">
        <v>362.16</v>
      </c>
      <c r="H1197" t="s">
        <v>28</v>
      </c>
      <c r="I1197" t="s">
        <v>14</v>
      </c>
    </row>
    <row r="1198" spans="1:9" x14ac:dyDescent="0.35">
      <c r="A1198" t="s">
        <v>1234</v>
      </c>
      <c r="B1198" s="1">
        <v>45573</v>
      </c>
      <c r="C1198" t="s">
        <v>10</v>
      </c>
      <c r="D1198" t="s">
        <v>57</v>
      </c>
      <c r="E1198" t="s">
        <v>27</v>
      </c>
      <c r="F1198">
        <v>807.91</v>
      </c>
      <c r="G1198">
        <v>50.16</v>
      </c>
      <c r="H1198" t="s">
        <v>13</v>
      </c>
      <c r="I1198" t="s">
        <v>34</v>
      </c>
    </row>
    <row r="1199" spans="1:9" x14ac:dyDescent="0.35">
      <c r="A1199" t="s">
        <v>1235</v>
      </c>
      <c r="B1199" s="1">
        <v>45533</v>
      </c>
      <c r="C1199" t="s">
        <v>10</v>
      </c>
      <c r="D1199" t="s">
        <v>26</v>
      </c>
      <c r="E1199" t="s">
        <v>27</v>
      </c>
      <c r="F1199">
        <v>1878.48</v>
      </c>
      <c r="G1199">
        <v>428.75</v>
      </c>
      <c r="H1199" t="s">
        <v>28</v>
      </c>
      <c r="I1199" t="s">
        <v>20</v>
      </c>
    </row>
    <row r="1200" spans="1:9" x14ac:dyDescent="0.35">
      <c r="A1200" t="s">
        <v>1236</v>
      </c>
      <c r="B1200" s="1">
        <v>45265</v>
      </c>
      <c r="C1200" t="s">
        <v>22</v>
      </c>
      <c r="D1200" t="s">
        <v>62</v>
      </c>
      <c r="E1200" t="s">
        <v>27</v>
      </c>
      <c r="F1200">
        <v>577.42999999999995</v>
      </c>
      <c r="G1200">
        <v>35.729999999999997</v>
      </c>
      <c r="H1200" t="s">
        <v>19</v>
      </c>
      <c r="I1200" t="s">
        <v>29</v>
      </c>
    </row>
    <row r="1201" spans="1:9" x14ac:dyDescent="0.35">
      <c r="A1201" t="s">
        <v>1237</v>
      </c>
      <c r="B1201" s="1">
        <v>45239</v>
      </c>
      <c r="C1201" t="s">
        <v>16</v>
      </c>
      <c r="D1201" t="s">
        <v>95</v>
      </c>
      <c r="E1201" t="s">
        <v>18</v>
      </c>
      <c r="F1201">
        <v>610.99</v>
      </c>
      <c r="G1201">
        <v>120.97</v>
      </c>
      <c r="H1201" t="s">
        <v>28</v>
      </c>
      <c r="I1201" t="s">
        <v>20</v>
      </c>
    </row>
    <row r="1202" spans="1:9" x14ac:dyDescent="0.35">
      <c r="A1202" t="s">
        <v>1238</v>
      </c>
      <c r="B1202" s="1">
        <v>44600</v>
      </c>
      <c r="C1202" t="s">
        <v>25</v>
      </c>
      <c r="D1202" t="s">
        <v>46</v>
      </c>
      <c r="E1202" t="s">
        <v>18</v>
      </c>
      <c r="F1202">
        <v>432.4</v>
      </c>
      <c r="G1202">
        <v>113.07</v>
      </c>
      <c r="H1202" t="s">
        <v>13</v>
      </c>
      <c r="I1202" t="s">
        <v>20</v>
      </c>
    </row>
    <row r="1203" spans="1:9" x14ac:dyDescent="0.35">
      <c r="A1203" t="s">
        <v>1239</v>
      </c>
      <c r="B1203" s="1">
        <v>45103</v>
      </c>
      <c r="C1203" t="s">
        <v>25</v>
      </c>
      <c r="D1203" t="s">
        <v>73</v>
      </c>
      <c r="E1203" t="s">
        <v>27</v>
      </c>
      <c r="F1203">
        <v>1484.86</v>
      </c>
      <c r="G1203">
        <v>193.26</v>
      </c>
      <c r="H1203" t="s">
        <v>19</v>
      </c>
      <c r="I1203" t="s">
        <v>20</v>
      </c>
    </row>
    <row r="1204" spans="1:9" x14ac:dyDescent="0.35">
      <c r="A1204" t="s">
        <v>1240</v>
      </c>
      <c r="B1204" s="1">
        <v>44607</v>
      </c>
      <c r="C1204" t="s">
        <v>25</v>
      </c>
      <c r="D1204" t="s">
        <v>41</v>
      </c>
      <c r="E1204" t="s">
        <v>12</v>
      </c>
      <c r="F1204">
        <v>237.73</v>
      </c>
      <c r="G1204">
        <v>56.84</v>
      </c>
      <c r="H1204" t="s">
        <v>13</v>
      </c>
      <c r="I1204" t="s">
        <v>34</v>
      </c>
    </row>
    <row r="1205" spans="1:9" x14ac:dyDescent="0.35">
      <c r="A1205" t="s">
        <v>1241</v>
      </c>
      <c r="B1205" s="1">
        <v>44592</v>
      </c>
      <c r="C1205" t="s">
        <v>16</v>
      </c>
      <c r="D1205" t="s">
        <v>11</v>
      </c>
      <c r="E1205" t="s">
        <v>12</v>
      </c>
      <c r="F1205">
        <v>1963.79</v>
      </c>
      <c r="G1205">
        <v>132.04</v>
      </c>
      <c r="H1205" t="s">
        <v>28</v>
      </c>
      <c r="I1205" t="s">
        <v>34</v>
      </c>
    </row>
    <row r="1206" spans="1:9" x14ac:dyDescent="0.35">
      <c r="A1206" t="s">
        <v>1242</v>
      </c>
      <c r="B1206" s="1">
        <v>44733</v>
      </c>
      <c r="C1206" t="s">
        <v>10</v>
      </c>
      <c r="D1206" t="s">
        <v>31</v>
      </c>
      <c r="E1206" t="s">
        <v>12</v>
      </c>
      <c r="F1206">
        <v>638.63</v>
      </c>
      <c r="G1206">
        <v>45.44</v>
      </c>
      <c r="H1206" t="s">
        <v>13</v>
      </c>
      <c r="I1206" t="s">
        <v>29</v>
      </c>
    </row>
    <row r="1207" spans="1:9" x14ac:dyDescent="0.35">
      <c r="A1207" t="s">
        <v>1243</v>
      </c>
      <c r="B1207" s="1">
        <v>44651</v>
      </c>
      <c r="C1207" t="s">
        <v>10</v>
      </c>
      <c r="D1207" t="s">
        <v>62</v>
      </c>
      <c r="E1207" t="s">
        <v>27</v>
      </c>
      <c r="F1207">
        <v>404.35</v>
      </c>
      <c r="G1207">
        <v>82.09</v>
      </c>
      <c r="H1207" t="s">
        <v>13</v>
      </c>
      <c r="I1207" t="s">
        <v>29</v>
      </c>
    </row>
    <row r="1208" spans="1:9" x14ac:dyDescent="0.35">
      <c r="A1208" t="s">
        <v>1244</v>
      </c>
      <c r="B1208" s="1">
        <v>44674</v>
      </c>
      <c r="C1208" t="s">
        <v>10</v>
      </c>
      <c r="D1208" t="s">
        <v>73</v>
      </c>
      <c r="E1208" t="s">
        <v>27</v>
      </c>
      <c r="F1208">
        <v>1274.83</v>
      </c>
      <c r="G1208">
        <v>215.75</v>
      </c>
      <c r="H1208" t="s">
        <v>19</v>
      </c>
      <c r="I1208" t="s">
        <v>29</v>
      </c>
    </row>
    <row r="1209" spans="1:9" x14ac:dyDescent="0.35">
      <c r="A1209" t="s">
        <v>1245</v>
      </c>
      <c r="B1209" s="1">
        <v>44845</v>
      </c>
      <c r="C1209" t="s">
        <v>16</v>
      </c>
      <c r="D1209" t="s">
        <v>41</v>
      </c>
      <c r="E1209" t="s">
        <v>12</v>
      </c>
      <c r="F1209">
        <v>1954.37</v>
      </c>
      <c r="G1209">
        <v>310</v>
      </c>
      <c r="H1209" t="s">
        <v>13</v>
      </c>
      <c r="I1209" t="s">
        <v>14</v>
      </c>
    </row>
    <row r="1210" spans="1:9" x14ac:dyDescent="0.35">
      <c r="A1210" t="s">
        <v>1246</v>
      </c>
      <c r="B1210" s="1">
        <v>44669</v>
      </c>
      <c r="C1210" t="s">
        <v>10</v>
      </c>
      <c r="D1210" t="s">
        <v>23</v>
      </c>
      <c r="E1210" t="s">
        <v>18</v>
      </c>
      <c r="F1210">
        <v>1264.72</v>
      </c>
      <c r="G1210">
        <v>309.76</v>
      </c>
      <c r="H1210" t="s">
        <v>13</v>
      </c>
      <c r="I1210" t="s">
        <v>29</v>
      </c>
    </row>
    <row r="1211" spans="1:9" x14ac:dyDescent="0.35">
      <c r="A1211" t="s">
        <v>1247</v>
      </c>
      <c r="B1211" s="1">
        <v>45620</v>
      </c>
      <c r="C1211" t="s">
        <v>16</v>
      </c>
      <c r="D1211" t="s">
        <v>41</v>
      </c>
      <c r="E1211" t="s">
        <v>12</v>
      </c>
      <c r="F1211">
        <v>221.34</v>
      </c>
      <c r="G1211">
        <v>52.77</v>
      </c>
      <c r="H1211" t="s">
        <v>28</v>
      </c>
      <c r="I1211" t="s">
        <v>34</v>
      </c>
    </row>
    <row r="1212" spans="1:9" x14ac:dyDescent="0.35">
      <c r="A1212" t="s">
        <v>1248</v>
      </c>
      <c r="B1212" s="1">
        <v>44723</v>
      </c>
      <c r="C1212" t="s">
        <v>16</v>
      </c>
      <c r="D1212" t="s">
        <v>46</v>
      </c>
      <c r="E1212" t="s">
        <v>18</v>
      </c>
      <c r="F1212">
        <v>1783.51</v>
      </c>
      <c r="G1212">
        <v>259.08999999999997</v>
      </c>
      <c r="H1212" t="s">
        <v>19</v>
      </c>
      <c r="I1212" t="s">
        <v>29</v>
      </c>
    </row>
    <row r="1213" spans="1:9" x14ac:dyDescent="0.35">
      <c r="A1213" t="s">
        <v>1249</v>
      </c>
      <c r="B1213" s="1">
        <v>44722</v>
      </c>
      <c r="C1213" t="s">
        <v>16</v>
      </c>
      <c r="D1213" t="s">
        <v>46</v>
      </c>
      <c r="E1213" t="s">
        <v>18</v>
      </c>
      <c r="F1213">
        <v>1337.79</v>
      </c>
      <c r="G1213">
        <v>243.99</v>
      </c>
      <c r="H1213" t="s">
        <v>19</v>
      </c>
      <c r="I1213" t="s">
        <v>29</v>
      </c>
    </row>
    <row r="1214" spans="1:9" x14ac:dyDescent="0.35">
      <c r="A1214" t="s">
        <v>1250</v>
      </c>
      <c r="B1214" s="1">
        <v>45635</v>
      </c>
      <c r="C1214" t="s">
        <v>25</v>
      </c>
      <c r="D1214" t="s">
        <v>41</v>
      </c>
      <c r="E1214" t="s">
        <v>12</v>
      </c>
      <c r="F1214">
        <v>71.040000000000006</v>
      </c>
      <c r="G1214">
        <v>19.23</v>
      </c>
      <c r="H1214" t="s">
        <v>13</v>
      </c>
      <c r="I1214" t="s">
        <v>20</v>
      </c>
    </row>
    <row r="1215" spans="1:9" x14ac:dyDescent="0.35">
      <c r="A1215" t="s">
        <v>1251</v>
      </c>
      <c r="B1215" s="1">
        <v>44850</v>
      </c>
      <c r="C1215" t="s">
        <v>25</v>
      </c>
      <c r="D1215" t="s">
        <v>17</v>
      </c>
      <c r="E1215" t="s">
        <v>18</v>
      </c>
      <c r="F1215">
        <v>1603.26</v>
      </c>
      <c r="G1215">
        <v>178.21</v>
      </c>
      <c r="H1215" t="s">
        <v>28</v>
      </c>
      <c r="I1215" t="s">
        <v>20</v>
      </c>
    </row>
    <row r="1216" spans="1:9" x14ac:dyDescent="0.35">
      <c r="A1216" t="s">
        <v>1252</v>
      </c>
      <c r="B1216" s="1">
        <v>45352</v>
      </c>
      <c r="C1216" t="s">
        <v>22</v>
      </c>
      <c r="D1216" t="s">
        <v>26</v>
      </c>
      <c r="E1216" t="s">
        <v>27</v>
      </c>
      <c r="F1216">
        <v>95.4</v>
      </c>
      <c r="G1216">
        <v>24.66</v>
      </c>
      <c r="H1216" t="s">
        <v>19</v>
      </c>
      <c r="I1216" t="s">
        <v>34</v>
      </c>
    </row>
    <row r="1217" spans="1:9" x14ac:dyDescent="0.35">
      <c r="A1217" t="s">
        <v>1253</v>
      </c>
      <c r="B1217" s="1">
        <v>45180</v>
      </c>
      <c r="C1217" t="s">
        <v>22</v>
      </c>
      <c r="D1217" t="s">
        <v>41</v>
      </c>
      <c r="E1217" t="s">
        <v>12</v>
      </c>
      <c r="F1217">
        <v>1241.23</v>
      </c>
      <c r="G1217">
        <v>161.88</v>
      </c>
      <c r="H1217" t="s">
        <v>13</v>
      </c>
      <c r="I1217" t="s">
        <v>29</v>
      </c>
    </row>
    <row r="1218" spans="1:9" x14ac:dyDescent="0.35">
      <c r="A1218" t="s">
        <v>1254</v>
      </c>
      <c r="B1218" s="1">
        <v>44781</v>
      </c>
      <c r="C1218" t="s">
        <v>10</v>
      </c>
      <c r="D1218" t="s">
        <v>50</v>
      </c>
      <c r="E1218" t="s">
        <v>12</v>
      </c>
      <c r="F1218">
        <v>1203.6600000000001</v>
      </c>
      <c r="G1218">
        <v>182.09</v>
      </c>
      <c r="H1218" t="s">
        <v>19</v>
      </c>
      <c r="I1218" t="s">
        <v>20</v>
      </c>
    </row>
    <row r="1219" spans="1:9" x14ac:dyDescent="0.35">
      <c r="A1219" t="s">
        <v>1255</v>
      </c>
      <c r="B1219" s="1">
        <v>44614</v>
      </c>
      <c r="C1219" t="s">
        <v>16</v>
      </c>
      <c r="D1219" t="s">
        <v>41</v>
      </c>
      <c r="E1219" t="s">
        <v>12</v>
      </c>
      <c r="F1219">
        <v>737.74</v>
      </c>
      <c r="G1219">
        <v>133.30000000000001</v>
      </c>
      <c r="H1219" t="s">
        <v>28</v>
      </c>
      <c r="I1219" t="s">
        <v>14</v>
      </c>
    </row>
    <row r="1220" spans="1:9" x14ac:dyDescent="0.35">
      <c r="A1220" t="s">
        <v>1256</v>
      </c>
      <c r="B1220" s="1">
        <v>44983</v>
      </c>
      <c r="C1220" t="s">
        <v>16</v>
      </c>
      <c r="D1220" t="s">
        <v>33</v>
      </c>
      <c r="E1220" t="s">
        <v>18</v>
      </c>
      <c r="F1220">
        <v>1671.24</v>
      </c>
      <c r="G1220">
        <v>219.67</v>
      </c>
      <c r="H1220" t="s">
        <v>28</v>
      </c>
      <c r="I1220" t="s">
        <v>14</v>
      </c>
    </row>
    <row r="1221" spans="1:9" x14ac:dyDescent="0.35">
      <c r="A1221" t="s">
        <v>1257</v>
      </c>
      <c r="B1221" s="1">
        <v>45498</v>
      </c>
      <c r="C1221" t="s">
        <v>16</v>
      </c>
      <c r="D1221" t="s">
        <v>33</v>
      </c>
      <c r="E1221" t="s">
        <v>18</v>
      </c>
      <c r="F1221">
        <v>1969.03</v>
      </c>
      <c r="G1221">
        <v>579.98</v>
      </c>
      <c r="H1221" t="s">
        <v>19</v>
      </c>
      <c r="I1221" t="s">
        <v>14</v>
      </c>
    </row>
    <row r="1222" spans="1:9" x14ac:dyDescent="0.35">
      <c r="A1222" t="s">
        <v>1258</v>
      </c>
      <c r="B1222" s="1">
        <v>45152</v>
      </c>
      <c r="C1222" t="s">
        <v>22</v>
      </c>
      <c r="D1222" t="s">
        <v>11</v>
      </c>
      <c r="E1222" t="s">
        <v>12</v>
      </c>
      <c r="F1222">
        <v>536.92999999999995</v>
      </c>
      <c r="G1222">
        <v>111.28</v>
      </c>
      <c r="H1222" t="s">
        <v>19</v>
      </c>
      <c r="I1222" t="s">
        <v>20</v>
      </c>
    </row>
    <row r="1223" spans="1:9" x14ac:dyDescent="0.35">
      <c r="A1223" t="s">
        <v>1259</v>
      </c>
      <c r="B1223" s="1">
        <v>45408</v>
      </c>
      <c r="C1223" t="s">
        <v>25</v>
      </c>
      <c r="D1223" t="s">
        <v>31</v>
      </c>
      <c r="E1223" t="s">
        <v>12</v>
      </c>
      <c r="F1223">
        <v>697.37</v>
      </c>
      <c r="G1223">
        <v>164.24</v>
      </c>
      <c r="H1223" t="s">
        <v>13</v>
      </c>
      <c r="I1223" t="s">
        <v>34</v>
      </c>
    </row>
    <row r="1224" spans="1:9" x14ac:dyDescent="0.35">
      <c r="A1224" t="s">
        <v>1260</v>
      </c>
      <c r="B1224" s="1">
        <v>44637</v>
      </c>
      <c r="C1224" t="s">
        <v>16</v>
      </c>
      <c r="D1224" t="s">
        <v>97</v>
      </c>
      <c r="E1224" t="s">
        <v>27</v>
      </c>
      <c r="F1224">
        <v>521.49</v>
      </c>
      <c r="G1224">
        <v>35.49</v>
      </c>
      <c r="H1224" t="s">
        <v>13</v>
      </c>
      <c r="I1224" t="s">
        <v>34</v>
      </c>
    </row>
    <row r="1225" spans="1:9" x14ac:dyDescent="0.35">
      <c r="A1225" t="s">
        <v>1261</v>
      </c>
      <c r="B1225" s="1">
        <v>45290</v>
      </c>
      <c r="C1225" t="s">
        <v>10</v>
      </c>
      <c r="D1225" t="s">
        <v>41</v>
      </c>
      <c r="E1225" t="s">
        <v>12</v>
      </c>
      <c r="F1225">
        <v>1688.88</v>
      </c>
      <c r="G1225">
        <v>281.85000000000002</v>
      </c>
      <c r="H1225" t="s">
        <v>13</v>
      </c>
      <c r="I1225" t="s">
        <v>29</v>
      </c>
    </row>
    <row r="1226" spans="1:9" x14ac:dyDescent="0.35">
      <c r="A1226" t="s">
        <v>1262</v>
      </c>
      <c r="B1226" s="1">
        <v>44966</v>
      </c>
      <c r="C1226" t="s">
        <v>10</v>
      </c>
      <c r="D1226" t="s">
        <v>17</v>
      </c>
      <c r="E1226" t="s">
        <v>18</v>
      </c>
      <c r="F1226">
        <v>147</v>
      </c>
      <c r="G1226">
        <v>35.409999999999997</v>
      </c>
      <c r="H1226" t="s">
        <v>13</v>
      </c>
      <c r="I1226" t="s">
        <v>29</v>
      </c>
    </row>
    <row r="1227" spans="1:9" x14ac:dyDescent="0.35">
      <c r="A1227" t="s">
        <v>1263</v>
      </c>
      <c r="B1227" s="1">
        <v>45334</v>
      </c>
      <c r="C1227" t="s">
        <v>25</v>
      </c>
      <c r="D1227" t="s">
        <v>31</v>
      </c>
      <c r="E1227" t="s">
        <v>12</v>
      </c>
      <c r="F1227">
        <v>1818.11</v>
      </c>
      <c r="G1227">
        <v>322.37</v>
      </c>
      <c r="H1227" t="s">
        <v>19</v>
      </c>
      <c r="I1227" t="s">
        <v>14</v>
      </c>
    </row>
    <row r="1228" spans="1:9" x14ac:dyDescent="0.35">
      <c r="A1228" t="s">
        <v>1264</v>
      </c>
      <c r="B1228" s="1">
        <v>45158</v>
      </c>
      <c r="C1228" t="s">
        <v>22</v>
      </c>
      <c r="D1228" t="s">
        <v>62</v>
      </c>
      <c r="E1228" t="s">
        <v>27</v>
      </c>
      <c r="F1228">
        <v>114.57</v>
      </c>
      <c r="G1228">
        <v>9.0299999999999994</v>
      </c>
      <c r="H1228" t="s">
        <v>13</v>
      </c>
      <c r="I1228" t="s">
        <v>34</v>
      </c>
    </row>
    <row r="1229" spans="1:9" x14ac:dyDescent="0.35">
      <c r="A1229" t="s">
        <v>1265</v>
      </c>
      <c r="B1229" s="1">
        <v>45385</v>
      </c>
      <c r="C1229" t="s">
        <v>10</v>
      </c>
      <c r="D1229" t="s">
        <v>31</v>
      </c>
      <c r="E1229" t="s">
        <v>12</v>
      </c>
      <c r="F1229">
        <v>1810.79</v>
      </c>
      <c r="G1229">
        <v>250.4</v>
      </c>
      <c r="H1229" t="s">
        <v>13</v>
      </c>
      <c r="I1229" t="s">
        <v>14</v>
      </c>
    </row>
    <row r="1230" spans="1:9" x14ac:dyDescent="0.35">
      <c r="A1230" t="s">
        <v>1266</v>
      </c>
      <c r="B1230" s="1">
        <v>45199</v>
      </c>
      <c r="C1230" t="s">
        <v>16</v>
      </c>
      <c r="D1230" t="s">
        <v>73</v>
      </c>
      <c r="E1230" t="s">
        <v>27</v>
      </c>
      <c r="F1230">
        <v>1309.95</v>
      </c>
      <c r="G1230">
        <v>182.41</v>
      </c>
      <c r="H1230" t="s">
        <v>19</v>
      </c>
      <c r="I1230" t="s">
        <v>14</v>
      </c>
    </row>
    <row r="1231" spans="1:9" x14ac:dyDescent="0.35">
      <c r="A1231" t="s">
        <v>1267</v>
      </c>
      <c r="B1231" s="1">
        <v>44772</v>
      </c>
      <c r="C1231" t="s">
        <v>22</v>
      </c>
      <c r="D1231" t="s">
        <v>50</v>
      </c>
      <c r="E1231" t="s">
        <v>12</v>
      </c>
      <c r="F1231">
        <v>208.05</v>
      </c>
      <c r="G1231">
        <v>25.02</v>
      </c>
      <c r="H1231" t="s">
        <v>13</v>
      </c>
      <c r="I1231" t="s">
        <v>14</v>
      </c>
    </row>
    <row r="1232" spans="1:9" x14ac:dyDescent="0.35">
      <c r="A1232" t="s">
        <v>1268</v>
      </c>
      <c r="B1232" s="1">
        <v>45521</v>
      </c>
      <c r="C1232" t="s">
        <v>22</v>
      </c>
      <c r="D1232" t="s">
        <v>46</v>
      </c>
      <c r="E1232" t="s">
        <v>18</v>
      </c>
      <c r="F1232">
        <v>335.99</v>
      </c>
      <c r="G1232">
        <v>80.349999999999994</v>
      </c>
      <c r="H1232" t="s">
        <v>28</v>
      </c>
      <c r="I1232" t="s">
        <v>29</v>
      </c>
    </row>
    <row r="1233" spans="1:9" x14ac:dyDescent="0.35">
      <c r="A1233" t="s">
        <v>1269</v>
      </c>
      <c r="B1233" s="1">
        <v>45450</v>
      </c>
      <c r="C1233" t="s">
        <v>22</v>
      </c>
      <c r="D1233" t="s">
        <v>46</v>
      </c>
      <c r="E1233" t="s">
        <v>18</v>
      </c>
      <c r="F1233">
        <v>86.85</v>
      </c>
      <c r="G1233">
        <v>7.07</v>
      </c>
      <c r="H1233" t="s">
        <v>19</v>
      </c>
      <c r="I1233" t="s">
        <v>20</v>
      </c>
    </row>
    <row r="1234" spans="1:9" x14ac:dyDescent="0.35">
      <c r="A1234" t="s">
        <v>1270</v>
      </c>
      <c r="B1234" s="1">
        <v>44669</v>
      </c>
      <c r="C1234" t="s">
        <v>16</v>
      </c>
      <c r="D1234" t="s">
        <v>11</v>
      </c>
      <c r="E1234" t="s">
        <v>12</v>
      </c>
      <c r="F1234">
        <v>1588.36</v>
      </c>
      <c r="G1234">
        <v>196.96</v>
      </c>
      <c r="H1234" t="s">
        <v>13</v>
      </c>
      <c r="I1234" t="s">
        <v>20</v>
      </c>
    </row>
    <row r="1235" spans="1:9" x14ac:dyDescent="0.35">
      <c r="A1235" t="s">
        <v>1271</v>
      </c>
      <c r="B1235" s="1">
        <v>45142</v>
      </c>
      <c r="C1235" t="s">
        <v>22</v>
      </c>
      <c r="D1235" t="s">
        <v>17</v>
      </c>
      <c r="E1235" t="s">
        <v>18</v>
      </c>
      <c r="F1235">
        <v>1489.11</v>
      </c>
      <c r="G1235">
        <v>425.96</v>
      </c>
      <c r="H1235" t="s">
        <v>19</v>
      </c>
      <c r="I1235" t="s">
        <v>20</v>
      </c>
    </row>
    <row r="1236" spans="1:9" x14ac:dyDescent="0.35">
      <c r="A1236" t="s">
        <v>1272</v>
      </c>
      <c r="B1236" s="1">
        <v>45461</v>
      </c>
      <c r="C1236" t="s">
        <v>10</v>
      </c>
      <c r="D1236" t="s">
        <v>11</v>
      </c>
      <c r="E1236" t="s">
        <v>12</v>
      </c>
      <c r="F1236">
        <v>1926.9</v>
      </c>
      <c r="G1236">
        <v>452.94</v>
      </c>
      <c r="H1236" t="s">
        <v>19</v>
      </c>
      <c r="I1236" t="s">
        <v>34</v>
      </c>
    </row>
    <row r="1237" spans="1:9" x14ac:dyDescent="0.35">
      <c r="A1237" t="s">
        <v>1273</v>
      </c>
      <c r="B1237" s="1">
        <v>44961</v>
      </c>
      <c r="C1237" t="s">
        <v>25</v>
      </c>
      <c r="D1237" t="s">
        <v>57</v>
      </c>
      <c r="E1237" t="s">
        <v>27</v>
      </c>
      <c r="F1237">
        <v>1392.04</v>
      </c>
      <c r="G1237">
        <v>102.73</v>
      </c>
      <c r="H1237" t="s">
        <v>28</v>
      </c>
      <c r="I1237" t="s">
        <v>34</v>
      </c>
    </row>
    <row r="1238" spans="1:9" x14ac:dyDescent="0.35">
      <c r="A1238" t="s">
        <v>1274</v>
      </c>
      <c r="B1238" s="1">
        <v>45478</v>
      </c>
      <c r="C1238" t="s">
        <v>22</v>
      </c>
      <c r="D1238" t="s">
        <v>95</v>
      </c>
      <c r="E1238" t="s">
        <v>18</v>
      </c>
      <c r="F1238">
        <v>367.47</v>
      </c>
      <c r="G1238">
        <v>107.01</v>
      </c>
      <c r="H1238" t="s">
        <v>19</v>
      </c>
      <c r="I1238" t="s">
        <v>29</v>
      </c>
    </row>
    <row r="1239" spans="1:9" x14ac:dyDescent="0.35">
      <c r="A1239" t="s">
        <v>1275</v>
      </c>
      <c r="B1239" s="1">
        <v>45625</v>
      </c>
      <c r="C1239" t="s">
        <v>16</v>
      </c>
      <c r="D1239" t="s">
        <v>31</v>
      </c>
      <c r="E1239" t="s">
        <v>12</v>
      </c>
      <c r="F1239">
        <v>1491.62</v>
      </c>
      <c r="G1239">
        <v>424.9</v>
      </c>
      <c r="H1239" t="s">
        <v>19</v>
      </c>
      <c r="I1239" t="s">
        <v>29</v>
      </c>
    </row>
    <row r="1240" spans="1:9" x14ac:dyDescent="0.35">
      <c r="A1240" t="s">
        <v>1276</v>
      </c>
      <c r="B1240" s="1">
        <v>44757</v>
      </c>
      <c r="C1240" t="s">
        <v>22</v>
      </c>
      <c r="D1240" t="s">
        <v>62</v>
      </c>
      <c r="E1240" t="s">
        <v>27</v>
      </c>
      <c r="F1240">
        <v>73.37</v>
      </c>
      <c r="G1240">
        <v>18.78</v>
      </c>
      <c r="H1240" t="s">
        <v>19</v>
      </c>
      <c r="I1240" t="s">
        <v>14</v>
      </c>
    </row>
    <row r="1241" spans="1:9" x14ac:dyDescent="0.35">
      <c r="A1241" t="s">
        <v>1277</v>
      </c>
      <c r="B1241" s="1">
        <v>45537</v>
      </c>
      <c r="C1241" t="s">
        <v>10</v>
      </c>
      <c r="D1241" t="s">
        <v>73</v>
      </c>
      <c r="E1241" t="s">
        <v>27</v>
      </c>
      <c r="F1241">
        <v>1750.63</v>
      </c>
      <c r="G1241">
        <v>500.97</v>
      </c>
      <c r="H1241" t="s">
        <v>19</v>
      </c>
      <c r="I1241" t="s">
        <v>34</v>
      </c>
    </row>
    <row r="1242" spans="1:9" x14ac:dyDescent="0.35">
      <c r="A1242" t="s">
        <v>1278</v>
      </c>
      <c r="B1242" s="1">
        <v>44976</v>
      </c>
      <c r="C1242" t="s">
        <v>25</v>
      </c>
      <c r="D1242" t="s">
        <v>73</v>
      </c>
      <c r="E1242" t="s">
        <v>27</v>
      </c>
      <c r="F1242">
        <v>740.58</v>
      </c>
      <c r="G1242">
        <v>84.85</v>
      </c>
      <c r="H1242" t="s">
        <v>13</v>
      </c>
      <c r="I1242" t="s">
        <v>34</v>
      </c>
    </row>
    <row r="1243" spans="1:9" x14ac:dyDescent="0.35">
      <c r="A1243" t="s">
        <v>1279</v>
      </c>
      <c r="B1243" s="1">
        <v>44870</v>
      </c>
      <c r="C1243" t="s">
        <v>10</v>
      </c>
      <c r="D1243" t="s">
        <v>11</v>
      </c>
      <c r="E1243" t="s">
        <v>12</v>
      </c>
      <c r="F1243">
        <v>1871.94</v>
      </c>
      <c r="G1243">
        <v>415.91</v>
      </c>
      <c r="H1243" t="s">
        <v>13</v>
      </c>
      <c r="I1243" t="s">
        <v>34</v>
      </c>
    </row>
    <row r="1244" spans="1:9" x14ac:dyDescent="0.35">
      <c r="A1244" t="s">
        <v>1280</v>
      </c>
      <c r="B1244" s="1">
        <v>44688</v>
      </c>
      <c r="C1244" t="s">
        <v>25</v>
      </c>
      <c r="D1244" t="s">
        <v>50</v>
      </c>
      <c r="E1244" t="s">
        <v>12</v>
      </c>
      <c r="F1244">
        <v>1705.06</v>
      </c>
      <c r="G1244">
        <v>371.06</v>
      </c>
      <c r="H1244" t="s">
        <v>13</v>
      </c>
      <c r="I1244" t="s">
        <v>20</v>
      </c>
    </row>
    <row r="1245" spans="1:9" x14ac:dyDescent="0.35">
      <c r="A1245" t="s">
        <v>1281</v>
      </c>
      <c r="B1245" s="1">
        <v>45594</v>
      </c>
      <c r="C1245" t="s">
        <v>10</v>
      </c>
      <c r="D1245" t="s">
        <v>23</v>
      </c>
      <c r="E1245" t="s">
        <v>18</v>
      </c>
      <c r="F1245">
        <v>396.03</v>
      </c>
      <c r="G1245">
        <v>72.88</v>
      </c>
      <c r="H1245" t="s">
        <v>19</v>
      </c>
      <c r="I1245" t="s">
        <v>20</v>
      </c>
    </row>
    <row r="1246" spans="1:9" x14ac:dyDescent="0.35">
      <c r="A1246" t="s">
        <v>1282</v>
      </c>
      <c r="B1246" s="1">
        <v>44892</v>
      </c>
      <c r="C1246" t="s">
        <v>10</v>
      </c>
      <c r="D1246" t="s">
        <v>38</v>
      </c>
      <c r="E1246" t="s">
        <v>12</v>
      </c>
      <c r="F1246">
        <v>1168.97</v>
      </c>
      <c r="G1246">
        <v>257.01</v>
      </c>
      <c r="H1246" t="s">
        <v>19</v>
      </c>
      <c r="I1246" t="s">
        <v>20</v>
      </c>
    </row>
    <row r="1247" spans="1:9" x14ac:dyDescent="0.35">
      <c r="A1247" t="s">
        <v>1283</v>
      </c>
      <c r="B1247" s="1">
        <v>45301</v>
      </c>
      <c r="C1247" t="s">
        <v>25</v>
      </c>
      <c r="D1247" t="s">
        <v>62</v>
      </c>
      <c r="E1247" t="s">
        <v>27</v>
      </c>
      <c r="F1247">
        <v>1992.35</v>
      </c>
      <c r="G1247">
        <v>521.72</v>
      </c>
      <c r="H1247" t="s">
        <v>28</v>
      </c>
      <c r="I1247" t="s">
        <v>20</v>
      </c>
    </row>
    <row r="1248" spans="1:9" x14ac:dyDescent="0.35">
      <c r="A1248" t="s">
        <v>1284</v>
      </c>
      <c r="B1248" s="1">
        <v>45520</v>
      </c>
      <c r="C1248" t="s">
        <v>10</v>
      </c>
      <c r="D1248" t="s">
        <v>95</v>
      </c>
      <c r="E1248" t="s">
        <v>18</v>
      </c>
      <c r="F1248">
        <v>1132.48</v>
      </c>
      <c r="G1248">
        <v>270.36</v>
      </c>
      <c r="H1248" t="s">
        <v>28</v>
      </c>
      <c r="I1248" t="s">
        <v>34</v>
      </c>
    </row>
    <row r="1249" spans="1:9" x14ac:dyDescent="0.35">
      <c r="A1249" t="s">
        <v>1285</v>
      </c>
      <c r="B1249" s="1">
        <v>44822</v>
      </c>
      <c r="C1249" t="s">
        <v>10</v>
      </c>
      <c r="D1249" t="s">
        <v>17</v>
      </c>
      <c r="E1249" t="s">
        <v>18</v>
      </c>
      <c r="F1249">
        <v>881.29</v>
      </c>
      <c r="G1249">
        <v>153.19999999999999</v>
      </c>
      <c r="H1249" t="s">
        <v>28</v>
      </c>
      <c r="I1249" t="s">
        <v>14</v>
      </c>
    </row>
    <row r="1250" spans="1:9" x14ac:dyDescent="0.35">
      <c r="A1250" t="s">
        <v>1286</v>
      </c>
      <c r="B1250" s="1">
        <v>45601</v>
      </c>
      <c r="C1250" t="s">
        <v>22</v>
      </c>
      <c r="D1250" t="s">
        <v>46</v>
      </c>
      <c r="E1250" t="s">
        <v>18</v>
      </c>
      <c r="F1250">
        <v>1992.66</v>
      </c>
      <c r="G1250">
        <v>534.66999999999996</v>
      </c>
      <c r="H1250" t="s">
        <v>19</v>
      </c>
      <c r="I1250" t="s">
        <v>20</v>
      </c>
    </row>
    <row r="1251" spans="1:9" x14ac:dyDescent="0.35">
      <c r="A1251" t="s">
        <v>1287</v>
      </c>
      <c r="B1251" s="1">
        <v>44946</v>
      </c>
      <c r="C1251" t="s">
        <v>16</v>
      </c>
      <c r="D1251" t="s">
        <v>23</v>
      </c>
      <c r="E1251" t="s">
        <v>18</v>
      </c>
      <c r="F1251">
        <v>113.14</v>
      </c>
      <c r="G1251">
        <v>13.25</v>
      </c>
      <c r="H1251" t="s">
        <v>28</v>
      </c>
      <c r="I1251" t="s">
        <v>29</v>
      </c>
    </row>
    <row r="1252" spans="1:9" x14ac:dyDescent="0.35">
      <c r="A1252" t="s">
        <v>1288</v>
      </c>
      <c r="B1252" s="1">
        <v>45316</v>
      </c>
      <c r="C1252" t="s">
        <v>10</v>
      </c>
      <c r="D1252" t="s">
        <v>97</v>
      </c>
      <c r="E1252" t="s">
        <v>27</v>
      </c>
      <c r="F1252">
        <v>493.64</v>
      </c>
      <c r="G1252">
        <v>46.27</v>
      </c>
      <c r="H1252" t="s">
        <v>13</v>
      </c>
      <c r="I1252" t="s">
        <v>14</v>
      </c>
    </row>
    <row r="1253" spans="1:9" x14ac:dyDescent="0.35">
      <c r="A1253" t="s">
        <v>1289</v>
      </c>
      <c r="B1253" s="1">
        <v>45611</v>
      </c>
      <c r="C1253" t="s">
        <v>16</v>
      </c>
      <c r="D1253" t="s">
        <v>38</v>
      </c>
      <c r="E1253" t="s">
        <v>12</v>
      </c>
      <c r="F1253">
        <v>1073.52</v>
      </c>
      <c r="G1253">
        <v>213.17</v>
      </c>
      <c r="H1253" t="s">
        <v>28</v>
      </c>
      <c r="I1253" t="s">
        <v>20</v>
      </c>
    </row>
    <row r="1254" spans="1:9" x14ac:dyDescent="0.35">
      <c r="A1254" t="s">
        <v>1290</v>
      </c>
      <c r="B1254" s="1">
        <v>45569</v>
      </c>
      <c r="C1254" t="s">
        <v>16</v>
      </c>
      <c r="D1254" t="s">
        <v>33</v>
      </c>
      <c r="E1254" t="s">
        <v>18</v>
      </c>
      <c r="F1254">
        <v>1699.18</v>
      </c>
      <c r="G1254">
        <v>375.23</v>
      </c>
      <c r="H1254" t="s">
        <v>28</v>
      </c>
      <c r="I1254" t="s">
        <v>34</v>
      </c>
    </row>
    <row r="1255" spans="1:9" x14ac:dyDescent="0.35">
      <c r="A1255" t="s">
        <v>1291</v>
      </c>
      <c r="B1255" s="1">
        <v>45180</v>
      </c>
      <c r="C1255" t="s">
        <v>16</v>
      </c>
      <c r="D1255" t="s">
        <v>31</v>
      </c>
      <c r="E1255" t="s">
        <v>12</v>
      </c>
      <c r="F1255">
        <v>460.58</v>
      </c>
      <c r="G1255">
        <v>36.76</v>
      </c>
      <c r="H1255" t="s">
        <v>13</v>
      </c>
      <c r="I1255" t="s">
        <v>20</v>
      </c>
    </row>
    <row r="1256" spans="1:9" x14ac:dyDescent="0.35">
      <c r="A1256" t="s">
        <v>1292</v>
      </c>
      <c r="B1256" s="1">
        <v>44883</v>
      </c>
      <c r="C1256" t="s">
        <v>10</v>
      </c>
      <c r="D1256" t="s">
        <v>23</v>
      </c>
      <c r="E1256" t="s">
        <v>18</v>
      </c>
      <c r="F1256">
        <v>548.89</v>
      </c>
      <c r="G1256">
        <v>82.22</v>
      </c>
      <c r="H1256" t="s">
        <v>19</v>
      </c>
      <c r="I1256" t="s">
        <v>14</v>
      </c>
    </row>
    <row r="1257" spans="1:9" x14ac:dyDescent="0.35">
      <c r="A1257" t="s">
        <v>1293</v>
      </c>
      <c r="B1257" s="1">
        <v>45362</v>
      </c>
      <c r="C1257" t="s">
        <v>16</v>
      </c>
      <c r="D1257" t="s">
        <v>95</v>
      </c>
      <c r="E1257" t="s">
        <v>18</v>
      </c>
      <c r="F1257">
        <v>375.89</v>
      </c>
      <c r="G1257">
        <v>107.12</v>
      </c>
      <c r="H1257" t="s">
        <v>13</v>
      </c>
      <c r="I1257" t="s">
        <v>20</v>
      </c>
    </row>
    <row r="1258" spans="1:9" x14ac:dyDescent="0.35">
      <c r="A1258" t="s">
        <v>1294</v>
      </c>
      <c r="B1258" s="1">
        <v>44797</v>
      </c>
      <c r="C1258" t="s">
        <v>22</v>
      </c>
      <c r="D1258" t="s">
        <v>23</v>
      </c>
      <c r="E1258" t="s">
        <v>18</v>
      </c>
      <c r="F1258">
        <v>716.95</v>
      </c>
      <c r="G1258">
        <v>160.88999999999999</v>
      </c>
      <c r="H1258" t="s">
        <v>28</v>
      </c>
      <c r="I1258" t="s">
        <v>20</v>
      </c>
    </row>
    <row r="1259" spans="1:9" x14ac:dyDescent="0.35">
      <c r="A1259" t="s">
        <v>1295</v>
      </c>
      <c r="B1259" s="1">
        <v>45467</v>
      </c>
      <c r="C1259" t="s">
        <v>25</v>
      </c>
      <c r="D1259" t="s">
        <v>97</v>
      </c>
      <c r="E1259" t="s">
        <v>27</v>
      </c>
      <c r="F1259">
        <v>1263.67</v>
      </c>
      <c r="G1259">
        <v>150.75</v>
      </c>
      <c r="H1259" t="s">
        <v>28</v>
      </c>
      <c r="I1259" t="s">
        <v>14</v>
      </c>
    </row>
    <row r="1260" spans="1:9" x14ac:dyDescent="0.35">
      <c r="A1260" t="s">
        <v>1296</v>
      </c>
      <c r="B1260" s="1">
        <v>44741</v>
      </c>
      <c r="C1260" t="s">
        <v>22</v>
      </c>
      <c r="D1260" t="s">
        <v>38</v>
      </c>
      <c r="E1260" t="s">
        <v>12</v>
      </c>
      <c r="F1260">
        <v>449.66</v>
      </c>
      <c r="G1260">
        <v>72.64</v>
      </c>
      <c r="H1260" t="s">
        <v>13</v>
      </c>
      <c r="I1260" t="s">
        <v>20</v>
      </c>
    </row>
    <row r="1261" spans="1:9" x14ac:dyDescent="0.35">
      <c r="A1261" t="s">
        <v>1297</v>
      </c>
      <c r="B1261" s="1">
        <v>45401</v>
      </c>
      <c r="C1261" t="s">
        <v>22</v>
      </c>
      <c r="D1261" t="s">
        <v>95</v>
      </c>
      <c r="E1261" t="s">
        <v>18</v>
      </c>
      <c r="F1261">
        <v>1994.89</v>
      </c>
      <c r="G1261">
        <v>410.61</v>
      </c>
      <c r="H1261" t="s">
        <v>28</v>
      </c>
      <c r="I1261" t="s">
        <v>20</v>
      </c>
    </row>
    <row r="1262" spans="1:9" x14ac:dyDescent="0.35">
      <c r="A1262" t="s">
        <v>1298</v>
      </c>
      <c r="B1262" s="1">
        <v>45623</v>
      </c>
      <c r="C1262" t="s">
        <v>25</v>
      </c>
      <c r="D1262" t="s">
        <v>62</v>
      </c>
      <c r="E1262" t="s">
        <v>27</v>
      </c>
      <c r="F1262">
        <v>680.27</v>
      </c>
      <c r="G1262">
        <v>45.57</v>
      </c>
      <c r="H1262" t="s">
        <v>28</v>
      </c>
      <c r="I1262" t="s">
        <v>34</v>
      </c>
    </row>
    <row r="1263" spans="1:9" x14ac:dyDescent="0.35">
      <c r="A1263" t="s">
        <v>1299</v>
      </c>
      <c r="B1263" s="1">
        <v>44721</v>
      </c>
      <c r="C1263" t="s">
        <v>16</v>
      </c>
      <c r="D1263" t="s">
        <v>17</v>
      </c>
      <c r="E1263" t="s">
        <v>18</v>
      </c>
      <c r="F1263">
        <v>893.29</v>
      </c>
      <c r="G1263">
        <v>247.19</v>
      </c>
      <c r="H1263" t="s">
        <v>13</v>
      </c>
      <c r="I1263" t="s">
        <v>20</v>
      </c>
    </row>
    <row r="1264" spans="1:9" x14ac:dyDescent="0.35">
      <c r="A1264" t="s">
        <v>1300</v>
      </c>
      <c r="B1264" s="1">
        <v>44824</v>
      </c>
      <c r="C1264" t="s">
        <v>25</v>
      </c>
      <c r="D1264" t="s">
        <v>73</v>
      </c>
      <c r="E1264" t="s">
        <v>27</v>
      </c>
      <c r="F1264">
        <v>646.91</v>
      </c>
      <c r="G1264">
        <v>172.65</v>
      </c>
      <c r="H1264" t="s">
        <v>13</v>
      </c>
      <c r="I1264" t="s">
        <v>29</v>
      </c>
    </row>
    <row r="1265" spans="1:9" x14ac:dyDescent="0.35">
      <c r="A1265" t="s">
        <v>1301</v>
      </c>
      <c r="B1265" s="1">
        <v>44929</v>
      </c>
      <c r="C1265" t="s">
        <v>22</v>
      </c>
      <c r="D1265" t="s">
        <v>11</v>
      </c>
      <c r="E1265" t="s">
        <v>12</v>
      </c>
      <c r="F1265">
        <v>1251.3</v>
      </c>
      <c r="G1265">
        <v>247.89</v>
      </c>
      <c r="H1265" t="s">
        <v>28</v>
      </c>
      <c r="I1265" t="s">
        <v>20</v>
      </c>
    </row>
    <row r="1266" spans="1:9" x14ac:dyDescent="0.35">
      <c r="A1266" t="s">
        <v>1302</v>
      </c>
      <c r="B1266" s="1">
        <v>45612</v>
      </c>
      <c r="C1266" t="s">
        <v>16</v>
      </c>
      <c r="D1266" t="s">
        <v>31</v>
      </c>
      <c r="E1266" t="s">
        <v>12</v>
      </c>
      <c r="F1266">
        <v>132.91</v>
      </c>
      <c r="G1266">
        <v>31.69</v>
      </c>
      <c r="H1266" t="s">
        <v>28</v>
      </c>
      <c r="I1266" t="s">
        <v>29</v>
      </c>
    </row>
    <row r="1267" spans="1:9" x14ac:dyDescent="0.35">
      <c r="A1267" t="s">
        <v>1303</v>
      </c>
      <c r="B1267" s="1">
        <v>44971</v>
      </c>
      <c r="C1267" t="s">
        <v>10</v>
      </c>
      <c r="D1267" t="s">
        <v>62</v>
      </c>
      <c r="E1267" t="s">
        <v>27</v>
      </c>
      <c r="F1267">
        <v>1917.57</v>
      </c>
      <c r="G1267">
        <v>308.98</v>
      </c>
      <c r="H1267" t="s">
        <v>19</v>
      </c>
      <c r="I1267" t="s">
        <v>20</v>
      </c>
    </row>
    <row r="1268" spans="1:9" x14ac:dyDescent="0.35">
      <c r="A1268" t="s">
        <v>1304</v>
      </c>
      <c r="B1268" s="1">
        <v>44810</v>
      </c>
      <c r="C1268" t="s">
        <v>16</v>
      </c>
      <c r="D1268" t="s">
        <v>17</v>
      </c>
      <c r="E1268" t="s">
        <v>18</v>
      </c>
      <c r="F1268">
        <v>1831.47</v>
      </c>
      <c r="G1268">
        <v>255.27</v>
      </c>
      <c r="H1268" t="s">
        <v>28</v>
      </c>
      <c r="I1268" t="s">
        <v>20</v>
      </c>
    </row>
    <row r="1269" spans="1:9" x14ac:dyDescent="0.35">
      <c r="A1269" t="s">
        <v>1305</v>
      </c>
      <c r="B1269" s="1">
        <v>44812</v>
      </c>
      <c r="C1269" t="s">
        <v>22</v>
      </c>
      <c r="D1269" t="s">
        <v>23</v>
      </c>
      <c r="E1269" t="s">
        <v>18</v>
      </c>
      <c r="F1269">
        <v>1037.31</v>
      </c>
      <c r="G1269">
        <v>260.37</v>
      </c>
      <c r="H1269" t="s">
        <v>13</v>
      </c>
      <c r="I1269" t="s">
        <v>20</v>
      </c>
    </row>
    <row r="1270" spans="1:9" x14ac:dyDescent="0.35">
      <c r="A1270" t="s">
        <v>1306</v>
      </c>
      <c r="B1270" s="1">
        <v>45497</v>
      </c>
      <c r="C1270" t="s">
        <v>16</v>
      </c>
      <c r="D1270" t="s">
        <v>97</v>
      </c>
      <c r="E1270" t="s">
        <v>27</v>
      </c>
      <c r="F1270">
        <v>1388.98</v>
      </c>
      <c r="G1270">
        <v>192.91</v>
      </c>
      <c r="H1270" t="s">
        <v>13</v>
      </c>
      <c r="I1270" t="s">
        <v>29</v>
      </c>
    </row>
    <row r="1271" spans="1:9" x14ac:dyDescent="0.35">
      <c r="A1271" t="s">
        <v>1307</v>
      </c>
      <c r="B1271" s="1">
        <v>45344</v>
      </c>
      <c r="C1271" t="s">
        <v>16</v>
      </c>
      <c r="D1271" t="s">
        <v>46</v>
      </c>
      <c r="E1271" t="s">
        <v>18</v>
      </c>
      <c r="F1271">
        <v>1208.46</v>
      </c>
      <c r="G1271">
        <v>77.33</v>
      </c>
      <c r="H1271" t="s">
        <v>19</v>
      </c>
      <c r="I1271" t="s">
        <v>29</v>
      </c>
    </row>
    <row r="1272" spans="1:9" x14ac:dyDescent="0.35">
      <c r="A1272" t="s">
        <v>1308</v>
      </c>
      <c r="B1272" s="1">
        <v>45074</v>
      </c>
      <c r="C1272" t="s">
        <v>10</v>
      </c>
      <c r="D1272" t="s">
        <v>73</v>
      </c>
      <c r="E1272" t="s">
        <v>27</v>
      </c>
      <c r="F1272">
        <v>864.54</v>
      </c>
      <c r="G1272">
        <v>167.14</v>
      </c>
      <c r="H1272" t="s">
        <v>19</v>
      </c>
      <c r="I1272" t="s">
        <v>14</v>
      </c>
    </row>
    <row r="1273" spans="1:9" x14ac:dyDescent="0.35">
      <c r="A1273" t="s">
        <v>1309</v>
      </c>
      <c r="B1273" s="1">
        <v>45396</v>
      </c>
      <c r="C1273" t="s">
        <v>16</v>
      </c>
      <c r="D1273" t="s">
        <v>73</v>
      </c>
      <c r="E1273" t="s">
        <v>27</v>
      </c>
      <c r="F1273">
        <v>1978.36</v>
      </c>
      <c r="G1273">
        <v>212.64</v>
      </c>
      <c r="H1273" t="s">
        <v>28</v>
      </c>
      <c r="I1273" t="s">
        <v>29</v>
      </c>
    </row>
    <row r="1274" spans="1:9" x14ac:dyDescent="0.35">
      <c r="A1274" t="s">
        <v>1310</v>
      </c>
      <c r="B1274" s="1">
        <v>44735</v>
      </c>
      <c r="C1274" t="s">
        <v>10</v>
      </c>
      <c r="D1274" t="s">
        <v>38</v>
      </c>
      <c r="E1274" t="s">
        <v>12</v>
      </c>
      <c r="F1274">
        <v>168.97</v>
      </c>
      <c r="G1274">
        <v>47.85</v>
      </c>
      <c r="H1274" t="s">
        <v>28</v>
      </c>
      <c r="I1274" t="s">
        <v>29</v>
      </c>
    </row>
    <row r="1275" spans="1:9" x14ac:dyDescent="0.35">
      <c r="A1275" t="s">
        <v>1311</v>
      </c>
      <c r="B1275" s="1">
        <v>44671</v>
      </c>
      <c r="C1275" t="s">
        <v>10</v>
      </c>
      <c r="D1275" t="s">
        <v>57</v>
      </c>
      <c r="E1275" t="s">
        <v>27</v>
      </c>
      <c r="F1275">
        <v>1763.4</v>
      </c>
      <c r="G1275">
        <v>166.28</v>
      </c>
      <c r="H1275" t="s">
        <v>19</v>
      </c>
      <c r="I1275" t="s">
        <v>34</v>
      </c>
    </row>
    <row r="1276" spans="1:9" x14ac:dyDescent="0.35">
      <c r="A1276" t="s">
        <v>1312</v>
      </c>
      <c r="B1276" s="1">
        <v>44865</v>
      </c>
      <c r="C1276" t="s">
        <v>16</v>
      </c>
      <c r="D1276" t="s">
        <v>31</v>
      </c>
      <c r="E1276" t="s">
        <v>12</v>
      </c>
      <c r="F1276">
        <v>560.88</v>
      </c>
      <c r="G1276">
        <v>118.64</v>
      </c>
      <c r="H1276" t="s">
        <v>13</v>
      </c>
      <c r="I1276" t="s">
        <v>29</v>
      </c>
    </row>
    <row r="1277" spans="1:9" x14ac:dyDescent="0.35">
      <c r="A1277" t="s">
        <v>1313</v>
      </c>
      <c r="B1277" s="1">
        <v>45319</v>
      </c>
      <c r="C1277" t="s">
        <v>22</v>
      </c>
      <c r="D1277" t="s">
        <v>73</v>
      </c>
      <c r="E1277" t="s">
        <v>27</v>
      </c>
      <c r="F1277">
        <v>855.07</v>
      </c>
      <c r="G1277">
        <v>91</v>
      </c>
      <c r="H1277" t="s">
        <v>19</v>
      </c>
      <c r="I1277" t="s">
        <v>20</v>
      </c>
    </row>
    <row r="1278" spans="1:9" x14ac:dyDescent="0.35">
      <c r="A1278" t="s">
        <v>1314</v>
      </c>
      <c r="B1278" s="1">
        <v>45020</v>
      </c>
      <c r="C1278" t="s">
        <v>10</v>
      </c>
      <c r="D1278" t="s">
        <v>17</v>
      </c>
      <c r="E1278" t="s">
        <v>18</v>
      </c>
      <c r="F1278">
        <v>122.27</v>
      </c>
      <c r="G1278">
        <v>16.420000000000002</v>
      </c>
      <c r="H1278" t="s">
        <v>13</v>
      </c>
      <c r="I1278" t="s">
        <v>14</v>
      </c>
    </row>
    <row r="1279" spans="1:9" x14ac:dyDescent="0.35">
      <c r="A1279" t="s">
        <v>1315</v>
      </c>
      <c r="B1279" s="1">
        <v>44888</v>
      </c>
      <c r="C1279" t="s">
        <v>22</v>
      </c>
      <c r="D1279" t="s">
        <v>57</v>
      </c>
      <c r="E1279" t="s">
        <v>27</v>
      </c>
      <c r="F1279">
        <v>1631.94</v>
      </c>
      <c r="G1279">
        <v>285.75</v>
      </c>
      <c r="H1279" t="s">
        <v>28</v>
      </c>
      <c r="I1279" t="s">
        <v>20</v>
      </c>
    </row>
    <row r="1280" spans="1:9" x14ac:dyDescent="0.35">
      <c r="A1280" t="s">
        <v>1316</v>
      </c>
      <c r="B1280" s="1">
        <v>45078</v>
      </c>
      <c r="C1280" t="s">
        <v>10</v>
      </c>
      <c r="D1280" t="s">
        <v>50</v>
      </c>
      <c r="E1280" t="s">
        <v>12</v>
      </c>
      <c r="F1280">
        <v>781.29</v>
      </c>
      <c r="G1280">
        <v>176.78</v>
      </c>
      <c r="H1280" t="s">
        <v>19</v>
      </c>
      <c r="I1280" t="s">
        <v>14</v>
      </c>
    </row>
    <row r="1281" spans="1:9" x14ac:dyDescent="0.35">
      <c r="A1281" t="s">
        <v>1317</v>
      </c>
      <c r="B1281" s="1">
        <v>45587</v>
      </c>
      <c r="C1281" t="s">
        <v>25</v>
      </c>
      <c r="D1281" t="s">
        <v>33</v>
      </c>
      <c r="E1281" t="s">
        <v>18</v>
      </c>
      <c r="F1281">
        <v>1132.8599999999999</v>
      </c>
      <c r="G1281">
        <v>191.51</v>
      </c>
      <c r="H1281" t="s">
        <v>13</v>
      </c>
      <c r="I1281" t="s">
        <v>14</v>
      </c>
    </row>
    <row r="1282" spans="1:9" x14ac:dyDescent="0.35">
      <c r="A1282" t="s">
        <v>1318</v>
      </c>
      <c r="B1282" s="1">
        <v>44570</v>
      </c>
      <c r="C1282" t="s">
        <v>10</v>
      </c>
      <c r="D1282" t="s">
        <v>97</v>
      </c>
      <c r="E1282" t="s">
        <v>27</v>
      </c>
      <c r="F1282">
        <v>647.76</v>
      </c>
      <c r="G1282">
        <v>192.66</v>
      </c>
      <c r="H1282" t="s">
        <v>28</v>
      </c>
      <c r="I1282" t="s">
        <v>14</v>
      </c>
    </row>
    <row r="1283" spans="1:9" x14ac:dyDescent="0.35">
      <c r="A1283" t="s">
        <v>1319</v>
      </c>
      <c r="B1283" s="1">
        <v>44741</v>
      </c>
      <c r="C1283" t="s">
        <v>22</v>
      </c>
      <c r="D1283" t="s">
        <v>17</v>
      </c>
      <c r="E1283" t="s">
        <v>18</v>
      </c>
      <c r="F1283">
        <v>644.24</v>
      </c>
      <c r="G1283">
        <v>90.15</v>
      </c>
      <c r="H1283" t="s">
        <v>28</v>
      </c>
      <c r="I1283" t="s">
        <v>14</v>
      </c>
    </row>
    <row r="1284" spans="1:9" x14ac:dyDescent="0.35">
      <c r="A1284" t="s">
        <v>1320</v>
      </c>
      <c r="B1284" s="1">
        <v>44588</v>
      </c>
      <c r="C1284" t="s">
        <v>10</v>
      </c>
      <c r="D1284" t="s">
        <v>46</v>
      </c>
      <c r="E1284" t="s">
        <v>18</v>
      </c>
      <c r="F1284">
        <v>1311.67</v>
      </c>
      <c r="G1284">
        <v>312.45</v>
      </c>
      <c r="H1284" t="s">
        <v>13</v>
      </c>
      <c r="I1284" t="s">
        <v>34</v>
      </c>
    </row>
    <row r="1285" spans="1:9" x14ac:dyDescent="0.35">
      <c r="A1285" t="s">
        <v>1321</v>
      </c>
      <c r="B1285" s="1">
        <v>45414</v>
      </c>
      <c r="C1285" t="s">
        <v>22</v>
      </c>
      <c r="D1285" t="s">
        <v>11</v>
      </c>
      <c r="E1285" t="s">
        <v>12</v>
      </c>
      <c r="F1285">
        <v>1285.5999999999999</v>
      </c>
      <c r="G1285">
        <v>257.02999999999997</v>
      </c>
      <c r="H1285" t="s">
        <v>19</v>
      </c>
      <c r="I1285" t="s">
        <v>20</v>
      </c>
    </row>
    <row r="1286" spans="1:9" x14ac:dyDescent="0.35">
      <c r="A1286" t="s">
        <v>1322</v>
      </c>
      <c r="B1286" s="1">
        <v>45127</v>
      </c>
      <c r="C1286" t="s">
        <v>16</v>
      </c>
      <c r="D1286" t="s">
        <v>31</v>
      </c>
      <c r="E1286" t="s">
        <v>12</v>
      </c>
      <c r="F1286">
        <v>829.82</v>
      </c>
      <c r="G1286">
        <v>63.59</v>
      </c>
      <c r="H1286" t="s">
        <v>19</v>
      </c>
      <c r="I1286" t="s">
        <v>29</v>
      </c>
    </row>
    <row r="1287" spans="1:9" x14ac:dyDescent="0.35">
      <c r="A1287" t="s">
        <v>1323</v>
      </c>
      <c r="B1287" s="1">
        <v>45435</v>
      </c>
      <c r="C1287" t="s">
        <v>22</v>
      </c>
      <c r="D1287" t="s">
        <v>57</v>
      </c>
      <c r="E1287" t="s">
        <v>27</v>
      </c>
      <c r="F1287">
        <v>1331.23</v>
      </c>
      <c r="G1287">
        <v>300.7</v>
      </c>
      <c r="H1287" t="s">
        <v>13</v>
      </c>
      <c r="I1287" t="s">
        <v>29</v>
      </c>
    </row>
    <row r="1288" spans="1:9" x14ac:dyDescent="0.35">
      <c r="A1288" t="s">
        <v>1324</v>
      </c>
      <c r="B1288" s="1">
        <v>44859</v>
      </c>
      <c r="C1288" t="s">
        <v>16</v>
      </c>
      <c r="D1288" t="s">
        <v>11</v>
      </c>
      <c r="E1288" t="s">
        <v>12</v>
      </c>
      <c r="F1288">
        <v>1294.08</v>
      </c>
      <c r="G1288">
        <v>205.38</v>
      </c>
      <c r="H1288" t="s">
        <v>28</v>
      </c>
      <c r="I1288" t="s">
        <v>34</v>
      </c>
    </row>
    <row r="1289" spans="1:9" x14ac:dyDescent="0.35">
      <c r="A1289" t="s">
        <v>1325</v>
      </c>
      <c r="B1289" s="1">
        <v>45618</v>
      </c>
      <c r="C1289" t="s">
        <v>16</v>
      </c>
      <c r="D1289" t="s">
        <v>62</v>
      </c>
      <c r="E1289" t="s">
        <v>27</v>
      </c>
      <c r="F1289">
        <v>394.2</v>
      </c>
      <c r="G1289">
        <v>29.86</v>
      </c>
      <c r="H1289" t="s">
        <v>28</v>
      </c>
      <c r="I1289" t="s">
        <v>34</v>
      </c>
    </row>
    <row r="1290" spans="1:9" x14ac:dyDescent="0.35">
      <c r="A1290" t="s">
        <v>1326</v>
      </c>
      <c r="B1290" s="1">
        <v>45566</v>
      </c>
      <c r="C1290" t="s">
        <v>16</v>
      </c>
      <c r="D1290" t="s">
        <v>46</v>
      </c>
      <c r="E1290" t="s">
        <v>18</v>
      </c>
      <c r="F1290">
        <v>1942.14</v>
      </c>
      <c r="G1290">
        <v>346.65</v>
      </c>
      <c r="H1290" t="s">
        <v>19</v>
      </c>
      <c r="I1290" t="s">
        <v>20</v>
      </c>
    </row>
    <row r="1291" spans="1:9" x14ac:dyDescent="0.35">
      <c r="A1291" t="s">
        <v>1327</v>
      </c>
      <c r="B1291" s="1">
        <v>45043</v>
      </c>
      <c r="C1291" t="s">
        <v>10</v>
      </c>
      <c r="D1291" t="s">
        <v>57</v>
      </c>
      <c r="E1291" t="s">
        <v>27</v>
      </c>
      <c r="F1291">
        <v>1754.33</v>
      </c>
      <c r="G1291">
        <v>318.57</v>
      </c>
      <c r="H1291" t="s">
        <v>19</v>
      </c>
      <c r="I1291" t="s">
        <v>14</v>
      </c>
    </row>
    <row r="1292" spans="1:9" x14ac:dyDescent="0.35">
      <c r="A1292" t="s">
        <v>1328</v>
      </c>
      <c r="B1292" s="1">
        <v>45021</v>
      </c>
      <c r="C1292" t="s">
        <v>16</v>
      </c>
      <c r="D1292" t="s">
        <v>95</v>
      </c>
      <c r="E1292" t="s">
        <v>18</v>
      </c>
      <c r="F1292">
        <v>1732.29</v>
      </c>
      <c r="G1292">
        <v>202.01</v>
      </c>
      <c r="H1292" t="s">
        <v>28</v>
      </c>
      <c r="I1292" t="s">
        <v>14</v>
      </c>
    </row>
    <row r="1293" spans="1:9" x14ac:dyDescent="0.35">
      <c r="A1293" t="s">
        <v>1329</v>
      </c>
      <c r="B1293" s="1">
        <v>44663</v>
      </c>
      <c r="C1293" t="s">
        <v>10</v>
      </c>
      <c r="D1293" t="s">
        <v>17</v>
      </c>
      <c r="E1293" t="s">
        <v>18</v>
      </c>
      <c r="F1293">
        <v>1430.78</v>
      </c>
      <c r="G1293">
        <v>389.61</v>
      </c>
      <c r="H1293" t="s">
        <v>28</v>
      </c>
      <c r="I1293" t="s">
        <v>29</v>
      </c>
    </row>
    <row r="1294" spans="1:9" x14ac:dyDescent="0.35">
      <c r="A1294" t="s">
        <v>1330</v>
      </c>
      <c r="B1294" s="1">
        <v>45307</v>
      </c>
      <c r="C1294" t="s">
        <v>25</v>
      </c>
      <c r="D1294" t="s">
        <v>95</v>
      </c>
      <c r="E1294" t="s">
        <v>18</v>
      </c>
      <c r="F1294">
        <v>1196.54</v>
      </c>
      <c r="G1294">
        <v>124.08</v>
      </c>
      <c r="H1294" t="s">
        <v>28</v>
      </c>
      <c r="I1294" t="s">
        <v>20</v>
      </c>
    </row>
    <row r="1295" spans="1:9" x14ac:dyDescent="0.35">
      <c r="A1295" t="s">
        <v>1331</v>
      </c>
      <c r="B1295" s="1">
        <v>45601</v>
      </c>
      <c r="C1295" t="s">
        <v>25</v>
      </c>
      <c r="D1295" t="s">
        <v>31</v>
      </c>
      <c r="E1295" t="s">
        <v>12</v>
      </c>
      <c r="F1295">
        <v>742.49</v>
      </c>
      <c r="G1295">
        <v>104.31</v>
      </c>
      <c r="H1295" t="s">
        <v>19</v>
      </c>
      <c r="I1295" t="s">
        <v>14</v>
      </c>
    </row>
    <row r="1296" spans="1:9" x14ac:dyDescent="0.35">
      <c r="A1296" t="s">
        <v>1332</v>
      </c>
      <c r="B1296" s="1">
        <v>45235</v>
      </c>
      <c r="C1296" t="s">
        <v>16</v>
      </c>
      <c r="D1296" t="s">
        <v>31</v>
      </c>
      <c r="E1296" t="s">
        <v>12</v>
      </c>
      <c r="F1296">
        <v>1904.05</v>
      </c>
      <c r="G1296">
        <v>379.84</v>
      </c>
      <c r="H1296" t="s">
        <v>19</v>
      </c>
      <c r="I1296" t="s">
        <v>34</v>
      </c>
    </row>
    <row r="1297" spans="1:9" x14ac:dyDescent="0.35">
      <c r="A1297" t="s">
        <v>1333</v>
      </c>
      <c r="B1297" s="1">
        <v>45556</v>
      </c>
      <c r="C1297" t="s">
        <v>22</v>
      </c>
      <c r="D1297" t="s">
        <v>33</v>
      </c>
      <c r="E1297" t="s">
        <v>18</v>
      </c>
      <c r="F1297">
        <v>879.69</v>
      </c>
      <c r="G1297">
        <v>152.04</v>
      </c>
      <c r="H1297" t="s">
        <v>28</v>
      </c>
      <c r="I1297" t="s">
        <v>29</v>
      </c>
    </row>
    <row r="1298" spans="1:9" x14ac:dyDescent="0.35">
      <c r="A1298" t="s">
        <v>1334</v>
      </c>
      <c r="B1298" s="1">
        <v>44853</v>
      </c>
      <c r="C1298" t="s">
        <v>16</v>
      </c>
      <c r="D1298" t="s">
        <v>23</v>
      </c>
      <c r="E1298" t="s">
        <v>18</v>
      </c>
      <c r="F1298">
        <v>1564.24</v>
      </c>
      <c r="G1298">
        <v>227.92</v>
      </c>
      <c r="H1298" t="s">
        <v>19</v>
      </c>
      <c r="I1298" t="s">
        <v>14</v>
      </c>
    </row>
    <row r="1299" spans="1:9" x14ac:dyDescent="0.35">
      <c r="A1299" t="s">
        <v>1335</v>
      </c>
      <c r="B1299" s="1">
        <v>45250</v>
      </c>
      <c r="C1299" t="s">
        <v>16</v>
      </c>
      <c r="D1299" t="s">
        <v>95</v>
      </c>
      <c r="E1299" t="s">
        <v>18</v>
      </c>
      <c r="F1299">
        <v>1784.81</v>
      </c>
      <c r="G1299">
        <v>301.79000000000002</v>
      </c>
      <c r="H1299" t="s">
        <v>19</v>
      </c>
      <c r="I1299" t="s">
        <v>34</v>
      </c>
    </row>
    <row r="1300" spans="1:9" x14ac:dyDescent="0.35">
      <c r="A1300" t="s">
        <v>1336</v>
      </c>
      <c r="B1300" s="1">
        <v>44671</v>
      </c>
      <c r="C1300" t="s">
        <v>25</v>
      </c>
      <c r="D1300" t="s">
        <v>31</v>
      </c>
      <c r="E1300" t="s">
        <v>12</v>
      </c>
      <c r="F1300">
        <v>987.53</v>
      </c>
      <c r="G1300">
        <v>156.75</v>
      </c>
      <c r="H1300" t="s">
        <v>28</v>
      </c>
      <c r="I1300" t="s">
        <v>29</v>
      </c>
    </row>
    <row r="1301" spans="1:9" x14ac:dyDescent="0.35">
      <c r="A1301" t="s">
        <v>1337</v>
      </c>
      <c r="B1301" s="1">
        <v>44570</v>
      </c>
      <c r="C1301" t="s">
        <v>25</v>
      </c>
      <c r="D1301" t="s">
        <v>62</v>
      </c>
      <c r="E1301" t="s">
        <v>27</v>
      </c>
      <c r="F1301">
        <v>309.7</v>
      </c>
      <c r="G1301">
        <v>42.89</v>
      </c>
      <c r="H1301" t="s">
        <v>13</v>
      </c>
      <c r="I1301" t="s">
        <v>34</v>
      </c>
    </row>
    <row r="1302" spans="1:9" x14ac:dyDescent="0.35">
      <c r="A1302" t="s">
        <v>1338</v>
      </c>
      <c r="B1302" s="1">
        <v>45320</v>
      </c>
      <c r="C1302" t="s">
        <v>25</v>
      </c>
      <c r="D1302" t="s">
        <v>41</v>
      </c>
      <c r="E1302" t="s">
        <v>12</v>
      </c>
      <c r="F1302">
        <v>1709.72</v>
      </c>
      <c r="G1302">
        <v>136.88999999999999</v>
      </c>
      <c r="H1302" t="s">
        <v>28</v>
      </c>
      <c r="I1302" t="s">
        <v>20</v>
      </c>
    </row>
    <row r="1303" spans="1:9" x14ac:dyDescent="0.35">
      <c r="A1303" t="s">
        <v>1339</v>
      </c>
      <c r="B1303" s="1">
        <v>45376</v>
      </c>
      <c r="C1303" t="s">
        <v>10</v>
      </c>
      <c r="D1303" t="s">
        <v>38</v>
      </c>
      <c r="E1303" t="s">
        <v>12</v>
      </c>
      <c r="F1303">
        <v>1713.89</v>
      </c>
      <c r="G1303">
        <v>191.58</v>
      </c>
      <c r="H1303" t="s">
        <v>13</v>
      </c>
      <c r="I1303" t="s">
        <v>20</v>
      </c>
    </row>
    <row r="1304" spans="1:9" x14ac:dyDescent="0.35">
      <c r="A1304" t="s">
        <v>1340</v>
      </c>
      <c r="B1304" s="1">
        <v>45337</v>
      </c>
      <c r="C1304" t="s">
        <v>16</v>
      </c>
      <c r="D1304" t="s">
        <v>95</v>
      </c>
      <c r="E1304" t="s">
        <v>18</v>
      </c>
      <c r="F1304">
        <v>1205.53</v>
      </c>
      <c r="G1304">
        <v>207.57</v>
      </c>
      <c r="H1304" t="s">
        <v>19</v>
      </c>
      <c r="I1304" t="s">
        <v>14</v>
      </c>
    </row>
    <row r="1305" spans="1:9" x14ac:dyDescent="0.35">
      <c r="A1305" t="s">
        <v>1341</v>
      </c>
      <c r="B1305" s="1">
        <v>44768</v>
      </c>
      <c r="C1305" t="s">
        <v>16</v>
      </c>
      <c r="D1305" t="s">
        <v>41</v>
      </c>
      <c r="E1305" t="s">
        <v>12</v>
      </c>
      <c r="F1305">
        <v>1236.53</v>
      </c>
      <c r="G1305">
        <v>76.510000000000005</v>
      </c>
      <c r="H1305" t="s">
        <v>19</v>
      </c>
      <c r="I1305" t="s">
        <v>29</v>
      </c>
    </row>
    <row r="1306" spans="1:9" x14ac:dyDescent="0.35">
      <c r="A1306" t="s">
        <v>1342</v>
      </c>
      <c r="B1306" s="1">
        <v>44960</v>
      </c>
      <c r="C1306" t="s">
        <v>25</v>
      </c>
      <c r="D1306" t="s">
        <v>46</v>
      </c>
      <c r="E1306" t="s">
        <v>18</v>
      </c>
      <c r="F1306">
        <v>1094.3599999999999</v>
      </c>
      <c r="G1306">
        <v>205</v>
      </c>
      <c r="H1306" t="s">
        <v>19</v>
      </c>
      <c r="I1306" t="s">
        <v>34</v>
      </c>
    </row>
    <row r="1307" spans="1:9" x14ac:dyDescent="0.35">
      <c r="A1307" t="s">
        <v>1343</v>
      </c>
      <c r="B1307" s="1">
        <v>45493</v>
      </c>
      <c r="C1307" t="s">
        <v>25</v>
      </c>
      <c r="D1307" t="s">
        <v>33</v>
      </c>
      <c r="E1307" t="s">
        <v>18</v>
      </c>
      <c r="F1307">
        <v>653.42999999999995</v>
      </c>
      <c r="G1307">
        <v>134.15</v>
      </c>
      <c r="H1307" t="s">
        <v>28</v>
      </c>
      <c r="I1307" t="s">
        <v>14</v>
      </c>
    </row>
    <row r="1308" spans="1:9" x14ac:dyDescent="0.35">
      <c r="A1308" t="s">
        <v>1344</v>
      </c>
      <c r="B1308" s="1">
        <v>44874</v>
      </c>
      <c r="C1308" t="s">
        <v>22</v>
      </c>
      <c r="D1308" t="s">
        <v>73</v>
      </c>
      <c r="E1308" t="s">
        <v>27</v>
      </c>
      <c r="F1308">
        <v>1465.37</v>
      </c>
      <c r="G1308">
        <v>258.49</v>
      </c>
      <c r="H1308" t="s">
        <v>19</v>
      </c>
      <c r="I1308" t="s">
        <v>14</v>
      </c>
    </row>
    <row r="1309" spans="1:9" x14ac:dyDescent="0.35">
      <c r="A1309" t="s">
        <v>1345</v>
      </c>
      <c r="B1309" s="1">
        <v>44930</v>
      </c>
      <c r="C1309" t="s">
        <v>25</v>
      </c>
      <c r="D1309" t="s">
        <v>23</v>
      </c>
      <c r="E1309" t="s">
        <v>18</v>
      </c>
      <c r="F1309">
        <v>59.8</v>
      </c>
      <c r="G1309">
        <v>4.66</v>
      </c>
      <c r="H1309" t="s">
        <v>13</v>
      </c>
      <c r="I1309" t="s">
        <v>34</v>
      </c>
    </row>
    <row r="1310" spans="1:9" x14ac:dyDescent="0.35">
      <c r="A1310" t="s">
        <v>1346</v>
      </c>
      <c r="B1310" s="1">
        <v>44788</v>
      </c>
      <c r="C1310" t="s">
        <v>22</v>
      </c>
      <c r="D1310" t="s">
        <v>11</v>
      </c>
      <c r="E1310" t="s">
        <v>12</v>
      </c>
      <c r="F1310">
        <v>1625.93</v>
      </c>
      <c r="G1310">
        <v>133.80000000000001</v>
      </c>
      <c r="H1310" t="s">
        <v>28</v>
      </c>
      <c r="I1310" t="s">
        <v>20</v>
      </c>
    </row>
    <row r="1311" spans="1:9" x14ac:dyDescent="0.35">
      <c r="A1311" t="s">
        <v>1347</v>
      </c>
      <c r="B1311" s="1">
        <v>45109</v>
      </c>
      <c r="C1311" t="s">
        <v>22</v>
      </c>
      <c r="D1311" t="s">
        <v>73</v>
      </c>
      <c r="E1311" t="s">
        <v>27</v>
      </c>
      <c r="F1311">
        <v>1058.54</v>
      </c>
      <c r="G1311">
        <v>241.27</v>
      </c>
      <c r="H1311" t="s">
        <v>19</v>
      </c>
      <c r="I1311" t="s">
        <v>29</v>
      </c>
    </row>
    <row r="1312" spans="1:9" x14ac:dyDescent="0.35">
      <c r="A1312" t="s">
        <v>1348</v>
      </c>
      <c r="B1312" s="1">
        <v>44897</v>
      </c>
      <c r="C1312" t="s">
        <v>10</v>
      </c>
      <c r="D1312" t="s">
        <v>50</v>
      </c>
      <c r="E1312" t="s">
        <v>12</v>
      </c>
      <c r="F1312">
        <v>1528.22</v>
      </c>
      <c r="G1312">
        <v>340.28</v>
      </c>
      <c r="H1312" t="s">
        <v>13</v>
      </c>
      <c r="I1312" t="s">
        <v>14</v>
      </c>
    </row>
    <row r="1313" spans="1:9" x14ac:dyDescent="0.35">
      <c r="A1313" t="s">
        <v>1349</v>
      </c>
      <c r="B1313" s="1">
        <v>45364</v>
      </c>
      <c r="C1313" t="s">
        <v>22</v>
      </c>
      <c r="D1313" t="s">
        <v>31</v>
      </c>
      <c r="E1313" t="s">
        <v>12</v>
      </c>
      <c r="F1313">
        <v>1957.41</v>
      </c>
      <c r="G1313">
        <v>140.66999999999999</v>
      </c>
      <c r="H1313" t="s">
        <v>19</v>
      </c>
      <c r="I1313" t="s">
        <v>14</v>
      </c>
    </row>
    <row r="1314" spans="1:9" x14ac:dyDescent="0.35">
      <c r="A1314" t="s">
        <v>1350</v>
      </c>
      <c r="B1314" s="1">
        <v>44963</v>
      </c>
      <c r="C1314" t="s">
        <v>10</v>
      </c>
      <c r="D1314" t="s">
        <v>50</v>
      </c>
      <c r="E1314" t="s">
        <v>12</v>
      </c>
      <c r="F1314">
        <v>1140.72</v>
      </c>
      <c r="G1314">
        <v>106.24</v>
      </c>
      <c r="H1314" t="s">
        <v>19</v>
      </c>
      <c r="I1314" t="s">
        <v>20</v>
      </c>
    </row>
    <row r="1315" spans="1:9" x14ac:dyDescent="0.35">
      <c r="A1315" t="s">
        <v>1351</v>
      </c>
      <c r="B1315" s="1">
        <v>45569</v>
      </c>
      <c r="C1315" t="s">
        <v>25</v>
      </c>
      <c r="D1315" t="s">
        <v>23</v>
      </c>
      <c r="E1315" t="s">
        <v>18</v>
      </c>
      <c r="F1315">
        <v>1126.0899999999999</v>
      </c>
      <c r="G1315">
        <v>118.91</v>
      </c>
      <c r="H1315" t="s">
        <v>19</v>
      </c>
      <c r="I1315" t="s">
        <v>14</v>
      </c>
    </row>
    <row r="1316" spans="1:9" x14ac:dyDescent="0.35">
      <c r="A1316" t="s">
        <v>1352</v>
      </c>
      <c r="B1316" s="1">
        <v>45458</v>
      </c>
      <c r="C1316" t="s">
        <v>22</v>
      </c>
      <c r="D1316" t="s">
        <v>23</v>
      </c>
      <c r="E1316" t="s">
        <v>18</v>
      </c>
      <c r="F1316">
        <v>1295.24</v>
      </c>
      <c r="G1316">
        <v>90.84</v>
      </c>
      <c r="H1316" t="s">
        <v>19</v>
      </c>
      <c r="I1316" t="s">
        <v>14</v>
      </c>
    </row>
    <row r="1317" spans="1:9" x14ac:dyDescent="0.35">
      <c r="A1317" t="s">
        <v>1353</v>
      </c>
      <c r="B1317" s="1">
        <v>45045</v>
      </c>
      <c r="C1317" t="s">
        <v>10</v>
      </c>
      <c r="D1317" t="s">
        <v>23</v>
      </c>
      <c r="E1317" t="s">
        <v>18</v>
      </c>
      <c r="F1317">
        <v>319.07</v>
      </c>
      <c r="G1317">
        <v>46.31</v>
      </c>
      <c r="H1317" t="s">
        <v>13</v>
      </c>
      <c r="I1317" t="s">
        <v>20</v>
      </c>
    </row>
    <row r="1318" spans="1:9" x14ac:dyDescent="0.35">
      <c r="A1318" t="s">
        <v>1354</v>
      </c>
      <c r="B1318" s="1">
        <v>45230</v>
      </c>
      <c r="C1318" t="s">
        <v>16</v>
      </c>
      <c r="D1318" t="s">
        <v>11</v>
      </c>
      <c r="E1318" t="s">
        <v>12</v>
      </c>
      <c r="F1318">
        <v>1594.87</v>
      </c>
      <c r="G1318">
        <v>303.11</v>
      </c>
      <c r="H1318" t="s">
        <v>28</v>
      </c>
      <c r="I1318" t="s">
        <v>20</v>
      </c>
    </row>
    <row r="1319" spans="1:9" x14ac:dyDescent="0.35">
      <c r="A1319" t="s">
        <v>1355</v>
      </c>
      <c r="B1319" s="1">
        <v>44627</v>
      </c>
      <c r="C1319" t="s">
        <v>16</v>
      </c>
      <c r="D1319" t="s">
        <v>62</v>
      </c>
      <c r="E1319" t="s">
        <v>27</v>
      </c>
      <c r="F1319">
        <v>1615.57</v>
      </c>
      <c r="G1319">
        <v>287.74</v>
      </c>
      <c r="H1319" t="s">
        <v>28</v>
      </c>
      <c r="I1319" t="s">
        <v>29</v>
      </c>
    </row>
    <row r="1320" spans="1:9" x14ac:dyDescent="0.35">
      <c r="A1320" t="s">
        <v>1356</v>
      </c>
      <c r="B1320" s="1">
        <v>45455</v>
      </c>
      <c r="C1320" t="s">
        <v>16</v>
      </c>
      <c r="D1320" t="s">
        <v>31</v>
      </c>
      <c r="E1320" t="s">
        <v>12</v>
      </c>
      <c r="F1320">
        <v>287.02999999999997</v>
      </c>
      <c r="G1320">
        <v>80.67</v>
      </c>
      <c r="H1320" t="s">
        <v>13</v>
      </c>
      <c r="I1320" t="s">
        <v>29</v>
      </c>
    </row>
    <row r="1321" spans="1:9" x14ac:dyDescent="0.35">
      <c r="A1321" t="s">
        <v>1357</v>
      </c>
      <c r="B1321" s="1">
        <v>44896</v>
      </c>
      <c r="C1321" t="s">
        <v>16</v>
      </c>
      <c r="D1321" t="s">
        <v>97</v>
      </c>
      <c r="E1321" t="s">
        <v>27</v>
      </c>
      <c r="F1321">
        <v>966.46</v>
      </c>
      <c r="G1321">
        <v>289</v>
      </c>
      <c r="H1321" t="s">
        <v>28</v>
      </c>
      <c r="I1321" t="s">
        <v>14</v>
      </c>
    </row>
    <row r="1322" spans="1:9" x14ac:dyDescent="0.35">
      <c r="A1322" t="s">
        <v>1358</v>
      </c>
      <c r="B1322" s="1">
        <v>45225</v>
      </c>
      <c r="C1322" t="s">
        <v>10</v>
      </c>
      <c r="D1322" t="s">
        <v>41</v>
      </c>
      <c r="E1322" t="s">
        <v>12</v>
      </c>
      <c r="F1322">
        <v>376.87</v>
      </c>
      <c r="G1322">
        <v>94.99</v>
      </c>
      <c r="H1322" t="s">
        <v>28</v>
      </c>
      <c r="I1322" t="s">
        <v>20</v>
      </c>
    </row>
    <row r="1323" spans="1:9" x14ac:dyDescent="0.35">
      <c r="A1323" t="s">
        <v>1359</v>
      </c>
      <c r="B1323" s="1">
        <v>45316</v>
      </c>
      <c r="C1323" t="s">
        <v>22</v>
      </c>
      <c r="D1323" t="s">
        <v>97</v>
      </c>
      <c r="E1323" t="s">
        <v>27</v>
      </c>
      <c r="F1323">
        <v>1804.22</v>
      </c>
      <c r="G1323">
        <v>293.77999999999997</v>
      </c>
      <c r="H1323" t="s">
        <v>13</v>
      </c>
      <c r="I1323" t="s">
        <v>14</v>
      </c>
    </row>
    <row r="1324" spans="1:9" x14ac:dyDescent="0.35">
      <c r="A1324" t="s">
        <v>1360</v>
      </c>
      <c r="B1324" s="1">
        <v>44998</v>
      </c>
      <c r="C1324" t="s">
        <v>10</v>
      </c>
      <c r="D1324" t="s">
        <v>38</v>
      </c>
      <c r="E1324" t="s">
        <v>12</v>
      </c>
      <c r="F1324">
        <v>664.91</v>
      </c>
      <c r="G1324">
        <v>158.88999999999999</v>
      </c>
      <c r="H1324" t="s">
        <v>19</v>
      </c>
      <c r="I1324" t="s">
        <v>29</v>
      </c>
    </row>
    <row r="1325" spans="1:9" x14ac:dyDescent="0.35">
      <c r="A1325" t="s">
        <v>1361</v>
      </c>
      <c r="B1325" s="1">
        <v>44935</v>
      </c>
      <c r="C1325" t="s">
        <v>16</v>
      </c>
      <c r="D1325" t="s">
        <v>38</v>
      </c>
      <c r="E1325" t="s">
        <v>12</v>
      </c>
      <c r="F1325">
        <v>263.42</v>
      </c>
      <c r="G1325">
        <v>68.31</v>
      </c>
      <c r="H1325" t="s">
        <v>28</v>
      </c>
      <c r="I1325" t="s">
        <v>29</v>
      </c>
    </row>
    <row r="1326" spans="1:9" x14ac:dyDescent="0.35">
      <c r="A1326" t="s">
        <v>1362</v>
      </c>
      <c r="B1326" s="1">
        <v>44869</v>
      </c>
      <c r="C1326" t="s">
        <v>10</v>
      </c>
      <c r="D1326" t="s">
        <v>50</v>
      </c>
      <c r="E1326" t="s">
        <v>12</v>
      </c>
      <c r="F1326">
        <v>1956.12</v>
      </c>
      <c r="G1326">
        <v>558.41999999999996</v>
      </c>
      <c r="H1326" t="s">
        <v>19</v>
      </c>
      <c r="I1326" t="s">
        <v>20</v>
      </c>
    </row>
    <row r="1327" spans="1:9" x14ac:dyDescent="0.35">
      <c r="A1327" t="s">
        <v>1363</v>
      </c>
      <c r="B1327" s="1">
        <v>45273</v>
      </c>
      <c r="C1327" t="s">
        <v>10</v>
      </c>
      <c r="D1327" t="s">
        <v>26</v>
      </c>
      <c r="E1327" t="s">
        <v>27</v>
      </c>
      <c r="F1327">
        <v>205.18</v>
      </c>
      <c r="G1327">
        <v>27.78</v>
      </c>
      <c r="H1327" t="s">
        <v>28</v>
      </c>
      <c r="I1327" t="s">
        <v>29</v>
      </c>
    </row>
    <row r="1328" spans="1:9" x14ac:dyDescent="0.35">
      <c r="A1328" t="s">
        <v>1364</v>
      </c>
      <c r="B1328" s="1">
        <v>45358</v>
      </c>
      <c r="C1328" t="s">
        <v>10</v>
      </c>
      <c r="D1328" t="s">
        <v>46</v>
      </c>
      <c r="E1328" t="s">
        <v>18</v>
      </c>
      <c r="F1328">
        <v>120.98</v>
      </c>
      <c r="G1328">
        <v>24.55</v>
      </c>
      <c r="H1328" t="s">
        <v>28</v>
      </c>
      <c r="I1328" t="s">
        <v>20</v>
      </c>
    </row>
    <row r="1329" spans="1:9" x14ac:dyDescent="0.35">
      <c r="A1329" t="s">
        <v>1365</v>
      </c>
      <c r="B1329" s="1">
        <v>45569</v>
      </c>
      <c r="C1329" t="s">
        <v>10</v>
      </c>
      <c r="D1329" t="s">
        <v>26</v>
      </c>
      <c r="E1329" t="s">
        <v>27</v>
      </c>
      <c r="F1329">
        <v>476.01</v>
      </c>
      <c r="G1329">
        <v>83.35</v>
      </c>
      <c r="H1329" t="s">
        <v>19</v>
      </c>
      <c r="I1329" t="s">
        <v>20</v>
      </c>
    </row>
    <row r="1330" spans="1:9" x14ac:dyDescent="0.35">
      <c r="A1330" t="s">
        <v>1366</v>
      </c>
      <c r="B1330" s="1">
        <v>44728</v>
      </c>
      <c r="C1330" t="s">
        <v>10</v>
      </c>
      <c r="D1330" t="s">
        <v>57</v>
      </c>
      <c r="E1330" t="s">
        <v>27</v>
      </c>
      <c r="F1330">
        <v>1553.07</v>
      </c>
      <c r="G1330">
        <v>223.55</v>
      </c>
      <c r="H1330" t="s">
        <v>19</v>
      </c>
      <c r="I1330" t="s">
        <v>29</v>
      </c>
    </row>
    <row r="1331" spans="1:9" x14ac:dyDescent="0.35">
      <c r="A1331" t="s">
        <v>1367</v>
      </c>
      <c r="B1331" s="1">
        <v>45466</v>
      </c>
      <c r="C1331" t="s">
        <v>22</v>
      </c>
      <c r="D1331" t="s">
        <v>50</v>
      </c>
      <c r="E1331" t="s">
        <v>12</v>
      </c>
      <c r="F1331">
        <v>1928.55</v>
      </c>
      <c r="G1331">
        <v>284.64999999999998</v>
      </c>
      <c r="H1331" t="s">
        <v>28</v>
      </c>
      <c r="I1331" t="s">
        <v>20</v>
      </c>
    </row>
    <row r="1332" spans="1:9" x14ac:dyDescent="0.35">
      <c r="A1332" t="s">
        <v>1368</v>
      </c>
      <c r="B1332" s="1">
        <v>45020</v>
      </c>
      <c r="C1332" t="s">
        <v>22</v>
      </c>
      <c r="D1332" t="s">
        <v>73</v>
      </c>
      <c r="E1332" t="s">
        <v>27</v>
      </c>
      <c r="F1332">
        <v>352.54</v>
      </c>
      <c r="G1332">
        <v>80.05</v>
      </c>
      <c r="H1332" t="s">
        <v>13</v>
      </c>
      <c r="I1332" t="s">
        <v>34</v>
      </c>
    </row>
    <row r="1333" spans="1:9" x14ac:dyDescent="0.35">
      <c r="A1333" t="s">
        <v>1369</v>
      </c>
      <c r="B1333" s="1">
        <v>44799</v>
      </c>
      <c r="C1333" t="s">
        <v>22</v>
      </c>
      <c r="D1333" t="s">
        <v>17</v>
      </c>
      <c r="E1333" t="s">
        <v>18</v>
      </c>
      <c r="F1333">
        <v>1032.3</v>
      </c>
      <c r="G1333">
        <v>182.94</v>
      </c>
      <c r="H1333" t="s">
        <v>19</v>
      </c>
      <c r="I1333" t="s">
        <v>14</v>
      </c>
    </row>
    <row r="1334" spans="1:9" x14ac:dyDescent="0.35">
      <c r="A1334" t="s">
        <v>1370</v>
      </c>
      <c r="B1334" s="1">
        <v>44998</v>
      </c>
      <c r="C1334" t="s">
        <v>22</v>
      </c>
      <c r="D1334" t="s">
        <v>62</v>
      </c>
      <c r="E1334" t="s">
        <v>27</v>
      </c>
      <c r="F1334">
        <v>725.52</v>
      </c>
      <c r="G1334">
        <v>193.54</v>
      </c>
      <c r="H1334" t="s">
        <v>13</v>
      </c>
      <c r="I1334" t="s">
        <v>34</v>
      </c>
    </row>
    <row r="1335" spans="1:9" x14ac:dyDescent="0.35">
      <c r="A1335" t="s">
        <v>1371</v>
      </c>
      <c r="B1335" s="1">
        <v>45635</v>
      </c>
      <c r="C1335" t="s">
        <v>25</v>
      </c>
      <c r="D1335" t="s">
        <v>17</v>
      </c>
      <c r="E1335" t="s">
        <v>18</v>
      </c>
      <c r="F1335">
        <v>981.39</v>
      </c>
      <c r="G1335">
        <v>149.57</v>
      </c>
      <c r="H1335" t="s">
        <v>28</v>
      </c>
      <c r="I1335" t="s">
        <v>14</v>
      </c>
    </row>
    <row r="1336" spans="1:9" x14ac:dyDescent="0.35">
      <c r="A1336" t="s">
        <v>1372</v>
      </c>
      <c r="B1336" s="1">
        <v>45000</v>
      </c>
      <c r="C1336" t="s">
        <v>25</v>
      </c>
      <c r="D1336" t="s">
        <v>46</v>
      </c>
      <c r="E1336" t="s">
        <v>18</v>
      </c>
      <c r="F1336">
        <v>532.76</v>
      </c>
      <c r="G1336">
        <v>98.59</v>
      </c>
      <c r="H1336" t="s">
        <v>19</v>
      </c>
      <c r="I1336" t="s">
        <v>34</v>
      </c>
    </row>
    <row r="1337" spans="1:9" x14ac:dyDescent="0.35">
      <c r="A1337" t="s">
        <v>1373</v>
      </c>
      <c r="B1337" s="1">
        <v>44780</v>
      </c>
      <c r="C1337" t="s">
        <v>25</v>
      </c>
      <c r="D1337" t="s">
        <v>26</v>
      </c>
      <c r="E1337" t="s">
        <v>27</v>
      </c>
      <c r="F1337">
        <v>1582.82</v>
      </c>
      <c r="G1337">
        <v>170.9</v>
      </c>
      <c r="H1337" t="s">
        <v>19</v>
      </c>
      <c r="I1337" t="s">
        <v>14</v>
      </c>
    </row>
    <row r="1338" spans="1:9" x14ac:dyDescent="0.35">
      <c r="A1338" t="s">
        <v>1374</v>
      </c>
      <c r="B1338" s="1">
        <v>45523</v>
      </c>
      <c r="C1338" t="s">
        <v>16</v>
      </c>
      <c r="D1338" t="s">
        <v>26</v>
      </c>
      <c r="E1338" t="s">
        <v>27</v>
      </c>
      <c r="F1338">
        <v>849.91</v>
      </c>
      <c r="G1338">
        <v>174.96</v>
      </c>
      <c r="H1338" t="s">
        <v>19</v>
      </c>
      <c r="I1338" t="s">
        <v>29</v>
      </c>
    </row>
    <row r="1339" spans="1:9" x14ac:dyDescent="0.35">
      <c r="A1339" t="s">
        <v>1375</v>
      </c>
      <c r="B1339" s="1">
        <v>45657</v>
      </c>
      <c r="C1339" t="s">
        <v>16</v>
      </c>
      <c r="D1339" t="s">
        <v>33</v>
      </c>
      <c r="E1339" t="s">
        <v>18</v>
      </c>
      <c r="F1339">
        <v>1353.76</v>
      </c>
      <c r="G1339">
        <v>172.1</v>
      </c>
      <c r="H1339" t="s">
        <v>13</v>
      </c>
      <c r="I1339" t="s">
        <v>20</v>
      </c>
    </row>
    <row r="1340" spans="1:9" x14ac:dyDescent="0.35">
      <c r="A1340" t="s">
        <v>1376</v>
      </c>
      <c r="B1340" s="1">
        <v>45592</v>
      </c>
      <c r="C1340" t="s">
        <v>16</v>
      </c>
      <c r="D1340" t="s">
        <v>97</v>
      </c>
      <c r="E1340" t="s">
        <v>27</v>
      </c>
      <c r="F1340">
        <v>1143.5899999999999</v>
      </c>
      <c r="G1340">
        <v>249</v>
      </c>
      <c r="H1340" t="s">
        <v>28</v>
      </c>
      <c r="I1340" t="s">
        <v>34</v>
      </c>
    </row>
    <row r="1341" spans="1:9" x14ac:dyDescent="0.35">
      <c r="A1341" t="s">
        <v>1377</v>
      </c>
      <c r="B1341" s="1">
        <v>45585</v>
      </c>
      <c r="C1341" t="s">
        <v>22</v>
      </c>
      <c r="D1341" t="s">
        <v>62</v>
      </c>
      <c r="E1341" t="s">
        <v>27</v>
      </c>
      <c r="F1341">
        <v>1110.44</v>
      </c>
      <c r="G1341">
        <v>84.03</v>
      </c>
      <c r="H1341" t="s">
        <v>13</v>
      </c>
      <c r="I1341" t="s">
        <v>20</v>
      </c>
    </row>
    <row r="1342" spans="1:9" x14ac:dyDescent="0.35">
      <c r="A1342" t="s">
        <v>1378</v>
      </c>
      <c r="B1342" s="1">
        <v>45581</v>
      </c>
      <c r="C1342" t="s">
        <v>10</v>
      </c>
      <c r="D1342" t="s">
        <v>50</v>
      </c>
      <c r="E1342" t="s">
        <v>12</v>
      </c>
      <c r="F1342">
        <v>577.08000000000004</v>
      </c>
      <c r="G1342">
        <v>152.04</v>
      </c>
      <c r="H1342" t="s">
        <v>13</v>
      </c>
      <c r="I1342" t="s">
        <v>29</v>
      </c>
    </row>
    <row r="1343" spans="1:9" x14ac:dyDescent="0.35">
      <c r="A1343" t="s">
        <v>1379</v>
      </c>
      <c r="B1343" s="1">
        <v>45472</v>
      </c>
      <c r="C1343" t="s">
        <v>10</v>
      </c>
      <c r="D1343" t="s">
        <v>23</v>
      </c>
      <c r="E1343" t="s">
        <v>18</v>
      </c>
      <c r="F1343">
        <v>544.34</v>
      </c>
      <c r="G1343">
        <v>114.41</v>
      </c>
      <c r="H1343" t="s">
        <v>19</v>
      </c>
      <c r="I1343" t="s">
        <v>20</v>
      </c>
    </row>
    <row r="1344" spans="1:9" x14ac:dyDescent="0.35">
      <c r="A1344" t="s">
        <v>1380</v>
      </c>
      <c r="B1344" s="1">
        <v>45025</v>
      </c>
      <c r="C1344" t="s">
        <v>16</v>
      </c>
      <c r="D1344" t="s">
        <v>95</v>
      </c>
      <c r="E1344" t="s">
        <v>18</v>
      </c>
      <c r="F1344">
        <v>1285.05</v>
      </c>
      <c r="G1344">
        <v>284.38</v>
      </c>
      <c r="H1344" t="s">
        <v>19</v>
      </c>
      <c r="I1344" t="s">
        <v>14</v>
      </c>
    </row>
    <row r="1345" spans="1:9" x14ac:dyDescent="0.35">
      <c r="A1345" t="s">
        <v>1381</v>
      </c>
      <c r="B1345" s="1">
        <v>44690</v>
      </c>
      <c r="C1345" t="s">
        <v>22</v>
      </c>
      <c r="D1345" t="s">
        <v>11</v>
      </c>
      <c r="E1345" t="s">
        <v>12</v>
      </c>
      <c r="F1345">
        <v>1080.93</v>
      </c>
      <c r="G1345">
        <v>296.89999999999998</v>
      </c>
      <c r="H1345" t="s">
        <v>19</v>
      </c>
      <c r="I1345" t="s">
        <v>20</v>
      </c>
    </row>
    <row r="1346" spans="1:9" x14ac:dyDescent="0.35">
      <c r="A1346" t="s">
        <v>1382</v>
      </c>
      <c r="B1346" s="1">
        <v>45443</v>
      </c>
      <c r="C1346" t="s">
        <v>25</v>
      </c>
      <c r="D1346" t="s">
        <v>38</v>
      </c>
      <c r="E1346" t="s">
        <v>12</v>
      </c>
      <c r="F1346">
        <v>354.33</v>
      </c>
      <c r="G1346">
        <v>31.56</v>
      </c>
      <c r="H1346" t="s">
        <v>28</v>
      </c>
      <c r="I1346" t="s">
        <v>14</v>
      </c>
    </row>
    <row r="1347" spans="1:9" x14ac:dyDescent="0.35">
      <c r="A1347" t="s">
        <v>1383</v>
      </c>
      <c r="B1347" s="1">
        <v>44565</v>
      </c>
      <c r="C1347" t="s">
        <v>10</v>
      </c>
      <c r="D1347" t="s">
        <v>97</v>
      </c>
      <c r="E1347" t="s">
        <v>27</v>
      </c>
      <c r="F1347">
        <v>65.900000000000006</v>
      </c>
      <c r="G1347">
        <v>17.64</v>
      </c>
      <c r="H1347" t="s">
        <v>28</v>
      </c>
      <c r="I1347" t="s">
        <v>29</v>
      </c>
    </row>
    <row r="1348" spans="1:9" x14ac:dyDescent="0.35">
      <c r="A1348" t="s">
        <v>1384</v>
      </c>
      <c r="B1348" s="1">
        <v>45080</v>
      </c>
      <c r="C1348" t="s">
        <v>25</v>
      </c>
      <c r="D1348" t="s">
        <v>33</v>
      </c>
      <c r="E1348" t="s">
        <v>18</v>
      </c>
      <c r="F1348">
        <v>1185.29</v>
      </c>
      <c r="G1348">
        <v>322.47000000000003</v>
      </c>
      <c r="H1348" t="s">
        <v>19</v>
      </c>
      <c r="I1348" t="s">
        <v>14</v>
      </c>
    </row>
    <row r="1349" spans="1:9" x14ac:dyDescent="0.35">
      <c r="A1349" t="s">
        <v>1385</v>
      </c>
      <c r="B1349" s="1">
        <v>45406</v>
      </c>
      <c r="C1349" t="s">
        <v>10</v>
      </c>
      <c r="D1349" t="s">
        <v>33</v>
      </c>
      <c r="E1349" t="s">
        <v>18</v>
      </c>
      <c r="F1349">
        <v>1191.19</v>
      </c>
      <c r="G1349">
        <v>327.94</v>
      </c>
      <c r="H1349" t="s">
        <v>19</v>
      </c>
      <c r="I1349" t="s">
        <v>34</v>
      </c>
    </row>
    <row r="1350" spans="1:9" x14ac:dyDescent="0.35">
      <c r="A1350" t="s">
        <v>1386</v>
      </c>
      <c r="B1350" s="1">
        <v>44857</v>
      </c>
      <c r="C1350" t="s">
        <v>10</v>
      </c>
      <c r="D1350" t="s">
        <v>73</v>
      </c>
      <c r="E1350" t="s">
        <v>27</v>
      </c>
      <c r="F1350">
        <v>368.46</v>
      </c>
      <c r="G1350">
        <v>75.16</v>
      </c>
      <c r="H1350" t="s">
        <v>19</v>
      </c>
      <c r="I1350" t="s">
        <v>20</v>
      </c>
    </row>
    <row r="1351" spans="1:9" x14ac:dyDescent="0.35">
      <c r="A1351" t="s">
        <v>1387</v>
      </c>
      <c r="B1351" s="1">
        <v>45235</v>
      </c>
      <c r="C1351" t="s">
        <v>16</v>
      </c>
      <c r="D1351" t="s">
        <v>97</v>
      </c>
      <c r="E1351" t="s">
        <v>27</v>
      </c>
      <c r="F1351">
        <v>1429.84</v>
      </c>
      <c r="G1351">
        <v>149.86000000000001</v>
      </c>
      <c r="H1351" t="s">
        <v>28</v>
      </c>
      <c r="I1351" t="s">
        <v>34</v>
      </c>
    </row>
    <row r="1352" spans="1:9" x14ac:dyDescent="0.35">
      <c r="A1352" t="s">
        <v>1388</v>
      </c>
      <c r="B1352" s="1">
        <v>44925</v>
      </c>
      <c r="C1352" t="s">
        <v>25</v>
      </c>
      <c r="D1352" t="s">
        <v>38</v>
      </c>
      <c r="E1352" t="s">
        <v>12</v>
      </c>
      <c r="F1352">
        <v>99.19</v>
      </c>
      <c r="G1352">
        <v>20.49</v>
      </c>
      <c r="H1352" t="s">
        <v>13</v>
      </c>
      <c r="I1352" t="s">
        <v>34</v>
      </c>
    </row>
    <row r="1353" spans="1:9" x14ac:dyDescent="0.35">
      <c r="A1353" t="s">
        <v>1389</v>
      </c>
      <c r="B1353" s="1">
        <v>45530</v>
      </c>
      <c r="C1353" t="s">
        <v>10</v>
      </c>
      <c r="D1353" t="s">
        <v>38</v>
      </c>
      <c r="E1353" t="s">
        <v>12</v>
      </c>
      <c r="F1353">
        <v>1223.04</v>
      </c>
      <c r="G1353">
        <v>248.44</v>
      </c>
      <c r="H1353" t="s">
        <v>19</v>
      </c>
      <c r="I1353" t="s">
        <v>29</v>
      </c>
    </row>
    <row r="1354" spans="1:9" x14ac:dyDescent="0.35">
      <c r="A1354" t="s">
        <v>1390</v>
      </c>
      <c r="B1354" s="1">
        <v>45617</v>
      </c>
      <c r="C1354" t="s">
        <v>16</v>
      </c>
      <c r="D1354" t="s">
        <v>41</v>
      </c>
      <c r="E1354" t="s">
        <v>12</v>
      </c>
      <c r="F1354">
        <v>1113.57</v>
      </c>
      <c r="G1354">
        <v>140.52000000000001</v>
      </c>
      <c r="H1354" t="s">
        <v>28</v>
      </c>
      <c r="I1354" t="s">
        <v>34</v>
      </c>
    </row>
    <row r="1355" spans="1:9" x14ac:dyDescent="0.35">
      <c r="A1355" t="s">
        <v>1391</v>
      </c>
      <c r="B1355" s="1">
        <v>44870</v>
      </c>
      <c r="C1355" t="s">
        <v>22</v>
      </c>
      <c r="D1355" t="s">
        <v>62</v>
      </c>
      <c r="E1355" t="s">
        <v>27</v>
      </c>
      <c r="F1355">
        <v>52.06</v>
      </c>
      <c r="G1355">
        <v>10.61</v>
      </c>
      <c r="H1355" t="s">
        <v>19</v>
      </c>
      <c r="I1355" t="s">
        <v>34</v>
      </c>
    </row>
    <row r="1356" spans="1:9" x14ac:dyDescent="0.35">
      <c r="A1356" t="s">
        <v>1392</v>
      </c>
      <c r="B1356" s="1">
        <v>44652</v>
      </c>
      <c r="C1356" t="s">
        <v>25</v>
      </c>
      <c r="D1356" t="s">
        <v>57</v>
      </c>
      <c r="E1356" t="s">
        <v>27</v>
      </c>
      <c r="F1356">
        <v>1123.8</v>
      </c>
      <c r="G1356">
        <v>238.97</v>
      </c>
      <c r="H1356" t="s">
        <v>13</v>
      </c>
      <c r="I1356" t="s">
        <v>20</v>
      </c>
    </row>
    <row r="1357" spans="1:9" x14ac:dyDescent="0.35">
      <c r="A1357" t="s">
        <v>1393</v>
      </c>
      <c r="B1357" s="1">
        <v>45590</v>
      </c>
      <c r="C1357" t="s">
        <v>16</v>
      </c>
      <c r="D1357" t="s">
        <v>62</v>
      </c>
      <c r="E1357" t="s">
        <v>27</v>
      </c>
      <c r="F1357">
        <v>761.71</v>
      </c>
      <c r="G1357">
        <v>54.4</v>
      </c>
      <c r="H1357" t="s">
        <v>13</v>
      </c>
      <c r="I1357" t="s">
        <v>14</v>
      </c>
    </row>
    <row r="1358" spans="1:9" x14ac:dyDescent="0.35">
      <c r="A1358" t="s">
        <v>1394</v>
      </c>
      <c r="B1358" s="1">
        <v>44976</v>
      </c>
      <c r="C1358" t="s">
        <v>25</v>
      </c>
      <c r="D1358" t="s">
        <v>62</v>
      </c>
      <c r="E1358" t="s">
        <v>27</v>
      </c>
      <c r="F1358">
        <v>698.95</v>
      </c>
      <c r="G1358">
        <v>101.57</v>
      </c>
      <c r="H1358" t="s">
        <v>13</v>
      </c>
      <c r="I1358" t="s">
        <v>20</v>
      </c>
    </row>
    <row r="1359" spans="1:9" x14ac:dyDescent="0.35">
      <c r="A1359" t="s">
        <v>1395</v>
      </c>
      <c r="B1359" s="1">
        <v>45515</v>
      </c>
      <c r="C1359" t="s">
        <v>16</v>
      </c>
      <c r="D1359" t="s">
        <v>41</v>
      </c>
      <c r="E1359" t="s">
        <v>12</v>
      </c>
      <c r="F1359">
        <v>1977.89</v>
      </c>
      <c r="G1359">
        <v>322.67</v>
      </c>
      <c r="H1359" t="s">
        <v>19</v>
      </c>
      <c r="I1359" t="s">
        <v>20</v>
      </c>
    </row>
    <row r="1360" spans="1:9" x14ac:dyDescent="0.35">
      <c r="A1360" t="s">
        <v>1396</v>
      </c>
      <c r="B1360" s="1">
        <v>45362</v>
      </c>
      <c r="C1360" t="s">
        <v>16</v>
      </c>
      <c r="D1360" t="s">
        <v>62</v>
      </c>
      <c r="E1360" t="s">
        <v>27</v>
      </c>
      <c r="F1360">
        <v>349.91</v>
      </c>
      <c r="G1360">
        <v>104.73</v>
      </c>
      <c r="H1360" t="s">
        <v>13</v>
      </c>
      <c r="I1360" t="s">
        <v>29</v>
      </c>
    </row>
    <row r="1361" spans="1:9" x14ac:dyDescent="0.35">
      <c r="A1361" t="s">
        <v>1397</v>
      </c>
      <c r="B1361" s="1">
        <v>45417</v>
      </c>
      <c r="C1361" t="s">
        <v>22</v>
      </c>
      <c r="D1361" t="s">
        <v>97</v>
      </c>
      <c r="E1361" t="s">
        <v>27</v>
      </c>
      <c r="F1361">
        <v>1568.34</v>
      </c>
      <c r="G1361">
        <v>243.23</v>
      </c>
      <c r="H1361" t="s">
        <v>13</v>
      </c>
      <c r="I1361" t="s">
        <v>14</v>
      </c>
    </row>
    <row r="1362" spans="1:9" x14ac:dyDescent="0.35">
      <c r="A1362" t="s">
        <v>1398</v>
      </c>
      <c r="B1362" s="1">
        <v>45045</v>
      </c>
      <c r="C1362" t="s">
        <v>16</v>
      </c>
      <c r="D1362" t="s">
        <v>73</v>
      </c>
      <c r="E1362" t="s">
        <v>27</v>
      </c>
      <c r="F1362">
        <v>527.73</v>
      </c>
      <c r="G1362">
        <v>38.43</v>
      </c>
      <c r="H1362" t="s">
        <v>19</v>
      </c>
      <c r="I1362" t="s">
        <v>20</v>
      </c>
    </row>
    <row r="1363" spans="1:9" x14ac:dyDescent="0.35">
      <c r="A1363" t="s">
        <v>1399</v>
      </c>
      <c r="B1363" s="1">
        <v>45174</v>
      </c>
      <c r="C1363" t="s">
        <v>10</v>
      </c>
      <c r="D1363" t="s">
        <v>73</v>
      </c>
      <c r="E1363" t="s">
        <v>27</v>
      </c>
      <c r="F1363">
        <v>1770.33</v>
      </c>
      <c r="G1363">
        <v>188.5</v>
      </c>
      <c r="H1363" t="s">
        <v>19</v>
      </c>
      <c r="I1363" t="s">
        <v>34</v>
      </c>
    </row>
    <row r="1364" spans="1:9" x14ac:dyDescent="0.35">
      <c r="A1364" t="s">
        <v>1400</v>
      </c>
      <c r="B1364" s="1">
        <v>45522</v>
      </c>
      <c r="C1364" t="s">
        <v>10</v>
      </c>
      <c r="D1364" t="s">
        <v>38</v>
      </c>
      <c r="E1364" t="s">
        <v>12</v>
      </c>
      <c r="F1364">
        <v>220.82</v>
      </c>
      <c r="G1364">
        <v>29.36</v>
      </c>
      <c r="H1364" t="s">
        <v>19</v>
      </c>
      <c r="I1364" t="s">
        <v>20</v>
      </c>
    </row>
    <row r="1365" spans="1:9" x14ac:dyDescent="0.35">
      <c r="A1365" t="s">
        <v>1401</v>
      </c>
      <c r="B1365" s="1">
        <v>45162</v>
      </c>
      <c r="C1365" t="s">
        <v>22</v>
      </c>
      <c r="D1365" t="s">
        <v>38</v>
      </c>
      <c r="E1365" t="s">
        <v>12</v>
      </c>
      <c r="F1365">
        <v>1470.55</v>
      </c>
      <c r="G1365">
        <v>86.96</v>
      </c>
      <c r="H1365" t="s">
        <v>28</v>
      </c>
      <c r="I1365" t="s">
        <v>29</v>
      </c>
    </row>
    <row r="1366" spans="1:9" x14ac:dyDescent="0.35">
      <c r="A1366" t="s">
        <v>1402</v>
      </c>
      <c r="B1366" s="1">
        <v>45597</v>
      </c>
      <c r="C1366" t="s">
        <v>25</v>
      </c>
      <c r="D1366" t="s">
        <v>62</v>
      </c>
      <c r="E1366" t="s">
        <v>27</v>
      </c>
      <c r="F1366">
        <v>240.77</v>
      </c>
      <c r="G1366">
        <v>32.6</v>
      </c>
      <c r="H1366" t="s">
        <v>28</v>
      </c>
      <c r="I1366" t="s">
        <v>20</v>
      </c>
    </row>
    <row r="1367" spans="1:9" x14ac:dyDescent="0.35">
      <c r="A1367" t="s">
        <v>1403</v>
      </c>
      <c r="B1367" s="1">
        <v>45580</v>
      </c>
      <c r="C1367" t="s">
        <v>10</v>
      </c>
      <c r="D1367" t="s">
        <v>95</v>
      </c>
      <c r="E1367" t="s">
        <v>18</v>
      </c>
      <c r="F1367">
        <v>792.79</v>
      </c>
      <c r="G1367">
        <v>217.89</v>
      </c>
      <c r="H1367" t="s">
        <v>28</v>
      </c>
      <c r="I1367" t="s">
        <v>34</v>
      </c>
    </row>
    <row r="1368" spans="1:9" x14ac:dyDescent="0.35">
      <c r="A1368" t="s">
        <v>1404</v>
      </c>
      <c r="B1368" s="1">
        <v>44690</v>
      </c>
      <c r="C1368" t="s">
        <v>22</v>
      </c>
      <c r="D1368" t="s">
        <v>38</v>
      </c>
      <c r="E1368" t="s">
        <v>12</v>
      </c>
      <c r="F1368">
        <v>1529.34</v>
      </c>
      <c r="G1368">
        <v>356.28</v>
      </c>
      <c r="H1368" t="s">
        <v>19</v>
      </c>
      <c r="I1368" t="s">
        <v>20</v>
      </c>
    </row>
    <row r="1369" spans="1:9" x14ac:dyDescent="0.35">
      <c r="A1369" t="s">
        <v>1405</v>
      </c>
      <c r="B1369" s="1">
        <v>45539</v>
      </c>
      <c r="C1369" t="s">
        <v>10</v>
      </c>
      <c r="D1369" t="s">
        <v>17</v>
      </c>
      <c r="E1369" t="s">
        <v>18</v>
      </c>
      <c r="F1369">
        <v>1005.43</v>
      </c>
      <c r="G1369">
        <v>215.84</v>
      </c>
      <c r="H1369" t="s">
        <v>13</v>
      </c>
      <c r="I1369" t="s">
        <v>29</v>
      </c>
    </row>
    <row r="1370" spans="1:9" x14ac:dyDescent="0.35">
      <c r="A1370" t="s">
        <v>1406</v>
      </c>
      <c r="B1370" s="1">
        <v>44623</v>
      </c>
      <c r="C1370" t="s">
        <v>25</v>
      </c>
      <c r="D1370" t="s">
        <v>33</v>
      </c>
      <c r="E1370" t="s">
        <v>18</v>
      </c>
      <c r="F1370">
        <v>1827.45</v>
      </c>
      <c r="G1370">
        <v>132.97</v>
      </c>
      <c r="H1370" t="s">
        <v>28</v>
      </c>
      <c r="I1370" t="s">
        <v>14</v>
      </c>
    </row>
    <row r="1371" spans="1:9" x14ac:dyDescent="0.35">
      <c r="A1371" t="s">
        <v>1407</v>
      </c>
      <c r="B1371" s="1">
        <v>45030</v>
      </c>
      <c r="C1371" t="s">
        <v>22</v>
      </c>
      <c r="D1371" t="s">
        <v>95</v>
      </c>
      <c r="E1371" t="s">
        <v>18</v>
      </c>
      <c r="F1371">
        <v>318.43</v>
      </c>
      <c r="G1371">
        <v>74.42</v>
      </c>
      <c r="H1371" t="s">
        <v>19</v>
      </c>
      <c r="I1371" t="s">
        <v>14</v>
      </c>
    </row>
    <row r="1372" spans="1:9" x14ac:dyDescent="0.35">
      <c r="A1372" t="s">
        <v>1408</v>
      </c>
      <c r="B1372" s="1">
        <v>45169</v>
      </c>
      <c r="C1372" t="s">
        <v>25</v>
      </c>
      <c r="D1372" t="s">
        <v>31</v>
      </c>
      <c r="E1372" t="s">
        <v>12</v>
      </c>
      <c r="F1372">
        <v>200.61</v>
      </c>
      <c r="G1372">
        <v>17.32</v>
      </c>
      <c r="H1372" t="s">
        <v>19</v>
      </c>
      <c r="I1372" t="s">
        <v>14</v>
      </c>
    </row>
    <row r="1373" spans="1:9" x14ac:dyDescent="0.35">
      <c r="A1373" t="s">
        <v>1409</v>
      </c>
      <c r="B1373" s="1">
        <v>45524</v>
      </c>
      <c r="C1373" t="s">
        <v>22</v>
      </c>
      <c r="D1373" t="s">
        <v>95</v>
      </c>
      <c r="E1373" t="s">
        <v>18</v>
      </c>
      <c r="F1373">
        <v>752.69</v>
      </c>
      <c r="G1373">
        <v>146.29</v>
      </c>
      <c r="H1373" t="s">
        <v>28</v>
      </c>
      <c r="I1373" t="s">
        <v>20</v>
      </c>
    </row>
    <row r="1374" spans="1:9" x14ac:dyDescent="0.35">
      <c r="A1374" t="s">
        <v>1410</v>
      </c>
      <c r="B1374" s="1">
        <v>44603</v>
      </c>
      <c r="C1374" t="s">
        <v>10</v>
      </c>
      <c r="D1374" t="s">
        <v>95</v>
      </c>
      <c r="E1374" t="s">
        <v>18</v>
      </c>
      <c r="F1374">
        <v>1472.73</v>
      </c>
      <c r="G1374">
        <v>103.56</v>
      </c>
      <c r="H1374" t="s">
        <v>13</v>
      </c>
      <c r="I1374" t="s">
        <v>29</v>
      </c>
    </row>
    <row r="1375" spans="1:9" x14ac:dyDescent="0.35">
      <c r="A1375" t="s">
        <v>1411</v>
      </c>
      <c r="B1375" s="1">
        <v>45224</v>
      </c>
      <c r="C1375" t="s">
        <v>25</v>
      </c>
      <c r="D1375" t="s">
        <v>95</v>
      </c>
      <c r="E1375" t="s">
        <v>18</v>
      </c>
      <c r="F1375">
        <v>369.43</v>
      </c>
      <c r="G1375">
        <v>54.16</v>
      </c>
      <c r="H1375" t="s">
        <v>28</v>
      </c>
      <c r="I1375" t="s">
        <v>14</v>
      </c>
    </row>
    <row r="1376" spans="1:9" x14ac:dyDescent="0.35">
      <c r="A1376" t="s">
        <v>1412</v>
      </c>
      <c r="B1376" s="1">
        <v>45256</v>
      </c>
      <c r="C1376" t="s">
        <v>16</v>
      </c>
      <c r="D1376" t="s">
        <v>31</v>
      </c>
      <c r="E1376" t="s">
        <v>12</v>
      </c>
      <c r="F1376">
        <v>706.35</v>
      </c>
      <c r="G1376">
        <v>80.959999999999994</v>
      </c>
      <c r="H1376" t="s">
        <v>28</v>
      </c>
      <c r="I1376" t="s">
        <v>34</v>
      </c>
    </row>
    <row r="1377" spans="1:9" x14ac:dyDescent="0.35">
      <c r="A1377" t="s">
        <v>1413</v>
      </c>
      <c r="B1377" s="1">
        <v>44950</v>
      </c>
      <c r="C1377" t="s">
        <v>22</v>
      </c>
      <c r="D1377" t="s">
        <v>95</v>
      </c>
      <c r="E1377" t="s">
        <v>18</v>
      </c>
      <c r="F1377">
        <v>834.21</v>
      </c>
      <c r="G1377">
        <v>95.18</v>
      </c>
      <c r="H1377" t="s">
        <v>13</v>
      </c>
      <c r="I1377" t="s">
        <v>34</v>
      </c>
    </row>
    <row r="1378" spans="1:9" x14ac:dyDescent="0.35">
      <c r="A1378" t="s">
        <v>1414</v>
      </c>
      <c r="B1378" s="1">
        <v>45230</v>
      </c>
      <c r="C1378" t="s">
        <v>16</v>
      </c>
      <c r="D1378" t="s">
        <v>17</v>
      </c>
      <c r="E1378" t="s">
        <v>18</v>
      </c>
      <c r="F1378">
        <v>599.99</v>
      </c>
      <c r="G1378">
        <v>116.25</v>
      </c>
      <c r="H1378" t="s">
        <v>19</v>
      </c>
      <c r="I1378" t="s">
        <v>14</v>
      </c>
    </row>
    <row r="1379" spans="1:9" x14ac:dyDescent="0.35">
      <c r="A1379" t="s">
        <v>1415</v>
      </c>
      <c r="B1379" s="1">
        <v>45548</v>
      </c>
      <c r="C1379" t="s">
        <v>16</v>
      </c>
      <c r="D1379" t="s">
        <v>23</v>
      </c>
      <c r="E1379" t="s">
        <v>18</v>
      </c>
      <c r="F1379">
        <v>362.99</v>
      </c>
      <c r="G1379">
        <v>107</v>
      </c>
      <c r="H1379" t="s">
        <v>13</v>
      </c>
      <c r="I1379" t="s">
        <v>29</v>
      </c>
    </row>
    <row r="1380" spans="1:9" x14ac:dyDescent="0.35">
      <c r="A1380" t="s">
        <v>1416</v>
      </c>
      <c r="B1380" s="1">
        <v>44754</v>
      </c>
      <c r="C1380" t="s">
        <v>10</v>
      </c>
      <c r="D1380" t="s">
        <v>31</v>
      </c>
      <c r="E1380" t="s">
        <v>12</v>
      </c>
      <c r="F1380">
        <v>1330.97</v>
      </c>
      <c r="G1380">
        <v>206.06</v>
      </c>
      <c r="H1380" t="s">
        <v>28</v>
      </c>
      <c r="I1380" t="s">
        <v>20</v>
      </c>
    </row>
    <row r="1381" spans="1:9" x14ac:dyDescent="0.35">
      <c r="A1381" t="s">
        <v>1417</v>
      </c>
      <c r="B1381" s="1">
        <v>45148</v>
      </c>
      <c r="C1381" t="s">
        <v>25</v>
      </c>
      <c r="D1381" t="s">
        <v>73</v>
      </c>
      <c r="E1381" t="s">
        <v>27</v>
      </c>
      <c r="F1381">
        <v>307.82</v>
      </c>
      <c r="G1381">
        <v>27.73</v>
      </c>
      <c r="H1381" t="s">
        <v>19</v>
      </c>
      <c r="I1381" t="s">
        <v>14</v>
      </c>
    </row>
    <row r="1382" spans="1:9" x14ac:dyDescent="0.35">
      <c r="A1382" t="s">
        <v>1418</v>
      </c>
      <c r="B1382" s="1">
        <v>44947</v>
      </c>
      <c r="C1382" t="s">
        <v>25</v>
      </c>
      <c r="D1382" t="s">
        <v>23</v>
      </c>
      <c r="E1382" t="s">
        <v>18</v>
      </c>
      <c r="F1382">
        <v>648.85</v>
      </c>
      <c r="G1382">
        <v>54.71</v>
      </c>
      <c r="H1382" t="s">
        <v>28</v>
      </c>
      <c r="I1382" t="s">
        <v>20</v>
      </c>
    </row>
    <row r="1383" spans="1:9" x14ac:dyDescent="0.35">
      <c r="A1383" t="s">
        <v>1419</v>
      </c>
      <c r="B1383" s="1">
        <v>45576</v>
      </c>
      <c r="C1383" t="s">
        <v>10</v>
      </c>
      <c r="D1383" t="s">
        <v>57</v>
      </c>
      <c r="E1383" t="s">
        <v>27</v>
      </c>
      <c r="F1383">
        <v>583.24</v>
      </c>
      <c r="G1383">
        <v>117.89</v>
      </c>
      <c r="H1383" t="s">
        <v>13</v>
      </c>
      <c r="I1383" t="s">
        <v>34</v>
      </c>
    </row>
    <row r="1384" spans="1:9" x14ac:dyDescent="0.35">
      <c r="A1384" t="s">
        <v>1420</v>
      </c>
      <c r="B1384" s="1">
        <v>45468</v>
      </c>
      <c r="C1384" t="s">
        <v>10</v>
      </c>
      <c r="D1384" t="s">
        <v>17</v>
      </c>
      <c r="E1384" t="s">
        <v>18</v>
      </c>
      <c r="F1384">
        <v>748.63</v>
      </c>
      <c r="G1384">
        <v>200.31</v>
      </c>
      <c r="H1384" t="s">
        <v>28</v>
      </c>
      <c r="I1384" t="s">
        <v>29</v>
      </c>
    </row>
    <row r="1385" spans="1:9" x14ac:dyDescent="0.35">
      <c r="A1385" t="s">
        <v>1421</v>
      </c>
      <c r="B1385" s="1">
        <v>45557</v>
      </c>
      <c r="C1385" t="s">
        <v>25</v>
      </c>
      <c r="D1385" t="s">
        <v>95</v>
      </c>
      <c r="E1385" t="s">
        <v>18</v>
      </c>
      <c r="F1385">
        <v>700.55</v>
      </c>
      <c r="G1385">
        <v>86.79</v>
      </c>
      <c r="H1385" t="s">
        <v>19</v>
      </c>
      <c r="I1385" t="s">
        <v>34</v>
      </c>
    </row>
    <row r="1386" spans="1:9" x14ac:dyDescent="0.35">
      <c r="A1386" t="s">
        <v>1422</v>
      </c>
      <c r="B1386" s="1">
        <v>45178</v>
      </c>
      <c r="C1386" t="s">
        <v>10</v>
      </c>
      <c r="D1386" t="s">
        <v>57</v>
      </c>
      <c r="E1386" t="s">
        <v>27</v>
      </c>
      <c r="F1386">
        <v>1142.3499999999999</v>
      </c>
      <c r="G1386">
        <v>102.56</v>
      </c>
      <c r="H1386" t="s">
        <v>28</v>
      </c>
      <c r="I1386" t="s">
        <v>34</v>
      </c>
    </row>
    <row r="1387" spans="1:9" x14ac:dyDescent="0.35">
      <c r="A1387" t="s">
        <v>1423</v>
      </c>
      <c r="B1387" s="1">
        <v>44682</v>
      </c>
      <c r="C1387" t="s">
        <v>22</v>
      </c>
      <c r="D1387" t="s">
        <v>38</v>
      </c>
      <c r="E1387" t="s">
        <v>12</v>
      </c>
      <c r="F1387">
        <v>1346.86</v>
      </c>
      <c r="G1387">
        <v>148.75</v>
      </c>
      <c r="H1387" t="s">
        <v>28</v>
      </c>
      <c r="I1387" t="s">
        <v>29</v>
      </c>
    </row>
    <row r="1388" spans="1:9" x14ac:dyDescent="0.35">
      <c r="A1388" t="s">
        <v>1424</v>
      </c>
      <c r="B1388" s="1">
        <v>45328</v>
      </c>
      <c r="C1388" t="s">
        <v>10</v>
      </c>
      <c r="D1388" t="s">
        <v>62</v>
      </c>
      <c r="E1388" t="s">
        <v>27</v>
      </c>
      <c r="F1388">
        <v>619.53</v>
      </c>
      <c r="G1388">
        <v>41.3</v>
      </c>
      <c r="H1388" t="s">
        <v>13</v>
      </c>
      <c r="I1388" t="s">
        <v>20</v>
      </c>
    </row>
    <row r="1389" spans="1:9" x14ac:dyDescent="0.35">
      <c r="A1389" t="s">
        <v>1425</v>
      </c>
      <c r="B1389" s="1">
        <v>44747</v>
      </c>
      <c r="C1389" t="s">
        <v>25</v>
      </c>
      <c r="D1389" t="s">
        <v>46</v>
      </c>
      <c r="E1389" t="s">
        <v>18</v>
      </c>
      <c r="F1389">
        <v>1550.65</v>
      </c>
      <c r="G1389">
        <v>96.59</v>
      </c>
      <c r="H1389" t="s">
        <v>13</v>
      </c>
      <c r="I1389" t="s">
        <v>14</v>
      </c>
    </row>
    <row r="1390" spans="1:9" x14ac:dyDescent="0.35">
      <c r="A1390" t="s">
        <v>1426</v>
      </c>
      <c r="B1390" s="1">
        <v>45042</v>
      </c>
      <c r="C1390" t="s">
        <v>22</v>
      </c>
      <c r="D1390" t="s">
        <v>23</v>
      </c>
      <c r="E1390" t="s">
        <v>18</v>
      </c>
      <c r="F1390">
        <v>409.8</v>
      </c>
      <c r="G1390">
        <v>105.97</v>
      </c>
      <c r="H1390" t="s">
        <v>19</v>
      </c>
      <c r="I1390" t="s">
        <v>14</v>
      </c>
    </row>
    <row r="1391" spans="1:9" x14ac:dyDescent="0.35">
      <c r="A1391" t="s">
        <v>1427</v>
      </c>
      <c r="B1391" s="1">
        <v>45386</v>
      </c>
      <c r="C1391" t="s">
        <v>10</v>
      </c>
      <c r="D1391" t="s">
        <v>62</v>
      </c>
      <c r="E1391" t="s">
        <v>27</v>
      </c>
      <c r="F1391">
        <v>1250.3599999999999</v>
      </c>
      <c r="G1391">
        <v>364.06</v>
      </c>
      <c r="H1391" t="s">
        <v>13</v>
      </c>
      <c r="I1391" t="s">
        <v>20</v>
      </c>
    </row>
    <row r="1392" spans="1:9" x14ac:dyDescent="0.35">
      <c r="A1392" t="s">
        <v>1428</v>
      </c>
      <c r="B1392" s="1">
        <v>44863</v>
      </c>
      <c r="C1392" t="s">
        <v>22</v>
      </c>
      <c r="D1392" t="s">
        <v>50</v>
      </c>
      <c r="E1392" t="s">
        <v>12</v>
      </c>
      <c r="F1392">
        <v>1434.12</v>
      </c>
      <c r="G1392">
        <v>133.41999999999999</v>
      </c>
      <c r="H1392" t="s">
        <v>13</v>
      </c>
      <c r="I1392" t="s">
        <v>34</v>
      </c>
    </row>
    <row r="1393" spans="1:9" x14ac:dyDescent="0.35">
      <c r="A1393" t="s">
        <v>1429</v>
      </c>
      <c r="B1393" s="1">
        <v>45624</v>
      </c>
      <c r="C1393" t="s">
        <v>10</v>
      </c>
      <c r="D1393" t="s">
        <v>26</v>
      </c>
      <c r="E1393" t="s">
        <v>27</v>
      </c>
      <c r="F1393">
        <v>1225.31</v>
      </c>
      <c r="G1393">
        <v>301.98</v>
      </c>
      <c r="H1393" t="s">
        <v>28</v>
      </c>
      <c r="I1393" t="s">
        <v>34</v>
      </c>
    </row>
    <row r="1394" spans="1:9" x14ac:dyDescent="0.35">
      <c r="A1394" t="s">
        <v>1430</v>
      </c>
      <c r="B1394" s="1">
        <v>45280</v>
      </c>
      <c r="C1394" t="s">
        <v>10</v>
      </c>
      <c r="D1394" t="s">
        <v>11</v>
      </c>
      <c r="E1394" t="s">
        <v>12</v>
      </c>
      <c r="F1394">
        <v>858.46</v>
      </c>
      <c r="G1394">
        <v>192.06</v>
      </c>
      <c r="H1394" t="s">
        <v>28</v>
      </c>
      <c r="I1394" t="s">
        <v>34</v>
      </c>
    </row>
    <row r="1395" spans="1:9" x14ac:dyDescent="0.35">
      <c r="A1395" t="s">
        <v>1431</v>
      </c>
      <c r="B1395" s="1">
        <v>44937</v>
      </c>
      <c r="C1395" t="s">
        <v>25</v>
      </c>
      <c r="D1395" t="s">
        <v>95</v>
      </c>
      <c r="E1395" t="s">
        <v>18</v>
      </c>
      <c r="F1395">
        <v>194.32</v>
      </c>
      <c r="G1395">
        <v>13.47</v>
      </c>
      <c r="H1395" t="s">
        <v>13</v>
      </c>
      <c r="I1395" t="s">
        <v>14</v>
      </c>
    </row>
    <row r="1396" spans="1:9" x14ac:dyDescent="0.35">
      <c r="A1396" t="s">
        <v>1432</v>
      </c>
      <c r="B1396" s="1">
        <v>45387</v>
      </c>
      <c r="C1396" t="s">
        <v>16</v>
      </c>
      <c r="D1396" t="s">
        <v>41</v>
      </c>
      <c r="E1396" t="s">
        <v>12</v>
      </c>
      <c r="F1396">
        <v>1855.63</v>
      </c>
      <c r="G1396">
        <v>405.11</v>
      </c>
      <c r="H1396" t="s">
        <v>28</v>
      </c>
      <c r="I1396" t="s">
        <v>34</v>
      </c>
    </row>
    <row r="1397" spans="1:9" x14ac:dyDescent="0.35">
      <c r="A1397" t="s">
        <v>1433</v>
      </c>
      <c r="B1397" s="1">
        <v>44882</v>
      </c>
      <c r="C1397" t="s">
        <v>25</v>
      </c>
      <c r="D1397" t="s">
        <v>11</v>
      </c>
      <c r="E1397" t="s">
        <v>12</v>
      </c>
      <c r="F1397">
        <v>367.42</v>
      </c>
      <c r="G1397">
        <v>99.68</v>
      </c>
      <c r="H1397" t="s">
        <v>28</v>
      </c>
      <c r="I1397" t="s">
        <v>29</v>
      </c>
    </row>
    <row r="1398" spans="1:9" x14ac:dyDescent="0.35">
      <c r="A1398" t="s">
        <v>1434</v>
      </c>
      <c r="B1398" s="1">
        <v>45336</v>
      </c>
      <c r="C1398" t="s">
        <v>25</v>
      </c>
      <c r="D1398" t="s">
        <v>62</v>
      </c>
      <c r="E1398" t="s">
        <v>27</v>
      </c>
      <c r="F1398">
        <v>60.42</v>
      </c>
      <c r="G1398">
        <v>14.48</v>
      </c>
      <c r="H1398" t="s">
        <v>19</v>
      </c>
      <c r="I1398" t="s">
        <v>34</v>
      </c>
    </row>
    <row r="1399" spans="1:9" x14ac:dyDescent="0.35">
      <c r="A1399" t="s">
        <v>1435</v>
      </c>
      <c r="B1399" s="1">
        <v>45500</v>
      </c>
      <c r="C1399" t="s">
        <v>10</v>
      </c>
      <c r="D1399" t="s">
        <v>97</v>
      </c>
      <c r="E1399" t="s">
        <v>27</v>
      </c>
      <c r="F1399">
        <v>815.47</v>
      </c>
      <c r="G1399">
        <v>122.03</v>
      </c>
      <c r="H1399" t="s">
        <v>28</v>
      </c>
      <c r="I1399" t="s">
        <v>14</v>
      </c>
    </row>
    <row r="1400" spans="1:9" x14ac:dyDescent="0.35">
      <c r="A1400" t="s">
        <v>1436</v>
      </c>
      <c r="B1400" s="1">
        <v>45082</v>
      </c>
      <c r="C1400" t="s">
        <v>22</v>
      </c>
      <c r="D1400" t="s">
        <v>46</v>
      </c>
      <c r="E1400" t="s">
        <v>18</v>
      </c>
      <c r="F1400">
        <v>1336.99</v>
      </c>
      <c r="G1400">
        <v>144.37</v>
      </c>
      <c r="H1400" t="s">
        <v>13</v>
      </c>
      <c r="I1400" t="s">
        <v>14</v>
      </c>
    </row>
    <row r="1401" spans="1:9" x14ac:dyDescent="0.35">
      <c r="A1401" t="s">
        <v>1437</v>
      </c>
      <c r="B1401" s="1">
        <v>45577</v>
      </c>
      <c r="C1401" t="s">
        <v>10</v>
      </c>
      <c r="D1401" t="s">
        <v>73</v>
      </c>
      <c r="E1401" t="s">
        <v>27</v>
      </c>
      <c r="F1401">
        <v>85.14</v>
      </c>
      <c r="G1401">
        <v>12.97</v>
      </c>
      <c r="H1401" t="s">
        <v>28</v>
      </c>
      <c r="I1401" t="s">
        <v>14</v>
      </c>
    </row>
    <row r="1402" spans="1:9" x14ac:dyDescent="0.35">
      <c r="A1402" t="s">
        <v>1438</v>
      </c>
      <c r="B1402" s="1">
        <v>44806</v>
      </c>
      <c r="C1402" t="s">
        <v>25</v>
      </c>
      <c r="D1402" t="s">
        <v>26</v>
      </c>
      <c r="E1402" t="s">
        <v>27</v>
      </c>
      <c r="F1402">
        <v>67.34</v>
      </c>
      <c r="G1402">
        <v>10.75</v>
      </c>
      <c r="H1402" t="s">
        <v>19</v>
      </c>
      <c r="I1402" t="s">
        <v>20</v>
      </c>
    </row>
    <row r="1403" spans="1:9" x14ac:dyDescent="0.35">
      <c r="A1403" t="s">
        <v>1439</v>
      </c>
      <c r="B1403" s="1">
        <v>45561</v>
      </c>
      <c r="C1403" t="s">
        <v>25</v>
      </c>
      <c r="D1403" t="s">
        <v>57</v>
      </c>
      <c r="E1403" t="s">
        <v>27</v>
      </c>
      <c r="F1403">
        <v>1761.24</v>
      </c>
      <c r="G1403">
        <v>364.08</v>
      </c>
      <c r="H1403" t="s">
        <v>13</v>
      </c>
      <c r="I1403" t="s">
        <v>34</v>
      </c>
    </row>
    <row r="1404" spans="1:9" x14ac:dyDescent="0.35">
      <c r="A1404" t="s">
        <v>1440</v>
      </c>
      <c r="B1404" s="1">
        <v>45451</v>
      </c>
      <c r="C1404" t="s">
        <v>10</v>
      </c>
      <c r="D1404" t="s">
        <v>26</v>
      </c>
      <c r="E1404" t="s">
        <v>27</v>
      </c>
      <c r="F1404">
        <v>86.96</v>
      </c>
      <c r="G1404">
        <v>24.87</v>
      </c>
      <c r="H1404" t="s">
        <v>28</v>
      </c>
      <c r="I1404" t="s">
        <v>34</v>
      </c>
    </row>
    <row r="1405" spans="1:9" x14ac:dyDescent="0.35">
      <c r="A1405" t="s">
        <v>1441</v>
      </c>
      <c r="B1405" s="1">
        <v>45059</v>
      </c>
      <c r="C1405" t="s">
        <v>16</v>
      </c>
      <c r="D1405" t="s">
        <v>26</v>
      </c>
      <c r="E1405" t="s">
        <v>27</v>
      </c>
      <c r="F1405">
        <v>243.63</v>
      </c>
      <c r="G1405">
        <v>40.85</v>
      </c>
      <c r="H1405" t="s">
        <v>28</v>
      </c>
      <c r="I1405" t="s">
        <v>14</v>
      </c>
    </row>
    <row r="1406" spans="1:9" x14ac:dyDescent="0.35">
      <c r="A1406" t="s">
        <v>1442</v>
      </c>
      <c r="B1406" s="1">
        <v>44842</v>
      </c>
      <c r="C1406" t="s">
        <v>22</v>
      </c>
      <c r="D1406" t="s">
        <v>50</v>
      </c>
      <c r="E1406" t="s">
        <v>12</v>
      </c>
      <c r="F1406">
        <v>1916.04</v>
      </c>
      <c r="G1406">
        <v>298.33999999999997</v>
      </c>
      <c r="H1406" t="s">
        <v>19</v>
      </c>
      <c r="I1406" t="s">
        <v>14</v>
      </c>
    </row>
    <row r="1407" spans="1:9" x14ac:dyDescent="0.35">
      <c r="A1407" t="s">
        <v>1443</v>
      </c>
      <c r="B1407" s="1">
        <v>45187</v>
      </c>
      <c r="C1407" t="s">
        <v>16</v>
      </c>
      <c r="D1407" t="s">
        <v>95</v>
      </c>
      <c r="E1407" t="s">
        <v>18</v>
      </c>
      <c r="F1407">
        <v>630.78</v>
      </c>
      <c r="G1407">
        <v>83.77</v>
      </c>
      <c r="H1407" t="s">
        <v>19</v>
      </c>
      <c r="I1407" t="s">
        <v>14</v>
      </c>
    </row>
    <row r="1408" spans="1:9" x14ac:dyDescent="0.35">
      <c r="A1408" t="s">
        <v>1444</v>
      </c>
      <c r="B1408" s="1">
        <v>45109</v>
      </c>
      <c r="C1408" t="s">
        <v>10</v>
      </c>
      <c r="D1408" t="s">
        <v>26</v>
      </c>
      <c r="E1408" t="s">
        <v>27</v>
      </c>
      <c r="F1408">
        <v>1522.62</v>
      </c>
      <c r="G1408">
        <v>323.14999999999998</v>
      </c>
      <c r="H1408" t="s">
        <v>13</v>
      </c>
      <c r="I1408" t="s">
        <v>34</v>
      </c>
    </row>
    <row r="1409" spans="1:9" x14ac:dyDescent="0.35">
      <c r="A1409" t="s">
        <v>1445</v>
      </c>
      <c r="B1409" s="1">
        <v>44854</v>
      </c>
      <c r="C1409" t="s">
        <v>10</v>
      </c>
      <c r="D1409" t="s">
        <v>38</v>
      </c>
      <c r="E1409" t="s">
        <v>12</v>
      </c>
      <c r="F1409">
        <v>556.72</v>
      </c>
      <c r="G1409">
        <v>64.97</v>
      </c>
      <c r="H1409" t="s">
        <v>28</v>
      </c>
      <c r="I1409" t="s">
        <v>14</v>
      </c>
    </row>
    <row r="1410" spans="1:9" x14ac:dyDescent="0.35">
      <c r="A1410" t="s">
        <v>1446</v>
      </c>
      <c r="B1410" s="1">
        <v>44675</v>
      </c>
      <c r="C1410" t="s">
        <v>25</v>
      </c>
      <c r="D1410" t="s">
        <v>46</v>
      </c>
      <c r="E1410" t="s">
        <v>18</v>
      </c>
      <c r="F1410">
        <v>802.68</v>
      </c>
      <c r="G1410">
        <v>224.58</v>
      </c>
      <c r="H1410" t="s">
        <v>28</v>
      </c>
      <c r="I1410" t="s">
        <v>29</v>
      </c>
    </row>
    <row r="1411" spans="1:9" x14ac:dyDescent="0.35">
      <c r="A1411" t="s">
        <v>1447</v>
      </c>
      <c r="B1411" s="1">
        <v>44631</v>
      </c>
      <c r="C1411" t="s">
        <v>25</v>
      </c>
      <c r="D1411" t="s">
        <v>50</v>
      </c>
      <c r="E1411" t="s">
        <v>12</v>
      </c>
      <c r="F1411">
        <v>417.63</v>
      </c>
      <c r="G1411">
        <v>116.61</v>
      </c>
      <c r="H1411" t="s">
        <v>19</v>
      </c>
      <c r="I1411" t="s">
        <v>14</v>
      </c>
    </row>
    <row r="1412" spans="1:9" x14ac:dyDescent="0.35">
      <c r="A1412" t="s">
        <v>1448</v>
      </c>
      <c r="B1412" s="1">
        <v>44617</v>
      </c>
      <c r="C1412" t="s">
        <v>25</v>
      </c>
      <c r="D1412" t="s">
        <v>26</v>
      </c>
      <c r="E1412" t="s">
        <v>27</v>
      </c>
      <c r="F1412">
        <v>706.65</v>
      </c>
      <c r="G1412">
        <v>160.68</v>
      </c>
      <c r="H1412" t="s">
        <v>28</v>
      </c>
      <c r="I1412" t="s">
        <v>29</v>
      </c>
    </row>
    <row r="1413" spans="1:9" x14ac:dyDescent="0.35">
      <c r="A1413" t="s">
        <v>1449</v>
      </c>
      <c r="B1413" s="1">
        <v>44564</v>
      </c>
      <c r="C1413" t="s">
        <v>25</v>
      </c>
      <c r="D1413" t="s">
        <v>62</v>
      </c>
      <c r="E1413" t="s">
        <v>27</v>
      </c>
      <c r="F1413">
        <v>821.36</v>
      </c>
      <c r="G1413">
        <v>172.75</v>
      </c>
      <c r="H1413" t="s">
        <v>28</v>
      </c>
      <c r="I1413" t="s">
        <v>29</v>
      </c>
    </row>
    <row r="1414" spans="1:9" x14ac:dyDescent="0.35">
      <c r="A1414" t="s">
        <v>1450</v>
      </c>
      <c r="B1414" s="1">
        <v>44929</v>
      </c>
      <c r="C1414" t="s">
        <v>22</v>
      </c>
      <c r="D1414" t="s">
        <v>62</v>
      </c>
      <c r="E1414" t="s">
        <v>27</v>
      </c>
      <c r="F1414">
        <v>1748.82</v>
      </c>
      <c r="G1414">
        <v>373.96</v>
      </c>
      <c r="H1414" t="s">
        <v>13</v>
      </c>
      <c r="I1414" t="s">
        <v>14</v>
      </c>
    </row>
    <row r="1415" spans="1:9" x14ac:dyDescent="0.35">
      <c r="A1415" t="s">
        <v>1451</v>
      </c>
      <c r="B1415" s="1">
        <v>45650</v>
      </c>
      <c r="C1415" t="s">
        <v>22</v>
      </c>
      <c r="D1415" t="s">
        <v>57</v>
      </c>
      <c r="E1415" t="s">
        <v>27</v>
      </c>
      <c r="F1415">
        <v>1520.2</v>
      </c>
      <c r="G1415">
        <v>88.89</v>
      </c>
      <c r="H1415" t="s">
        <v>13</v>
      </c>
      <c r="I1415" t="s">
        <v>34</v>
      </c>
    </row>
    <row r="1416" spans="1:9" x14ac:dyDescent="0.35">
      <c r="A1416" t="s">
        <v>1452</v>
      </c>
      <c r="B1416" s="1">
        <v>45026</v>
      </c>
      <c r="C1416" t="s">
        <v>22</v>
      </c>
      <c r="D1416" t="s">
        <v>95</v>
      </c>
      <c r="E1416" t="s">
        <v>18</v>
      </c>
      <c r="F1416">
        <v>1774.86</v>
      </c>
      <c r="G1416">
        <v>153.25</v>
      </c>
      <c r="H1416" t="s">
        <v>19</v>
      </c>
      <c r="I1416" t="s">
        <v>20</v>
      </c>
    </row>
    <row r="1417" spans="1:9" x14ac:dyDescent="0.35">
      <c r="A1417" t="s">
        <v>1453</v>
      </c>
      <c r="B1417" s="1">
        <v>45655</v>
      </c>
      <c r="C1417" t="s">
        <v>22</v>
      </c>
      <c r="D1417" t="s">
        <v>26</v>
      </c>
      <c r="E1417" t="s">
        <v>27</v>
      </c>
      <c r="F1417">
        <v>1137.5</v>
      </c>
      <c r="G1417">
        <v>190.83</v>
      </c>
      <c r="H1417" t="s">
        <v>19</v>
      </c>
      <c r="I1417" t="s">
        <v>14</v>
      </c>
    </row>
    <row r="1418" spans="1:9" x14ac:dyDescent="0.35">
      <c r="A1418" t="s">
        <v>1454</v>
      </c>
      <c r="B1418" s="1">
        <v>45054</v>
      </c>
      <c r="C1418" t="s">
        <v>25</v>
      </c>
      <c r="D1418" t="s">
        <v>73</v>
      </c>
      <c r="E1418" t="s">
        <v>27</v>
      </c>
      <c r="F1418">
        <v>868.4</v>
      </c>
      <c r="G1418">
        <v>109.82</v>
      </c>
      <c r="H1418" t="s">
        <v>13</v>
      </c>
      <c r="I1418" t="s">
        <v>34</v>
      </c>
    </row>
    <row r="1419" spans="1:9" x14ac:dyDescent="0.35">
      <c r="A1419" t="s">
        <v>1455</v>
      </c>
      <c r="B1419" s="1">
        <v>45280</v>
      </c>
      <c r="C1419" t="s">
        <v>22</v>
      </c>
      <c r="D1419" t="s">
        <v>62</v>
      </c>
      <c r="E1419" t="s">
        <v>27</v>
      </c>
      <c r="F1419">
        <v>1190.4100000000001</v>
      </c>
      <c r="G1419">
        <v>165.76</v>
      </c>
      <c r="H1419" t="s">
        <v>19</v>
      </c>
      <c r="I1419" t="s">
        <v>14</v>
      </c>
    </row>
    <row r="1420" spans="1:9" x14ac:dyDescent="0.35">
      <c r="A1420" t="s">
        <v>1456</v>
      </c>
      <c r="B1420" s="1">
        <v>44675</v>
      </c>
      <c r="C1420" t="s">
        <v>10</v>
      </c>
      <c r="D1420" t="s">
        <v>41</v>
      </c>
      <c r="E1420" t="s">
        <v>12</v>
      </c>
      <c r="F1420">
        <v>1821.65</v>
      </c>
      <c r="G1420">
        <v>162.63999999999999</v>
      </c>
      <c r="H1420" t="s">
        <v>28</v>
      </c>
      <c r="I1420" t="s">
        <v>29</v>
      </c>
    </row>
    <row r="1421" spans="1:9" x14ac:dyDescent="0.35">
      <c r="A1421" t="s">
        <v>1457</v>
      </c>
      <c r="B1421" s="1">
        <v>44626</v>
      </c>
      <c r="C1421" t="s">
        <v>16</v>
      </c>
      <c r="D1421" t="s">
        <v>31</v>
      </c>
      <c r="E1421" t="s">
        <v>12</v>
      </c>
      <c r="F1421">
        <v>1866.08</v>
      </c>
      <c r="G1421">
        <v>472.83</v>
      </c>
      <c r="H1421" t="s">
        <v>19</v>
      </c>
      <c r="I1421" t="s">
        <v>29</v>
      </c>
    </row>
    <row r="1422" spans="1:9" x14ac:dyDescent="0.35">
      <c r="A1422" t="s">
        <v>1458</v>
      </c>
      <c r="B1422" s="1">
        <v>45630</v>
      </c>
      <c r="C1422" t="s">
        <v>25</v>
      </c>
      <c r="D1422" t="s">
        <v>38</v>
      </c>
      <c r="E1422" t="s">
        <v>12</v>
      </c>
      <c r="F1422">
        <v>1729.33</v>
      </c>
      <c r="G1422">
        <v>112.68</v>
      </c>
      <c r="H1422" t="s">
        <v>19</v>
      </c>
      <c r="I1422" t="s">
        <v>20</v>
      </c>
    </row>
    <row r="1423" spans="1:9" x14ac:dyDescent="0.35">
      <c r="A1423" t="s">
        <v>1459</v>
      </c>
      <c r="B1423" s="1">
        <v>44928</v>
      </c>
      <c r="C1423" t="s">
        <v>22</v>
      </c>
      <c r="D1423" t="s">
        <v>23</v>
      </c>
      <c r="E1423" t="s">
        <v>18</v>
      </c>
      <c r="F1423">
        <v>246.03</v>
      </c>
      <c r="G1423">
        <v>43.93</v>
      </c>
      <c r="H1423" t="s">
        <v>13</v>
      </c>
      <c r="I1423" t="s">
        <v>14</v>
      </c>
    </row>
    <row r="1424" spans="1:9" x14ac:dyDescent="0.35">
      <c r="A1424" t="s">
        <v>1460</v>
      </c>
      <c r="B1424" s="1">
        <v>45509</v>
      </c>
      <c r="C1424" t="s">
        <v>25</v>
      </c>
      <c r="D1424" t="s">
        <v>97</v>
      </c>
      <c r="E1424" t="s">
        <v>27</v>
      </c>
      <c r="F1424">
        <v>1805.28</v>
      </c>
      <c r="G1424">
        <v>470.77</v>
      </c>
      <c r="H1424" t="s">
        <v>19</v>
      </c>
      <c r="I1424" t="s">
        <v>20</v>
      </c>
    </row>
    <row r="1425" spans="1:9" x14ac:dyDescent="0.35">
      <c r="A1425" t="s">
        <v>1461</v>
      </c>
      <c r="B1425" s="1">
        <v>45459</v>
      </c>
      <c r="C1425" t="s">
        <v>25</v>
      </c>
      <c r="D1425" t="s">
        <v>31</v>
      </c>
      <c r="E1425" t="s">
        <v>12</v>
      </c>
      <c r="F1425">
        <v>649.52</v>
      </c>
      <c r="G1425">
        <v>92.58</v>
      </c>
      <c r="H1425" t="s">
        <v>28</v>
      </c>
      <c r="I1425" t="s">
        <v>20</v>
      </c>
    </row>
    <row r="1426" spans="1:9" x14ac:dyDescent="0.35">
      <c r="A1426" t="s">
        <v>1462</v>
      </c>
      <c r="B1426" s="1">
        <v>45097</v>
      </c>
      <c r="C1426" t="s">
        <v>10</v>
      </c>
      <c r="D1426" t="s">
        <v>73</v>
      </c>
      <c r="E1426" t="s">
        <v>27</v>
      </c>
      <c r="F1426">
        <v>1217.94</v>
      </c>
      <c r="G1426">
        <v>197.58</v>
      </c>
      <c r="H1426" t="s">
        <v>13</v>
      </c>
      <c r="I1426" t="s">
        <v>20</v>
      </c>
    </row>
    <row r="1427" spans="1:9" x14ac:dyDescent="0.35">
      <c r="A1427" t="s">
        <v>1463</v>
      </c>
      <c r="B1427" s="1">
        <v>44803</v>
      </c>
      <c r="C1427" t="s">
        <v>16</v>
      </c>
      <c r="D1427" t="s">
        <v>41</v>
      </c>
      <c r="E1427" t="s">
        <v>12</v>
      </c>
      <c r="F1427">
        <v>1907.09</v>
      </c>
      <c r="G1427">
        <v>450.37</v>
      </c>
      <c r="H1427" t="s">
        <v>28</v>
      </c>
      <c r="I1427" t="s">
        <v>34</v>
      </c>
    </row>
    <row r="1428" spans="1:9" x14ac:dyDescent="0.35">
      <c r="A1428" t="s">
        <v>1464</v>
      </c>
      <c r="B1428" s="1">
        <v>45647</v>
      </c>
      <c r="C1428" t="s">
        <v>16</v>
      </c>
      <c r="D1428" t="s">
        <v>97</v>
      </c>
      <c r="E1428" t="s">
        <v>27</v>
      </c>
      <c r="F1428">
        <v>1332.27</v>
      </c>
      <c r="G1428">
        <v>140.36000000000001</v>
      </c>
      <c r="H1428" t="s">
        <v>19</v>
      </c>
      <c r="I1428" t="s">
        <v>29</v>
      </c>
    </row>
    <row r="1429" spans="1:9" x14ac:dyDescent="0.35">
      <c r="A1429" t="s">
        <v>1465</v>
      </c>
      <c r="B1429" s="1">
        <v>44705</v>
      </c>
      <c r="C1429" t="s">
        <v>22</v>
      </c>
      <c r="D1429" t="s">
        <v>41</v>
      </c>
      <c r="E1429" t="s">
        <v>12</v>
      </c>
      <c r="F1429">
        <v>1254.67</v>
      </c>
      <c r="G1429">
        <v>332.32</v>
      </c>
      <c r="H1429" t="s">
        <v>13</v>
      </c>
      <c r="I1429" t="s">
        <v>20</v>
      </c>
    </row>
    <row r="1430" spans="1:9" x14ac:dyDescent="0.35">
      <c r="A1430" t="s">
        <v>1466</v>
      </c>
      <c r="B1430" s="1">
        <v>44614</v>
      </c>
      <c r="C1430" t="s">
        <v>25</v>
      </c>
      <c r="D1430" t="s">
        <v>31</v>
      </c>
      <c r="E1430" t="s">
        <v>12</v>
      </c>
      <c r="F1430">
        <v>1788.43</v>
      </c>
      <c r="G1430">
        <v>492.08</v>
      </c>
      <c r="H1430" t="s">
        <v>19</v>
      </c>
      <c r="I1430" t="s">
        <v>29</v>
      </c>
    </row>
    <row r="1431" spans="1:9" x14ac:dyDescent="0.35">
      <c r="A1431" t="s">
        <v>1467</v>
      </c>
      <c r="B1431" s="1">
        <v>45523</v>
      </c>
      <c r="C1431" t="s">
        <v>22</v>
      </c>
      <c r="D1431" t="s">
        <v>97</v>
      </c>
      <c r="E1431" t="s">
        <v>27</v>
      </c>
      <c r="F1431">
        <v>821.76</v>
      </c>
      <c r="G1431">
        <v>207.59</v>
      </c>
      <c r="H1431" t="s">
        <v>13</v>
      </c>
      <c r="I1431" t="s">
        <v>20</v>
      </c>
    </row>
    <row r="1432" spans="1:9" x14ac:dyDescent="0.35">
      <c r="A1432" t="s">
        <v>1468</v>
      </c>
      <c r="B1432" s="1">
        <v>44585</v>
      </c>
      <c r="C1432" t="s">
        <v>16</v>
      </c>
      <c r="D1432" t="s">
        <v>62</v>
      </c>
      <c r="E1432" t="s">
        <v>27</v>
      </c>
      <c r="F1432">
        <v>59.23</v>
      </c>
      <c r="G1432">
        <v>14.13</v>
      </c>
      <c r="H1432" t="s">
        <v>19</v>
      </c>
      <c r="I1432" t="s">
        <v>20</v>
      </c>
    </row>
    <row r="1433" spans="1:9" x14ac:dyDescent="0.35">
      <c r="A1433" t="s">
        <v>1469</v>
      </c>
      <c r="B1433" s="1">
        <v>44845</v>
      </c>
      <c r="C1433" t="s">
        <v>22</v>
      </c>
      <c r="D1433" t="s">
        <v>26</v>
      </c>
      <c r="E1433" t="s">
        <v>27</v>
      </c>
      <c r="F1433">
        <v>1931.84</v>
      </c>
      <c r="G1433">
        <v>346.26</v>
      </c>
      <c r="H1433" t="s">
        <v>13</v>
      </c>
      <c r="I1433" t="s">
        <v>34</v>
      </c>
    </row>
    <row r="1434" spans="1:9" x14ac:dyDescent="0.35">
      <c r="A1434" t="s">
        <v>1470</v>
      </c>
      <c r="B1434" s="1">
        <v>45471</v>
      </c>
      <c r="C1434" t="s">
        <v>10</v>
      </c>
      <c r="D1434" t="s">
        <v>73</v>
      </c>
      <c r="E1434" t="s">
        <v>27</v>
      </c>
      <c r="F1434">
        <v>1959.29</v>
      </c>
      <c r="G1434">
        <v>532.02</v>
      </c>
      <c r="H1434" t="s">
        <v>28</v>
      </c>
      <c r="I1434" t="s">
        <v>29</v>
      </c>
    </row>
    <row r="1435" spans="1:9" x14ac:dyDescent="0.35">
      <c r="A1435" t="s">
        <v>1471</v>
      </c>
      <c r="B1435" s="1">
        <v>44971</v>
      </c>
      <c r="C1435" t="s">
        <v>16</v>
      </c>
      <c r="D1435" t="s">
        <v>26</v>
      </c>
      <c r="E1435" t="s">
        <v>27</v>
      </c>
      <c r="F1435">
        <v>993.36</v>
      </c>
      <c r="G1435">
        <v>207.58</v>
      </c>
      <c r="H1435" t="s">
        <v>13</v>
      </c>
      <c r="I1435" t="s">
        <v>29</v>
      </c>
    </row>
    <row r="1436" spans="1:9" x14ac:dyDescent="0.35">
      <c r="A1436" t="s">
        <v>1472</v>
      </c>
      <c r="B1436" s="1">
        <v>45293</v>
      </c>
      <c r="C1436" t="s">
        <v>10</v>
      </c>
      <c r="D1436" t="s">
        <v>73</v>
      </c>
      <c r="E1436" t="s">
        <v>27</v>
      </c>
      <c r="F1436">
        <v>187.12</v>
      </c>
      <c r="G1436">
        <v>48.63</v>
      </c>
      <c r="H1436" t="s">
        <v>13</v>
      </c>
      <c r="I1436" t="s">
        <v>14</v>
      </c>
    </row>
    <row r="1437" spans="1:9" x14ac:dyDescent="0.35">
      <c r="A1437" t="s">
        <v>1473</v>
      </c>
      <c r="B1437" s="1">
        <v>44916</v>
      </c>
      <c r="C1437" t="s">
        <v>25</v>
      </c>
      <c r="D1437" t="s">
        <v>97</v>
      </c>
      <c r="E1437" t="s">
        <v>27</v>
      </c>
      <c r="F1437">
        <v>1998.52</v>
      </c>
      <c r="G1437">
        <v>284.10000000000002</v>
      </c>
      <c r="H1437" t="s">
        <v>13</v>
      </c>
      <c r="I1437" t="s">
        <v>29</v>
      </c>
    </row>
    <row r="1438" spans="1:9" x14ac:dyDescent="0.35">
      <c r="A1438" t="s">
        <v>1474</v>
      </c>
      <c r="B1438" s="1">
        <v>45344</v>
      </c>
      <c r="C1438" t="s">
        <v>25</v>
      </c>
      <c r="D1438" t="s">
        <v>62</v>
      </c>
      <c r="E1438" t="s">
        <v>27</v>
      </c>
      <c r="F1438">
        <v>480.38</v>
      </c>
      <c r="G1438">
        <v>72.5</v>
      </c>
      <c r="H1438" t="s">
        <v>13</v>
      </c>
      <c r="I1438" t="s">
        <v>14</v>
      </c>
    </row>
    <row r="1439" spans="1:9" x14ac:dyDescent="0.35">
      <c r="A1439" t="s">
        <v>1475</v>
      </c>
      <c r="B1439" s="1">
        <v>44565</v>
      </c>
      <c r="C1439" t="s">
        <v>16</v>
      </c>
      <c r="D1439" t="s">
        <v>95</v>
      </c>
      <c r="E1439" t="s">
        <v>18</v>
      </c>
      <c r="F1439">
        <v>1625.69</v>
      </c>
      <c r="G1439">
        <v>202.59</v>
      </c>
      <c r="H1439" t="s">
        <v>28</v>
      </c>
      <c r="I1439" t="s">
        <v>14</v>
      </c>
    </row>
    <row r="1440" spans="1:9" x14ac:dyDescent="0.35">
      <c r="A1440" t="s">
        <v>1476</v>
      </c>
      <c r="B1440" s="1">
        <v>45352</v>
      </c>
      <c r="C1440" t="s">
        <v>16</v>
      </c>
      <c r="D1440" t="s">
        <v>46</v>
      </c>
      <c r="E1440" t="s">
        <v>18</v>
      </c>
      <c r="F1440">
        <v>807.39</v>
      </c>
      <c r="G1440">
        <v>75.56</v>
      </c>
      <c r="H1440" t="s">
        <v>28</v>
      </c>
      <c r="I1440" t="s">
        <v>34</v>
      </c>
    </row>
    <row r="1441" spans="1:9" x14ac:dyDescent="0.35">
      <c r="A1441" t="s">
        <v>1477</v>
      </c>
      <c r="B1441" s="1">
        <v>44577</v>
      </c>
      <c r="C1441" t="s">
        <v>22</v>
      </c>
      <c r="D1441" t="s">
        <v>26</v>
      </c>
      <c r="E1441" t="s">
        <v>27</v>
      </c>
      <c r="F1441">
        <v>540</v>
      </c>
      <c r="G1441">
        <v>62.23</v>
      </c>
      <c r="H1441" t="s">
        <v>13</v>
      </c>
      <c r="I1441" t="s">
        <v>20</v>
      </c>
    </row>
    <row r="1442" spans="1:9" x14ac:dyDescent="0.35">
      <c r="A1442" t="s">
        <v>1478</v>
      </c>
      <c r="B1442" s="1">
        <v>44821</v>
      </c>
      <c r="C1442" t="s">
        <v>16</v>
      </c>
      <c r="D1442" t="s">
        <v>46</v>
      </c>
      <c r="E1442" t="s">
        <v>18</v>
      </c>
      <c r="F1442">
        <v>269.35000000000002</v>
      </c>
      <c r="G1442">
        <v>61.55</v>
      </c>
      <c r="H1442" t="s">
        <v>28</v>
      </c>
      <c r="I1442" t="s">
        <v>34</v>
      </c>
    </row>
    <row r="1443" spans="1:9" x14ac:dyDescent="0.35">
      <c r="A1443" t="s">
        <v>1479</v>
      </c>
      <c r="B1443" s="1">
        <v>45071</v>
      </c>
      <c r="C1443" t="s">
        <v>16</v>
      </c>
      <c r="D1443" t="s">
        <v>38</v>
      </c>
      <c r="E1443" t="s">
        <v>12</v>
      </c>
      <c r="F1443">
        <v>676.61</v>
      </c>
      <c r="G1443">
        <v>128.13999999999999</v>
      </c>
      <c r="H1443" t="s">
        <v>13</v>
      </c>
      <c r="I1443" t="s">
        <v>29</v>
      </c>
    </row>
    <row r="1444" spans="1:9" x14ac:dyDescent="0.35">
      <c r="A1444" t="s">
        <v>1480</v>
      </c>
      <c r="B1444" s="1">
        <v>45422</v>
      </c>
      <c r="C1444" t="s">
        <v>10</v>
      </c>
      <c r="D1444" t="s">
        <v>62</v>
      </c>
      <c r="E1444" t="s">
        <v>27</v>
      </c>
      <c r="F1444">
        <v>1891.81</v>
      </c>
      <c r="G1444">
        <v>324.85000000000002</v>
      </c>
      <c r="H1444" t="s">
        <v>19</v>
      </c>
      <c r="I1444" t="s">
        <v>14</v>
      </c>
    </row>
    <row r="1445" spans="1:9" x14ac:dyDescent="0.35">
      <c r="A1445" t="s">
        <v>1481</v>
      </c>
      <c r="B1445" s="1">
        <v>45637</v>
      </c>
      <c r="C1445" t="s">
        <v>25</v>
      </c>
      <c r="D1445" t="s">
        <v>11</v>
      </c>
      <c r="E1445" t="s">
        <v>12</v>
      </c>
      <c r="F1445">
        <v>1628.94</v>
      </c>
      <c r="G1445">
        <v>193.63</v>
      </c>
      <c r="H1445" t="s">
        <v>19</v>
      </c>
      <c r="I1445" t="s">
        <v>34</v>
      </c>
    </row>
    <row r="1446" spans="1:9" x14ac:dyDescent="0.35">
      <c r="A1446" t="s">
        <v>1482</v>
      </c>
      <c r="B1446" s="1">
        <v>45598</v>
      </c>
      <c r="C1446" t="s">
        <v>25</v>
      </c>
      <c r="D1446" t="s">
        <v>50</v>
      </c>
      <c r="E1446" t="s">
        <v>12</v>
      </c>
      <c r="F1446">
        <v>164.46</v>
      </c>
      <c r="G1446">
        <v>48.78</v>
      </c>
      <c r="H1446" t="s">
        <v>19</v>
      </c>
      <c r="I1446" t="s">
        <v>29</v>
      </c>
    </row>
    <row r="1447" spans="1:9" x14ac:dyDescent="0.35">
      <c r="A1447" t="s">
        <v>1483</v>
      </c>
      <c r="B1447" s="1">
        <v>45490</v>
      </c>
      <c r="C1447" t="s">
        <v>25</v>
      </c>
      <c r="D1447" t="s">
        <v>97</v>
      </c>
      <c r="E1447" t="s">
        <v>27</v>
      </c>
      <c r="F1447">
        <v>969.89</v>
      </c>
      <c r="G1447">
        <v>135.05000000000001</v>
      </c>
      <c r="H1447" t="s">
        <v>19</v>
      </c>
      <c r="I1447" t="s">
        <v>29</v>
      </c>
    </row>
    <row r="1448" spans="1:9" x14ac:dyDescent="0.35">
      <c r="A1448" t="s">
        <v>1484</v>
      </c>
      <c r="B1448" s="1">
        <v>45349</v>
      </c>
      <c r="C1448" t="s">
        <v>25</v>
      </c>
      <c r="D1448" t="s">
        <v>23</v>
      </c>
      <c r="E1448" t="s">
        <v>18</v>
      </c>
      <c r="F1448">
        <v>1250.9100000000001</v>
      </c>
      <c r="G1448">
        <v>108.12</v>
      </c>
      <c r="H1448" t="s">
        <v>19</v>
      </c>
      <c r="I1448" t="s">
        <v>20</v>
      </c>
    </row>
    <row r="1449" spans="1:9" x14ac:dyDescent="0.35">
      <c r="A1449" t="s">
        <v>1485</v>
      </c>
      <c r="B1449" s="1">
        <v>45542</v>
      </c>
      <c r="C1449" t="s">
        <v>10</v>
      </c>
      <c r="D1449" t="s">
        <v>46</v>
      </c>
      <c r="E1449" t="s">
        <v>18</v>
      </c>
      <c r="F1449">
        <v>1870.87</v>
      </c>
      <c r="G1449">
        <v>499.72</v>
      </c>
      <c r="H1449" t="s">
        <v>28</v>
      </c>
      <c r="I1449" t="s">
        <v>34</v>
      </c>
    </row>
    <row r="1450" spans="1:9" x14ac:dyDescent="0.35">
      <c r="A1450" t="s">
        <v>1486</v>
      </c>
      <c r="B1450" s="1">
        <v>45387</v>
      </c>
      <c r="C1450" t="s">
        <v>22</v>
      </c>
      <c r="D1450" t="s">
        <v>62</v>
      </c>
      <c r="E1450" t="s">
        <v>27</v>
      </c>
      <c r="F1450">
        <v>281.51</v>
      </c>
      <c r="G1450">
        <v>53.9</v>
      </c>
      <c r="H1450" t="s">
        <v>28</v>
      </c>
      <c r="I1450" t="s">
        <v>20</v>
      </c>
    </row>
    <row r="1451" spans="1:9" x14ac:dyDescent="0.35">
      <c r="A1451" t="s">
        <v>1487</v>
      </c>
      <c r="B1451" s="1">
        <v>45362</v>
      </c>
      <c r="C1451" t="s">
        <v>22</v>
      </c>
      <c r="D1451" t="s">
        <v>33</v>
      </c>
      <c r="E1451" t="s">
        <v>18</v>
      </c>
      <c r="F1451">
        <v>1415.86</v>
      </c>
      <c r="G1451">
        <v>300.97000000000003</v>
      </c>
      <c r="H1451" t="s">
        <v>19</v>
      </c>
      <c r="I1451" t="s">
        <v>14</v>
      </c>
    </row>
    <row r="1452" spans="1:9" x14ac:dyDescent="0.35">
      <c r="A1452" t="s">
        <v>1488</v>
      </c>
      <c r="B1452" s="1">
        <v>45119</v>
      </c>
      <c r="C1452" t="s">
        <v>22</v>
      </c>
      <c r="D1452" t="s">
        <v>73</v>
      </c>
      <c r="E1452" t="s">
        <v>27</v>
      </c>
      <c r="F1452">
        <v>1958.34</v>
      </c>
      <c r="G1452">
        <v>458.44</v>
      </c>
      <c r="H1452" t="s">
        <v>28</v>
      </c>
      <c r="I1452" t="s">
        <v>29</v>
      </c>
    </row>
    <row r="1453" spans="1:9" x14ac:dyDescent="0.35">
      <c r="A1453" t="s">
        <v>1489</v>
      </c>
      <c r="B1453" s="1">
        <v>45351</v>
      </c>
      <c r="C1453" t="s">
        <v>25</v>
      </c>
      <c r="D1453" t="s">
        <v>26</v>
      </c>
      <c r="E1453" t="s">
        <v>27</v>
      </c>
      <c r="F1453">
        <v>276.41000000000003</v>
      </c>
      <c r="G1453">
        <v>25.85</v>
      </c>
      <c r="H1453" t="s">
        <v>28</v>
      </c>
      <c r="I1453" t="s">
        <v>14</v>
      </c>
    </row>
    <row r="1454" spans="1:9" x14ac:dyDescent="0.35">
      <c r="A1454" t="s">
        <v>1490</v>
      </c>
      <c r="B1454" s="1">
        <v>45298</v>
      </c>
      <c r="C1454" t="s">
        <v>25</v>
      </c>
      <c r="D1454" t="s">
        <v>11</v>
      </c>
      <c r="E1454" t="s">
        <v>12</v>
      </c>
      <c r="F1454">
        <v>803.71</v>
      </c>
      <c r="G1454">
        <v>128.5</v>
      </c>
      <c r="H1454" t="s">
        <v>28</v>
      </c>
      <c r="I1454" t="s">
        <v>20</v>
      </c>
    </row>
    <row r="1455" spans="1:9" x14ac:dyDescent="0.35">
      <c r="A1455" t="s">
        <v>1491</v>
      </c>
      <c r="B1455" s="1">
        <v>45281</v>
      </c>
      <c r="C1455" t="s">
        <v>16</v>
      </c>
      <c r="D1455" t="s">
        <v>50</v>
      </c>
      <c r="E1455" t="s">
        <v>12</v>
      </c>
      <c r="F1455">
        <v>271.04000000000002</v>
      </c>
      <c r="G1455">
        <v>30.31</v>
      </c>
      <c r="H1455" t="s">
        <v>13</v>
      </c>
      <c r="I1455" t="s">
        <v>34</v>
      </c>
    </row>
    <row r="1456" spans="1:9" x14ac:dyDescent="0.35">
      <c r="A1456" t="s">
        <v>1492</v>
      </c>
      <c r="B1456" s="1">
        <v>45259</v>
      </c>
      <c r="C1456" t="s">
        <v>22</v>
      </c>
      <c r="D1456" t="s">
        <v>95</v>
      </c>
      <c r="E1456" t="s">
        <v>18</v>
      </c>
      <c r="F1456">
        <v>1726.43</v>
      </c>
      <c r="G1456">
        <v>182.86</v>
      </c>
      <c r="H1456" t="s">
        <v>13</v>
      </c>
      <c r="I1456" t="s">
        <v>34</v>
      </c>
    </row>
    <row r="1457" spans="1:9" x14ac:dyDescent="0.35">
      <c r="A1457" t="s">
        <v>1493</v>
      </c>
      <c r="B1457" s="1">
        <v>44991</v>
      </c>
      <c r="C1457" t="s">
        <v>16</v>
      </c>
      <c r="D1457" t="s">
        <v>46</v>
      </c>
      <c r="E1457" t="s">
        <v>18</v>
      </c>
      <c r="F1457">
        <v>1290.9000000000001</v>
      </c>
      <c r="G1457">
        <v>324.45999999999998</v>
      </c>
      <c r="H1457" t="s">
        <v>13</v>
      </c>
      <c r="I1457" t="s">
        <v>20</v>
      </c>
    </row>
    <row r="1458" spans="1:9" x14ac:dyDescent="0.35">
      <c r="A1458" t="s">
        <v>1494</v>
      </c>
      <c r="B1458" s="1">
        <v>44659</v>
      </c>
      <c r="C1458" t="s">
        <v>22</v>
      </c>
      <c r="D1458" t="s">
        <v>23</v>
      </c>
      <c r="E1458" t="s">
        <v>18</v>
      </c>
      <c r="F1458">
        <v>774.34</v>
      </c>
      <c r="G1458">
        <v>141.16999999999999</v>
      </c>
      <c r="H1458" t="s">
        <v>19</v>
      </c>
      <c r="I1458" t="s">
        <v>29</v>
      </c>
    </row>
    <row r="1459" spans="1:9" x14ac:dyDescent="0.35">
      <c r="A1459" t="s">
        <v>1495</v>
      </c>
      <c r="B1459" s="1">
        <v>44715</v>
      </c>
      <c r="C1459" t="s">
        <v>16</v>
      </c>
      <c r="D1459" t="s">
        <v>57</v>
      </c>
      <c r="E1459" t="s">
        <v>27</v>
      </c>
      <c r="F1459">
        <v>980.57</v>
      </c>
      <c r="G1459">
        <v>81.73</v>
      </c>
      <c r="H1459" t="s">
        <v>19</v>
      </c>
      <c r="I1459" t="s">
        <v>14</v>
      </c>
    </row>
    <row r="1460" spans="1:9" x14ac:dyDescent="0.35">
      <c r="A1460" t="s">
        <v>1496</v>
      </c>
      <c r="B1460" s="1">
        <v>45240</v>
      </c>
      <c r="C1460" t="s">
        <v>25</v>
      </c>
      <c r="D1460" t="s">
        <v>41</v>
      </c>
      <c r="E1460" t="s">
        <v>12</v>
      </c>
      <c r="F1460">
        <v>1558.01</v>
      </c>
      <c r="G1460">
        <v>301.35000000000002</v>
      </c>
      <c r="H1460" t="s">
        <v>28</v>
      </c>
      <c r="I1460" t="s">
        <v>34</v>
      </c>
    </row>
    <row r="1461" spans="1:9" x14ac:dyDescent="0.35">
      <c r="A1461" t="s">
        <v>1497</v>
      </c>
      <c r="B1461" s="1">
        <v>45293</v>
      </c>
      <c r="C1461" t="s">
        <v>25</v>
      </c>
      <c r="D1461" t="s">
        <v>38</v>
      </c>
      <c r="E1461" t="s">
        <v>12</v>
      </c>
      <c r="F1461">
        <v>1330.15</v>
      </c>
      <c r="G1461">
        <v>155.53</v>
      </c>
      <c r="H1461" t="s">
        <v>28</v>
      </c>
      <c r="I1461" t="s">
        <v>14</v>
      </c>
    </row>
    <row r="1462" spans="1:9" x14ac:dyDescent="0.35">
      <c r="A1462" t="s">
        <v>1498</v>
      </c>
      <c r="B1462" s="1">
        <v>45556</v>
      </c>
      <c r="C1462" t="s">
        <v>10</v>
      </c>
      <c r="D1462" t="s">
        <v>23</v>
      </c>
      <c r="E1462" t="s">
        <v>18</v>
      </c>
      <c r="F1462">
        <v>1335.88</v>
      </c>
      <c r="G1462">
        <v>221.01</v>
      </c>
      <c r="H1462" t="s">
        <v>28</v>
      </c>
      <c r="I1462" t="s">
        <v>29</v>
      </c>
    </row>
    <row r="1463" spans="1:9" x14ac:dyDescent="0.35">
      <c r="A1463" t="s">
        <v>1499</v>
      </c>
      <c r="B1463" s="1">
        <v>45192</v>
      </c>
      <c r="C1463" t="s">
        <v>10</v>
      </c>
      <c r="D1463" t="s">
        <v>17</v>
      </c>
      <c r="E1463" t="s">
        <v>18</v>
      </c>
      <c r="F1463">
        <v>1704.86</v>
      </c>
      <c r="G1463">
        <v>352.49</v>
      </c>
      <c r="H1463" t="s">
        <v>28</v>
      </c>
      <c r="I1463" t="s">
        <v>20</v>
      </c>
    </row>
    <row r="1464" spans="1:9" x14ac:dyDescent="0.35">
      <c r="A1464" t="s">
        <v>1500</v>
      </c>
      <c r="B1464" s="1">
        <v>45446</v>
      </c>
      <c r="C1464" t="s">
        <v>22</v>
      </c>
      <c r="D1464" t="s">
        <v>97</v>
      </c>
      <c r="E1464" t="s">
        <v>27</v>
      </c>
      <c r="F1464">
        <v>745.12</v>
      </c>
      <c r="G1464">
        <v>146.09</v>
      </c>
      <c r="H1464" t="s">
        <v>13</v>
      </c>
      <c r="I1464" t="s">
        <v>20</v>
      </c>
    </row>
    <row r="1465" spans="1:9" x14ac:dyDescent="0.35">
      <c r="A1465" t="s">
        <v>1501</v>
      </c>
      <c r="B1465" s="1">
        <v>45290</v>
      </c>
      <c r="C1465" t="s">
        <v>10</v>
      </c>
      <c r="D1465" t="s">
        <v>23</v>
      </c>
      <c r="E1465" t="s">
        <v>18</v>
      </c>
      <c r="F1465">
        <v>1380.24</v>
      </c>
      <c r="G1465">
        <v>287.07</v>
      </c>
      <c r="H1465" t="s">
        <v>19</v>
      </c>
      <c r="I1465" t="s">
        <v>14</v>
      </c>
    </row>
    <row r="1466" spans="1:9" x14ac:dyDescent="0.35">
      <c r="A1466" t="s">
        <v>1502</v>
      </c>
      <c r="B1466" s="1">
        <v>45279</v>
      </c>
      <c r="C1466" t="s">
        <v>16</v>
      </c>
      <c r="D1466" t="s">
        <v>73</v>
      </c>
      <c r="E1466" t="s">
        <v>27</v>
      </c>
      <c r="F1466">
        <v>613.91999999999996</v>
      </c>
      <c r="G1466">
        <v>180.53</v>
      </c>
      <c r="H1466" t="s">
        <v>13</v>
      </c>
      <c r="I1466" t="s">
        <v>14</v>
      </c>
    </row>
    <row r="1467" spans="1:9" x14ac:dyDescent="0.35">
      <c r="A1467" t="s">
        <v>1503</v>
      </c>
      <c r="B1467" s="1">
        <v>44588</v>
      </c>
      <c r="C1467" t="s">
        <v>10</v>
      </c>
      <c r="D1467" t="s">
        <v>41</v>
      </c>
      <c r="E1467" t="s">
        <v>12</v>
      </c>
      <c r="F1467">
        <v>1955.76</v>
      </c>
      <c r="G1467">
        <v>525.88</v>
      </c>
      <c r="H1467" t="s">
        <v>13</v>
      </c>
      <c r="I1467" t="s">
        <v>34</v>
      </c>
    </row>
    <row r="1468" spans="1:9" x14ac:dyDescent="0.35">
      <c r="A1468" t="s">
        <v>1504</v>
      </c>
      <c r="B1468" s="1">
        <v>45106</v>
      </c>
      <c r="C1468" t="s">
        <v>25</v>
      </c>
      <c r="D1468" t="s">
        <v>23</v>
      </c>
      <c r="E1468" t="s">
        <v>18</v>
      </c>
      <c r="F1468">
        <v>502.03</v>
      </c>
      <c r="G1468">
        <v>49.12</v>
      </c>
      <c r="H1468" t="s">
        <v>19</v>
      </c>
      <c r="I1468" t="s">
        <v>34</v>
      </c>
    </row>
    <row r="1469" spans="1:9" x14ac:dyDescent="0.35">
      <c r="A1469" t="s">
        <v>1505</v>
      </c>
      <c r="B1469" s="1">
        <v>44574</v>
      </c>
      <c r="C1469" t="s">
        <v>25</v>
      </c>
      <c r="D1469" t="s">
        <v>50</v>
      </c>
      <c r="E1469" t="s">
        <v>12</v>
      </c>
      <c r="F1469">
        <v>226.89</v>
      </c>
      <c r="G1469">
        <v>39.04</v>
      </c>
      <c r="H1469" t="s">
        <v>28</v>
      </c>
      <c r="I1469" t="s">
        <v>14</v>
      </c>
    </row>
    <row r="1470" spans="1:9" x14ac:dyDescent="0.35">
      <c r="A1470" t="s">
        <v>1506</v>
      </c>
      <c r="B1470" s="1">
        <v>44578</v>
      </c>
      <c r="C1470" t="s">
        <v>16</v>
      </c>
      <c r="D1470" t="s">
        <v>50</v>
      </c>
      <c r="E1470" t="s">
        <v>12</v>
      </c>
      <c r="F1470">
        <v>322.83</v>
      </c>
      <c r="G1470">
        <v>52.37</v>
      </c>
      <c r="H1470" t="s">
        <v>13</v>
      </c>
      <c r="I1470" t="s">
        <v>29</v>
      </c>
    </row>
    <row r="1471" spans="1:9" x14ac:dyDescent="0.35">
      <c r="A1471" t="s">
        <v>1507</v>
      </c>
      <c r="B1471" s="1">
        <v>45584</v>
      </c>
      <c r="C1471" t="s">
        <v>25</v>
      </c>
      <c r="D1471" t="s">
        <v>41</v>
      </c>
      <c r="E1471" t="s">
        <v>12</v>
      </c>
      <c r="F1471">
        <v>1095.53</v>
      </c>
      <c r="G1471">
        <v>197.04</v>
      </c>
      <c r="H1471" t="s">
        <v>13</v>
      </c>
      <c r="I1471" t="s">
        <v>14</v>
      </c>
    </row>
    <row r="1472" spans="1:9" x14ac:dyDescent="0.35">
      <c r="A1472" t="s">
        <v>1508</v>
      </c>
      <c r="B1472" s="1">
        <v>44738</v>
      </c>
      <c r="C1472" t="s">
        <v>25</v>
      </c>
      <c r="D1472" t="s">
        <v>31</v>
      </c>
      <c r="E1472" t="s">
        <v>12</v>
      </c>
      <c r="F1472">
        <v>218.61</v>
      </c>
      <c r="G1472">
        <v>23.58</v>
      </c>
      <c r="H1472" t="s">
        <v>13</v>
      </c>
      <c r="I1472" t="s">
        <v>29</v>
      </c>
    </row>
    <row r="1473" spans="1:9" x14ac:dyDescent="0.35">
      <c r="A1473" t="s">
        <v>1509</v>
      </c>
      <c r="B1473" s="1">
        <v>45505</v>
      </c>
      <c r="C1473" t="s">
        <v>22</v>
      </c>
      <c r="D1473" t="s">
        <v>38</v>
      </c>
      <c r="E1473" t="s">
        <v>12</v>
      </c>
      <c r="F1473">
        <v>788.5</v>
      </c>
      <c r="G1473">
        <v>143.68</v>
      </c>
      <c r="H1473" t="s">
        <v>19</v>
      </c>
      <c r="I1473" t="s">
        <v>34</v>
      </c>
    </row>
    <row r="1474" spans="1:9" x14ac:dyDescent="0.35">
      <c r="A1474" t="s">
        <v>1510</v>
      </c>
      <c r="B1474" s="1">
        <v>44573</v>
      </c>
      <c r="C1474" t="s">
        <v>25</v>
      </c>
      <c r="D1474" t="s">
        <v>11</v>
      </c>
      <c r="E1474" t="s">
        <v>12</v>
      </c>
      <c r="F1474">
        <v>816.16</v>
      </c>
      <c r="G1474">
        <v>208.33</v>
      </c>
      <c r="H1474" t="s">
        <v>28</v>
      </c>
      <c r="I1474" t="s">
        <v>34</v>
      </c>
    </row>
    <row r="1475" spans="1:9" x14ac:dyDescent="0.35">
      <c r="A1475" t="s">
        <v>1511</v>
      </c>
      <c r="B1475" s="1">
        <v>44933</v>
      </c>
      <c r="C1475" t="s">
        <v>16</v>
      </c>
      <c r="D1475" t="s">
        <v>26</v>
      </c>
      <c r="E1475" t="s">
        <v>27</v>
      </c>
      <c r="F1475">
        <v>881.44</v>
      </c>
      <c r="G1475">
        <v>257.98</v>
      </c>
      <c r="H1475" t="s">
        <v>13</v>
      </c>
      <c r="I1475" t="s">
        <v>14</v>
      </c>
    </row>
    <row r="1476" spans="1:9" x14ac:dyDescent="0.35">
      <c r="A1476" t="s">
        <v>1512</v>
      </c>
      <c r="B1476" s="1">
        <v>45076</v>
      </c>
      <c r="C1476" t="s">
        <v>10</v>
      </c>
      <c r="D1476" t="s">
        <v>38</v>
      </c>
      <c r="E1476" t="s">
        <v>12</v>
      </c>
      <c r="F1476">
        <v>1986.51</v>
      </c>
      <c r="G1476">
        <v>212.4</v>
      </c>
      <c r="H1476" t="s">
        <v>13</v>
      </c>
      <c r="I1476" t="s">
        <v>29</v>
      </c>
    </row>
    <row r="1477" spans="1:9" x14ac:dyDescent="0.35">
      <c r="A1477" t="s">
        <v>1513</v>
      </c>
      <c r="B1477" s="1">
        <v>45001</v>
      </c>
      <c r="C1477" t="s">
        <v>25</v>
      </c>
      <c r="D1477" t="s">
        <v>97</v>
      </c>
      <c r="E1477" t="s">
        <v>27</v>
      </c>
      <c r="F1477">
        <v>595.33000000000004</v>
      </c>
      <c r="G1477">
        <v>105.34</v>
      </c>
      <c r="H1477" t="s">
        <v>13</v>
      </c>
      <c r="I1477" t="s">
        <v>29</v>
      </c>
    </row>
    <row r="1478" spans="1:9" x14ac:dyDescent="0.35">
      <c r="A1478" t="s">
        <v>1514</v>
      </c>
      <c r="B1478" s="1">
        <v>45345</v>
      </c>
      <c r="C1478" t="s">
        <v>25</v>
      </c>
      <c r="D1478" t="s">
        <v>62</v>
      </c>
      <c r="E1478" t="s">
        <v>27</v>
      </c>
      <c r="F1478">
        <v>1810.07</v>
      </c>
      <c r="G1478">
        <v>278.29000000000002</v>
      </c>
      <c r="H1478" t="s">
        <v>13</v>
      </c>
      <c r="I1478" t="s">
        <v>29</v>
      </c>
    </row>
    <row r="1479" spans="1:9" x14ac:dyDescent="0.35">
      <c r="A1479" t="s">
        <v>1515</v>
      </c>
      <c r="B1479" s="1">
        <v>45518</v>
      </c>
      <c r="C1479" t="s">
        <v>16</v>
      </c>
      <c r="D1479" t="s">
        <v>41</v>
      </c>
      <c r="E1479" t="s">
        <v>12</v>
      </c>
      <c r="F1479">
        <v>1285.81</v>
      </c>
      <c r="G1479">
        <v>270.58</v>
      </c>
      <c r="H1479" t="s">
        <v>19</v>
      </c>
      <c r="I1479" t="s">
        <v>29</v>
      </c>
    </row>
    <row r="1480" spans="1:9" x14ac:dyDescent="0.35">
      <c r="A1480" t="s">
        <v>1516</v>
      </c>
      <c r="B1480" s="1">
        <v>45459</v>
      </c>
      <c r="C1480" t="s">
        <v>25</v>
      </c>
      <c r="D1480" t="s">
        <v>50</v>
      </c>
      <c r="E1480" t="s">
        <v>12</v>
      </c>
      <c r="F1480">
        <v>1548.61</v>
      </c>
      <c r="G1480">
        <v>237.27</v>
      </c>
      <c r="H1480" t="s">
        <v>13</v>
      </c>
      <c r="I1480" t="s">
        <v>14</v>
      </c>
    </row>
    <row r="1481" spans="1:9" x14ac:dyDescent="0.35">
      <c r="A1481" t="s">
        <v>1517</v>
      </c>
      <c r="B1481" s="1">
        <v>45506</v>
      </c>
      <c r="C1481" t="s">
        <v>25</v>
      </c>
      <c r="D1481" t="s">
        <v>31</v>
      </c>
      <c r="E1481" t="s">
        <v>12</v>
      </c>
      <c r="F1481">
        <v>1002.3</v>
      </c>
      <c r="G1481">
        <v>58.59</v>
      </c>
      <c r="H1481" t="s">
        <v>28</v>
      </c>
      <c r="I1481" t="s">
        <v>34</v>
      </c>
    </row>
    <row r="1482" spans="1:9" x14ac:dyDescent="0.35">
      <c r="A1482" t="s">
        <v>1518</v>
      </c>
      <c r="B1482" s="1">
        <v>44791</v>
      </c>
      <c r="C1482" t="s">
        <v>22</v>
      </c>
      <c r="D1482" t="s">
        <v>97</v>
      </c>
      <c r="E1482" t="s">
        <v>27</v>
      </c>
      <c r="F1482">
        <v>452.36</v>
      </c>
      <c r="G1482">
        <v>81.400000000000006</v>
      </c>
      <c r="H1482" t="s">
        <v>13</v>
      </c>
      <c r="I1482" t="s">
        <v>34</v>
      </c>
    </row>
    <row r="1483" spans="1:9" x14ac:dyDescent="0.35">
      <c r="A1483" t="s">
        <v>1519</v>
      </c>
      <c r="B1483" s="1">
        <v>45510</v>
      </c>
      <c r="C1483" t="s">
        <v>10</v>
      </c>
      <c r="D1483" t="s">
        <v>46</v>
      </c>
      <c r="E1483" t="s">
        <v>18</v>
      </c>
      <c r="F1483">
        <v>549.67999999999995</v>
      </c>
      <c r="G1483">
        <v>36.4</v>
      </c>
      <c r="H1483" t="s">
        <v>19</v>
      </c>
      <c r="I1483" t="s">
        <v>34</v>
      </c>
    </row>
    <row r="1484" spans="1:9" x14ac:dyDescent="0.35">
      <c r="A1484" t="s">
        <v>1520</v>
      </c>
      <c r="B1484" s="1">
        <v>45287</v>
      </c>
      <c r="C1484" t="s">
        <v>16</v>
      </c>
      <c r="D1484" t="s">
        <v>97</v>
      </c>
      <c r="E1484" t="s">
        <v>27</v>
      </c>
      <c r="F1484">
        <v>439.93</v>
      </c>
      <c r="G1484">
        <v>69.5</v>
      </c>
      <c r="H1484" t="s">
        <v>28</v>
      </c>
      <c r="I1484" t="s">
        <v>29</v>
      </c>
    </row>
    <row r="1485" spans="1:9" x14ac:dyDescent="0.35">
      <c r="A1485" t="s">
        <v>1521</v>
      </c>
      <c r="B1485" s="1">
        <v>45647</v>
      </c>
      <c r="C1485" t="s">
        <v>10</v>
      </c>
      <c r="D1485" t="s">
        <v>50</v>
      </c>
      <c r="E1485" t="s">
        <v>12</v>
      </c>
      <c r="F1485">
        <v>1157.47</v>
      </c>
      <c r="G1485">
        <v>267.56</v>
      </c>
      <c r="H1485" t="s">
        <v>13</v>
      </c>
      <c r="I1485" t="s">
        <v>14</v>
      </c>
    </row>
    <row r="1486" spans="1:9" x14ac:dyDescent="0.35">
      <c r="A1486" t="s">
        <v>1522</v>
      </c>
      <c r="B1486" s="1">
        <v>44772</v>
      </c>
      <c r="C1486" t="s">
        <v>10</v>
      </c>
      <c r="D1486" t="s">
        <v>41</v>
      </c>
      <c r="E1486" t="s">
        <v>12</v>
      </c>
      <c r="F1486">
        <v>705.91</v>
      </c>
      <c r="G1486">
        <v>123.21</v>
      </c>
      <c r="H1486" t="s">
        <v>13</v>
      </c>
      <c r="I1486" t="s">
        <v>34</v>
      </c>
    </row>
    <row r="1487" spans="1:9" x14ac:dyDescent="0.35">
      <c r="A1487" t="s">
        <v>1523</v>
      </c>
      <c r="B1487" s="1">
        <v>45349</v>
      </c>
      <c r="C1487" t="s">
        <v>22</v>
      </c>
      <c r="D1487" t="s">
        <v>26</v>
      </c>
      <c r="E1487" t="s">
        <v>27</v>
      </c>
      <c r="F1487">
        <v>1466.77</v>
      </c>
      <c r="G1487">
        <v>355.45</v>
      </c>
      <c r="H1487" t="s">
        <v>13</v>
      </c>
      <c r="I1487" t="s">
        <v>34</v>
      </c>
    </row>
    <row r="1488" spans="1:9" x14ac:dyDescent="0.35">
      <c r="A1488" t="s">
        <v>1524</v>
      </c>
      <c r="B1488" s="1">
        <v>44931</v>
      </c>
      <c r="C1488" t="s">
        <v>25</v>
      </c>
      <c r="D1488" t="s">
        <v>38</v>
      </c>
      <c r="E1488" t="s">
        <v>12</v>
      </c>
      <c r="F1488">
        <v>275.45</v>
      </c>
      <c r="G1488">
        <v>18.78</v>
      </c>
      <c r="H1488" t="s">
        <v>13</v>
      </c>
      <c r="I1488" t="s">
        <v>29</v>
      </c>
    </row>
    <row r="1489" spans="1:9" x14ac:dyDescent="0.35">
      <c r="A1489" t="s">
        <v>1525</v>
      </c>
      <c r="B1489" s="1">
        <v>44607</v>
      </c>
      <c r="C1489" t="s">
        <v>22</v>
      </c>
      <c r="D1489" t="s">
        <v>31</v>
      </c>
      <c r="E1489" t="s">
        <v>12</v>
      </c>
      <c r="F1489">
        <v>1205.71</v>
      </c>
      <c r="G1489">
        <v>251.27</v>
      </c>
      <c r="H1489" t="s">
        <v>13</v>
      </c>
      <c r="I1489" t="s">
        <v>14</v>
      </c>
    </row>
    <row r="1490" spans="1:9" x14ac:dyDescent="0.35">
      <c r="A1490" t="s">
        <v>1526</v>
      </c>
      <c r="B1490" s="1">
        <v>44951</v>
      </c>
      <c r="C1490" t="s">
        <v>22</v>
      </c>
      <c r="D1490" t="s">
        <v>50</v>
      </c>
      <c r="E1490" t="s">
        <v>12</v>
      </c>
      <c r="F1490">
        <v>324.27</v>
      </c>
      <c r="G1490">
        <v>18.29</v>
      </c>
      <c r="H1490" t="s">
        <v>19</v>
      </c>
      <c r="I1490" t="s">
        <v>14</v>
      </c>
    </row>
    <row r="1491" spans="1:9" x14ac:dyDescent="0.35">
      <c r="A1491" t="s">
        <v>1527</v>
      </c>
      <c r="B1491" s="1">
        <v>44787</v>
      </c>
      <c r="C1491" t="s">
        <v>10</v>
      </c>
      <c r="D1491" t="s">
        <v>33</v>
      </c>
      <c r="E1491" t="s">
        <v>18</v>
      </c>
      <c r="F1491">
        <v>1957.18</v>
      </c>
      <c r="G1491">
        <v>324.73</v>
      </c>
      <c r="H1491" t="s">
        <v>19</v>
      </c>
      <c r="I1491" t="s">
        <v>20</v>
      </c>
    </row>
    <row r="1492" spans="1:9" x14ac:dyDescent="0.35">
      <c r="A1492" t="s">
        <v>1528</v>
      </c>
      <c r="B1492" s="1">
        <v>45655</v>
      </c>
      <c r="C1492" t="s">
        <v>16</v>
      </c>
      <c r="D1492" t="s">
        <v>31</v>
      </c>
      <c r="E1492" t="s">
        <v>12</v>
      </c>
      <c r="F1492">
        <v>587.05999999999995</v>
      </c>
      <c r="G1492">
        <v>81.93</v>
      </c>
      <c r="H1492" t="s">
        <v>13</v>
      </c>
      <c r="I1492" t="s">
        <v>34</v>
      </c>
    </row>
    <row r="1493" spans="1:9" x14ac:dyDescent="0.35">
      <c r="A1493" t="s">
        <v>1529</v>
      </c>
      <c r="B1493" s="1">
        <v>45617</v>
      </c>
      <c r="C1493" t="s">
        <v>10</v>
      </c>
      <c r="D1493" t="s">
        <v>73</v>
      </c>
      <c r="E1493" t="s">
        <v>27</v>
      </c>
      <c r="F1493">
        <v>1284.83</v>
      </c>
      <c r="G1493">
        <v>268.10000000000002</v>
      </c>
      <c r="H1493" t="s">
        <v>28</v>
      </c>
      <c r="I1493" t="s">
        <v>14</v>
      </c>
    </row>
    <row r="1494" spans="1:9" x14ac:dyDescent="0.35">
      <c r="A1494" t="s">
        <v>1530</v>
      </c>
      <c r="B1494" s="1">
        <v>45374</v>
      </c>
      <c r="C1494" t="s">
        <v>22</v>
      </c>
      <c r="D1494" t="s">
        <v>17</v>
      </c>
      <c r="E1494" t="s">
        <v>18</v>
      </c>
      <c r="F1494">
        <v>139.31</v>
      </c>
      <c r="G1494">
        <v>38.409999999999997</v>
      </c>
      <c r="H1494" t="s">
        <v>28</v>
      </c>
      <c r="I1494" t="s">
        <v>14</v>
      </c>
    </row>
    <row r="1495" spans="1:9" x14ac:dyDescent="0.35">
      <c r="A1495" t="s">
        <v>1531</v>
      </c>
      <c r="B1495" s="1">
        <v>44915</v>
      </c>
      <c r="C1495" t="s">
        <v>16</v>
      </c>
      <c r="D1495" t="s">
        <v>38</v>
      </c>
      <c r="E1495" t="s">
        <v>12</v>
      </c>
      <c r="F1495">
        <v>1588.01</v>
      </c>
      <c r="G1495">
        <v>383.53</v>
      </c>
      <c r="H1495" t="s">
        <v>28</v>
      </c>
      <c r="I1495" t="s">
        <v>14</v>
      </c>
    </row>
    <row r="1496" spans="1:9" x14ac:dyDescent="0.35">
      <c r="A1496" t="s">
        <v>1532</v>
      </c>
      <c r="B1496" s="1">
        <v>45566</v>
      </c>
      <c r="C1496" t="s">
        <v>25</v>
      </c>
      <c r="D1496" t="s">
        <v>31</v>
      </c>
      <c r="E1496" t="s">
        <v>12</v>
      </c>
      <c r="F1496">
        <v>1299.44</v>
      </c>
      <c r="G1496">
        <v>312.98</v>
      </c>
      <c r="H1496" t="s">
        <v>28</v>
      </c>
      <c r="I1496" t="s">
        <v>14</v>
      </c>
    </row>
    <row r="1497" spans="1:9" x14ac:dyDescent="0.35">
      <c r="A1497" t="s">
        <v>1533</v>
      </c>
      <c r="B1497" s="1">
        <v>44963</v>
      </c>
      <c r="C1497" t="s">
        <v>10</v>
      </c>
      <c r="D1497" t="s">
        <v>46</v>
      </c>
      <c r="E1497" t="s">
        <v>18</v>
      </c>
      <c r="F1497">
        <v>1430.61</v>
      </c>
      <c r="G1497">
        <v>214.7</v>
      </c>
      <c r="H1497" t="s">
        <v>19</v>
      </c>
      <c r="I1497" t="s">
        <v>20</v>
      </c>
    </row>
    <row r="1498" spans="1:9" x14ac:dyDescent="0.35">
      <c r="A1498" t="s">
        <v>1534</v>
      </c>
      <c r="B1498" s="1">
        <v>45063</v>
      </c>
      <c r="C1498" t="s">
        <v>10</v>
      </c>
      <c r="D1498" t="s">
        <v>62</v>
      </c>
      <c r="E1498" t="s">
        <v>27</v>
      </c>
      <c r="F1498">
        <v>348.52</v>
      </c>
      <c r="G1498">
        <v>83.88</v>
      </c>
      <c r="H1498" t="s">
        <v>28</v>
      </c>
      <c r="I1498" t="s">
        <v>14</v>
      </c>
    </row>
    <row r="1499" spans="1:9" x14ac:dyDescent="0.35">
      <c r="A1499" t="s">
        <v>1535</v>
      </c>
      <c r="B1499" s="1">
        <v>45584</v>
      </c>
      <c r="C1499" t="s">
        <v>10</v>
      </c>
      <c r="D1499" t="s">
        <v>38</v>
      </c>
      <c r="E1499" t="s">
        <v>12</v>
      </c>
      <c r="F1499">
        <v>741.34</v>
      </c>
      <c r="G1499">
        <v>168.19</v>
      </c>
      <c r="H1499" t="s">
        <v>13</v>
      </c>
      <c r="I1499" t="s">
        <v>20</v>
      </c>
    </row>
    <row r="1500" spans="1:9" x14ac:dyDescent="0.35">
      <c r="A1500" t="s">
        <v>1536</v>
      </c>
      <c r="B1500" s="1">
        <v>45604</v>
      </c>
      <c r="C1500" t="s">
        <v>25</v>
      </c>
      <c r="D1500" t="s">
        <v>50</v>
      </c>
      <c r="E1500" t="s">
        <v>12</v>
      </c>
      <c r="F1500">
        <v>1603.83</v>
      </c>
      <c r="G1500">
        <v>179.15</v>
      </c>
      <c r="H1500" t="s">
        <v>28</v>
      </c>
      <c r="I1500" t="s">
        <v>34</v>
      </c>
    </row>
    <row r="1501" spans="1:9" x14ac:dyDescent="0.35">
      <c r="A1501" t="s">
        <v>1537</v>
      </c>
      <c r="B1501" s="1">
        <v>44853</v>
      </c>
      <c r="C1501" t="s">
        <v>22</v>
      </c>
      <c r="D1501" t="s">
        <v>41</v>
      </c>
      <c r="E1501" t="s">
        <v>12</v>
      </c>
      <c r="F1501">
        <v>126.49</v>
      </c>
      <c r="G1501">
        <v>20</v>
      </c>
      <c r="H1501" t="s">
        <v>28</v>
      </c>
      <c r="I1501" t="s">
        <v>14</v>
      </c>
    </row>
    <row r="1502" spans="1:9" x14ac:dyDescent="0.35">
      <c r="A1502" t="s">
        <v>1538</v>
      </c>
      <c r="B1502" s="1">
        <v>45277</v>
      </c>
      <c r="C1502" t="s">
        <v>16</v>
      </c>
      <c r="D1502" t="s">
        <v>31</v>
      </c>
      <c r="E1502" t="s">
        <v>12</v>
      </c>
      <c r="F1502">
        <v>915.61</v>
      </c>
      <c r="G1502">
        <v>213.69</v>
      </c>
      <c r="H1502" t="s">
        <v>28</v>
      </c>
      <c r="I1502" t="s">
        <v>14</v>
      </c>
    </row>
    <row r="1503" spans="1:9" x14ac:dyDescent="0.35">
      <c r="A1503" t="s">
        <v>1539</v>
      </c>
      <c r="B1503" s="1">
        <v>45331</v>
      </c>
      <c r="C1503" t="s">
        <v>25</v>
      </c>
      <c r="D1503" t="s">
        <v>38</v>
      </c>
      <c r="E1503" t="s">
        <v>12</v>
      </c>
      <c r="F1503">
        <v>1865.9</v>
      </c>
      <c r="G1503">
        <v>186.8</v>
      </c>
      <c r="H1503" t="s">
        <v>28</v>
      </c>
      <c r="I1503" t="s">
        <v>20</v>
      </c>
    </row>
    <row r="1504" spans="1:9" x14ac:dyDescent="0.35">
      <c r="A1504" t="s">
        <v>1540</v>
      </c>
      <c r="B1504" s="1">
        <v>45565</v>
      </c>
      <c r="C1504" t="s">
        <v>16</v>
      </c>
      <c r="D1504" t="s">
        <v>31</v>
      </c>
      <c r="E1504" t="s">
        <v>12</v>
      </c>
      <c r="F1504">
        <v>1569.81</v>
      </c>
      <c r="G1504">
        <v>420.82</v>
      </c>
      <c r="H1504" t="s">
        <v>28</v>
      </c>
      <c r="I1504" t="s">
        <v>14</v>
      </c>
    </row>
    <row r="1505" spans="1:9" x14ac:dyDescent="0.35">
      <c r="A1505" t="s">
        <v>1541</v>
      </c>
      <c r="B1505" s="1">
        <v>44891</v>
      </c>
      <c r="C1505" t="s">
        <v>25</v>
      </c>
      <c r="D1505" t="s">
        <v>73</v>
      </c>
      <c r="E1505" t="s">
        <v>27</v>
      </c>
      <c r="F1505">
        <v>67.73</v>
      </c>
      <c r="G1505">
        <v>18.43</v>
      </c>
      <c r="H1505" t="s">
        <v>19</v>
      </c>
      <c r="I1505" t="s">
        <v>29</v>
      </c>
    </row>
    <row r="1506" spans="1:9" x14ac:dyDescent="0.35">
      <c r="A1506" t="s">
        <v>1542</v>
      </c>
      <c r="B1506" s="1">
        <v>45147</v>
      </c>
      <c r="C1506" t="s">
        <v>10</v>
      </c>
      <c r="D1506" t="s">
        <v>46</v>
      </c>
      <c r="E1506" t="s">
        <v>18</v>
      </c>
      <c r="F1506">
        <v>994.01</v>
      </c>
      <c r="G1506">
        <v>256.10000000000002</v>
      </c>
      <c r="H1506" t="s">
        <v>13</v>
      </c>
      <c r="I1506" t="s">
        <v>29</v>
      </c>
    </row>
    <row r="1507" spans="1:9" x14ac:dyDescent="0.35">
      <c r="A1507" t="s">
        <v>1543</v>
      </c>
      <c r="B1507" s="1">
        <v>45008</v>
      </c>
      <c r="C1507" t="s">
        <v>10</v>
      </c>
      <c r="D1507" t="s">
        <v>50</v>
      </c>
      <c r="E1507" t="s">
        <v>12</v>
      </c>
      <c r="F1507">
        <v>305.47000000000003</v>
      </c>
      <c r="G1507">
        <v>43.25</v>
      </c>
      <c r="H1507" t="s">
        <v>28</v>
      </c>
      <c r="I1507" t="s">
        <v>20</v>
      </c>
    </row>
    <row r="1508" spans="1:9" x14ac:dyDescent="0.35">
      <c r="A1508" t="s">
        <v>1544</v>
      </c>
      <c r="B1508" s="1">
        <v>44895</v>
      </c>
      <c r="C1508" t="s">
        <v>16</v>
      </c>
      <c r="D1508" t="s">
        <v>73</v>
      </c>
      <c r="E1508" t="s">
        <v>27</v>
      </c>
      <c r="F1508">
        <v>1073.31</v>
      </c>
      <c r="G1508">
        <v>173.58</v>
      </c>
      <c r="H1508" t="s">
        <v>28</v>
      </c>
      <c r="I1508" t="s">
        <v>34</v>
      </c>
    </row>
    <row r="1509" spans="1:9" x14ac:dyDescent="0.35">
      <c r="A1509" t="s">
        <v>1545</v>
      </c>
      <c r="B1509" s="1">
        <v>45214</v>
      </c>
      <c r="C1509" t="s">
        <v>22</v>
      </c>
      <c r="D1509" t="s">
        <v>11</v>
      </c>
      <c r="E1509" t="s">
        <v>12</v>
      </c>
      <c r="F1509">
        <v>1778.67</v>
      </c>
      <c r="G1509">
        <v>376.28</v>
      </c>
      <c r="H1509" t="s">
        <v>13</v>
      </c>
      <c r="I1509" t="s">
        <v>14</v>
      </c>
    </row>
    <row r="1510" spans="1:9" x14ac:dyDescent="0.35">
      <c r="A1510" t="s">
        <v>1546</v>
      </c>
      <c r="B1510" s="1">
        <v>45233</v>
      </c>
      <c r="C1510" t="s">
        <v>10</v>
      </c>
      <c r="D1510" t="s">
        <v>50</v>
      </c>
      <c r="E1510" t="s">
        <v>12</v>
      </c>
      <c r="F1510">
        <v>909.35</v>
      </c>
      <c r="G1510">
        <v>143.52000000000001</v>
      </c>
      <c r="H1510" t="s">
        <v>28</v>
      </c>
      <c r="I1510" t="s">
        <v>20</v>
      </c>
    </row>
    <row r="1511" spans="1:9" x14ac:dyDescent="0.35">
      <c r="A1511" t="s">
        <v>1547</v>
      </c>
      <c r="B1511" s="1">
        <v>45525</v>
      </c>
      <c r="C1511" t="s">
        <v>16</v>
      </c>
      <c r="D1511" t="s">
        <v>97</v>
      </c>
      <c r="E1511" t="s">
        <v>27</v>
      </c>
      <c r="F1511">
        <v>1555.25</v>
      </c>
      <c r="G1511">
        <v>146.09</v>
      </c>
      <c r="H1511" t="s">
        <v>13</v>
      </c>
      <c r="I1511" t="s">
        <v>14</v>
      </c>
    </row>
    <row r="1512" spans="1:9" x14ac:dyDescent="0.35">
      <c r="A1512" t="s">
        <v>1548</v>
      </c>
      <c r="B1512" s="1">
        <v>44572</v>
      </c>
      <c r="C1512" t="s">
        <v>22</v>
      </c>
      <c r="D1512" t="s">
        <v>46</v>
      </c>
      <c r="E1512" t="s">
        <v>18</v>
      </c>
      <c r="F1512">
        <v>1902.66</v>
      </c>
      <c r="G1512">
        <v>566.24</v>
      </c>
      <c r="H1512" t="s">
        <v>13</v>
      </c>
      <c r="I1512" t="s">
        <v>14</v>
      </c>
    </row>
    <row r="1513" spans="1:9" x14ac:dyDescent="0.35">
      <c r="A1513" t="s">
        <v>1549</v>
      </c>
      <c r="B1513" s="1">
        <v>44767</v>
      </c>
      <c r="C1513" t="s">
        <v>22</v>
      </c>
      <c r="D1513" t="s">
        <v>11</v>
      </c>
      <c r="E1513" t="s">
        <v>12</v>
      </c>
      <c r="F1513">
        <v>1749.96</v>
      </c>
      <c r="G1513">
        <v>183.83</v>
      </c>
      <c r="H1513" t="s">
        <v>28</v>
      </c>
      <c r="I1513" t="s">
        <v>29</v>
      </c>
    </row>
    <row r="1514" spans="1:9" x14ac:dyDescent="0.35">
      <c r="A1514" t="s">
        <v>1550</v>
      </c>
      <c r="B1514" s="1">
        <v>45034</v>
      </c>
      <c r="C1514" t="s">
        <v>25</v>
      </c>
      <c r="D1514" t="s">
        <v>38</v>
      </c>
      <c r="E1514" t="s">
        <v>12</v>
      </c>
      <c r="F1514">
        <v>127.32</v>
      </c>
      <c r="G1514">
        <v>26.47</v>
      </c>
      <c r="H1514" t="s">
        <v>13</v>
      </c>
      <c r="I1514" t="s">
        <v>34</v>
      </c>
    </row>
    <row r="1515" spans="1:9" x14ac:dyDescent="0.35">
      <c r="A1515" t="s">
        <v>1551</v>
      </c>
      <c r="B1515" s="1">
        <v>44893</v>
      </c>
      <c r="C1515" t="s">
        <v>16</v>
      </c>
      <c r="D1515" t="s">
        <v>97</v>
      </c>
      <c r="E1515" t="s">
        <v>27</v>
      </c>
      <c r="F1515">
        <v>1632.77</v>
      </c>
      <c r="G1515">
        <v>271.54000000000002</v>
      </c>
      <c r="H1515" t="s">
        <v>19</v>
      </c>
      <c r="I1515" t="s">
        <v>14</v>
      </c>
    </row>
    <row r="1516" spans="1:9" x14ac:dyDescent="0.35">
      <c r="A1516" t="s">
        <v>1552</v>
      </c>
      <c r="B1516" s="1">
        <v>45103</v>
      </c>
      <c r="C1516" t="s">
        <v>16</v>
      </c>
      <c r="D1516" t="s">
        <v>50</v>
      </c>
      <c r="E1516" t="s">
        <v>12</v>
      </c>
      <c r="F1516">
        <v>427.38</v>
      </c>
      <c r="G1516">
        <v>22.66</v>
      </c>
      <c r="H1516" t="s">
        <v>19</v>
      </c>
      <c r="I1516" t="s">
        <v>29</v>
      </c>
    </row>
    <row r="1517" spans="1:9" x14ac:dyDescent="0.35">
      <c r="A1517" t="s">
        <v>1553</v>
      </c>
      <c r="B1517" s="1">
        <v>45307</v>
      </c>
      <c r="C1517" t="s">
        <v>10</v>
      </c>
      <c r="D1517" t="s">
        <v>38</v>
      </c>
      <c r="E1517" t="s">
        <v>12</v>
      </c>
      <c r="F1517">
        <v>528.1</v>
      </c>
      <c r="G1517">
        <v>140.24</v>
      </c>
      <c r="H1517" t="s">
        <v>19</v>
      </c>
      <c r="I1517" t="s">
        <v>34</v>
      </c>
    </row>
    <row r="1518" spans="1:9" x14ac:dyDescent="0.35">
      <c r="A1518" t="s">
        <v>1554</v>
      </c>
      <c r="B1518" s="1">
        <v>45495</v>
      </c>
      <c r="C1518" t="s">
        <v>16</v>
      </c>
      <c r="D1518" t="s">
        <v>50</v>
      </c>
      <c r="E1518" t="s">
        <v>12</v>
      </c>
      <c r="F1518">
        <v>560.66</v>
      </c>
      <c r="G1518">
        <v>103</v>
      </c>
      <c r="H1518" t="s">
        <v>13</v>
      </c>
      <c r="I1518" t="s">
        <v>34</v>
      </c>
    </row>
    <row r="1519" spans="1:9" x14ac:dyDescent="0.35">
      <c r="A1519" t="s">
        <v>1555</v>
      </c>
      <c r="B1519" s="1">
        <v>44572</v>
      </c>
      <c r="C1519" t="s">
        <v>16</v>
      </c>
      <c r="D1519" t="s">
        <v>95</v>
      </c>
      <c r="E1519" t="s">
        <v>18</v>
      </c>
      <c r="F1519">
        <v>1803.11</v>
      </c>
      <c r="G1519">
        <v>357.15</v>
      </c>
      <c r="H1519" t="s">
        <v>28</v>
      </c>
      <c r="I1519" t="s">
        <v>20</v>
      </c>
    </row>
    <row r="1520" spans="1:9" x14ac:dyDescent="0.35">
      <c r="A1520" t="s">
        <v>1556</v>
      </c>
      <c r="B1520" s="1">
        <v>45612</v>
      </c>
      <c r="C1520" t="s">
        <v>10</v>
      </c>
      <c r="D1520" t="s">
        <v>97</v>
      </c>
      <c r="E1520" t="s">
        <v>27</v>
      </c>
      <c r="F1520">
        <v>1961.09</v>
      </c>
      <c r="G1520">
        <v>250.02</v>
      </c>
      <c r="H1520" t="s">
        <v>13</v>
      </c>
      <c r="I1520" t="s">
        <v>14</v>
      </c>
    </row>
    <row r="1521" spans="1:9" x14ac:dyDescent="0.35">
      <c r="A1521" t="s">
        <v>1557</v>
      </c>
      <c r="B1521" s="1">
        <v>44978</v>
      </c>
      <c r="C1521" t="s">
        <v>22</v>
      </c>
      <c r="D1521" t="s">
        <v>50</v>
      </c>
      <c r="E1521" t="s">
        <v>12</v>
      </c>
      <c r="F1521">
        <v>1815.27</v>
      </c>
      <c r="G1521">
        <v>321.91000000000003</v>
      </c>
      <c r="H1521" t="s">
        <v>13</v>
      </c>
      <c r="I1521" t="s">
        <v>14</v>
      </c>
    </row>
    <row r="1522" spans="1:9" x14ac:dyDescent="0.35">
      <c r="A1522" t="s">
        <v>1558</v>
      </c>
      <c r="B1522" s="1">
        <v>44829</v>
      </c>
      <c r="C1522" t="s">
        <v>22</v>
      </c>
      <c r="D1522" t="s">
        <v>62</v>
      </c>
      <c r="E1522" t="s">
        <v>27</v>
      </c>
      <c r="F1522">
        <v>1870.81</v>
      </c>
      <c r="G1522">
        <v>316.74</v>
      </c>
      <c r="H1522" t="s">
        <v>28</v>
      </c>
      <c r="I1522" t="s">
        <v>14</v>
      </c>
    </row>
    <row r="1523" spans="1:9" x14ac:dyDescent="0.35">
      <c r="A1523" t="s">
        <v>1559</v>
      </c>
      <c r="B1523" s="1">
        <v>44952</v>
      </c>
      <c r="C1523" t="s">
        <v>10</v>
      </c>
      <c r="D1523" t="s">
        <v>31</v>
      </c>
      <c r="E1523" t="s">
        <v>12</v>
      </c>
      <c r="F1523">
        <v>646.4</v>
      </c>
      <c r="G1523">
        <v>35.93</v>
      </c>
      <c r="H1523" t="s">
        <v>28</v>
      </c>
      <c r="I1523" t="s">
        <v>34</v>
      </c>
    </row>
    <row r="1524" spans="1:9" x14ac:dyDescent="0.35">
      <c r="A1524" t="s">
        <v>1560</v>
      </c>
      <c r="B1524" s="1">
        <v>44870</v>
      </c>
      <c r="C1524" t="s">
        <v>22</v>
      </c>
      <c r="D1524" t="s">
        <v>57</v>
      </c>
      <c r="E1524" t="s">
        <v>27</v>
      </c>
      <c r="F1524">
        <v>190.6</v>
      </c>
      <c r="G1524">
        <v>11</v>
      </c>
      <c r="H1524" t="s">
        <v>28</v>
      </c>
      <c r="I1524" t="s">
        <v>20</v>
      </c>
    </row>
    <row r="1525" spans="1:9" x14ac:dyDescent="0.35">
      <c r="A1525" t="s">
        <v>1561</v>
      </c>
      <c r="B1525" s="1">
        <v>44636</v>
      </c>
      <c r="C1525" t="s">
        <v>22</v>
      </c>
      <c r="D1525" t="s">
        <v>23</v>
      </c>
      <c r="E1525" t="s">
        <v>18</v>
      </c>
      <c r="F1525">
        <v>1277.43</v>
      </c>
      <c r="G1525">
        <v>344.67</v>
      </c>
      <c r="H1525" t="s">
        <v>19</v>
      </c>
      <c r="I1525" t="s">
        <v>29</v>
      </c>
    </row>
    <row r="1526" spans="1:9" x14ac:dyDescent="0.35">
      <c r="A1526" t="s">
        <v>1562</v>
      </c>
      <c r="B1526" s="1">
        <v>44567</v>
      </c>
      <c r="C1526" t="s">
        <v>16</v>
      </c>
      <c r="D1526" t="s">
        <v>41</v>
      </c>
      <c r="E1526" t="s">
        <v>12</v>
      </c>
      <c r="F1526">
        <v>1095.04</v>
      </c>
      <c r="G1526">
        <v>69.39</v>
      </c>
      <c r="H1526" t="s">
        <v>28</v>
      </c>
      <c r="I1526" t="s">
        <v>14</v>
      </c>
    </row>
    <row r="1527" spans="1:9" x14ac:dyDescent="0.35">
      <c r="A1527" t="s">
        <v>1563</v>
      </c>
      <c r="B1527" s="1">
        <v>45648</v>
      </c>
      <c r="C1527" t="s">
        <v>22</v>
      </c>
      <c r="D1527" t="s">
        <v>95</v>
      </c>
      <c r="E1527" t="s">
        <v>18</v>
      </c>
      <c r="F1527">
        <v>1473.46</v>
      </c>
      <c r="G1527">
        <v>338.04</v>
      </c>
      <c r="H1527" t="s">
        <v>13</v>
      </c>
      <c r="I1527" t="s">
        <v>29</v>
      </c>
    </row>
    <row r="1528" spans="1:9" x14ac:dyDescent="0.35">
      <c r="A1528" t="s">
        <v>1564</v>
      </c>
      <c r="B1528" s="1">
        <v>45608</v>
      </c>
      <c r="C1528" t="s">
        <v>25</v>
      </c>
      <c r="D1528" t="s">
        <v>38</v>
      </c>
      <c r="E1528" t="s">
        <v>12</v>
      </c>
      <c r="F1528">
        <v>1185.8399999999999</v>
      </c>
      <c r="G1528">
        <v>189.43</v>
      </c>
      <c r="H1528" t="s">
        <v>28</v>
      </c>
      <c r="I1528" t="s">
        <v>29</v>
      </c>
    </row>
    <row r="1529" spans="1:9" x14ac:dyDescent="0.35">
      <c r="A1529" t="s">
        <v>1565</v>
      </c>
      <c r="B1529" s="1">
        <v>44919</v>
      </c>
      <c r="C1529" t="s">
        <v>25</v>
      </c>
      <c r="D1529" t="s">
        <v>41</v>
      </c>
      <c r="E1529" t="s">
        <v>12</v>
      </c>
      <c r="F1529">
        <v>1992.83</v>
      </c>
      <c r="G1529">
        <v>175.19</v>
      </c>
      <c r="H1529" t="s">
        <v>28</v>
      </c>
      <c r="I1529" t="s">
        <v>14</v>
      </c>
    </row>
    <row r="1530" spans="1:9" x14ac:dyDescent="0.35">
      <c r="A1530" t="s">
        <v>1566</v>
      </c>
      <c r="B1530" s="1">
        <v>45153</v>
      </c>
      <c r="C1530" t="s">
        <v>10</v>
      </c>
      <c r="D1530" t="s">
        <v>50</v>
      </c>
      <c r="E1530" t="s">
        <v>12</v>
      </c>
      <c r="F1530">
        <v>359.07</v>
      </c>
      <c r="G1530">
        <v>69.23</v>
      </c>
      <c r="H1530" t="s">
        <v>13</v>
      </c>
      <c r="I1530" t="s">
        <v>29</v>
      </c>
    </row>
    <row r="1531" spans="1:9" x14ac:dyDescent="0.35">
      <c r="A1531" t="s">
        <v>1567</v>
      </c>
      <c r="B1531" s="1">
        <v>44602</v>
      </c>
      <c r="C1531" t="s">
        <v>22</v>
      </c>
      <c r="D1531" t="s">
        <v>62</v>
      </c>
      <c r="E1531" t="s">
        <v>27</v>
      </c>
      <c r="F1531">
        <v>1497.1</v>
      </c>
      <c r="G1531">
        <v>198.26</v>
      </c>
      <c r="H1531" t="s">
        <v>28</v>
      </c>
      <c r="I1531" t="s">
        <v>29</v>
      </c>
    </row>
    <row r="1532" spans="1:9" x14ac:dyDescent="0.35">
      <c r="A1532" t="s">
        <v>1568</v>
      </c>
      <c r="B1532" s="1">
        <v>44708</v>
      </c>
      <c r="C1532" t="s">
        <v>10</v>
      </c>
      <c r="D1532" t="s">
        <v>26</v>
      </c>
      <c r="E1532" t="s">
        <v>27</v>
      </c>
      <c r="F1532">
        <v>1526.26</v>
      </c>
      <c r="G1532">
        <v>365.72</v>
      </c>
      <c r="H1532" t="s">
        <v>19</v>
      </c>
      <c r="I1532" t="s">
        <v>20</v>
      </c>
    </row>
    <row r="1533" spans="1:9" x14ac:dyDescent="0.35">
      <c r="A1533" t="s">
        <v>1569</v>
      </c>
      <c r="B1533" s="1">
        <v>44773</v>
      </c>
      <c r="C1533" t="s">
        <v>10</v>
      </c>
      <c r="D1533" t="s">
        <v>95</v>
      </c>
      <c r="E1533" t="s">
        <v>18</v>
      </c>
      <c r="F1533">
        <v>339.81</v>
      </c>
      <c r="G1533">
        <v>94.63</v>
      </c>
      <c r="H1533" t="s">
        <v>19</v>
      </c>
      <c r="I1533" t="s">
        <v>29</v>
      </c>
    </row>
    <row r="1534" spans="1:9" x14ac:dyDescent="0.35">
      <c r="A1534" t="s">
        <v>1570</v>
      </c>
      <c r="B1534" s="1">
        <v>45063</v>
      </c>
      <c r="C1534" t="s">
        <v>10</v>
      </c>
      <c r="D1534" t="s">
        <v>33</v>
      </c>
      <c r="E1534" t="s">
        <v>18</v>
      </c>
      <c r="F1534">
        <v>1401.27</v>
      </c>
      <c r="G1534">
        <v>167.86</v>
      </c>
      <c r="H1534" t="s">
        <v>13</v>
      </c>
      <c r="I1534" t="s">
        <v>29</v>
      </c>
    </row>
    <row r="1535" spans="1:9" x14ac:dyDescent="0.35">
      <c r="A1535" t="s">
        <v>1571</v>
      </c>
      <c r="B1535" s="1">
        <v>45069</v>
      </c>
      <c r="C1535" t="s">
        <v>25</v>
      </c>
      <c r="D1535" t="s">
        <v>73</v>
      </c>
      <c r="E1535" t="s">
        <v>27</v>
      </c>
      <c r="F1535">
        <v>1388.49</v>
      </c>
      <c r="G1535">
        <v>88.94</v>
      </c>
      <c r="H1535" t="s">
        <v>28</v>
      </c>
      <c r="I1535" t="s">
        <v>20</v>
      </c>
    </row>
    <row r="1536" spans="1:9" x14ac:dyDescent="0.35">
      <c r="A1536" t="s">
        <v>1572</v>
      </c>
      <c r="B1536" s="1">
        <v>44705</v>
      </c>
      <c r="C1536" t="s">
        <v>22</v>
      </c>
      <c r="D1536" t="s">
        <v>17</v>
      </c>
      <c r="E1536" t="s">
        <v>18</v>
      </c>
      <c r="F1536">
        <v>624.67999999999995</v>
      </c>
      <c r="G1536">
        <v>35.06</v>
      </c>
      <c r="H1536" t="s">
        <v>28</v>
      </c>
      <c r="I1536" t="s">
        <v>14</v>
      </c>
    </row>
    <row r="1537" spans="1:9" x14ac:dyDescent="0.35">
      <c r="A1537" t="s">
        <v>1573</v>
      </c>
      <c r="B1537" s="1">
        <v>44723</v>
      </c>
      <c r="C1537" t="s">
        <v>16</v>
      </c>
      <c r="D1537" t="s">
        <v>73</v>
      </c>
      <c r="E1537" t="s">
        <v>27</v>
      </c>
      <c r="F1537">
        <v>624.69000000000005</v>
      </c>
      <c r="G1537">
        <v>85.13</v>
      </c>
      <c r="H1537" t="s">
        <v>28</v>
      </c>
      <c r="I1537" t="s">
        <v>14</v>
      </c>
    </row>
    <row r="1538" spans="1:9" x14ac:dyDescent="0.35">
      <c r="A1538" t="s">
        <v>1574</v>
      </c>
      <c r="B1538" s="1">
        <v>45648</v>
      </c>
      <c r="C1538" t="s">
        <v>16</v>
      </c>
      <c r="D1538" t="s">
        <v>23</v>
      </c>
      <c r="E1538" t="s">
        <v>18</v>
      </c>
      <c r="F1538">
        <v>1137.76</v>
      </c>
      <c r="G1538">
        <v>77.86</v>
      </c>
      <c r="H1538" t="s">
        <v>13</v>
      </c>
      <c r="I1538" t="s">
        <v>20</v>
      </c>
    </row>
    <row r="1539" spans="1:9" x14ac:dyDescent="0.35">
      <c r="A1539" t="s">
        <v>1575</v>
      </c>
      <c r="B1539" s="1">
        <v>45106</v>
      </c>
      <c r="C1539" t="s">
        <v>22</v>
      </c>
      <c r="D1539" t="s">
        <v>46</v>
      </c>
      <c r="E1539" t="s">
        <v>18</v>
      </c>
      <c r="F1539">
        <v>308.62</v>
      </c>
      <c r="G1539">
        <v>89.15</v>
      </c>
      <c r="H1539" t="s">
        <v>28</v>
      </c>
      <c r="I1539" t="s">
        <v>20</v>
      </c>
    </row>
    <row r="1540" spans="1:9" x14ac:dyDescent="0.35">
      <c r="A1540" t="s">
        <v>1576</v>
      </c>
      <c r="B1540" s="1">
        <v>44915</v>
      </c>
      <c r="C1540" t="s">
        <v>16</v>
      </c>
      <c r="D1540" t="s">
        <v>50</v>
      </c>
      <c r="E1540" t="s">
        <v>12</v>
      </c>
      <c r="F1540">
        <v>873.26</v>
      </c>
      <c r="G1540">
        <v>173.55</v>
      </c>
      <c r="H1540" t="s">
        <v>28</v>
      </c>
      <c r="I1540" t="s">
        <v>29</v>
      </c>
    </row>
    <row r="1541" spans="1:9" x14ac:dyDescent="0.35">
      <c r="A1541" t="s">
        <v>1577</v>
      </c>
      <c r="B1541" s="1">
        <v>45562</v>
      </c>
      <c r="C1541" t="s">
        <v>25</v>
      </c>
      <c r="D1541" t="s">
        <v>38</v>
      </c>
      <c r="E1541" t="s">
        <v>12</v>
      </c>
      <c r="F1541">
        <v>1831.37</v>
      </c>
      <c r="G1541">
        <v>247.27</v>
      </c>
      <c r="H1541" t="s">
        <v>28</v>
      </c>
      <c r="I1541" t="s">
        <v>14</v>
      </c>
    </row>
    <row r="1542" spans="1:9" x14ac:dyDescent="0.35">
      <c r="A1542" t="s">
        <v>1578</v>
      </c>
      <c r="B1542" s="1">
        <v>44576</v>
      </c>
      <c r="C1542" t="s">
        <v>22</v>
      </c>
      <c r="D1542" t="s">
        <v>38</v>
      </c>
      <c r="E1542" t="s">
        <v>12</v>
      </c>
      <c r="F1542">
        <v>224.18</v>
      </c>
      <c r="G1542">
        <v>40.72</v>
      </c>
      <c r="H1542" t="s">
        <v>13</v>
      </c>
      <c r="I1542" t="s">
        <v>34</v>
      </c>
    </row>
    <row r="1543" spans="1:9" x14ac:dyDescent="0.35">
      <c r="A1543" t="s">
        <v>1579</v>
      </c>
      <c r="B1543" s="1">
        <v>45190</v>
      </c>
      <c r="C1543" t="s">
        <v>16</v>
      </c>
      <c r="D1543" t="s">
        <v>57</v>
      </c>
      <c r="E1543" t="s">
        <v>27</v>
      </c>
      <c r="F1543">
        <v>761.55</v>
      </c>
      <c r="G1543">
        <v>102.93</v>
      </c>
      <c r="H1543" t="s">
        <v>19</v>
      </c>
      <c r="I1543" t="s">
        <v>14</v>
      </c>
    </row>
    <row r="1544" spans="1:9" x14ac:dyDescent="0.35">
      <c r="A1544" t="s">
        <v>1580</v>
      </c>
      <c r="B1544" s="1">
        <v>44856</v>
      </c>
      <c r="C1544" t="s">
        <v>10</v>
      </c>
      <c r="D1544" t="s">
        <v>73</v>
      </c>
      <c r="E1544" t="s">
        <v>27</v>
      </c>
      <c r="F1544">
        <v>1779.8</v>
      </c>
      <c r="G1544">
        <v>164.56</v>
      </c>
      <c r="H1544" t="s">
        <v>19</v>
      </c>
      <c r="I1544" t="s">
        <v>29</v>
      </c>
    </row>
    <row r="1545" spans="1:9" x14ac:dyDescent="0.35">
      <c r="A1545" t="s">
        <v>1581</v>
      </c>
      <c r="B1545" s="1">
        <v>45237</v>
      </c>
      <c r="C1545" t="s">
        <v>16</v>
      </c>
      <c r="D1545" t="s">
        <v>26</v>
      </c>
      <c r="E1545" t="s">
        <v>27</v>
      </c>
      <c r="F1545">
        <v>635.67999999999995</v>
      </c>
      <c r="G1545">
        <v>41.22</v>
      </c>
      <c r="H1545" t="s">
        <v>28</v>
      </c>
      <c r="I1545" t="s">
        <v>14</v>
      </c>
    </row>
    <row r="1546" spans="1:9" x14ac:dyDescent="0.35">
      <c r="A1546" t="s">
        <v>1582</v>
      </c>
      <c r="B1546" s="1">
        <v>45381</v>
      </c>
      <c r="C1546" t="s">
        <v>25</v>
      </c>
      <c r="D1546" t="s">
        <v>73</v>
      </c>
      <c r="E1546" t="s">
        <v>27</v>
      </c>
      <c r="F1546">
        <v>904.54</v>
      </c>
      <c r="G1546">
        <v>252.28</v>
      </c>
      <c r="H1546" t="s">
        <v>28</v>
      </c>
      <c r="I1546" t="s">
        <v>29</v>
      </c>
    </row>
    <row r="1547" spans="1:9" x14ac:dyDescent="0.35">
      <c r="A1547" t="s">
        <v>1583</v>
      </c>
      <c r="B1547" s="1">
        <v>45339</v>
      </c>
      <c r="C1547" t="s">
        <v>10</v>
      </c>
      <c r="D1547" t="s">
        <v>73</v>
      </c>
      <c r="E1547" t="s">
        <v>27</v>
      </c>
      <c r="F1547">
        <v>1962.99</v>
      </c>
      <c r="G1547">
        <v>336.73</v>
      </c>
      <c r="H1547" t="s">
        <v>13</v>
      </c>
      <c r="I1547" t="s">
        <v>14</v>
      </c>
    </row>
    <row r="1548" spans="1:9" x14ac:dyDescent="0.35">
      <c r="A1548" t="s">
        <v>1584</v>
      </c>
      <c r="B1548" s="1">
        <v>45524</v>
      </c>
      <c r="C1548" t="s">
        <v>10</v>
      </c>
      <c r="D1548" t="s">
        <v>33</v>
      </c>
      <c r="E1548" t="s">
        <v>18</v>
      </c>
      <c r="F1548">
        <v>1674.02</v>
      </c>
      <c r="G1548">
        <v>229.19</v>
      </c>
      <c r="H1548" t="s">
        <v>19</v>
      </c>
      <c r="I1548" t="s">
        <v>20</v>
      </c>
    </row>
    <row r="1549" spans="1:9" x14ac:dyDescent="0.35">
      <c r="A1549" t="s">
        <v>1585</v>
      </c>
      <c r="B1549" s="1">
        <v>44876</v>
      </c>
      <c r="C1549" t="s">
        <v>16</v>
      </c>
      <c r="D1549" t="s">
        <v>26</v>
      </c>
      <c r="E1549" t="s">
        <v>27</v>
      </c>
      <c r="F1549">
        <v>1727</v>
      </c>
      <c r="G1549">
        <v>142.61000000000001</v>
      </c>
      <c r="H1549" t="s">
        <v>19</v>
      </c>
      <c r="I1549" t="s">
        <v>34</v>
      </c>
    </row>
    <row r="1550" spans="1:9" x14ac:dyDescent="0.35">
      <c r="A1550" t="s">
        <v>1586</v>
      </c>
      <c r="B1550" s="1">
        <v>44860</v>
      </c>
      <c r="C1550" t="s">
        <v>16</v>
      </c>
      <c r="D1550" t="s">
        <v>62</v>
      </c>
      <c r="E1550" t="s">
        <v>27</v>
      </c>
      <c r="F1550">
        <v>1600.38</v>
      </c>
      <c r="G1550">
        <v>161.6</v>
      </c>
      <c r="H1550" t="s">
        <v>19</v>
      </c>
      <c r="I1550" t="s">
        <v>34</v>
      </c>
    </row>
    <row r="1551" spans="1:9" x14ac:dyDescent="0.35">
      <c r="A1551" t="s">
        <v>1587</v>
      </c>
      <c r="B1551" s="1">
        <v>45634</v>
      </c>
      <c r="C1551" t="s">
        <v>22</v>
      </c>
      <c r="D1551" t="s">
        <v>38</v>
      </c>
      <c r="E1551" t="s">
        <v>12</v>
      </c>
      <c r="F1551">
        <v>1844.05</v>
      </c>
      <c r="G1551">
        <v>165.15</v>
      </c>
      <c r="H1551" t="s">
        <v>13</v>
      </c>
      <c r="I1551" t="s">
        <v>20</v>
      </c>
    </row>
    <row r="1552" spans="1:9" x14ac:dyDescent="0.35">
      <c r="A1552" t="s">
        <v>1588</v>
      </c>
      <c r="B1552" s="1">
        <v>45356</v>
      </c>
      <c r="C1552" t="s">
        <v>16</v>
      </c>
      <c r="D1552" t="s">
        <v>50</v>
      </c>
      <c r="E1552" t="s">
        <v>12</v>
      </c>
      <c r="F1552">
        <v>1737.61</v>
      </c>
      <c r="G1552">
        <v>171.54</v>
      </c>
      <c r="H1552" t="s">
        <v>13</v>
      </c>
      <c r="I1552" t="s">
        <v>20</v>
      </c>
    </row>
    <row r="1553" spans="1:9" x14ac:dyDescent="0.35">
      <c r="A1553" t="s">
        <v>1589</v>
      </c>
      <c r="B1553" s="1">
        <v>45216</v>
      </c>
      <c r="C1553" t="s">
        <v>10</v>
      </c>
      <c r="D1553" t="s">
        <v>11</v>
      </c>
      <c r="E1553" t="s">
        <v>12</v>
      </c>
      <c r="F1553">
        <v>836.34</v>
      </c>
      <c r="G1553">
        <v>42.18</v>
      </c>
      <c r="H1553" t="s">
        <v>13</v>
      </c>
      <c r="I1553" t="s">
        <v>29</v>
      </c>
    </row>
    <row r="1554" spans="1:9" x14ac:dyDescent="0.35">
      <c r="A1554" t="s">
        <v>1590</v>
      </c>
      <c r="B1554" s="1">
        <v>45234</v>
      </c>
      <c r="C1554" t="s">
        <v>22</v>
      </c>
      <c r="D1554" t="s">
        <v>11</v>
      </c>
      <c r="E1554" t="s">
        <v>12</v>
      </c>
      <c r="F1554">
        <v>310.14</v>
      </c>
      <c r="G1554">
        <v>52.87</v>
      </c>
      <c r="H1554" t="s">
        <v>19</v>
      </c>
      <c r="I1554" t="s">
        <v>20</v>
      </c>
    </row>
    <row r="1555" spans="1:9" x14ac:dyDescent="0.35">
      <c r="A1555" t="s">
        <v>1591</v>
      </c>
      <c r="B1555" s="1">
        <v>44945</v>
      </c>
      <c r="C1555" t="s">
        <v>16</v>
      </c>
      <c r="D1555" t="s">
        <v>38</v>
      </c>
      <c r="E1555" t="s">
        <v>12</v>
      </c>
      <c r="F1555">
        <v>639.96</v>
      </c>
      <c r="G1555">
        <v>83.86</v>
      </c>
      <c r="H1555" t="s">
        <v>28</v>
      </c>
      <c r="I1555" t="s">
        <v>34</v>
      </c>
    </row>
    <row r="1556" spans="1:9" x14ac:dyDescent="0.35">
      <c r="A1556" t="s">
        <v>1592</v>
      </c>
      <c r="B1556" s="1">
        <v>45439</v>
      </c>
      <c r="C1556" t="s">
        <v>25</v>
      </c>
      <c r="D1556" t="s">
        <v>57</v>
      </c>
      <c r="E1556" t="s">
        <v>27</v>
      </c>
      <c r="F1556">
        <v>993.96</v>
      </c>
      <c r="G1556">
        <v>221</v>
      </c>
      <c r="H1556" t="s">
        <v>19</v>
      </c>
      <c r="I1556" t="s">
        <v>20</v>
      </c>
    </row>
    <row r="1557" spans="1:9" x14ac:dyDescent="0.35">
      <c r="A1557" t="s">
        <v>1593</v>
      </c>
      <c r="B1557" s="1">
        <v>45191</v>
      </c>
      <c r="C1557" t="s">
        <v>16</v>
      </c>
      <c r="D1557" t="s">
        <v>50</v>
      </c>
      <c r="E1557" t="s">
        <v>12</v>
      </c>
      <c r="F1557">
        <v>1388.82</v>
      </c>
      <c r="G1557">
        <v>215.37</v>
      </c>
      <c r="H1557" t="s">
        <v>19</v>
      </c>
      <c r="I1557" t="s">
        <v>14</v>
      </c>
    </row>
    <row r="1558" spans="1:9" x14ac:dyDescent="0.35">
      <c r="A1558" t="s">
        <v>1594</v>
      </c>
      <c r="B1558" s="1">
        <v>44770</v>
      </c>
      <c r="C1558" t="s">
        <v>16</v>
      </c>
      <c r="D1558" t="s">
        <v>97</v>
      </c>
      <c r="E1558" t="s">
        <v>27</v>
      </c>
      <c r="F1558">
        <v>1518.02</v>
      </c>
      <c r="G1558">
        <v>107.38</v>
      </c>
      <c r="H1558" t="s">
        <v>28</v>
      </c>
      <c r="I1558" t="s">
        <v>14</v>
      </c>
    </row>
    <row r="1559" spans="1:9" x14ac:dyDescent="0.35">
      <c r="A1559" t="s">
        <v>1595</v>
      </c>
      <c r="B1559" s="1">
        <v>45635</v>
      </c>
      <c r="C1559" t="s">
        <v>16</v>
      </c>
      <c r="D1559" t="s">
        <v>46</v>
      </c>
      <c r="E1559" t="s">
        <v>18</v>
      </c>
      <c r="F1559">
        <v>1285.33</v>
      </c>
      <c r="G1559">
        <v>221.33</v>
      </c>
      <c r="H1559" t="s">
        <v>28</v>
      </c>
      <c r="I1559" t="s">
        <v>34</v>
      </c>
    </row>
    <row r="1560" spans="1:9" x14ac:dyDescent="0.35">
      <c r="A1560" t="s">
        <v>1596</v>
      </c>
      <c r="B1560" s="1">
        <v>45046</v>
      </c>
      <c r="C1560" t="s">
        <v>10</v>
      </c>
      <c r="D1560" t="s">
        <v>46</v>
      </c>
      <c r="E1560" t="s">
        <v>18</v>
      </c>
      <c r="F1560">
        <v>1804.02</v>
      </c>
      <c r="G1560">
        <v>305.51</v>
      </c>
      <c r="H1560" t="s">
        <v>19</v>
      </c>
      <c r="I1560" t="s">
        <v>20</v>
      </c>
    </row>
    <row r="1561" spans="1:9" x14ac:dyDescent="0.35">
      <c r="A1561" t="s">
        <v>1597</v>
      </c>
      <c r="B1561" s="1">
        <v>44566</v>
      </c>
      <c r="C1561" t="s">
        <v>16</v>
      </c>
      <c r="D1561" t="s">
        <v>23</v>
      </c>
      <c r="E1561" t="s">
        <v>18</v>
      </c>
      <c r="F1561">
        <v>887.36</v>
      </c>
      <c r="G1561">
        <v>110.47</v>
      </c>
      <c r="H1561" t="s">
        <v>13</v>
      </c>
      <c r="I1561" t="s">
        <v>34</v>
      </c>
    </row>
    <row r="1562" spans="1:9" x14ac:dyDescent="0.35">
      <c r="A1562" t="s">
        <v>1598</v>
      </c>
      <c r="B1562" s="1">
        <v>44879</v>
      </c>
      <c r="C1562" t="s">
        <v>10</v>
      </c>
      <c r="D1562" t="s">
        <v>41</v>
      </c>
      <c r="E1562" t="s">
        <v>12</v>
      </c>
      <c r="F1562">
        <v>1941.26</v>
      </c>
      <c r="G1562">
        <v>337.94</v>
      </c>
      <c r="H1562" t="s">
        <v>19</v>
      </c>
      <c r="I1562" t="s">
        <v>29</v>
      </c>
    </row>
    <row r="1563" spans="1:9" x14ac:dyDescent="0.35">
      <c r="A1563" t="s">
        <v>1599</v>
      </c>
      <c r="B1563" s="1">
        <v>44766</v>
      </c>
      <c r="C1563" t="s">
        <v>22</v>
      </c>
      <c r="D1563" t="s">
        <v>17</v>
      </c>
      <c r="E1563" t="s">
        <v>18</v>
      </c>
      <c r="F1563">
        <v>1818.96</v>
      </c>
      <c r="G1563">
        <v>477.7</v>
      </c>
      <c r="H1563" t="s">
        <v>28</v>
      </c>
      <c r="I1563" t="s">
        <v>29</v>
      </c>
    </row>
    <row r="1564" spans="1:9" x14ac:dyDescent="0.35">
      <c r="A1564" t="s">
        <v>1600</v>
      </c>
      <c r="B1564" s="1">
        <v>45192</v>
      </c>
      <c r="C1564" t="s">
        <v>16</v>
      </c>
      <c r="D1564" t="s">
        <v>73</v>
      </c>
      <c r="E1564" t="s">
        <v>27</v>
      </c>
      <c r="F1564">
        <v>766.05</v>
      </c>
      <c r="G1564">
        <v>110.25</v>
      </c>
      <c r="H1564" t="s">
        <v>28</v>
      </c>
      <c r="I1564" t="s">
        <v>14</v>
      </c>
    </row>
    <row r="1565" spans="1:9" x14ac:dyDescent="0.35">
      <c r="A1565" t="s">
        <v>1601</v>
      </c>
      <c r="B1565" s="1">
        <v>45029</v>
      </c>
      <c r="C1565" t="s">
        <v>10</v>
      </c>
      <c r="D1565" t="s">
        <v>33</v>
      </c>
      <c r="E1565" t="s">
        <v>18</v>
      </c>
      <c r="F1565">
        <v>689.02</v>
      </c>
      <c r="G1565">
        <v>76.48</v>
      </c>
      <c r="H1565" t="s">
        <v>19</v>
      </c>
      <c r="I1565" t="s">
        <v>34</v>
      </c>
    </row>
    <row r="1566" spans="1:9" x14ac:dyDescent="0.35">
      <c r="A1566" t="s">
        <v>1602</v>
      </c>
      <c r="B1566" s="1">
        <v>44825</v>
      </c>
      <c r="C1566" t="s">
        <v>25</v>
      </c>
      <c r="D1566" t="s">
        <v>31</v>
      </c>
      <c r="E1566" t="s">
        <v>12</v>
      </c>
      <c r="F1566">
        <v>754.25</v>
      </c>
      <c r="G1566">
        <v>184.76</v>
      </c>
      <c r="H1566" t="s">
        <v>19</v>
      </c>
      <c r="I1566" t="s">
        <v>29</v>
      </c>
    </row>
    <row r="1567" spans="1:9" x14ac:dyDescent="0.35">
      <c r="A1567" t="s">
        <v>1603</v>
      </c>
      <c r="B1567" s="1">
        <v>44822</v>
      </c>
      <c r="C1567" t="s">
        <v>10</v>
      </c>
      <c r="D1567" t="s">
        <v>31</v>
      </c>
      <c r="E1567" t="s">
        <v>12</v>
      </c>
      <c r="F1567">
        <v>1141.8</v>
      </c>
      <c r="G1567">
        <v>194.8</v>
      </c>
      <c r="H1567" t="s">
        <v>13</v>
      </c>
      <c r="I1567" t="s">
        <v>14</v>
      </c>
    </row>
    <row r="1568" spans="1:9" x14ac:dyDescent="0.35">
      <c r="A1568" t="s">
        <v>1604</v>
      </c>
      <c r="B1568" s="1">
        <v>44747</v>
      </c>
      <c r="C1568" t="s">
        <v>10</v>
      </c>
      <c r="D1568" t="s">
        <v>38</v>
      </c>
      <c r="E1568" t="s">
        <v>12</v>
      </c>
      <c r="F1568">
        <v>628.51</v>
      </c>
      <c r="G1568">
        <v>181.25</v>
      </c>
      <c r="H1568" t="s">
        <v>19</v>
      </c>
      <c r="I1568" t="s">
        <v>20</v>
      </c>
    </row>
    <row r="1569" spans="1:9" x14ac:dyDescent="0.35">
      <c r="A1569" t="s">
        <v>1605</v>
      </c>
      <c r="B1569" s="1">
        <v>45069</v>
      </c>
      <c r="C1569" t="s">
        <v>25</v>
      </c>
      <c r="D1569" t="s">
        <v>31</v>
      </c>
      <c r="E1569" t="s">
        <v>12</v>
      </c>
      <c r="F1569">
        <v>124.41</v>
      </c>
      <c r="G1569">
        <v>20.34</v>
      </c>
      <c r="H1569" t="s">
        <v>19</v>
      </c>
      <c r="I1569" t="s">
        <v>20</v>
      </c>
    </row>
    <row r="1570" spans="1:9" x14ac:dyDescent="0.35">
      <c r="A1570" t="s">
        <v>1606</v>
      </c>
      <c r="B1570" s="1">
        <v>44961</v>
      </c>
      <c r="C1570" t="s">
        <v>22</v>
      </c>
      <c r="D1570" t="s">
        <v>11</v>
      </c>
      <c r="E1570" t="s">
        <v>12</v>
      </c>
      <c r="F1570">
        <v>424.9</v>
      </c>
      <c r="G1570">
        <v>126.27</v>
      </c>
      <c r="H1570" t="s">
        <v>19</v>
      </c>
      <c r="I1570" t="s">
        <v>14</v>
      </c>
    </row>
    <row r="1571" spans="1:9" x14ac:dyDescent="0.35">
      <c r="A1571" t="s">
        <v>1607</v>
      </c>
      <c r="B1571" s="1">
        <v>44975</v>
      </c>
      <c r="C1571" t="s">
        <v>16</v>
      </c>
      <c r="D1571" t="s">
        <v>50</v>
      </c>
      <c r="E1571" t="s">
        <v>12</v>
      </c>
      <c r="F1571">
        <v>598.79</v>
      </c>
      <c r="G1571">
        <v>118.37</v>
      </c>
      <c r="H1571" t="s">
        <v>28</v>
      </c>
      <c r="I1571" t="s">
        <v>34</v>
      </c>
    </row>
    <row r="1572" spans="1:9" x14ac:dyDescent="0.35">
      <c r="A1572" t="s">
        <v>1608</v>
      </c>
      <c r="B1572" s="1">
        <v>45089</v>
      </c>
      <c r="C1572" t="s">
        <v>16</v>
      </c>
      <c r="D1572" t="s">
        <v>73</v>
      </c>
      <c r="E1572" t="s">
        <v>27</v>
      </c>
      <c r="F1572">
        <v>1690.31</v>
      </c>
      <c r="G1572">
        <v>177.69</v>
      </c>
      <c r="H1572" t="s">
        <v>19</v>
      </c>
      <c r="I1572" t="s">
        <v>20</v>
      </c>
    </row>
    <row r="1573" spans="1:9" x14ac:dyDescent="0.35">
      <c r="A1573" t="s">
        <v>1609</v>
      </c>
      <c r="B1573" s="1">
        <v>45046</v>
      </c>
      <c r="C1573" t="s">
        <v>25</v>
      </c>
      <c r="D1573" t="s">
        <v>46</v>
      </c>
      <c r="E1573" t="s">
        <v>18</v>
      </c>
      <c r="F1573">
        <v>71.209999999999994</v>
      </c>
      <c r="G1573">
        <v>6.52</v>
      </c>
      <c r="H1573" t="s">
        <v>28</v>
      </c>
      <c r="I1573" t="s">
        <v>14</v>
      </c>
    </row>
    <row r="1574" spans="1:9" x14ac:dyDescent="0.35">
      <c r="A1574" t="s">
        <v>1610</v>
      </c>
      <c r="B1574" s="1">
        <v>44941</v>
      </c>
      <c r="C1574" t="s">
        <v>10</v>
      </c>
      <c r="D1574" t="s">
        <v>38</v>
      </c>
      <c r="E1574" t="s">
        <v>12</v>
      </c>
      <c r="F1574">
        <v>197.99</v>
      </c>
      <c r="G1574">
        <v>35.61</v>
      </c>
      <c r="H1574" t="s">
        <v>19</v>
      </c>
      <c r="I1574" t="s">
        <v>29</v>
      </c>
    </row>
    <row r="1575" spans="1:9" x14ac:dyDescent="0.35">
      <c r="A1575" t="s">
        <v>1611</v>
      </c>
      <c r="B1575" s="1">
        <v>45032</v>
      </c>
      <c r="C1575" t="s">
        <v>16</v>
      </c>
      <c r="D1575" t="s">
        <v>17</v>
      </c>
      <c r="E1575" t="s">
        <v>18</v>
      </c>
      <c r="F1575">
        <v>1502.69</v>
      </c>
      <c r="G1575">
        <v>263.20999999999998</v>
      </c>
      <c r="H1575" t="s">
        <v>28</v>
      </c>
      <c r="I1575" t="s">
        <v>14</v>
      </c>
    </row>
    <row r="1576" spans="1:9" x14ac:dyDescent="0.35">
      <c r="A1576" t="s">
        <v>1612</v>
      </c>
      <c r="B1576" s="1">
        <v>44571</v>
      </c>
      <c r="C1576" t="s">
        <v>10</v>
      </c>
      <c r="D1576" t="s">
        <v>41</v>
      </c>
      <c r="E1576" t="s">
        <v>12</v>
      </c>
      <c r="F1576">
        <v>695.72</v>
      </c>
      <c r="G1576">
        <v>181.49</v>
      </c>
      <c r="H1576" t="s">
        <v>28</v>
      </c>
      <c r="I1576" t="s">
        <v>29</v>
      </c>
    </row>
    <row r="1577" spans="1:9" x14ac:dyDescent="0.35">
      <c r="A1577" t="s">
        <v>1613</v>
      </c>
      <c r="B1577" s="1">
        <v>44954</v>
      </c>
      <c r="C1577" t="s">
        <v>10</v>
      </c>
      <c r="D1577" t="s">
        <v>17</v>
      </c>
      <c r="E1577" t="s">
        <v>18</v>
      </c>
      <c r="F1577">
        <v>697.51</v>
      </c>
      <c r="G1577">
        <v>41.19</v>
      </c>
      <c r="H1577" t="s">
        <v>28</v>
      </c>
      <c r="I1577" t="s">
        <v>29</v>
      </c>
    </row>
    <row r="1578" spans="1:9" x14ac:dyDescent="0.35">
      <c r="A1578" t="s">
        <v>1614</v>
      </c>
      <c r="B1578" s="1">
        <v>44733</v>
      </c>
      <c r="C1578" t="s">
        <v>10</v>
      </c>
      <c r="D1578" t="s">
        <v>62</v>
      </c>
      <c r="E1578" t="s">
        <v>27</v>
      </c>
      <c r="F1578">
        <v>361.54</v>
      </c>
      <c r="G1578">
        <v>28.88</v>
      </c>
      <c r="H1578" t="s">
        <v>28</v>
      </c>
      <c r="I1578" t="s">
        <v>29</v>
      </c>
    </row>
    <row r="1579" spans="1:9" x14ac:dyDescent="0.35">
      <c r="A1579" t="s">
        <v>1615</v>
      </c>
      <c r="B1579" s="1">
        <v>45175</v>
      </c>
      <c r="C1579" t="s">
        <v>22</v>
      </c>
      <c r="D1579" t="s">
        <v>41</v>
      </c>
      <c r="E1579" t="s">
        <v>12</v>
      </c>
      <c r="F1579">
        <v>1930.08</v>
      </c>
      <c r="G1579">
        <v>432.42</v>
      </c>
      <c r="H1579" t="s">
        <v>13</v>
      </c>
      <c r="I1579" t="s">
        <v>14</v>
      </c>
    </row>
    <row r="1580" spans="1:9" x14ac:dyDescent="0.35">
      <c r="A1580" t="s">
        <v>1616</v>
      </c>
      <c r="B1580" s="1">
        <v>45022</v>
      </c>
      <c r="C1580" t="s">
        <v>25</v>
      </c>
      <c r="D1580" t="s">
        <v>46</v>
      </c>
      <c r="E1580" t="s">
        <v>18</v>
      </c>
      <c r="F1580">
        <v>1917.77</v>
      </c>
      <c r="G1580">
        <v>524.27</v>
      </c>
      <c r="H1580" t="s">
        <v>28</v>
      </c>
      <c r="I1580" t="s">
        <v>29</v>
      </c>
    </row>
    <row r="1581" spans="1:9" x14ac:dyDescent="0.35">
      <c r="A1581" t="s">
        <v>1617</v>
      </c>
      <c r="B1581" s="1">
        <v>45549</v>
      </c>
      <c r="C1581" t="s">
        <v>16</v>
      </c>
      <c r="D1581" t="s">
        <v>38</v>
      </c>
      <c r="E1581" t="s">
        <v>12</v>
      </c>
      <c r="F1581">
        <v>347.03</v>
      </c>
      <c r="G1581">
        <v>23.27</v>
      </c>
      <c r="H1581" t="s">
        <v>19</v>
      </c>
      <c r="I1581" t="s">
        <v>14</v>
      </c>
    </row>
    <row r="1582" spans="1:9" x14ac:dyDescent="0.35">
      <c r="A1582" t="s">
        <v>1618</v>
      </c>
      <c r="B1582" s="1">
        <v>45428</v>
      </c>
      <c r="C1582" t="s">
        <v>22</v>
      </c>
      <c r="D1582" t="s">
        <v>38</v>
      </c>
      <c r="E1582" t="s">
        <v>12</v>
      </c>
      <c r="F1582">
        <v>1281.8900000000001</v>
      </c>
      <c r="G1582">
        <v>209.37</v>
      </c>
      <c r="H1582" t="s">
        <v>13</v>
      </c>
      <c r="I1582" t="s">
        <v>29</v>
      </c>
    </row>
    <row r="1583" spans="1:9" x14ac:dyDescent="0.35">
      <c r="A1583" t="s">
        <v>1619</v>
      </c>
      <c r="B1583" s="1">
        <v>45010</v>
      </c>
      <c r="C1583" t="s">
        <v>10</v>
      </c>
      <c r="D1583" t="s">
        <v>23</v>
      </c>
      <c r="E1583" t="s">
        <v>18</v>
      </c>
      <c r="F1583">
        <v>1673.63</v>
      </c>
      <c r="G1583">
        <v>398.15</v>
      </c>
      <c r="H1583" t="s">
        <v>19</v>
      </c>
      <c r="I1583" t="s">
        <v>14</v>
      </c>
    </row>
    <row r="1584" spans="1:9" x14ac:dyDescent="0.35">
      <c r="A1584" t="s">
        <v>1620</v>
      </c>
      <c r="B1584" s="1">
        <v>44994</v>
      </c>
      <c r="C1584" t="s">
        <v>22</v>
      </c>
      <c r="D1584" t="s">
        <v>50</v>
      </c>
      <c r="E1584" t="s">
        <v>12</v>
      </c>
      <c r="F1584">
        <v>464.99</v>
      </c>
      <c r="G1584">
        <v>113.17</v>
      </c>
      <c r="H1584" t="s">
        <v>28</v>
      </c>
      <c r="I1584" t="s">
        <v>34</v>
      </c>
    </row>
    <row r="1585" spans="1:9" x14ac:dyDescent="0.35">
      <c r="A1585" t="s">
        <v>1621</v>
      </c>
      <c r="B1585" s="1">
        <v>45380</v>
      </c>
      <c r="C1585" t="s">
        <v>22</v>
      </c>
      <c r="D1585" t="s">
        <v>38</v>
      </c>
      <c r="E1585" t="s">
        <v>12</v>
      </c>
      <c r="F1585">
        <v>1650.24</v>
      </c>
      <c r="G1585">
        <v>146.52000000000001</v>
      </c>
      <c r="H1585" t="s">
        <v>28</v>
      </c>
      <c r="I1585" t="s">
        <v>29</v>
      </c>
    </row>
    <row r="1586" spans="1:9" x14ac:dyDescent="0.35">
      <c r="A1586" t="s">
        <v>1622</v>
      </c>
      <c r="B1586" s="1">
        <v>45229</v>
      </c>
      <c r="C1586" t="s">
        <v>25</v>
      </c>
      <c r="D1586" t="s">
        <v>73</v>
      </c>
      <c r="E1586" t="s">
        <v>27</v>
      </c>
      <c r="F1586">
        <v>1902.45</v>
      </c>
      <c r="G1586">
        <v>546.67999999999995</v>
      </c>
      <c r="H1586" t="s">
        <v>13</v>
      </c>
      <c r="I1586" t="s">
        <v>20</v>
      </c>
    </row>
    <row r="1587" spans="1:9" x14ac:dyDescent="0.35">
      <c r="A1587" t="s">
        <v>1623</v>
      </c>
      <c r="B1587" s="1">
        <v>44765</v>
      </c>
      <c r="C1587" t="s">
        <v>25</v>
      </c>
      <c r="D1587" t="s">
        <v>23</v>
      </c>
      <c r="E1587" t="s">
        <v>18</v>
      </c>
      <c r="F1587">
        <v>1662.11</v>
      </c>
      <c r="G1587">
        <v>286.5</v>
      </c>
      <c r="H1587" t="s">
        <v>13</v>
      </c>
      <c r="I1587" t="s">
        <v>29</v>
      </c>
    </row>
    <row r="1588" spans="1:9" x14ac:dyDescent="0.35">
      <c r="A1588" t="s">
        <v>1624</v>
      </c>
      <c r="B1588" s="1">
        <v>44870</v>
      </c>
      <c r="C1588" t="s">
        <v>25</v>
      </c>
      <c r="D1588" t="s">
        <v>23</v>
      </c>
      <c r="E1588" t="s">
        <v>18</v>
      </c>
      <c r="F1588">
        <v>271.8</v>
      </c>
      <c r="G1588">
        <v>47.73</v>
      </c>
      <c r="H1588" t="s">
        <v>28</v>
      </c>
      <c r="I1588" t="s">
        <v>34</v>
      </c>
    </row>
    <row r="1589" spans="1:9" x14ac:dyDescent="0.35">
      <c r="A1589" t="s">
        <v>1625</v>
      </c>
      <c r="B1589" s="1">
        <v>45137</v>
      </c>
      <c r="C1589" t="s">
        <v>25</v>
      </c>
      <c r="D1589" t="s">
        <v>17</v>
      </c>
      <c r="E1589" t="s">
        <v>18</v>
      </c>
      <c r="F1589">
        <v>878.48</v>
      </c>
      <c r="G1589">
        <v>100.61</v>
      </c>
      <c r="H1589" t="s">
        <v>28</v>
      </c>
      <c r="I1589" t="s">
        <v>34</v>
      </c>
    </row>
    <row r="1590" spans="1:9" x14ac:dyDescent="0.35">
      <c r="A1590" t="s">
        <v>1626</v>
      </c>
      <c r="B1590" s="1">
        <v>45443</v>
      </c>
      <c r="C1590" t="s">
        <v>10</v>
      </c>
      <c r="D1590" t="s">
        <v>73</v>
      </c>
      <c r="E1590" t="s">
        <v>27</v>
      </c>
      <c r="F1590">
        <v>793.68</v>
      </c>
      <c r="G1590">
        <v>159.09</v>
      </c>
      <c r="H1590" t="s">
        <v>28</v>
      </c>
      <c r="I1590" t="s">
        <v>29</v>
      </c>
    </row>
    <row r="1591" spans="1:9" x14ac:dyDescent="0.35">
      <c r="A1591" t="s">
        <v>1627</v>
      </c>
      <c r="B1591" s="1">
        <v>45120</v>
      </c>
      <c r="C1591" t="s">
        <v>16</v>
      </c>
      <c r="D1591" t="s">
        <v>17</v>
      </c>
      <c r="E1591" t="s">
        <v>18</v>
      </c>
      <c r="F1591">
        <v>1650.07</v>
      </c>
      <c r="G1591">
        <v>153.44</v>
      </c>
      <c r="H1591" t="s">
        <v>19</v>
      </c>
      <c r="I1591" t="s">
        <v>29</v>
      </c>
    </row>
    <row r="1592" spans="1:9" x14ac:dyDescent="0.35">
      <c r="A1592" t="s">
        <v>1628</v>
      </c>
      <c r="B1592" s="1">
        <v>45472</v>
      </c>
      <c r="C1592" t="s">
        <v>16</v>
      </c>
      <c r="D1592" t="s">
        <v>33</v>
      </c>
      <c r="E1592" t="s">
        <v>18</v>
      </c>
      <c r="F1592">
        <v>140.88</v>
      </c>
      <c r="G1592">
        <v>35.44</v>
      </c>
      <c r="H1592" t="s">
        <v>13</v>
      </c>
      <c r="I1592" t="s">
        <v>20</v>
      </c>
    </row>
    <row r="1593" spans="1:9" x14ac:dyDescent="0.35">
      <c r="A1593" t="s">
        <v>1629</v>
      </c>
      <c r="B1593" s="1">
        <v>45341</v>
      </c>
      <c r="C1593" t="s">
        <v>10</v>
      </c>
      <c r="D1593" t="s">
        <v>23</v>
      </c>
      <c r="E1593" t="s">
        <v>18</v>
      </c>
      <c r="F1593">
        <v>1460.79</v>
      </c>
      <c r="G1593">
        <v>282.11</v>
      </c>
      <c r="H1593" t="s">
        <v>28</v>
      </c>
      <c r="I1593" t="s">
        <v>34</v>
      </c>
    </row>
    <row r="1594" spans="1:9" x14ac:dyDescent="0.35">
      <c r="A1594" t="s">
        <v>1630</v>
      </c>
      <c r="B1594" s="1">
        <v>45609</v>
      </c>
      <c r="C1594" t="s">
        <v>25</v>
      </c>
      <c r="D1594" t="s">
        <v>33</v>
      </c>
      <c r="E1594" t="s">
        <v>18</v>
      </c>
      <c r="F1594">
        <v>1983.24</v>
      </c>
      <c r="G1594">
        <v>364.92</v>
      </c>
      <c r="H1594" t="s">
        <v>13</v>
      </c>
      <c r="I1594" t="s">
        <v>14</v>
      </c>
    </row>
    <row r="1595" spans="1:9" x14ac:dyDescent="0.35">
      <c r="A1595" t="s">
        <v>1631</v>
      </c>
      <c r="B1595" s="1">
        <v>45151</v>
      </c>
      <c r="C1595" t="s">
        <v>25</v>
      </c>
      <c r="D1595" t="s">
        <v>97</v>
      </c>
      <c r="E1595" t="s">
        <v>27</v>
      </c>
      <c r="F1595">
        <v>1421.76</v>
      </c>
      <c r="G1595">
        <v>421.97</v>
      </c>
      <c r="H1595" t="s">
        <v>28</v>
      </c>
      <c r="I1595" t="s">
        <v>14</v>
      </c>
    </row>
    <row r="1596" spans="1:9" x14ac:dyDescent="0.35">
      <c r="A1596" t="s">
        <v>1632</v>
      </c>
      <c r="B1596" s="1">
        <v>44861</v>
      </c>
      <c r="C1596" t="s">
        <v>10</v>
      </c>
      <c r="D1596" t="s">
        <v>38</v>
      </c>
      <c r="E1596" t="s">
        <v>12</v>
      </c>
      <c r="F1596">
        <v>1711.91</v>
      </c>
      <c r="G1596">
        <v>367.33</v>
      </c>
      <c r="H1596" t="s">
        <v>13</v>
      </c>
      <c r="I1596" t="s">
        <v>14</v>
      </c>
    </row>
    <row r="1597" spans="1:9" x14ac:dyDescent="0.35">
      <c r="A1597" t="s">
        <v>1633</v>
      </c>
      <c r="B1597" s="1">
        <v>44788</v>
      </c>
      <c r="C1597" t="s">
        <v>10</v>
      </c>
      <c r="D1597" t="s">
        <v>73</v>
      </c>
      <c r="E1597" t="s">
        <v>27</v>
      </c>
      <c r="F1597">
        <v>374.08</v>
      </c>
      <c r="G1597">
        <v>99.81</v>
      </c>
      <c r="H1597" t="s">
        <v>13</v>
      </c>
      <c r="I1597" t="s">
        <v>20</v>
      </c>
    </row>
    <row r="1598" spans="1:9" x14ac:dyDescent="0.35">
      <c r="A1598" t="s">
        <v>1634</v>
      </c>
      <c r="B1598" s="1">
        <v>45494</v>
      </c>
      <c r="C1598" t="s">
        <v>22</v>
      </c>
      <c r="D1598" t="s">
        <v>26</v>
      </c>
      <c r="E1598" t="s">
        <v>27</v>
      </c>
      <c r="F1598">
        <v>59</v>
      </c>
      <c r="G1598">
        <v>13.45</v>
      </c>
      <c r="H1598" t="s">
        <v>28</v>
      </c>
      <c r="I1598" t="s">
        <v>20</v>
      </c>
    </row>
    <row r="1599" spans="1:9" x14ac:dyDescent="0.35">
      <c r="A1599" t="s">
        <v>1635</v>
      </c>
      <c r="B1599" s="1">
        <v>45052</v>
      </c>
      <c r="C1599" t="s">
        <v>16</v>
      </c>
      <c r="D1599" t="s">
        <v>57</v>
      </c>
      <c r="E1599" t="s">
        <v>27</v>
      </c>
      <c r="F1599">
        <v>246.35</v>
      </c>
      <c r="G1599">
        <v>23.21</v>
      </c>
      <c r="H1599" t="s">
        <v>19</v>
      </c>
      <c r="I1599" t="s">
        <v>34</v>
      </c>
    </row>
    <row r="1600" spans="1:9" x14ac:dyDescent="0.35">
      <c r="A1600" t="s">
        <v>1636</v>
      </c>
      <c r="B1600" s="1">
        <v>45486</v>
      </c>
      <c r="C1600" t="s">
        <v>16</v>
      </c>
      <c r="D1600" t="s">
        <v>50</v>
      </c>
      <c r="E1600" t="s">
        <v>12</v>
      </c>
      <c r="F1600">
        <v>1055.58</v>
      </c>
      <c r="G1600">
        <v>96.18</v>
      </c>
      <c r="H1600" t="s">
        <v>19</v>
      </c>
      <c r="I1600" t="s">
        <v>20</v>
      </c>
    </row>
    <row r="1601" spans="1:9" x14ac:dyDescent="0.35">
      <c r="A1601" t="s">
        <v>1637</v>
      </c>
      <c r="B1601" s="1">
        <v>44979</v>
      </c>
      <c r="C1601" t="s">
        <v>10</v>
      </c>
      <c r="D1601" t="s">
        <v>73</v>
      </c>
      <c r="E1601" t="s">
        <v>27</v>
      </c>
      <c r="F1601">
        <v>357.33</v>
      </c>
      <c r="G1601">
        <v>32.729999999999997</v>
      </c>
      <c r="H1601" t="s">
        <v>28</v>
      </c>
      <c r="I1601" t="s">
        <v>14</v>
      </c>
    </row>
    <row r="1602" spans="1:9" x14ac:dyDescent="0.35">
      <c r="A1602" t="s">
        <v>1638</v>
      </c>
      <c r="B1602" s="1">
        <v>45015</v>
      </c>
      <c r="C1602" t="s">
        <v>10</v>
      </c>
      <c r="D1602" t="s">
        <v>95</v>
      </c>
      <c r="E1602" t="s">
        <v>18</v>
      </c>
      <c r="F1602">
        <v>1525.17</v>
      </c>
      <c r="G1602">
        <v>372.85</v>
      </c>
      <c r="H1602" t="s">
        <v>13</v>
      </c>
      <c r="I1602" t="s">
        <v>34</v>
      </c>
    </row>
    <row r="1603" spans="1:9" x14ac:dyDescent="0.35">
      <c r="A1603" t="s">
        <v>1639</v>
      </c>
      <c r="B1603" s="1">
        <v>44565</v>
      </c>
      <c r="C1603" t="s">
        <v>10</v>
      </c>
      <c r="D1603" t="s">
        <v>46</v>
      </c>
      <c r="E1603" t="s">
        <v>18</v>
      </c>
      <c r="F1603">
        <v>1195.81</v>
      </c>
      <c r="G1603">
        <v>272.79000000000002</v>
      </c>
      <c r="H1603" t="s">
        <v>28</v>
      </c>
      <c r="I1603" t="s">
        <v>14</v>
      </c>
    </row>
    <row r="1604" spans="1:9" x14ac:dyDescent="0.35">
      <c r="A1604" t="s">
        <v>1640</v>
      </c>
      <c r="B1604" s="1">
        <v>45362</v>
      </c>
      <c r="C1604" t="s">
        <v>25</v>
      </c>
      <c r="D1604" t="s">
        <v>57</v>
      </c>
      <c r="E1604" t="s">
        <v>27</v>
      </c>
      <c r="F1604">
        <v>1652.95</v>
      </c>
      <c r="G1604">
        <v>386.39</v>
      </c>
      <c r="H1604" t="s">
        <v>19</v>
      </c>
      <c r="I1604" t="s">
        <v>14</v>
      </c>
    </row>
    <row r="1605" spans="1:9" x14ac:dyDescent="0.35">
      <c r="A1605" t="s">
        <v>1641</v>
      </c>
      <c r="B1605" s="1">
        <v>44881</v>
      </c>
      <c r="C1605" t="s">
        <v>22</v>
      </c>
      <c r="D1605" t="s">
        <v>46</v>
      </c>
      <c r="E1605" t="s">
        <v>18</v>
      </c>
      <c r="F1605">
        <v>1757.04</v>
      </c>
      <c r="G1605">
        <v>463.13</v>
      </c>
      <c r="H1605" t="s">
        <v>13</v>
      </c>
      <c r="I1605" t="s">
        <v>14</v>
      </c>
    </row>
    <row r="1606" spans="1:9" x14ac:dyDescent="0.35">
      <c r="A1606" t="s">
        <v>1642</v>
      </c>
      <c r="B1606" s="1">
        <v>44579</v>
      </c>
      <c r="C1606" t="s">
        <v>16</v>
      </c>
      <c r="D1606" t="s">
        <v>73</v>
      </c>
      <c r="E1606" t="s">
        <v>27</v>
      </c>
      <c r="F1606">
        <v>58.48</v>
      </c>
      <c r="G1606">
        <v>8.5</v>
      </c>
      <c r="H1606" t="s">
        <v>28</v>
      </c>
      <c r="I1606" t="s">
        <v>34</v>
      </c>
    </row>
    <row r="1607" spans="1:9" x14ac:dyDescent="0.35">
      <c r="A1607" t="s">
        <v>1643</v>
      </c>
      <c r="B1607" s="1">
        <v>45492</v>
      </c>
      <c r="C1607" t="s">
        <v>22</v>
      </c>
      <c r="D1607" t="s">
        <v>50</v>
      </c>
      <c r="E1607" t="s">
        <v>12</v>
      </c>
      <c r="F1607">
        <v>1807.08</v>
      </c>
      <c r="G1607">
        <v>514.42999999999995</v>
      </c>
      <c r="H1607" t="s">
        <v>19</v>
      </c>
      <c r="I1607" t="s">
        <v>20</v>
      </c>
    </row>
    <row r="1608" spans="1:9" x14ac:dyDescent="0.35">
      <c r="A1608" t="s">
        <v>1644</v>
      </c>
      <c r="B1608" s="1">
        <v>44788</v>
      </c>
      <c r="C1608" t="s">
        <v>25</v>
      </c>
      <c r="D1608" t="s">
        <v>33</v>
      </c>
      <c r="E1608" t="s">
        <v>18</v>
      </c>
      <c r="F1608">
        <v>1900.23</v>
      </c>
      <c r="G1608">
        <v>197.27</v>
      </c>
      <c r="H1608" t="s">
        <v>28</v>
      </c>
      <c r="I1608" t="s">
        <v>29</v>
      </c>
    </row>
    <row r="1609" spans="1:9" x14ac:dyDescent="0.35">
      <c r="A1609" t="s">
        <v>1645</v>
      </c>
      <c r="B1609" s="1">
        <v>45222</v>
      </c>
      <c r="C1609" t="s">
        <v>10</v>
      </c>
      <c r="D1609" t="s">
        <v>31</v>
      </c>
      <c r="E1609" t="s">
        <v>12</v>
      </c>
      <c r="F1609">
        <v>1505.95</v>
      </c>
      <c r="G1609">
        <v>153.63</v>
      </c>
      <c r="H1609" t="s">
        <v>13</v>
      </c>
      <c r="I1609" t="s">
        <v>34</v>
      </c>
    </row>
    <row r="1610" spans="1:9" x14ac:dyDescent="0.35">
      <c r="A1610" t="s">
        <v>1646</v>
      </c>
      <c r="B1610" s="1">
        <v>45055</v>
      </c>
      <c r="C1610" t="s">
        <v>10</v>
      </c>
      <c r="D1610" t="s">
        <v>50</v>
      </c>
      <c r="E1610" t="s">
        <v>12</v>
      </c>
      <c r="F1610">
        <v>1534.23</v>
      </c>
      <c r="G1610">
        <v>224.15</v>
      </c>
      <c r="H1610" t="s">
        <v>13</v>
      </c>
      <c r="I1610" t="s">
        <v>34</v>
      </c>
    </row>
    <row r="1611" spans="1:9" x14ac:dyDescent="0.35">
      <c r="A1611" t="s">
        <v>1647</v>
      </c>
      <c r="B1611" s="1">
        <v>44625</v>
      </c>
      <c r="C1611" t="s">
        <v>25</v>
      </c>
      <c r="D1611" t="s">
        <v>73</v>
      </c>
      <c r="E1611" t="s">
        <v>27</v>
      </c>
      <c r="F1611">
        <v>1357.95</v>
      </c>
      <c r="G1611">
        <v>113.49</v>
      </c>
      <c r="H1611" t="s">
        <v>19</v>
      </c>
      <c r="I1611" t="s">
        <v>29</v>
      </c>
    </row>
    <row r="1612" spans="1:9" x14ac:dyDescent="0.35">
      <c r="A1612" t="s">
        <v>1648</v>
      </c>
      <c r="B1612" s="1">
        <v>44980</v>
      </c>
      <c r="C1612" t="s">
        <v>10</v>
      </c>
      <c r="D1612" t="s">
        <v>17</v>
      </c>
      <c r="E1612" t="s">
        <v>18</v>
      </c>
      <c r="F1612">
        <v>592.54</v>
      </c>
      <c r="G1612">
        <v>48.41</v>
      </c>
      <c r="H1612" t="s">
        <v>13</v>
      </c>
      <c r="I1612" t="s">
        <v>20</v>
      </c>
    </row>
    <row r="1613" spans="1:9" x14ac:dyDescent="0.35">
      <c r="A1613" t="s">
        <v>1649</v>
      </c>
      <c r="B1613" s="1">
        <v>45111</v>
      </c>
      <c r="C1613" t="s">
        <v>22</v>
      </c>
      <c r="D1613" t="s">
        <v>95</v>
      </c>
      <c r="E1613" t="s">
        <v>18</v>
      </c>
      <c r="F1613">
        <v>1766.97</v>
      </c>
      <c r="G1613">
        <v>498.72</v>
      </c>
      <c r="H1613" t="s">
        <v>28</v>
      </c>
      <c r="I1613" t="s">
        <v>20</v>
      </c>
    </row>
    <row r="1614" spans="1:9" x14ac:dyDescent="0.35">
      <c r="A1614" t="s">
        <v>1650</v>
      </c>
      <c r="B1614" s="1">
        <v>44963</v>
      </c>
      <c r="C1614" t="s">
        <v>22</v>
      </c>
      <c r="D1614" t="s">
        <v>41</v>
      </c>
      <c r="E1614" t="s">
        <v>12</v>
      </c>
      <c r="F1614">
        <v>1308.6600000000001</v>
      </c>
      <c r="G1614">
        <v>178.92</v>
      </c>
      <c r="H1614" t="s">
        <v>28</v>
      </c>
      <c r="I1614" t="s">
        <v>29</v>
      </c>
    </row>
    <row r="1615" spans="1:9" x14ac:dyDescent="0.35">
      <c r="A1615" t="s">
        <v>1651</v>
      </c>
      <c r="B1615" s="1">
        <v>45326</v>
      </c>
      <c r="C1615" t="s">
        <v>10</v>
      </c>
      <c r="D1615" t="s">
        <v>17</v>
      </c>
      <c r="E1615" t="s">
        <v>18</v>
      </c>
      <c r="F1615">
        <v>1211.27</v>
      </c>
      <c r="G1615">
        <v>70.19</v>
      </c>
      <c r="H1615" t="s">
        <v>28</v>
      </c>
      <c r="I1615" t="s">
        <v>29</v>
      </c>
    </row>
    <row r="1616" spans="1:9" x14ac:dyDescent="0.35">
      <c r="A1616" t="s">
        <v>1652</v>
      </c>
      <c r="B1616" s="1">
        <v>44882</v>
      </c>
      <c r="C1616" t="s">
        <v>25</v>
      </c>
      <c r="D1616" t="s">
        <v>57</v>
      </c>
      <c r="E1616" t="s">
        <v>27</v>
      </c>
      <c r="F1616">
        <v>1114.9000000000001</v>
      </c>
      <c r="G1616">
        <v>287.85000000000002</v>
      </c>
      <c r="H1616" t="s">
        <v>13</v>
      </c>
      <c r="I1616" t="s">
        <v>29</v>
      </c>
    </row>
    <row r="1617" spans="1:9" x14ac:dyDescent="0.35">
      <c r="A1617" t="s">
        <v>1653</v>
      </c>
      <c r="B1617" s="1">
        <v>45556</v>
      </c>
      <c r="C1617" t="s">
        <v>22</v>
      </c>
      <c r="D1617" t="s">
        <v>31</v>
      </c>
      <c r="E1617" t="s">
        <v>12</v>
      </c>
      <c r="F1617">
        <v>1961.43</v>
      </c>
      <c r="G1617">
        <v>457.7</v>
      </c>
      <c r="H1617" t="s">
        <v>13</v>
      </c>
      <c r="I1617" t="s">
        <v>14</v>
      </c>
    </row>
    <row r="1618" spans="1:9" x14ac:dyDescent="0.35">
      <c r="A1618" t="s">
        <v>1654</v>
      </c>
      <c r="B1618" s="1">
        <v>44838</v>
      </c>
      <c r="C1618" t="s">
        <v>16</v>
      </c>
      <c r="D1618" t="s">
        <v>97</v>
      </c>
      <c r="E1618" t="s">
        <v>27</v>
      </c>
      <c r="F1618">
        <v>1605.33</v>
      </c>
      <c r="G1618">
        <v>210.87</v>
      </c>
      <c r="H1618" t="s">
        <v>19</v>
      </c>
      <c r="I1618" t="s">
        <v>14</v>
      </c>
    </row>
    <row r="1619" spans="1:9" x14ac:dyDescent="0.35">
      <c r="A1619" t="s">
        <v>1655</v>
      </c>
      <c r="B1619" s="1">
        <v>45434</v>
      </c>
      <c r="C1619" t="s">
        <v>25</v>
      </c>
      <c r="D1619" t="s">
        <v>31</v>
      </c>
      <c r="E1619" t="s">
        <v>12</v>
      </c>
      <c r="F1619">
        <v>254.3</v>
      </c>
      <c r="G1619">
        <v>30.98</v>
      </c>
      <c r="H1619" t="s">
        <v>13</v>
      </c>
      <c r="I1619" t="s">
        <v>14</v>
      </c>
    </row>
    <row r="1620" spans="1:9" x14ac:dyDescent="0.35">
      <c r="A1620" t="s">
        <v>1656</v>
      </c>
      <c r="B1620" s="1">
        <v>44819</v>
      </c>
      <c r="C1620" t="s">
        <v>22</v>
      </c>
      <c r="D1620" t="s">
        <v>33</v>
      </c>
      <c r="E1620" t="s">
        <v>18</v>
      </c>
      <c r="F1620">
        <v>1180.75</v>
      </c>
      <c r="G1620">
        <v>116.63</v>
      </c>
      <c r="H1620" t="s">
        <v>28</v>
      </c>
      <c r="I1620" t="s">
        <v>20</v>
      </c>
    </row>
    <row r="1621" spans="1:9" x14ac:dyDescent="0.35">
      <c r="A1621" t="s">
        <v>1657</v>
      </c>
      <c r="B1621" s="1">
        <v>45552</v>
      </c>
      <c r="C1621" t="s">
        <v>25</v>
      </c>
      <c r="D1621" t="s">
        <v>46</v>
      </c>
      <c r="E1621" t="s">
        <v>18</v>
      </c>
      <c r="F1621">
        <v>521.21</v>
      </c>
      <c r="G1621">
        <v>49.37</v>
      </c>
      <c r="H1621" t="s">
        <v>13</v>
      </c>
      <c r="I1621" t="s">
        <v>20</v>
      </c>
    </row>
    <row r="1622" spans="1:9" x14ac:dyDescent="0.35">
      <c r="A1622" t="s">
        <v>1658</v>
      </c>
      <c r="B1622" s="1">
        <v>44895</v>
      </c>
      <c r="C1622" t="s">
        <v>22</v>
      </c>
      <c r="D1622" t="s">
        <v>97</v>
      </c>
      <c r="E1622" t="s">
        <v>27</v>
      </c>
      <c r="F1622">
        <v>907.89</v>
      </c>
      <c r="G1622">
        <v>265.08999999999997</v>
      </c>
      <c r="H1622" t="s">
        <v>13</v>
      </c>
      <c r="I1622" t="s">
        <v>14</v>
      </c>
    </row>
    <row r="1623" spans="1:9" x14ac:dyDescent="0.35">
      <c r="A1623" t="s">
        <v>1659</v>
      </c>
      <c r="B1623" s="1">
        <v>45450</v>
      </c>
      <c r="C1623" t="s">
        <v>22</v>
      </c>
      <c r="D1623" t="s">
        <v>46</v>
      </c>
      <c r="E1623" t="s">
        <v>18</v>
      </c>
      <c r="F1623">
        <v>864.95</v>
      </c>
      <c r="G1623">
        <v>153.1</v>
      </c>
      <c r="H1623" t="s">
        <v>13</v>
      </c>
      <c r="I1623" t="s">
        <v>29</v>
      </c>
    </row>
    <row r="1624" spans="1:9" x14ac:dyDescent="0.35">
      <c r="A1624" t="s">
        <v>1660</v>
      </c>
      <c r="B1624" s="1">
        <v>44697</v>
      </c>
      <c r="C1624" t="s">
        <v>10</v>
      </c>
      <c r="D1624" t="s">
        <v>41</v>
      </c>
      <c r="E1624" t="s">
        <v>12</v>
      </c>
      <c r="F1624">
        <v>1394.48</v>
      </c>
      <c r="G1624">
        <v>122.92</v>
      </c>
      <c r="H1624" t="s">
        <v>13</v>
      </c>
      <c r="I1624" t="s">
        <v>14</v>
      </c>
    </row>
    <row r="1625" spans="1:9" x14ac:dyDescent="0.35">
      <c r="A1625" t="s">
        <v>1661</v>
      </c>
      <c r="B1625" s="1">
        <v>45141</v>
      </c>
      <c r="C1625" t="s">
        <v>16</v>
      </c>
      <c r="D1625" t="s">
        <v>41</v>
      </c>
      <c r="E1625" t="s">
        <v>12</v>
      </c>
      <c r="F1625">
        <v>153.82</v>
      </c>
      <c r="G1625">
        <v>32.69</v>
      </c>
      <c r="H1625" t="s">
        <v>28</v>
      </c>
      <c r="I1625" t="s">
        <v>20</v>
      </c>
    </row>
    <row r="1626" spans="1:9" x14ac:dyDescent="0.35">
      <c r="A1626" t="s">
        <v>1662</v>
      </c>
      <c r="B1626" s="1">
        <v>45463</v>
      </c>
      <c r="C1626" t="s">
        <v>10</v>
      </c>
      <c r="D1626" t="s">
        <v>26</v>
      </c>
      <c r="E1626" t="s">
        <v>27</v>
      </c>
      <c r="F1626">
        <v>922</v>
      </c>
      <c r="G1626">
        <v>129.26</v>
      </c>
      <c r="H1626" t="s">
        <v>28</v>
      </c>
      <c r="I1626" t="s">
        <v>34</v>
      </c>
    </row>
    <row r="1627" spans="1:9" x14ac:dyDescent="0.35">
      <c r="A1627" t="s">
        <v>1663</v>
      </c>
      <c r="B1627" s="1">
        <v>45070</v>
      </c>
      <c r="C1627" t="s">
        <v>25</v>
      </c>
      <c r="D1627" t="s">
        <v>73</v>
      </c>
      <c r="E1627" t="s">
        <v>27</v>
      </c>
      <c r="F1627">
        <v>97.62</v>
      </c>
      <c r="G1627">
        <v>17.27</v>
      </c>
      <c r="H1627" t="s">
        <v>19</v>
      </c>
      <c r="I1627" t="s">
        <v>29</v>
      </c>
    </row>
    <row r="1628" spans="1:9" x14ac:dyDescent="0.35">
      <c r="A1628" t="s">
        <v>1664</v>
      </c>
      <c r="B1628" s="1">
        <v>44787</v>
      </c>
      <c r="C1628" t="s">
        <v>10</v>
      </c>
      <c r="D1628" t="s">
        <v>95</v>
      </c>
      <c r="E1628" t="s">
        <v>18</v>
      </c>
      <c r="F1628">
        <v>1051.08</v>
      </c>
      <c r="G1628">
        <v>122.57</v>
      </c>
      <c r="H1628" t="s">
        <v>13</v>
      </c>
      <c r="I1628" t="s">
        <v>20</v>
      </c>
    </row>
    <row r="1629" spans="1:9" x14ac:dyDescent="0.35">
      <c r="A1629" t="s">
        <v>1665</v>
      </c>
      <c r="B1629" s="1">
        <v>45017</v>
      </c>
      <c r="C1629" t="s">
        <v>22</v>
      </c>
      <c r="D1629" t="s">
        <v>95</v>
      </c>
      <c r="E1629" t="s">
        <v>18</v>
      </c>
      <c r="F1629">
        <v>1111.9000000000001</v>
      </c>
      <c r="G1629">
        <v>141.75</v>
      </c>
      <c r="H1629" t="s">
        <v>19</v>
      </c>
      <c r="I1629" t="s">
        <v>34</v>
      </c>
    </row>
    <row r="1630" spans="1:9" x14ac:dyDescent="0.35">
      <c r="A1630" t="s">
        <v>1666</v>
      </c>
      <c r="B1630" s="1">
        <v>45371</v>
      </c>
      <c r="C1630" t="s">
        <v>10</v>
      </c>
      <c r="D1630" t="s">
        <v>26</v>
      </c>
      <c r="E1630" t="s">
        <v>27</v>
      </c>
      <c r="F1630">
        <v>109.3</v>
      </c>
      <c r="G1630">
        <v>17.899999999999999</v>
      </c>
      <c r="H1630" t="s">
        <v>13</v>
      </c>
      <c r="I1630" t="s">
        <v>14</v>
      </c>
    </row>
    <row r="1631" spans="1:9" x14ac:dyDescent="0.35">
      <c r="A1631" t="s">
        <v>1667</v>
      </c>
      <c r="B1631" s="1">
        <v>44995</v>
      </c>
      <c r="C1631" t="s">
        <v>10</v>
      </c>
      <c r="D1631" t="s">
        <v>50</v>
      </c>
      <c r="E1631" t="s">
        <v>12</v>
      </c>
      <c r="F1631">
        <v>1590.84</v>
      </c>
      <c r="G1631">
        <v>156.66</v>
      </c>
      <c r="H1631" t="s">
        <v>13</v>
      </c>
      <c r="I1631" t="s">
        <v>29</v>
      </c>
    </row>
    <row r="1632" spans="1:9" x14ac:dyDescent="0.35">
      <c r="A1632" t="s">
        <v>1668</v>
      </c>
      <c r="B1632" s="1">
        <v>45396</v>
      </c>
      <c r="C1632" t="s">
        <v>22</v>
      </c>
      <c r="D1632" t="s">
        <v>41</v>
      </c>
      <c r="E1632" t="s">
        <v>12</v>
      </c>
      <c r="F1632">
        <v>1732.4</v>
      </c>
      <c r="G1632">
        <v>353.72</v>
      </c>
      <c r="H1632" t="s">
        <v>28</v>
      </c>
      <c r="I1632" t="s">
        <v>14</v>
      </c>
    </row>
    <row r="1633" spans="1:9" x14ac:dyDescent="0.35">
      <c r="A1633" t="s">
        <v>1669</v>
      </c>
      <c r="B1633" s="1">
        <v>45104</v>
      </c>
      <c r="C1633" t="s">
        <v>22</v>
      </c>
      <c r="D1633" t="s">
        <v>95</v>
      </c>
      <c r="E1633" t="s">
        <v>18</v>
      </c>
      <c r="F1633">
        <v>1240.76</v>
      </c>
      <c r="G1633">
        <v>135.63</v>
      </c>
      <c r="H1633" t="s">
        <v>28</v>
      </c>
      <c r="I1633" t="s">
        <v>29</v>
      </c>
    </row>
    <row r="1634" spans="1:9" x14ac:dyDescent="0.35">
      <c r="A1634" t="s">
        <v>1670</v>
      </c>
      <c r="B1634" s="1">
        <v>45412</v>
      </c>
      <c r="C1634" t="s">
        <v>22</v>
      </c>
      <c r="D1634" t="s">
        <v>11</v>
      </c>
      <c r="E1634" t="s">
        <v>12</v>
      </c>
      <c r="F1634">
        <v>945.56</v>
      </c>
      <c r="G1634">
        <v>50.03</v>
      </c>
      <c r="H1634" t="s">
        <v>28</v>
      </c>
      <c r="I1634" t="s">
        <v>34</v>
      </c>
    </row>
    <row r="1635" spans="1:9" x14ac:dyDescent="0.35">
      <c r="A1635" t="s">
        <v>1671</v>
      </c>
      <c r="B1635" s="1">
        <v>45652</v>
      </c>
      <c r="C1635" t="s">
        <v>10</v>
      </c>
      <c r="D1635" t="s">
        <v>31</v>
      </c>
      <c r="E1635" t="s">
        <v>12</v>
      </c>
      <c r="F1635">
        <v>1110.04</v>
      </c>
      <c r="G1635">
        <v>320.27</v>
      </c>
      <c r="H1635" t="s">
        <v>19</v>
      </c>
      <c r="I1635" t="s">
        <v>34</v>
      </c>
    </row>
    <row r="1636" spans="1:9" x14ac:dyDescent="0.35">
      <c r="A1636" t="s">
        <v>1672</v>
      </c>
      <c r="B1636" s="1">
        <v>44857</v>
      </c>
      <c r="C1636" t="s">
        <v>25</v>
      </c>
      <c r="D1636" t="s">
        <v>41</v>
      </c>
      <c r="E1636" t="s">
        <v>12</v>
      </c>
      <c r="F1636">
        <v>1364.35</v>
      </c>
      <c r="G1636">
        <v>253.74</v>
      </c>
      <c r="H1636" t="s">
        <v>13</v>
      </c>
      <c r="I1636" t="s">
        <v>20</v>
      </c>
    </row>
    <row r="1637" spans="1:9" x14ac:dyDescent="0.35">
      <c r="A1637" t="s">
        <v>1673</v>
      </c>
      <c r="B1637" s="1">
        <v>44918</v>
      </c>
      <c r="C1637" t="s">
        <v>22</v>
      </c>
      <c r="D1637" t="s">
        <v>33</v>
      </c>
      <c r="E1637" t="s">
        <v>18</v>
      </c>
      <c r="F1637">
        <v>1854.7</v>
      </c>
      <c r="G1637">
        <v>548.05999999999995</v>
      </c>
      <c r="H1637" t="s">
        <v>13</v>
      </c>
      <c r="I1637" t="s">
        <v>14</v>
      </c>
    </row>
    <row r="1638" spans="1:9" x14ac:dyDescent="0.35">
      <c r="A1638" t="s">
        <v>1674</v>
      </c>
      <c r="B1638" s="1">
        <v>44585</v>
      </c>
      <c r="C1638" t="s">
        <v>22</v>
      </c>
      <c r="D1638" t="s">
        <v>46</v>
      </c>
      <c r="E1638" t="s">
        <v>18</v>
      </c>
      <c r="F1638">
        <v>1410.31</v>
      </c>
      <c r="G1638">
        <v>197.56</v>
      </c>
      <c r="H1638" t="s">
        <v>19</v>
      </c>
      <c r="I1638" t="s">
        <v>34</v>
      </c>
    </row>
    <row r="1639" spans="1:9" x14ac:dyDescent="0.35">
      <c r="A1639" t="s">
        <v>1675</v>
      </c>
      <c r="B1639" s="1">
        <v>45066</v>
      </c>
      <c r="C1639" t="s">
        <v>22</v>
      </c>
      <c r="D1639" t="s">
        <v>46</v>
      </c>
      <c r="E1639" t="s">
        <v>18</v>
      </c>
      <c r="F1639">
        <v>271.87</v>
      </c>
      <c r="G1639">
        <v>71.34</v>
      </c>
      <c r="H1639" t="s">
        <v>19</v>
      </c>
      <c r="I1639" t="s">
        <v>34</v>
      </c>
    </row>
    <row r="1640" spans="1:9" x14ac:dyDescent="0.35">
      <c r="A1640" t="s">
        <v>1676</v>
      </c>
      <c r="B1640" s="1">
        <v>45220</v>
      </c>
      <c r="C1640" t="s">
        <v>22</v>
      </c>
      <c r="D1640" t="s">
        <v>57</v>
      </c>
      <c r="E1640" t="s">
        <v>27</v>
      </c>
      <c r="F1640">
        <v>663.1</v>
      </c>
      <c r="G1640">
        <v>66.14</v>
      </c>
      <c r="H1640" t="s">
        <v>19</v>
      </c>
      <c r="I1640" t="s">
        <v>29</v>
      </c>
    </row>
    <row r="1641" spans="1:9" x14ac:dyDescent="0.35">
      <c r="A1641" t="s">
        <v>1677</v>
      </c>
      <c r="B1641" s="1">
        <v>45386</v>
      </c>
      <c r="C1641" t="s">
        <v>22</v>
      </c>
      <c r="D1641" t="s">
        <v>57</v>
      </c>
      <c r="E1641" t="s">
        <v>27</v>
      </c>
      <c r="F1641">
        <v>819.95</v>
      </c>
      <c r="G1641">
        <v>117.75</v>
      </c>
      <c r="H1641" t="s">
        <v>19</v>
      </c>
      <c r="I1641" t="s">
        <v>14</v>
      </c>
    </row>
    <row r="1642" spans="1:9" x14ac:dyDescent="0.35">
      <c r="A1642" t="s">
        <v>1678</v>
      </c>
      <c r="B1642" s="1">
        <v>44596</v>
      </c>
      <c r="C1642" t="s">
        <v>16</v>
      </c>
      <c r="D1642" t="s">
        <v>17</v>
      </c>
      <c r="E1642" t="s">
        <v>18</v>
      </c>
      <c r="F1642">
        <v>832</v>
      </c>
      <c r="G1642">
        <v>133.61000000000001</v>
      </c>
      <c r="H1642" t="s">
        <v>19</v>
      </c>
      <c r="I1642" t="s">
        <v>20</v>
      </c>
    </row>
    <row r="1643" spans="1:9" x14ac:dyDescent="0.35">
      <c r="A1643" t="s">
        <v>1679</v>
      </c>
      <c r="B1643" s="1">
        <v>45334</v>
      </c>
      <c r="C1643" t="s">
        <v>22</v>
      </c>
      <c r="D1643" t="s">
        <v>95</v>
      </c>
      <c r="E1643" t="s">
        <v>18</v>
      </c>
      <c r="F1643">
        <v>721.27</v>
      </c>
      <c r="G1643">
        <v>195.07</v>
      </c>
      <c r="H1643" t="s">
        <v>13</v>
      </c>
      <c r="I1643" t="s">
        <v>29</v>
      </c>
    </row>
    <row r="1644" spans="1:9" x14ac:dyDescent="0.35">
      <c r="A1644" t="s">
        <v>1680</v>
      </c>
      <c r="B1644" s="1">
        <v>45612</v>
      </c>
      <c r="C1644" t="s">
        <v>25</v>
      </c>
      <c r="D1644" t="s">
        <v>31</v>
      </c>
      <c r="E1644" t="s">
        <v>12</v>
      </c>
      <c r="F1644">
        <v>1434.07</v>
      </c>
      <c r="G1644">
        <v>143.62</v>
      </c>
      <c r="H1644" t="s">
        <v>19</v>
      </c>
      <c r="I1644" t="s">
        <v>34</v>
      </c>
    </row>
    <row r="1645" spans="1:9" x14ac:dyDescent="0.35">
      <c r="A1645" t="s">
        <v>1681</v>
      </c>
      <c r="B1645" s="1">
        <v>45209</v>
      </c>
      <c r="C1645" t="s">
        <v>22</v>
      </c>
      <c r="D1645" t="s">
        <v>95</v>
      </c>
      <c r="E1645" t="s">
        <v>18</v>
      </c>
      <c r="F1645">
        <v>468.04</v>
      </c>
      <c r="G1645">
        <v>127.78</v>
      </c>
      <c r="H1645" t="s">
        <v>19</v>
      </c>
      <c r="I1645" t="s">
        <v>34</v>
      </c>
    </row>
    <row r="1646" spans="1:9" x14ac:dyDescent="0.35">
      <c r="A1646" t="s">
        <v>1682</v>
      </c>
      <c r="B1646" s="1">
        <v>45023</v>
      </c>
      <c r="C1646" t="s">
        <v>22</v>
      </c>
      <c r="D1646" t="s">
        <v>46</v>
      </c>
      <c r="E1646" t="s">
        <v>18</v>
      </c>
      <c r="F1646">
        <v>1049.96</v>
      </c>
      <c r="G1646">
        <v>87.76</v>
      </c>
      <c r="H1646" t="s">
        <v>28</v>
      </c>
      <c r="I1646" t="s">
        <v>14</v>
      </c>
    </row>
    <row r="1647" spans="1:9" x14ac:dyDescent="0.35">
      <c r="A1647" t="s">
        <v>1683</v>
      </c>
      <c r="B1647" s="1">
        <v>45273</v>
      </c>
      <c r="C1647" t="s">
        <v>10</v>
      </c>
      <c r="D1647" t="s">
        <v>26</v>
      </c>
      <c r="E1647" t="s">
        <v>27</v>
      </c>
      <c r="F1647">
        <v>821.36</v>
      </c>
      <c r="G1647">
        <v>44.84</v>
      </c>
      <c r="H1647" t="s">
        <v>13</v>
      </c>
      <c r="I1647" t="s">
        <v>34</v>
      </c>
    </row>
    <row r="1648" spans="1:9" x14ac:dyDescent="0.35">
      <c r="A1648" t="s">
        <v>1684</v>
      </c>
      <c r="B1648" s="1">
        <v>45591</v>
      </c>
      <c r="C1648" t="s">
        <v>16</v>
      </c>
      <c r="D1648" t="s">
        <v>31</v>
      </c>
      <c r="E1648" t="s">
        <v>12</v>
      </c>
      <c r="F1648">
        <v>1805.17</v>
      </c>
      <c r="G1648">
        <v>282.89999999999998</v>
      </c>
      <c r="H1648" t="s">
        <v>28</v>
      </c>
      <c r="I1648" t="s">
        <v>14</v>
      </c>
    </row>
    <row r="1649" spans="1:9" x14ac:dyDescent="0.35">
      <c r="A1649" t="s">
        <v>1685</v>
      </c>
      <c r="B1649" s="1">
        <v>45269</v>
      </c>
      <c r="C1649" t="s">
        <v>10</v>
      </c>
      <c r="D1649" t="s">
        <v>73</v>
      </c>
      <c r="E1649" t="s">
        <v>27</v>
      </c>
      <c r="F1649">
        <v>1015.01</v>
      </c>
      <c r="G1649">
        <v>144.72</v>
      </c>
      <c r="H1649" t="s">
        <v>19</v>
      </c>
      <c r="I1649" t="s">
        <v>34</v>
      </c>
    </row>
    <row r="1650" spans="1:9" x14ac:dyDescent="0.35">
      <c r="A1650" t="s">
        <v>1686</v>
      </c>
      <c r="B1650" s="1">
        <v>44878</v>
      </c>
      <c r="C1650" t="s">
        <v>22</v>
      </c>
      <c r="D1650" t="s">
        <v>97</v>
      </c>
      <c r="E1650" t="s">
        <v>27</v>
      </c>
      <c r="F1650">
        <v>685.58</v>
      </c>
      <c r="G1650">
        <v>159.9</v>
      </c>
      <c r="H1650" t="s">
        <v>13</v>
      </c>
      <c r="I1650" t="s">
        <v>20</v>
      </c>
    </row>
    <row r="1651" spans="1:9" x14ac:dyDescent="0.35">
      <c r="A1651" t="s">
        <v>1687</v>
      </c>
      <c r="B1651" s="1">
        <v>44914</v>
      </c>
      <c r="C1651" t="s">
        <v>25</v>
      </c>
      <c r="D1651" t="s">
        <v>11</v>
      </c>
      <c r="E1651" t="s">
        <v>12</v>
      </c>
      <c r="F1651">
        <v>1055.8699999999999</v>
      </c>
      <c r="G1651">
        <v>278.2</v>
      </c>
      <c r="H1651" t="s">
        <v>13</v>
      </c>
      <c r="I1651" t="s">
        <v>14</v>
      </c>
    </row>
    <row r="1652" spans="1:9" x14ac:dyDescent="0.35">
      <c r="A1652" t="s">
        <v>1688</v>
      </c>
      <c r="B1652" s="1">
        <v>45337</v>
      </c>
      <c r="C1652" t="s">
        <v>10</v>
      </c>
      <c r="D1652" t="s">
        <v>46</v>
      </c>
      <c r="E1652" t="s">
        <v>18</v>
      </c>
      <c r="F1652">
        <v>932.38</v>
      </c>
      <c r="G1652">
        <v>245.8</v>
      </c>
      <c r="H1652" t="s">
        <v>13</v>
      </c>
      <c r="I1652" t="s">
        <v>20</v>
      </c>
    </row>
    <row r="1653" spans="1:9" x14ac:dyDescent="0.35">
      <c r="A1653" t="s">
        <v>1689</v>
      </c>
      <c r="B1653" s="1">
        <v>45323</v>
      </c>
      <c r="C1653" t="s">
        <v>16</v>
      </c>
      <c r="D1653" t="s">
        <v>50</v>
      </c>
      <c r="E1653" t="s">
        <v>12</v>
      </c>
      <c r="F1653">
        <v>362.21</v>
      </c>
      <c r="G1653">
        <v>28.13</v>
      </c>
      <c r="H1653" t="s">
        <v>19</v>
      </c>
      <c r="I1653" t="s">
        <v>20</v>
      </c>
    </row>
    <row r="1654" spans="1:9" x14ac:dyDescent="0.35">
      <c r="A1654" t="s">
        <v>1690</v>
      </c>
      <c r="B1654" s="1">
        <v>45491</v>
      </c>
      <c r="C1654" t="s">
        <v>22</v>
      </c>
      <c r="D1654" t="s">
        <v>50</v>
      </c>
      <c r="E1654" t="s">
        <v>12</v>
      </c>
      <c r="F1654">
        <v>1995.38</v>
      </c>
      <c r="G1654">
        <v>279.52</v>
      </c>
      <c r="H1654" t="s">
        <v>19</v>
      </c>
      <c r="I1654" t="s">
        <v>14</v>
      </c>
    </row>
    <row r="1655" spans="1:9" x14ac:dyDescent="0.35">
      <c r="A1655" t="s">
        <v>1691</v>
      </c>
      <c r="B1655" s="1">
        <v>45051</v>
      </c>
      <c r="C1655" t="s">
        <v>10</v>
      </c>
      <c r="D1655" t="s">
        <v>73</v>
      </c>
      <c r="E1655" t="s">
        <v>27</v>
      </c>
      <c r="F1655">
        <v>1678.64</v>
      </c>
      <c r="G1655">
        <v>136.79</v>
      </c>
      <c r="H1655" t="s">
        <v>19</v>
      </c>
      <c r="I1655" t="s">
        <v>14</v>
      </c>
    </row>
    <row r="1656" spans="1:9" x14ac:dyDescent="0.35">
      <c r="A1656" t="s">
        <v>1692</v>
      </c>
      <c r="B1656" s="1">
        <v>44620</v>
      </c>
      <c r="C1656" t="s">
        <v>22</v>
      </c>
      <c r="D1656" t="s">
        <v>97</v>
      </c>
      <c r="E1656" t="s">
        <v>27</v>
      </c>
      <c r="F1656">
        <v>1309.6500000000001</v>
      </c>
      <c r="G1656">
        <v>239.64</v>
      </c>
      <c r="H1656" t="s">
        <v>28</v>
      </c>
      <c r="I1656" t="s">
        <v>14</v>
      </c>
    </row>
    <row r="1657" spans="1:9" x14ac:dyDescent="0.35">
      <c r="A1657" t="s">
        <v>1693</v>
      </c>
      <c r="B1657" s="1">
        <v>45301</v>
      </c>
      <c r="C1657" t="s">
        <v>10</v>
      </c>
      <c r="D1657" t="s">
        <v>46</v>
      </c>
      <c r="E1657" t="s">
        <v>18</v>
      </c>
      <c r="F1657">
        <v>128.52000000000001</v>
      </c>
      <c r="G1657">
        <v>11.9</v>
      </c>
      <c r="H1657" t="s">
        <v>28</v>
      </c>
      <c r="I1657" t="s">
        <v>29</v>
      </c>
    </row>
    <row r="1658" spans="1:9" x14ac:dyDescent="0.35">
      <c r="A1658" t="s">
        <v>1694</v>
      </c>
      <c r="B1658" s="1">
        <v>45566</v>
      </c>
      <c r="C1658" t="s">
        <v>22</v>
      </c>
      <c r="D1658" t="s">
        <v>31</v>
      </c>
      <c r="E1658" t="s">
        <v>12</v>
      </c>
      <c r="F1658">
        <v>660.59</v>
      </c>
      <c r="G1658">
        <v>89.63</v>
      </c>
      <c r="H1658" t="s">
        <v>28</v>
      </c>
      <c r="I1658" t="s">
        <v>29</v>
      </c>
    </row>
    <row r="1659" spans="1:9" x14ac:dyDescent="0.35">
      <c r="A1659" t="s">
        <v>1695</v>
      </c>
      <c r="B1659" s="1">
        <v>45353</v>
      </c>
      <c r="C1659" t="s">
        <v>22</v>
      </c>
      <c r="D1659" t="s">
        <v>62</v>
      </c>
      <c r="E1659" t="s">
        <v>27</v>
      </c>
      <c r="F1659">
        <v>1210.4100000000001</v>
      </c>
      <c r="G1659">
        <v>96.29</v>
      </c>
      <c r="H1659" t="s">
        <v>13</v>
      </c>
      <c r="I1659" t="s">
        <v>34</v>
      </c>
    </row>
    <row r="1660" spans="1:9" x14ac:dyDescent="0.35">
      <c r="A1660" t="s">
        <v>1696</v>
      </c>
      <c r="B1660" s="1">
        <v>45351</v>
      </c>
      <c r="C1660" t="s">
        <v>16</v>
      </c>
      <c r="D1660" t="s">
        <v>97</v>
      </c>
      <c r="E1660" t="s">
        <v>27</v>
      </c>
      <c r="F1660">
        <v>829.3</v>
      </c>
      <c r="G1660">
        <v>52.55</v>
      </c>
      <c r="H1660" t="s">
        <v>28</v>
      </c>
      <c r="I1660" t="s">
        <v>34</v>
      </c>
    </row>
    <row r="1661" spans="1:9" x14ac:dyDescent="0.35">
      <c r="A1661" t="s">
        <v>1697</v>
      </c>
      <c r="B1661" s="1">
        <v>44972</v>
      </c>
      <c r="C1661" t="s">
        <v>22</v>
      </c>
      <c r="D1661" t="s">
        <v>73</v>
      </c>
      <c r="E1661" t="s">
        <v>27</v>
      </c>
      <c r="F1661">
        <v>266.24</v>
      </c>
      <c r="G1661">
        <v>33.69</v>
      </c>
      <c r="H1661" t="s">
        <v>28</v>
      </c>
      <c r="I1661" t="s">
        <v>20</v>
      </c>
    </row>
    <row r="1662" spans="1:9" x14ac:dyDescent="0.35">
      <c r="A1662" t="s">
        <v>1698</v>
      </c>
      <c r="B1662" s="1">
        <v>45001</v>
      </c>
      <c r="C1662" t="s">
        <v>25</v>
      </c>
      <c r="D1662" t="s">
        <v>38</v>
      </c>
      <c r="E1662" t="s">
        <v>12</v>
      </c>
      <c r="F1662">
        <v>430.78</v>
      </c>
      <c r="G1662">
        <v>111.02</v>
      </c>
      <c r="H1662" t="s">
        <v>13</v>
      </c>
      <c r="I1662" t="s">
        <v>34</v>
      </c>
    </row>
    <row r="1663" spans="1:9" x14ac:dyDescent="0.35">
      <c r="A1663" t="s">
        <v>1699</v>
      </c>
      <c r="B1663" s="1">
        <v>45457</v>
      </c>
      <c r="C1663" t="s">
        <v>25</v>
      </c>
      <c r="D1663" t="s">
        <v>95</v>
      </c>
      <c r="E1663" t="s">
        <v>18</v>
      </c>
      <c r="F1663">
        <v>939.51</v>
      </c>
      <c r="G1663">
        <v>104.97</v>
      </c>
      <c r="H1663" t="s">
        <v>13</v>
      </c>
      <c r="I1663" t="s">
        <v>29</v>
      </c>
    </row>
    <row r="1664" spans="1:9" x14ac:dyDescent="0.35">
      <c r="A1664" t="s">
        <v>1700</v>
      </c>
      <c r="B1664" s="1">
        <v>45142</v>
      </c>
      <c r="C1664" t="s">
        <v>22</v>
      </c>
      <c r="D1664" t="s">
        <v>57</v>
      </c>
      <c r="E1664" t="s">
        <v>27</v>
      </c>
      <c r="F1664">
        <v>507.52</v>
      </c>
      <c r="G1664">
        <v>129</v>
      </c>
      <c r="H1664" t="s">
        <v>19</v>
      </c>
      <c r="I1664" t="s">
        <v>20</v>
      </c>
    </row>
    <row r="1665" spans="1:9" x14ac:dyDescent="0.35">
      <c r="A1665" t="s">
        <v>1701</v>
      </c>
      <c r="B1665" s="1">
        <v>44660</v>
      </c>
      <c r="C1665" t="s">
        <v>25</v>
      </c>
      <c r="D1665" t="s">
        <v>38</v>
      </c>
      <c r="E1665" t="s">
        <v>12</v>
      </c>
      <c r="F1665">
        <v>977.7</v>
      </c>
      <c r="G1665">
        <v>83.56</v>
      </c>
      <c r="H1665" t="s">
        <v>19</v>
      </c>
      <c r="I1665" t="s">
        <v>14</v>
      </c>
    </row>
    <row r="1666" spans="1:9" x14ac:dyDescent="0.35">
      <c r="A1666" t="s">
        <v>1702</v>
      </c>
      <c r="B1666" s="1">
        <v>44764</v>
      </c>
      <c r="C1666" t="s">
        <v>16</v>
      </c>
      <c r="D1666" t="s">
        <v>57</v>
      </c>
      <c r="E1666" t="s">
        <v>27</v>
      </c>
      <c r="F1666">
        <v>1515.05</v>
      </c>
      <c r="G1666">
        <v>274.86</v>
      </c>
      <c r="H1666" t="s">
        <v>13</v>
      </c>
      <c r="I1666" t="s">
        <v>34</v>
      </c>
    </row>
    <row r="1667" spans="1:9" x14ac:dyDescent="0.35">
      <c r="A1667" t="s">
        <v>1703</v>
      </c>
      <c r="B1667" s="1">
        <v>44990</v>
      </c>
      <c r="C1667" t="s">
        <v>16</v>
      </c>
      <c r="D1667" t="s">
        <v>57</v>
      </c>
      <c r="E1667" t="s">
        <v>27</v>
      </c>
      <c r="F1667">
        <v>280.20999999999998</v>
      </c>
      <c r="G1667">
        <v>30.73</v>
      </c>
      <c r="H1667" t="s">
        <v>13</v>
      </c>
      <c r="I1667" t="s">
        <v>20</v>
      </c>
    </row>
    <row r="1668" spans="1:9" x14ac:dyDescent="0.35">
      <c r="A1668" t="s">
        <v>1704</v>
      </c>
      <c r="B1668" s="1">
        <v>44691</v>
      </c>
      <c r="C1668" t="s">
        <v>22</v>
      </c>
      <c r="D1668" t="s">
        <v>57</v>
      </c>
      <c r="E1668" t="s">
        <v>27</v>
      </c>
      <c r="F1668">
        <v>1701.95</v>
      </c>
      <c r="G1668">
        <v>474.26</v>
      </c>
      <c r="H1668" t="s">
        <v>28</v>
      </c>
      <c r="I1668" t="s">
        <v>29</v>
      </c>
    </row>
    <row r="1669" spans="1:9" x14ac:dyDescent="0.35">
      <c r="A1669" t="s">
        <v>1705</v>
      </c>
      <c r="B1669" s="1">
        <v>45478</v>
      </c>
      <c r="C1669" t="s">
        <v>10</v>
      </c>
      <c r="D1669" t="s">
        <v>23</v>
      </c>
      <c r="E1669" t="s">
        <v>18</v>
      </c>
      <c r="F1669">
        <v>418.29</v>
      </c>
      <c r="G1669">
        <v>114.78</v>
      </c>
      <c r="H1669" t="s">
        <v>28</v>
      </c>
      <c r="I1669" t="s">
        <v>20</v>
      </c>
    </row>
    <row r="1670" spans="1:9" x14ac:dyDescent="0.35">
      <c r="A1670" t="s">
        <v>1706</v>
      </c>
      <c r="B1670" s="1">
        <v>44863</v>
      </c>
      <c r="C1670" t="s">
        <v>22</v>
      </c>
      <c r="D1670" t="s">
        <v>41</v>
      </c>
      <c r="E1670" t="s">
        <v>12</v>
      </c>
      <c r="F1670">
        <v>1286.9000000000001</v>
      </c>
      <c r="G1670">
        <v>114.9</v>
      </c>
      <c r="H1670" t="s">
        <v>28</v>
      </c>
      <c r="I1670" t="s">
        <v>20</v>
      </c>
    </row>
    <row r="1671" spans="1:9" x14ac:dyDescent="0.35">
      <c r="A1671" t="s">
        <v>1707</v>
      </c>
      <c r="B1671" s="1">
        <v>44689</v>
      </c>
      <c r="C1671" t="s">
        <v>16</v>
      </c>
      <c r="D1671" t="s">
        <v>33</v>
      </c>
      <c r="E1671" t="s">
        <v>18</v>
      </c>
      <c r="F1671">
        <v>175.12</v>
      </c>
      <c r="G1671">
        <v>33.61</v>
      </c>
      <c r="H1671" t="s">
        <v>19</v>
      </c>
      <c r="I1671" t="s">
        <v>34</v>
      </c>
    </row>
    <row r="1672" spans="1:9" x14ac:dyDescent="0.35">
      <c r="A1672" t="s">
        <v>1708</v>
      </c>
      <c r="B1672" s="1">
        <v>45108</v>
      </c>
      <c r="C1672" t="s">
        <v>10</v>
      </c>
      <c r="D1672" t="s">
        <v>23</v>
      </c>
      <c r="E1672" t="s">
        <v>18</v>
      </c>
      <c r="F1672">
        <v>319.45</v>
      </c>
      <c r="G1672">
        <v>80.03</v>
      </c>
      <c r="H1672" t="s">
        <v>28</v>
      </c>
      <c r="I1672" t="s">
        <v>29</v>
      </c>
    </row>
    <row r="1673" spans="1:9" x14ac:dyDescent="0.35">
      <c r="A1673" t="s">
        <v>1709</v>
      </c>
      <c r="B1673" s="1">
        <v>44867</v>
      </c>
      <c r="C1673" t="s">
        <v>25</v>
      </c>
      <c r="D1673" t="s">
        <v>95</v>
      </c>
      <c r="E1673" t="s">
        <v>18</v>
      </c>
      <c r="F1673">
        <v>1360.62</v>
      </c>
      <c r="G1673">
        <v>299.45999999999998</v>
      </c>
      <c r="H1673" t="s">
        <v>19</v>
      </c>
      <c r="I1673" t="s">
        <v>29</v>
      </c>
    </row>
    <row r="1674" spans="1:9" x14ac:dyDescent="0.35">
      <c r="A1674" t="s">
        <v>1710</v>
      </c>
      <c r="B1674" s="1">
        <v>45569</v>
      </c>
      <c r="C1674" t="s">
        <v>16</v>
      </c>
      <c r="D1674" t="s">
        <v>57</v>
      </c>
      <c r="E1674" t="s">
        <v>27</v>
      </c>
      <c r="F1674">
        <v>475.59</v>
      </c>
      <c r="G1674">
        <v>110.97</v>
      </c>
      <c r="H1674" t="s">
        <v>28</v>
      </c>
      <c r="I1674" t="s">
        <v>29</v>
      </c>
    </row>
    <row r="1675" spans="1:9" x14ac:dyDescent="0.35">
      <c r="A1675" t="s">
        <v>1711</v>
      </c>
      <c r="B1675" s="1">
        <v>44794</v>
      </c>
      <c r="C1675" t="s">
        <v>22</v>
      </c>
      <c r="D1675" t="s">
        <v>38</v>
      </c>
      <c r="E1675" t="s">
        <v>12</v>
      </c>
      <c r="F1675">
        <v>1788.42</v>
      </c>
      <c r="G1675">
        <v>448.93</v>
      </c>
      <c r="H1675" t="s">
        <v>19</v>
      </c>
      <c r="I1675" t="s">
        <v>14</v>
      </c>
    </row>
    <row r="1676" spans="1:9" x14ac:dyDescent="0.35">
      <c r="A1676" t="s">
        <v>1712</v>
      </c>
      <c r="B1676" s="1">
        <v>45100</v>
      </c>
      <c r="C1676" t="s">
        <v>16</v>
      </c>
      <c r="D1676" t="s">
        <v>11</v>
      </c>
      <c r="E1676" t="s">
        <v>12</v>
      </c>
      <c r="F1676">
        <v>240.49</v>
      </c>
      <c r="G1676">
        <v>15.97</v>
      </c>
      <c r="H1676" t="s">
        <v>28</v>
      </c>
      <c r="I1676" t="s">
        <v>14</v>
      </c>
    </row>
    <row r="1677" spans="1:9" x14ac:dyDescent="0.35">
      <c r="A1677" t="s">
        <v>1713</v>
      </c>
      <c r="B1677" s="1">
        <v>44855</v>
      </c>
      <c r="C1677" t="s">
        <v>22</v>
      </c>
      <c r="D1677" t="s">
        <v>23</v>
      </c>
      <c r="E1677" t="s">
        <v>18</v>
      </c>
      <c r="F1677">
        <v>201.75</v>
      </c>
      <c r="G1677">
        <v>49.21</v>
      </c>
      <c r="H1677" t="s">
        <v>13</v>
      </c>
      <c r="I1677" t="s">
        <v>29</v>
      </c>
    </row>
    <row r="1678" spans="1:9" x14ac:dyDescent="0.35">
      <c r="A1678" t="s">
        <v>1714</v>
      </c>
      <c r="B1678" s="1">
        <v>45380</v>
      </c>
      <c r="C1678" t="s">
        <v>10</v>
      </c>
      <c r="D1678" t="s">
        <v>41</v>
      </c>
      <c r="E1678" t="s">
        <v>12</v>
      </c>
      <c r="F1678">
        <v>961.38</v>
      </c>
      <c r="G1678">
        <v>196.27</v>
      </c>
      <c r="H1678" t="s">
        <v>19</v>
      </c>
      <c r="I1678" t="s">
        <v>14</v>
      </c>
    </row>
    <row r="1679" spans="1:9" x14ac:dyDescent="0.35">
      <c r="A1679" t="s">
        <v>1715</v>
      </c>
      <c r="B1679" s="1">
        <v>45001</v>
      </c>
      <c r="C1679" t="s">
        <v>25</v>
      </c>
      <c r="D1679" t="s">
        <v>31</v>
      </c>
      <c r="E1679" t="s">
        <v>12</v>
      </c>
      <c r="F1679">
        <v>995.11</v>
      </c>
      <c r="G1679">
        <v>293.52</v>
      </c>
      <c r="H1679" t="s">
        <v>28</v>
      </c>
      <c r="I1679" t="s">
        <v>14</v>
      </c>
    </row>
    <row r="1680" spans="1:9" x14ac:dyDescent="0.35">
      <c r="A1680" t="s">
        <v>1716</v>
      </c>
      <c r="B1680" s="1">
        <v>44619</v>
      </c>
      <c r="C1680" t="s">
        <v>16</v>
      </c>
      <c r="D1680" t="s">
        <v>23</v>
      </c>
      <c r="E1680" t="s">
        <v>18</v>
      </c>
      <c r="F1680">
        <v>1894.88</v>
      </c>
      <c r="G1680">
        <v>189.11</v>
      </c>
      <c r="H1680" t="s">
        <v>19</v>
      </c>
      <c r="I1680" t="s">
        <v>14</v>
      </c>
    </row>
    <row r="1681" spans="1:9" x14ac:dyDescent="0.35">
      <c r="A1681" t="s">
        <v>1717</v>
      </c>
      <c r="B1681" s="1">
        <v>44639</v>
      </c>
      <c r="C1681" t="s">
        <v>22</v>
      </c>
      <c r="D1681" t="s">
        <v>33</v>
      </c>
      <c r="E1681" t="s">
        <v>18</v>
      </c>
      <c r="F1681">
        <v>676.62</v>
      </c>
      <c r="G1681">
        <v>55.55</v>
      </c>
      <c r="H1681" t="s">
        <v>28</v>
      </c>
      <c r="I1681" t="s">
        <v>20</v>
      </c>
    </row>
    <row r="1682" spans="1:9" x14ac:dyDescent="0.35">
      <c r="A1682" t="s">
        <v>1718</v>
      </c>
      <c r="B1682" s="1">
        <v>44713</v>
      </c>
      <c r="C1682" t="s">
        <v>25</v>
      </c>
      <c r="D1682" t="s">
        <v>95</v>
      </c>
      <c r="E1682" t="s">
        <v>18</v>
      </c>
      <c r="F1682">
        <v>359</v>
      </c>
      <c r="G1682">
        <v>52.98</v>
      </c>
      <c r="H1682" t="s">
        <v>28</v>
      </c>
      <c r="I1682" t="s">
        <v>14</v>
      </c>
    </row>
    <row r="1683" spans="1:9" x14ac:dyDescent="0.35">
      <c r="A1683" t="s">
        <v>1719</v>
      </c>
      <c r="B1683" s="1">
        <v>44960</v>
      </c>
      <c r="C1683" t="s">
        <v>22</v>
      </c>
      <c r="D1683" t="s">
        <v>11</v>
      </c>
      <c r="E1683" t="s">
        <v>12</v>
      </c>
      <c r="F1683">
        <v>181.8</v>
      </c>
      <c r="G1683">
        <v>20.64</v>
      </c>
      <c r="H1683" t="s">
        <v>19</v>
      </c>
      <c r="I1683" t="s">
        <v>34</v>
      </c>
    </row>
    <row r="1684" spans="1:9" x14ac:dyDescent="0.35">
      <c r="A1684" t="s">
        <v>1720</v>
      </c>
      <c r="B1684" s="1">
        <v>45487</v>
      </c>
      <c r="C1684" t="s">
        <v>10</v>
      </c>
      <c r="D1684" t="s">
        <v>11</v>
      </c>
      <c r="E1684" t="s">
        <v>12</v>
      </c>
      <c r="F1684">
        <v>556.17999999999995</v>
      </c>
      <c r="G1684">
        <v>155.24</v>
      </c>
      <c r="H1684" t="s">
        <v>28</v>
      </c>
      <c r="I1684" t="s">
        <v>29</v>
      </c>
    </row>
    <row r="1685" spans="1:9" x14ac:dyDescent="0.35">
      <c r="A1685" t="s">
        <v>1721</v>
      </c>
      <c r="B1685" s="1">
        <v>44614</v>
      </c>
      <c r="C1685" t="s">
        <v>10</v>
      </c>
      <c r="D1685" t="s">
        <v>57</v>
      </c>
      <c r="E1685" t="s">
        <v>27</v>
      </c>
      <c r="F1685">
        <v>1308.5</v>
      </c>
      <c r="G1685">
        <v>303.89999999999998</v>
      </c>
      <c r="H1685" t="s">
        <v>28</v>
      </c>
      <c r="I1685" t="s">
        <v>20</v>
      </c>
    </row>
    <row r="1686" spans="1:9" x14ac:dyDescent="0.35">
      <c r="A1686" t="s">
        <v>1722</v>
      </c>
      <c r="B1686" s="1">
        <v>44584</v>
      </c>
      <c r="C1686" t="s">
        <v>16</v>
      </c>
      <c r="D1686" t="s">
        <v>97</v>
      </c>
      <c r="E1686" t="s">
        <v>27</v>
      </c>
      <c r="F1686">
        <v>1913.72</v>
      </c>
      <c r="G1686">
        <v>304.67</v>
      </c>
      <c r="H1686" t="s">
        <v>13</v>
      </c>
      <c r="I1686" t="s">
        <v>14</v>
      </c>
    </row>
    <row r="1687" spans="1:9" x14ac:dyDescent="0.35">
      <c r="A1687" t="s">
        <v>1723</v>
      </c>
      <c r="B1687" s="1">
        <v>44629</v>
      </c>
      <c r="C1687" t="s">
        <v>16</v>
      </c>
      <c r="D1687" t="s">
        <v>31</v>
      </c>
      <c r="E1687" t="s">
        <v>12</v>
      </c>
      <c r="F1687">
        <v>1396.37</v>
      </c>
      <c r="G1687">
        <v>184.51</v>
      </c>
      <c r="H1687" t="s">
        <v>19</v>
      </c>
      <c r="I1687" t="s">
        <v>14</v>
      </c>
    </row>
    <row r="1688" spans="1:9" x14ac:dyDescent="0.35">
      <c r="A1688" t="s">
        <v>1724</v>
      </c>
      <c r="B1688" s="1">
        <v>44758</v>
      </c>
      <c r="C1688" t="s">
        <v>10</v>
      </c>
      <c r="D1688" t="s">
        <v>41</v>
      </c>
      <c r="E1688" t="s">
        <v>12</v>
      </c>
      <c r="F1688">
        <v>1570.56</v>
      </c>
      <c r="G1688">
        <v>137.51</v>
      </c>
      <c r="H1688" t="s">
        <v>19</v>
      </c>
      <c r="I1688" t="s">
        <v>14</v>
      </c>
    </row>
    <row r="1689" spans="1:9" x14ac:dyDescent="0.35">
      <c r="A1689" t="s">
        <v>1725</v>
      </c>
      <c r="B1689" s="1">
        <v>45092</v>
      </c>
      <c r="C1689" t="s">
        <v>16</v>
      </c>
      <c r="D1689" t="s">
        <v>57</v>
      </c>
      <c r="E1689" t="s">
        <v>27</v>
      </c>
      <c r="F1689">
        <v>1115.6600000000001</v>
      </c>
      <c r="G1689">
        <v>91.51</v>
      </c>
      <c r="H1689" t="s">
        <v>19</v>
      </c>
      <c r="I1689" t="s">
        <v>34</v>
      </c>
    </row>
    <row r="1690" spans="1:9" x14ac:dyDescent="0.35">
      <c r="A1690" t="s">
        <v>1726</v>
      </c>
      <c r="B1690" s="1">
        <v>45313</v>
      </c>
      <c r="C1690" t="s">
        <v>10</v>
      </c>
      <c r="D1690" t="s">
        <v>95</v>
      </c>
      <c r="E1690" t="s">
        <v>18</v>
      </c>
      <c r="F1690">
        <v>1956.75</v>
      </c>
      <c r="G1690">
        <v>251.75</v>
      </c>
      <c r="H1690" t="s">
        <v>13</v>
      </c>
      <c r="I1690" t="s">
        <v>14</v>
      </c>
    </row>
    <row r="1691" spans="1:9" x14ac:dyDescent="0.35">
      <c r="A1691" t="s">
        <v>1727</v>
      </c>
      <c r="B1691" s="1">
        <v>45251</v>
      </c>
      <c r="C1691" t="s">
        <v>25</v>
      </c>
      <c r="D1691" t="s">
        <v>26</v>
      </c>
      <c r="E1691" t="s">
        <v>27</v>
      </c>
      <c r="F1691">
        <v>813.96</v>
      </c>
      <c r="G1691">
        <v>184.6</v>
      </c>
      <c r="H1691" t="s">
        <v>13</v>
      </c>
      <c r="I1691" t="s">
        <v>29</v>
      </c>
    </row>
    <row r="1692" spans="1:9" x14ac:dyDescent="0.35">
      <c r="A1692" t="s">
        <v>1728</v>
      </c>
      <c r="B1692" s="1">
        <v>45125</v>
      </c>
      <c r="C1692" t="s">
        <v>10</v>
      </c>
      <c r="D1692" t="s">
        <v>33</v>
      </c>
      <c r="E1692" t="s">
        <v>18</v>
      </c>
      <c r="F1692">
        <v>1853.51</v>
      </c>
      <c r="G1692">
        <v>300.18</v>
      </c>
      <c r="H1692" t="s">
        <v>13</v>
      </c>
      <c r="I1692" t="s">
        <v>29</v>
      </c>
    </row>
    <row r="1693" spans="1:9" x14ac:dyDescent="0.35">
      <c r="A1693" t="s">
        <v>1729</v>
      </c>
      <c r="B1693" s="1">
        <v>44973</v>
      </c>
      <c r="C1693" t="s">
        <v>10</v>
      </c>
      <c r="D1693" t="s">
        <v>38</v>
      </c>
      <c r="E1693" t="s">
        <v>12</v>
      </c>
      <c r="F1693">
        <v>1426.42</v>
      </c>
      <c r="G1693">
        <v>86.57</v>
      </c>
      <c r="H1693" t="s">
        <v>13</v>
      </c>
      <c r="I1693" t="s">
        <v>34</v>
      </c>
    </row>
    <row r="1694" spans="1:9" x14ac:dyDescent="0.35">
      <c r="A1694" t="s">
        <v>1730</v>
      </c>
      <c r="B1694" s="1">
        <v>45100</v>
      </c>
      <c r="C1694" t="s">
        <v>10</v>
      </c>
      <c r="D1694" t="s">
        <v>95</v>
      </c>
      <c r="E1694" t="s">
        <v>18</v>
      </c>
      <c r="F1694">
        <v>1777.17</v>
      </c>
      <c r="G1694">
        <v>292.8</v>
      </c>
      <c r="H1694" t="s">
        <v>13</v>
      </c>
      <c r="I1694" t="s">
        <v>34</v>
      </c>
    </row>
    <row r="1695" spans="1:9" x14ac:dyDescent="0.35">
      <c r="A1695" t="s">
        <v>1731</v>
      </c>
      <c r="B1695" s="1">
        <v>44572</v>
      </c>
      <c r="C1695" t="s">
        <v>10</v>
      </c>
      <c r="D1695" t="s">
        <v>46</v>
      </c>
      <c r="E1695" t="s">
        <v>18</v>
      </c>
      <c r="F1695">
        <v>1963.29</v>
      </c>
      <c r="G1695">
        <v>99.36</v>
      </c>
      <c r="H1695" t="s">
        <v>13</v>
      </c>
      <c r="I1695" t="s">
        <v>20</v>
      </c>
    </row>
    <row r="1696" spans="1:9" x14ac:dyDescent="0.35">
      <c r="A1696" t="s">
        <v>1732</v>
      </c>
      <c r="B1696" s="1">
        <v>44909</v>
      </c>
      <c r="C1696" t="s">
        <v>10</v>
      </c>
      <c r="D1696" t="s">
        <v>50</v>
      </c>
      <c r="E1696" t="s">
        <v>12</v>
      </c>
      <c r="F1696">
        <v>460.33</v>
      </c>
      <c r="G1696">
        <v>36.22</v>
      </c>
      <c r="H1696" t="s">
        <v>13</v>
      </c>
      <c r="I1696" t="s">
        <v>20</v>
      </c>
    </row>
    <row r="1697" spans="1:9" x14ac:dyDescent="0.35">
      <c r="A1697" t="s">
        <v>1733</v>
      </c>
      <c r="B1697" s="1">
        <v>45036</v>
      </c>
      <c r="C1697" t="s">
        <v>22</v>
      </c>
      <c r="D1697" t="s">
        <v>31</v>
      </c>
      <c r="E1697" t="s">
        <v>12</v>
      </c>
      <c r="F1697">
        <v>564.62</v>
      </c>
      <c r="G1697">
        <v>45.71</v>
      </c>
      <c r="H1697" t="s">
        <v>13</v>
      </c>
      <c r="I1697" t="s">
        <v>14</v>
      </c>
    </row>
    <row r="1698" spans="1:9" x14ac:dyDescent="0.35">
      <c r="A1698" t="s">
        <v>1734</v>
      </c>
      <c r="B1698" s="1">
        <v>44845</v>
      </c>
      <c r="C1698" t="s">
        <v>22</v>
      </c>
      <c r="D1698" t="s">
        <v>62</v>
      </c>
      <c r="E1698" t="s">
        <v>27</v>
      </c>
      <c r="F1698">
        <v>481.6</v>
      </c>
      <c r="G1698">
        <v>24.51</v>
      </c>
      <c r="H1698" t="s">
        <v>13</v>
      </c>
      <c r="I1698" t="s">
        <v>29</v>
      </c>
    </row>
    <row r="1699" spans="1:9" x14ac:dyDescent="0.35">
      <c r="A1699" t="s">
        <v>1735</v>
      </c>
      <c r="B1699" s="1">
        <v>45209</v>
      </c>
      <c r="C1699" t="s">
        <v>22</v>
      </c>
      <c r="D1699" t="s">
        <v>95</v>
      </c>
      <c r="E1699" t="s">
        <v>18</v>
      </c>
      <c r="F1699">
        <v>1805.46</v>
      </c>
      <c r="G1699">
        <v>412.03</v>
      </c>
      <c r="H1699" t="s">
        <v>28</v>
      </c>
      <c r="I1699" t="s">
        <v>29</v>
      </c>
    </row>
    <row r="1700" spans="1:9" x14ac:dyDescent="0.35">
      <c r="A1700" t="s">
        <v>1736</v>
      </c>
      <c r="B1700" s="1">
        <v>45012</v>
      </c>
      <c r="C1700" t="s">
        <v>10</v>
      </c>
      <c r="D1700" t="s">
        <v>23</v>
      </c>
      <c r="E1700" t="s">
        <v>18</v>
      </c>
      <c r="F1700">
        <v>755.62</v>
      </c>
      <c r="G1700">
        <v>144.02000000000001</v>
      </c>
      <c r="H1700" t="s">
        <v>13</v>
      </c>
      <c r="I1700" t="s">
        <v>34</v>
      </c>
    </row>
    <row r="1701" spans="1:9" x14ac:dyDescent="0.35">
      <c r="A1701" t="s">
        <v>1737</v>
      </c>
      <c r="B1701" s="1">
        <v>45515</v>
      </c>
      <c r="C1701" t="s">
        <v>10</v>
      </c>
      <c r="D1701" t="s">
        <v>26</v>
      </c>
      <c r="E1701" t="s">
        <v>27</v>
      </c>
      <c r="F1701">
        <v>799.44</v>
      </c>
      <c r="G1701">
        <v>151.9</v>
      </c>
      <c r="H1701" t="s">
        <v>13</v>
      </c>
      <c r="I1701" t="s">
        <v>14</v>
      </c>
    </row>
    <row r="1702" spans="1:9" x14ac:dyDescent="0.35">
      <c r="A1702" t="s">
        <v>1738</v>
      </c>
      <c r="B1702" s="1">
        <v>44624</v>
      </c>
      <c r="C1702" t="s">
        <v>22</v>
      </c>
      <c r="D1702" t="s">
        <v>17</v>
      </c>
      <c r="E1702" t="s">
        <v>18</v>
      </c>
      <c r="F1702">
        <v>1633.21</v>
      </c>
      <c r="G1702">
        <v>365.83</v>
      </c>
      <c r="H1702" t="s">
        <v>13</v>
      </c>
      <c r="I1702" t="s">
        <v>20</v>
      </c>
    </row>
    <row r="1703" spans="1:9" x14ac:dyDescent="0.35">
      <c r="A1703" t="s">
        <v>1739</v>
      </c>
      <c r="B1703" s="1">
        <v>45023</v>
      </c>
      <c r="C1703" t="s">
        <v>10</v>
      </c>
      <c r="D1703" t="s">
        <v>26</v>
      </c>
      <c r="E1703" t="s">
        <v>27</v>
      </c>
      <c r="F1703">
        <v>945.26</v>
      </c>
      <c r="G1703">
        <v>183.37</v>
      </c>
      <c r="H1703" t="s">
        <v>13</v>
      </c>
      <c r="I1703" t="s">
        <v>34</v>
      </c>
    </row>
    <row r="1704" spans="1:9" x14ac:dyDescent="0.35">
      <c r="A1704" t="s">
        <v>1740</v>
      </c>
      <c r="B1704" s="1">
        <v>45492</v>
      </c>
      <c r="C1704" t="s">
        <v>16</v>
      </c>
      <c r="D1704" t="s">
        <v>62</v>
      </c>
      <c r="E1704" t="s">
        <v>27</v>
      </c>
      <c r="F1704">
        <v>1922.85</v>
      </c>
      <c r="G1704">
        <v>538.48</v>
      </c>
      <c r="H1704" t="s">
        <v>13</v>
      </c>
      <c r="I1704" t="s">
        <v>29</v>
      </c>
    </row>
    <row r="1705" spans="1:9" x14ac:dyDescent="0.35">
      <c r="A1705" t="s">
        <v>1741</v>
      </c>
      <c r="B1705" s="1">
        <v>45269</v>
      </c>
      <c r="C1705" t="s">
        <v>25</v>
      </c>
      <c r="D1705" t="s">
        <v>26</v>
      </c>
      <c r="E1705" t="s">
        <v>27</v>
      </c>
      <c r="F1705">
        <v>682.64</v>
      </c>
      <c r="G1705">
        <v>151.77000000000001</v>
      </c>
      <c r="H1705" t="s">
        <v>28</v>
      </c>
      <c r="I1705" t="s">
        <v>14</v>
      </c>
    </row>
    <row r="1706" spans="1:9" x14ac:dyDescent="0.35">
      <c r="A1706" t="s">
        <v>1742</v>
      </c>
      <c r="B1706" s="1">
        <v>45415</v>
      </c>
      <c r="C1706" t="s">
        <v>25</v>
      </c>
      <c r="D1706" t="s">
        <v>73</v>
      </c>
      <c r="E1706" t="s">
        <v>27</v>
      </c>
      <c r="F1706">
        <v>189.94</v>
      </c>
      <c r="G1706">
        <v>42.28</v>
      </c>
      <c r="H1706" t="s">
        <v>13</v>
      </c>
      <c r="I1706" t="s">
        <v>20</v>
      </c>
    </row>
    <row r="1707" spans="1:9" x14ac:dyDescent="0.35">
      <c r="A1707" t="s">
        <v>1743</v>
      </c>
      <c r="B1707" s="1">
        <v>44855</v>
      </c>
      <c r="C1707" t="s">
        <v>22</v>
      </c>
      <c r="D1707" t="s">
        <v>95</v>
      </c>
      <c r="E1707" t="s">
        <v>18</v>
      </c>
      <c r="F1707">
        <v>312.05</v>
      </c>
      <c r="G1707">
        <v>31</v>
      </c>
      <c r="H1707" t="s">
        <v>28</v>
      </c>
      <c r="I1707" t="s">
        <v>20</v>
      </c>
    </row>
    <row r="1708" spans="1:9" x14ac:dyDescent="0.35">
      <c r="A1708" t="s">
        <v>1744</v>
      </c>
      <c r="B1708" s="1">
        <v>44911</v>
      </c>
      <c r="C1708" t="s">
        <v>10</v>
      </c>
      <c r="D1708" t="s">
        <v>73</v>
      </c>
      <c r="E1708" t="s">
        <v>27</v>
      </c>
      <c r="F1708">
        <v>1958.97</v>
      </c>
      <c r="G1708">
        <v>318.66000000000003</v>
      </c>
      <c r="H1708" t="s">
        <v>13</v>
      </c>
      <c r="I1708" t="s">
        <v>29</v>
      </c>
    </row>
    <row r="1709" spans="1:9" x14ac:dyDescent="0.35">
      <c r="A1709" t="s">
        <v>1745</v>
      </c>
      <c r="B1709" s="1">
        <v>44979</v>
      </c>
      <c r="C1709" t="s">
        <v>25</v>
      </c>
      <c r="D1709" t="s">
        <v>17</v>
      </c>
      <c r="E1709" t="s">
        <v>18</v>
      </c>
      <c r="F1709">
        <v>1917.91</v>
      </c>
      <c r="G1709">
        <v>317.04000000000002</v>
      </c>
      <c r="H1709" t="s">
        <v>13</v>
      </c>
      <c r="I1709" t="s">
        <v>14</v>
      </c>
    </row>
    <row r="1710" spans="1:9" x14ac:dyDescent="0.35">
      <c r="A1710" t="s">
        <v>1746</v>
      </c>
      <c r="B1710" s="1">
        <v>44879</v>
      </c>
      <c r="C1710" t="s">
        <v>22</v>
      </c>
      <c r="D1710" t="s">
        <v>62</v>
      </c>
      <c r="E1710" t="s">
        <v>27</v>
      </c>
      <c r="F1710">
        <v>1455.5</v>
      </c>
      <c r="G1710">
        <v>403.94</v>
      </c>
      <c r="H1710" t="s">
        <v>13</v>
      </c>
      <c r="I1710" t="s">
        <v>20</v>
      </c>
    </row>
    <row r="1711" spans="1:9" x14ac:dyDescent="0.35">
      <c r="A1711" t="s">
        <v>1747</v>
      </c>
      <c r="B1711" s="1">
        <v>45470</v>
      </c>
      <c r="C1711" t="s">
        <v>16</v>
      </c>
      <c r="D1711" t="s">
        <v>26</v>
      </c>
      <c r="E1711" t="s">
        <v>27</v>
      </c>
      <c r="F1711">
        <v>955.27</v>
      </c>
      <c r="G1711">
        <v>82.9</v>
      </c>
      <c r="H1711" t="s">
        <v>19</v>
      </c>
      <c r="I1711" t="s">
        <v>29</v>
      </c>
    </row>
    <row r="1712" spans="1:9" x14ac:dyDescent="0.35">
      <c r="A1712" t="s">
        <v>1748</v>
      </c>
      <c r="B1712" s="1">
        <v>45347</v>
      </c>
      <c r="C1712" t="s">
        <v>25</v>
      </c>
      <c r="D1712" t="s">
        <v>73</v>
      </c>
      <c r="E1712" t="s">
        <v>27</v>
      </c>
      <c r="F1712">
        <v>55.9</v>
      </c>
      <c r="G1712">
        <v>3.17</v>
      </c>
      <c r="H1712" t="s">
        <v>28</v>
      </c>
      <c r="I1712" t="s">
        <v>34</v>
      </c>
    </row>
    <row r="1713" spans="1:9" x14ac:dyDescent="0.35">
      <c r="A1713" t="s">
        <v>1749</v>
      </c>
      <c r="B1713" s="1">
        <v>45140</v>
      </c>
      <c r="C1713" t="s">
        <v>25</v>
      </c>
      <c r="D1713" t="s">
        <v>23</v>
      </c>
      <c r="E1713" t="s">
        <v>18</v>
      </c>
      <c r="F1713">
        <v>775.43</v>
      </c>
      <c r="G1713">
        <v>145.31</v>
      </c>
      <c r="H1713" t="s">
        <v>28</v>
      </c>
      <c r="I1713" t="s">
        <v>14</v>
      </c>
    </row>
    <row r="1714" spans="1:9" x14ac:dyDescent="0.35">
      <c r="A1714" t="s">
        <v>1750</v>
      </c>
      <c r="B1714" s="1">
        <v>45575</v>
      </c>
      <c r="C1714" t="s">
        <v>10</v>
      </c>
      <c r="D1714" t="s">
        <v>41</v>
      </c>
      <c r="E1714" t="s">
        <v>12</v>
      </c>
      <c r="F1714">
        <v>1605.72</v>
      </c>
      <c r="G1714">
        <v>262.13</v>
      </c>
      <c r="H1714" t="s">
        <v>13</v>
      </c>
      <c r="I1714" t="s">
        <v>14</v>
      </c>
    </row>
    <row r="1715" spans="1:9" x14ac:dyDescent="0.35">
      <c r="A1715" t="s">
        <v>1751</v>
      </c>
      <c r="B1715" s="1">
        <v>45146</v>
      </c>
      <c r="C1715" t="s">
        <v>25</v>
      </c>
      <c r="D1715" t="s">
        <v>23</v>
      </c>
      <c r="E1715" t="s">
        <v>18</v>
      </c>
      <c r="F1715">
        <v>407.57</v>
      </c>
      <c r="G1715">
        <v>98.57</v>
      </c>
      <c r="H1715" t="s">
        <v>13</v>
      </c>
      <c r="I1715" t="s">
        <v>14</v>
      </c>
    </row>
    <row r="1716" spans="1:9" x14ac:dyDescent="0.35">
      <c r="A1716" t="s">
        <v>1752</v>
      </c>
      <c r="B1716" s="1">
        <v>44863</v>
      </c>
      <c r="C1716" t="s">
        <v>10</v>
      </c>
      <c r="D1716" t="s">
        <v>97</v>
      </c>
      <c r="E1716" t="s">
        <v>27</v>
      </c>
      <c r="F1716">
        <v>199.52</v>
      </c>
      <c r="G1716">
        <v>43.55</v>
      </c>
      <c r="H1716" t="s">
        <v>13</v>
      </c>
      <c r="I1716" t="s">
        <v>34</v>
      </c>
    </row>
    <row r="1717" spans="1:9" x14ac:dyDescent="0.35">
      <c r="A1717" t="s">
        <v>1753</v>
      </c>
      <c r="B1717" s="1">
        <v>45174</v>
      </c>
      <c r="C1717" t="s">
        <v>16</v>
      </c>
      <c r="D1717" t="s">
        <v>11</v>
      </c>
      <c r="E1717" t="s">
        <v>12</v>
      </c>
      <c r="F1717">
        <v>113.58</v>
      </c>
      <c r="G1717">
        <v>20.22</v>
      </c>
      <c r="H1717" t="s">
        <v>19</v>
      </c>
      <c r="I1717" t="s">
        <v>34</v>
      </c>
    </row>
    <row r="1718" spans="1:9" x14ac:dyDescent="0.35">
      <c r="A1718" t="s">
        <v>1754</v>
      </c>
      <c r="B1718" s="1">
        <v>44602</v>
      </c>
      <c r="C1718" t="s">
        <v>22</v>
      </c>
      <c r="D1718" t="s">
        <v>97</v>
      </c>
      <c r="E1718" t="s">
        <v>27</v>
      </c>
      <c r="F1718">
        <v>1002.39</v>
      </c>
      <c r="G1718">
        <v>201.15</v>
      </c>
      <c r="H1718" t="s">
        <v>13</v>
      </c>
      <c r="I1718" t="s">
        <v>20</v>
      </c>
    </row>
    <row r="1719" spans="1:9" x14ac:dyDescent="0.35">
      <c r="A1719" t="s">
        <v>1755</v>
      </c>
      <c r="B1719" s="1">
        <v>45248</v>
      </c>
      <c r="C1719" t="s">
        <v>25</v>
      </c>
      <c r="D1719" t="s">
        <v>73</v>
      </c>
      <c r="E1719" t="s">
        <v>27</v>
      </c>
      <c r="F1719">
        <v>1966.36</v>
      </c>
      <c r="G1719">
        <v>420.96</v>
      </c>
      <c r="H1719" t="s">
        <v>19</v>
      </c>
      <c r="I1719" t="s">
        <v>20</v>
      </c>
    </row>
    <row r="1720" spans="1:9" x14ac:dyDescent="0.35">
      <c r="A1720" t="s">
        <v>1756</v>
      </c>
      <c r="B1720" s="1">
        <v>44985</v>
      </c>
      <c r="C1720" t="s">
        <v>10</v>
      </c>
      <c r="D1720" t="s">
        <v>17</v>
      </c>
      <c r="E1720" t="s">
        <v>18</v>
      </c>
      <c r="F1720">
        <v>1693.94</v>
      </c>
      <c r="G1720">
        <v>507.23</v>
      </c>
      <c r="H1720" t="s">
        <v>13</v>
      </c>
      <c r="I1720" t="s">
        <v>20</v>
      </c>
    </row>
    <row r="1721" spans="1:9" x14ac:dyDescent="0.35">
      <c r="A1721" t="s">
        <v>1757</v>
      </c>
      <c r="B1721" s="1">
        <v>44630</v>
      </c>
      <c r="C1721" t="s">
        <v>25</v>
      </c>
      <c r="D1721" t="s">
        <v>33</v>
      </c>
      <c r="E1721" t="s">
        <v>18</v>
      </c>
      <c r="F1721">
        <v>61.39</v>
      </c>
      <c r="G1721">
        <v>5.95</v>
      </c>
      <c r="H1721" t="s">
        <v>13</v>
      </c>
      <c r="I1721" t="s">
        <v>34</v>
      </c>
    </row>
    <row r="1722" spans="1:9" x14ac:dyDescent="0.35">
      <c r="A1722" t="s">
        <v>1758</v>
      </c>
      <c r="B1722" s="1">
        <v>45502</v>
      </c>
      <c r="C1722" t="s">
        <v>25</v>
      </c>
      <c r="D1722" t="s">
        <v>97</v>
      </c>
      <c r="E1722" t="s">
        <v>27</v>
      </c>
      <c r="F1722">
        <v>431.63</v>
      </c>
      <c r="G1722">
        <v>121.3</v>
      </c>
      <c r="H1722" t="s">
        <v>28</v>
      </c>
      <c r="I1722" t="s">
        <v>20</v>
      </c>
    </row>
    <row r="1723" spans="1:9" x14ac:dyDescent="0.35">
      <c r="A1723" t="s">
        <v>1759</v>
      </c>
      <c r="B1723" s="1">
        <v>45433</v>
      </c>
      <c r="C1723" t="s">
        <v>16</v>
      </c>
      <c r="D1723" t="s">
        <v>26</v>
      </c>
      <c r="E1723" t="s">
        <v>27</v>
      </c>
      <c r="F1723">
        <v>406.77</v>
      </c>
      <c r="G1723">
        <v>68.34</v>
      </c>
      <c r="H1723" t="s">
        <v>19</v>
      </c>
      <c r="I1723" t="s">
        <v>20</v>
      </c>
    </row>
    <row r="1724" spans="1:9" x14ac:dyDescent="0.35">
      <c r="A1724" t="s">
        <v>1760</v>
      </c>
      <c r="B1724" s="1">
        <v>45436</v>
      </c>
      <c r="C1724" t="s">
        <v>16</v>
      </c>
      <c r="D1724" t="s">
        <v>38</v>
      </c>
      <c r="E1724" t="s">
        <v>12</v>
      </c>
      <c r="F1724">
        <v>847.32</v>
      </c>
      <c r="G1724">
        <v>55.25</v>
      </c>
      <c r="H1724" t="s">
        <v>19</v>
      </c>
      <c r="I1724" t="s">
        <v>20</v>
      </c>
    </row>
    <row r="1725" spans="1:9" x14ac:dyDescent="0.35">
      <c r="A1725" t="s">
        <v>1761</v>
      </c>
      <c r="B1725" s="1">
        <v>45363</v>
      </c>
      <c r="C1725" t="s">
        <v>25</v>
      </c>
      <c r="D1725" t="s">
        <v>57</v>
      </c>
      <c r="E1725" t="s">
        <v>27</v>
      </c>
      <c r="F1725">
        <v>715.29</v>
      </c>
      <c r="G1725">
        <v>182.78</v>
      </c>
      <c r="H1725" t="s">
        <v>28</v>
      </c>
      <c r="I1725" t="s">
        <v>14</v>
      </c>
    </row>
    <row r="1726" spans="1:9" x14ac:dyDescent="0.35">
      <c r="A1726" t="s">
        <v>1762</v>
      </c>
      <c r="B1726" s="1">
        <v>44730</v>
      </c>
      <c r="C1726" t="s">
        <v>10</v>
      </c>
      <c r="D1726" t="s">
        <v>73</v>
      </c>
      <c r="E1726" t="s">
        <v>27</v>
      </c>
      <c r="F1726">
        <v>63.16</v>
      </c>
      <c r="G1726">
        <v>13.29</v>
      </c>
      <c r="H1726" t="s">
        <v>19</v>
      </c>
      <c r="I1726" t="s">
        <v>29</v>
      </c>
    </row>
    <row r="1727" spans="1:9" x14ac:dyDescent="0.35">
      <c r="A1727" t="s">
        <v>1763</v>
      </c>
      <c r="B1727" s="1">
        <v>44911</v>
      </c>
      <c r="C1727" t="s">
        <v>25</v>
      </c>
      <c r="D1727" t="s">
        <v>46</v>
      </c>
      <c r="E1727" t="s">
        <v>18</v>
      </c>
      <c r="F1727">
        <v>1124.21</v>
      </c>
      <c r="G1727">
        <v>80.28</v>
      </c>
      <c r="H1727" t="s">
        <v>28</v>
      </c>
      <c r="I1727" t="s">
        <v>20</v>
      </c>
    </row>
    <row r="1728" spans="1:9" x14ac:dyDescent="0.35">
      <c r="A1728" t="s">
        <v>1764</v>
      </c>
      <c r="B1728" s="1">
        <v>45144</v>
      </c>
      <c r="C1728" t="s">
        <v>22</v>
      </c>
      <c r="D1728" t="s">
        <v>11</v>
      </c>
      <c r="E1728" t="s">
        <v>12</v>
      </c>
      <c r="F1728">
        <v>213.17</v>
      </c>
      <c r="G1728">
        <v>20.62</v>
      </c>
      <c r="H1728" t="s">
        <v>19</v>
      </c>
      <c r="I1728" t="s">
        <v>29</v>
      </c>
    </row>
    <row r="1729" spans="1:9" x14ac:dyDescent="0.35">
      <c r="A1729" t="s">
        <v>1765</v>
      </c>
      <c r="B1729" s="1">
        <v>45118</v>
      </c>
      <c r="C1729" t="s">
        <v>22</v>
      </c>
      <c r="D1729" t="s">
        <v>17</v>
      </c>
      <c r="E1729" t="s">
        <v>18</v>
      </c>
      <c r="F1729">
        <v>1178.53</v>
      </c>
      <c r="G1729">
        <v>270.58</v>
      </c>
      <c r="H1729" t="s">
        <v>28</v>
      </c>
      <c r="I1729" t="s">
        <v>14</v>
      </c>
    </row>
    <row r="1730" spans="1:9" x14ac:dyDescent="0.35">
      <c r="A1730" t="s">
        <v>1766</v>
      </c>
      <c r="B1730" s="1">
        <v>44703</v>
      </c>
      <c r="C1730" t="s">
        <v>22</v>
      </c>
      <c r="D1730" t="s">
        <v>38</v>
      </c>
      <c r="E1730" t="s">
        <v>12</v>
      </c>
      <c r="F1730">
        <v>65.41</v>
      </c>
      <c r="G1730">
        <v>15.03</v>
      </c>
      <c r="H1730" t="s">
        <v>28</v>
      </c>
      <c r="I1730" t="s">
        <v>29</v>
      </c>
    </row>
    <row r="1731" spans="1:9" x14ac:dyDescent="0.35">
      <c r="A1731" t="s">
        <v>1767</v>
      </c>
      <c r="B1731" s="1">
        <v>44869</v>
      </c>
      <c r="C1731" t="s">
        <v>22</v>
      </c>
      <c r="D1731" t="s">
        <v>38</v>
      </c>
      <c r="E1731" t="s">
        <v>12</v>
      </c>
      <c r="F1731">
        <v>896.6</v>
      </c>
      <c r="G1731">
        <v>50.73</v>
      </c>
      <c r="H1731" t="s">
        <v>13</v>
      </c>
      <c r="I1731" t="s">
        <v>14</v>
      </c>
    </row>
    <row r="1732" spans="1:9" x14ac:dyDescent="0.35">
      <c r="A1732" t="s">
        <v>1768</v>
      </c>
      <c r="B1732" s="1">
        <v>45490</v>
      </c>
      <c r="C1732" t="s">
        <v>22</v>
      </c>
      <c r="D1732" t="s">
        <v>26</v>
      </c>
      <c r="E1732" t="s">
        <v>27</v>
      </c>
      <c r="F1732">
        <v>339.48</v>
      </c>
      <c r="G1732">
        <v>80.760000000000005</v>
      </c>
      <c r="H1732" t="s">
        <v>28</v>
      </c>
      <c r="I1732" t="s">
        <v>14</v>
      </c>
    </row>
    <row r="1733" spans="1:9" x14ac:dyDescent="0.35">
      <c r="A1733" t="s">
        <v>1769</v>
      </c>
      <c r="B1733" s="1">
        <v>45379</v>
      </c>
      <c r="C1733" t="s">
        <v>22</v>
      </c>
      <c r="D1733" t="s">
        <v>41</v>
      </c>
      <c r="E1733" t="s">
        <v>12</v>
      </c>
      <c r="F1733">
        <v>1609.3</v>
      </c>
      <c r="G1733">
        <v>358.3</v>
      </c>
      <c r="H1733" t="s">
        <v>28</v>
      </c>
      <c r="I1733" t="s">
        <v>14</v>
      </c>
    </row>
    <row r="1734" spans="1:9" x14ac:dyDescent="0.35">
      <c r="A1734" t="s">
        <v>1770</v>
      </c>
      <c r="B1734" s="1">
        <v>44566</v>
      </c>
      <c r="C1734" t="s">
        <v>16</v>
      </c>
      <c r="D1734" t="s">
        <v>95</v>
      </c>
      <c r="E1734" t="s">
        <v>18</v>
      </c>
      <c r="F1734">
        <v>159.19999999999999</v>
      </c>
      <c r="G1734">
        <v>39.49</v>
      </c>
      <c r="H1734" t="s">
        <v>13</v>
      </c>
      <c r="I1734" t="s">
        <v>29</v>
      </c>
    </row>
    <row r="1735" spans="1:9" x14ac:dyDescent="0.35">
      <c r="A1735" t="s">
        <v>1771</v>
      </c>
      <c r="B1735" s="1">
        <v>44938</v>
      </c>
      <c r="C1735" t="s">
        <v>16</v>
      </c>
      <c r="D1735" t="s">
        <v>23</v>
      </c>
      <c r="E1735" t="s">
        <v>18</v>
      </c>
      <c r="F1735">
        <v>617.28</v>
      </c>
      <c r="G1735">
        <v>52.57</v>
      </c>
      <c r="H1735" t="s">
        <v>13</v>
      </c>
      <c r="I1735" t="s">
        <v>20</v>
      </c>
    </row>
    <row r="1736" spans="1:9" x14ac:dyDescent="0.35">
      <c r="A1736" t="s">
        <v>1772</v>
      </c>
      <c r="B1736" s="1">
        <v>44833</v>
      </c>
      <c r="C1736" t="s">
        <v>16</v>
      </c>
      <c r="D1736" t="s">
        <v>23</v>
      </c>
      <c r="E1736" t="s">
        <v>18</v>
      </c>
      <c r="F1736">
        <v>1514.74</v>
      </c>
      <c r="G1736">
        <v>414.69</v>
      </c>
      <c r="H1736" t="s">
        <v>28</v>
      </c>
      <c r="I1736" t="s">
        <v>34</v>
      </c>
    </row>
    <row r="1737" spans="1:9" x14ac:dyDescent="0.35">
      <c r="A1737" t="s">
        <v>1773</v>
      </c>
      <c r="B1737" s="1">
        <v>44807</v>
      </c>
      <c r="C1737" t="s">
        <v>22</v>
      </c>
      <c r="D1737" t="s">
        <v>97</v>
      </c>
      <c r="E1737" t="s">
        <v>27</v>
      </c>
      <c r="F1737">
        <v>420.37</v>
      </c>
      <c r="G1737">
        <v>103.87</v>
      </c>
      <c r="H1737" t="s">
        <v>19</v>
      </c>
      <c r="I1737" t="s">
        <v>29</v>
      </c>
    </row>
    <row r="1738" spans="1:9" x14ac:dyDescent="0.35">
      <c r="A1738" t="s">
        <v>1774</v>
      </c>
      <c r="B1738" s="1">
        <v>44971</v>
      </c>
      <c r="C1738" t="s">
        <v>22</v>
      </c>
      <c r="D1738" t="s">
        <v>31</v>
      </c>
      <c r="E1738" t="s">
        <v>12</v>
      </c>
      <c r="F1738">
        <v>1224.1199999999999</v>
      </c>
      <c r="G1738">
        <v>327.02</v>
      </c>
      <c r="H1738" t="s">
        <v>19</v>
      </c>
      <c r="I1738" t="s">
        <v>34</v>
      </c>
    </row>
    <row r="1739" spans="1:9" x14ac:dyDescent="0.35">
      <c r="A1739" t="s">
        <v>1775</v>
      </c>
      <c r="B1739" s="1">
        <v>45517</v>
      </c>
      <c r="C1739" t="s">
        <v>22</v>
      </c>
      <c r="D1739" t="s">
        <v>23</v>
      </c>
      <c r="E1739" t="s">
        <v>18</v>
      </c>
      <c r="F1739">
        <v>491.39</v>
      </c>
      <c r="G1739">
        <v>62.67</v>
      </c>
      <c r="H1739" t="s">
        <v>13</v>
      </c>
      <c r="I1739" t="s">
        <v>14</v>
      </c>
    </row>
    <row r="1740" spans="1:9" x14ac:dyDescent="0.35">
      <c r="A1740" t="s">
        <v>1776</v>
      </c>
      <c r="B1740" s="1">
        <v>45367</v>
      </c>
      <c r="C1740" t="s">
        <v>10</v>
      </c>
      <c r="D1740" t="s">
        <v>95</v>
      </c>
      <c r="E1740" t="s">
        <v>18</v>
      </c>
      <c r="F1740">
        <v>202.35</v>
      </c>
      <c r="G1740">
        <v>12.82</v>
      </c>
      <c r="H1740" t="s">
        <v>19</v>
      </c>
      <c r="I1740" t="s">
        <v>34</v>
      </c>
    </row>
    <row r="1741" spans="1:9" x14ac:dyDescent="0.35">
      <c r="A1741" t="s">
        <v>1777</v>
      </c>
      <c r="B1741" s="1">
        <v>44936</v>
      </c>
      <c r="C1741" t="s">
        <v>10</v>
      </c>
      <c r="D1741" t="s">
        <v>95</v>
      </c>
      <c r="E1741" t="s">
        <v>18</v>
      </c>
      <c r="F1741">
        <v>1054.9000000000001</v>
      </c>
      <c r="G1741">
        <v>180.32</v>
      </c>
      <c r="H1741" t="s">
        <v>28</v>
      </c>
      <c r="I1741" t="s">
        <v>20</v>
      </c>
    </row>
    <row r="1742" spans="1:9" x14ac:dyDescent="0.35">
      <c r="A1742" t="s">
        <v>1778</v>
      </c>
      <c r="B1742" s="1">
        <v>45049</v>
      </c>
      <c r="C1742" t="s">
        <v>25</v>
      </c>
      <c r="D1742" t="s">
        <v>38</v>
      </c>
      <c r="E1742" t="s">
        <v>12</v>
      </c>
      <c r="F1742">
        <v>459.97</v>
      </c>
      <c r="G1742">
        <v>31.61</v>
      </c>
      <c r="H1742" t="s">
        <v>19</v>
      </c>
      <c r="I1742" t="s">
        <v>34</v>
      </c>
    </row>
    <row r="1743" spans="1:9" x14ac:dyDescent="0.35">
      <c r="A1743" t="s">
        <v>1779</v>
      </c>
      <c r="B1743" s="1">
        <v>45223</v>
      </c>
      <c r="C1743" t="s">
        <v>10</v>
      </c>
      <c r="D1743" t="s">
        <v>95</v>
      </c>
      <c r="E1743" t="s">
        <v>18</v>
      </c>
      <c r="F1743">
        <v>1536.29</v>
      </c>
      <c r="G1743">
        <v>452.64</v>
      </c>
      <c r="H1743" t="s">
        <v>13</v>
      </c>
      <c r="I1743" t="s">
        <v>14</v>
      </c>
    </row>
    <row r="1744" spans="1:9" x14ac:dyDescent="0.35">
      <c r="A1744" t="s">
        <v>1780</v>
      </c>
      <c r="B1744" s="1">
        <v>45597</v>
      </c>
      <c r="C1744" t="s">
        <v>25</v>
      </c>
      <c r="D1744" t="s">
        <v>26</v>
      </c>
      <c r="E1744" t="s">
        <v>27</v>
      </c>
      <c r="F1744">
        <v>1875.09</v>
      </c>
      <c r="G1744">
        <v>268.72000000000003</v>
      </c>
      <c r="H1744" t="s">
        <v>28</v>
      </c>
      <c r="I1744" t="s">
        <v>34</v>
      </c>
    </row>
    <row r="1745" spans="1:9" x14ac:dyDescent="0.35">
      <c r="A1745" t="s">
        <v>1781</v>
      </c>
      <c r="B1745" s="1">
        <v>45009</v>
      </c>
      <c r="C1745" t="s">
        <v>16</v>
      </c>
      <c r="D1745" t="s">
        <v>11</v>
      </c>
      <c r="E1745" t="s">
        <v>12</v>
      </c>
      <c r="F1745">
        <v>1540.48</v>
      </c>
      <c r="G1745">
        <v>307.14</v>
      </c>
      <c r="H1745" t="s">
        <v>28</v>
      </c>
      <c r="I1745" t="s">
        <v>20</v>
      </c>
    </row>
    <row r="1746" spans="1:9" x14ac:dyDescent="0.35">
      <c r="A1746" t="s">
        <v>1782</v>
      </c>
      <c r="B1746" s="1">
        <v>45584</v>
      </c>
      <c r="C1746" t="s">
        <v>16</v>
      </c>
      <c r="D1746" t="s">
        <v>17</v>
      </c>
      <c r="E1746" t="s">
        <v>18</v>
      </c>
      <c r="F1746">
        <v>1516.23</v>
      </c>
      <c r="G1746">
        <v>368.51</v>
      </c>
      <c r="H1746" t="s">
        <v>13</v>
      </c>
      <c r="I1746" t="s">
        <v>34</v>
      </c>
    </row>
    <row r="1747" spans="1:9" x14ac:dyDescent="0.35">
      <c r="A1747" t="s">
        <v>1783</v>
      </c>
      <c r="B1747" s="1">
        <v>45414</v>
      </c>
      <c r="C1747" t="s">
        <v>16</v>
      </c>
      <c r="D1747" t="s">
        <v>17</v>
      </c>
      <c r="E1747" t="s">
        <v>18</v>
      </c>
      <c r="F1747">
        <v>1724.22</v>
      </c>
      <c r="G1747">
        <v>477.57</v>
      </c>
      <c r="H1747" t="s">
        <v>28</v>
      </c>
      <c r="I1747" t="s">
        <v>14</v>
      </c>
    </row>
    <row r="1748" spans="1:9" x14ac:dyDescent="0.35">
      <c r="A1748" t="s">
        <v>1784</v>
      </c>
      <c r="B1748" s="1">
        <v>45566</v>
      </c>
      <c r="C1748" t="s">
        <v>22</v>
      </c>
      <c r="D1748" t="s">
        <v>23</v>
      </c>
      <c r="E1748" t="s">
        <v>18</v>
      </c>
      <c r="F1748">
        <v>1832.46</v>
      </c>
      <c r="G1748">
        <v>303.95999999999998</v>
      </c>
      <c r="H1748" t="s">
        <v>13</v>
      </c>
      <c r="I1748" t="s">
        <v>34</v>
      </c>
    </row>
    <row r="1749" spans="1:9" x14ac:dyDescent="0.35">
      <c r="A1749" t="s">
        <v>1785</v>
      </c>
      <c r="B1749" s="1">
        <v>45097</v>
      </c>
      <c r="C1749" t="s">
        <v>10</v>
      </c>
      <c r="D1749" t="s">
        <v>97</v>
      </c>
      <c r="E1749" t="s">
        <v>27</v>
      </c>
      <c r="F1749">
        <v>99.4</v>
      </c>
      <c r="G1749">
        <v>25.23</v>
      </c>
      <c r="H1749" t="s">
        <v>28</v>
      </c>
      <c r="I1749" t="s">
        <v>20</v>
      </c>
    </row>
    <row r="1750" spans="1:9" x14ac:dyDescent="0.35">
      <c r="A1750" t="s">
        <v>1786</v>
      </c>
      <c r="B1750" s="1">
        <v>45513</v>
      </c>
      <c r="C1750" t="s">
        <v>16</v>
      </c>
      <c r="D1750" t="s">
        <v>97</v>
      </c>
      <c r="E1750" t="s">
        <v>27</v>
      </c>
      <c r="F1750">
        <v>846.04</v>
      </c>
      <c r="G1750">
        <v>184.47</v>
      </c>
      <c r="H1750" t="s">
        <v>19</v>
      </c>
      <c r="I1750" t="s">
        <v>14</v>
      </c>
    </row>
    <row r="1751" spans="1:9" x14ac:dyDescent="0.35">
      <c r="A1751" t="s">
        <v>1787</v>
      </c>
      <c r="B1751" s="1">
        <v>44918</v>
      </c>
      <c r="C1751" t="s">
        <v>25</v>
      </c>
      <c r="D1751" t="s">
        <v>97</v>
      </c>
      <c r="E1751" t="s">
        <v>27</v>
      </c>
      <c r="F1751">
        <v>612.47</v>
      </c>
      <c r="G1751">
        <v>130.66999999999999</v>
      </c>
      <c r="H1751" t="s">
        <v>19</v>
      </c>
      <c r="I1751" t="s">
        <v>34</v>
      </c>
    </row>
    <row r="1752" spans="1:9" x14ac:dyDescent="0.35">
      <c r="A1752" t="s">
        <v>1788</v>
      </c>
      <c r="B1752" s="1">
        <v>44895</v>
      </c>
      <c r="C1752" t="s">
        <v>10</v>
      </c>
      <c r="D1752" t="s">
        <v>38</v>
      </c>
      <c r="E1752" t="s">
        <v>12</v>
      </c>
      <c r="F1752">
        <v>122.63</v>
      </c>
      <c r="G1752">
        <v>17.86</v>
      </c>
      <c r="H1752" t="s">
        <v>19</v>
      </c>
      <c r="I1752" t="s">
        <v>29</v>
      </c>
    </row>
    <row r="1753" spans="1:9" x14ac:dyDescent="0.35">
      <c r="A1753" t="s">
        <v>1789</v>
      </c>
      <c r="B1753" s="1">
        <v>44652</v>
      </c>
      <c r="C1753" t="s">
        <v>16</v>
      </c>
      <c r="D1753" t="s">
        <v>11</v>
      </c>
      <c r="E1753" t="s">
        <v>12</v>
      </c>
      <c r="F1753">
        <v>250.1</v>
      </c>
      <c r="G1753">
        <v>39.67</v>
      </c>
      <c r="H1753" t="s">
        <v>13</v>
      </c>
      <c r="I1753" t="s">
        <v>14</v>
      </c>
    </row>
    <row r="1754" spans="1:9" x14ac:dyDescent="0.35">
      <c r="A1754" t="s">
        <v>1790</v>
      </c>
      <c r="B1754" s="1">
        <v>44641</v>
      </c>
      <c r="C1754" t="s">
        <v>16</v>
      </c>
      <c r="D1754" t="s">
        <v>97</v>
      </c>
      <c r="E1754" t="s">
        <v>27</v>
      </c>
      <c r="F1754">
        <v>1881.72</v>
      </c>
      <c r="G1754">
        <v>145.94</v>
      </c>
      <c r="H1754" t="s">
        <v>13</v>
      </c>
      <c r="I1754" t="s">
        <v>14</v>
      </c>
    </row>
    <row r="1755" spans="1:9" x14ac:dyDescent="0.35">
      <c r="A1755" t="s">
        <v>1791</v>
      </c>
      <c r="B1755" s="1">
        <v>45652</v>
      </c>
      <c r="C1755" t="s">
        <v>25</v>
      </c>
      <c r="D1755" t="s">
        <v>95</v>
      </c>
      <c r="E1755" t="s">
        <v>18</v>
      </c>
      <c r="F1755">
        <v>1986.65</v>
      </c>
      <c r="G1755">
        <v>558.69000000000005</v>
      </c>
      <c r="H1755" t="s">
        <v>19</v>
      </c>
      <c r="I1755" t="s">
        <v>14</v>
      </c>
    </row>
    <row r="1756" spans="1:9" x14ac:dyDescent="0.35">
      <c r="A1756" t="s">
        <v>1792</v>
      </c>
      <c r="B1756" s="1">
        <v>45323</v>
      </c>
      <c r="C1756" t="s">
        <v>10</v>
      </c>
      <c r="D1756" t="s">
        <v>57</v>
      </c>
      <c r="E1756" t="s">
        <v>27</v>
      </c>
      <c r="F1756">
        <v>448.99</v>
      </c>
      <c r="G1756">
        <v>103.22</v>
      </c>
      <c r="H1756" t="s">
        <v>13</v>
      </c>
      <c r="I1756" t="s">
        <v>29</v>
      </c>
    </row>
    <row r="1757" spans="1:9" x14ac:dyDescent="0.35">
      <c r="A1757" t="s">
        <v>1793</v>
      </c>
      <c r="B1757" s="1">
        <v>45131</v>
      </c>
      <c r="C1757" t="s">
        <v>10</v>
      </c>
      <c r="D1757" t="s">
        <v>73</v>
      </c>
      <c r="E1757" t="s">
        <v>27</v>
      </c>
      <c r="F1757">
        <v>1038.26</v>
      </c>
      <c r="G1757">
        <v>52.27</v>
      </c>
      <c r="H1757" t="s">
        <v>19</v>
      </c>
      <c r="I1757" t="s">
        <v>14</v>
      </c>
    </row>
    <row r="1758" spans="1:9" x14ac:dyDescent="0.35">
      <c r="A1758" t="s">
        <v>1794</v>
      </c>
      <c r="B1758" s="1">
        <v>44779</v>
      </c>
      <c r="C1758" t="s">
        <v>10</v>
      </c>
      <c r="D1758" t="s">
        <v>50</v>
      </c>
      <c r="E1758" t="s">
        <v>12</v>
      </c>
      <c r="F1758">
        <v>1972.37</v>
      </c>
      <c r="G1758">
        <v>339.41</v>
      </c>
      <c r="H1758" t="s">
        <v>13</v>
      </c>
      <c r="I1758" t="s">
        <v>14</v>
      </c>
    </row>
    <row r="1759" spans="1:9" x14ac:dyDescent="0.35">
      <c r="A1759" t="s">
        <v>1795</v>
      </c>
      <c r="B1759" s="1">
        <v>44856</v>
      </c>
      <c r="C1759" t="s">
        <v>16</v>
      </c>
      <c r="D1759" t="s">
        <v>23</v>
      </c>
      <c r="E1759" t="s">
        <v>18</v>
      </c>
      <c r="F1759">
        <v>1244.82</v>
      </c>
      <c r="G1759">
        <v>355.67</v>
      </c>
      <c r="H1759" t="s">
        <v>13</v>
      </c>
      <c r="I1759" t="s">
        <v>20</v>
      </c>
    </row>
    <row r="1760" spans="1:9" x14ac:dyDescent="0.35">
      <c r="A1760" t="s">
        <v>1796</v>
      </c>
      <c r="B1760" s="1">
        <v>45374</v>
      </c>
      <c r="C1760" t="s">
        <v>22</v>
      </c>
      <c r="D1760" t="s">
        <v>62</v>
      </c>
      <c r="E1760" t="s">
        <v>27</v>
      </c>
      <c r="F1760">
        <v>787.78</v>
      </c>
      <c r="G1760">
        <v>231.22</v>
      </c>
      <c r="H1760" t="s">
        <v>13</v>
      </c>
      <c r="I1760" t="s">
        <v>34</v>
      </c>
    </row>
    <row r="1761" spans="1:9" x14ac:dyDescent="0.35">
      <c r="A1761" t="s">
        <v>1797</v>
      </c>
      <c r="B1761" s="1">
        <v>45540</v>
      </c>
      <c r="C1761" t="s">
        <v>22</v>
      </c>
      <c r="D1761" t="s">
        <v>38</v>
      </c>
      <c r="E1761" t="s">
        <v>12</v>
      </c>
      <c r="F1761">
        <v>832.85</v>
      </c>
      <c r="G1761">
        <v>70.62</v>
      </c>
      <c r="H1761" t="s">
        <v>19</v>
      </c>
      <c r="I1761" t="s">
        <v>20</v>
      </c>
    </row>
    <row r="1762" spans="1:9" x14ac:dyDescent="0.35">
      <c r="A1762" t="s">
        <v>1798</v>
      </c>
      <c r="B1762" s="1">
        <v>44931</v>
      </c>
      <c r="C1762" t="s">
        <v>10</v>
      </c>
      <c r="D1762" t="s">
        <v>33</v>
      </c>
      <c r="E1762" t="s">
        <v>18</v>
      </c>
      <c r="F1762">
        <v>272.17</v>
      </c>
      <c r="G1762">
        <v>23.11</v>
      </c>
      <c r="H1762" t="s">
        <v>28</v>
      </c>
      <c r="I1762" t="s">
        <v>29</v>
      </c>
    </row>
    <row r="1763" spans="1:9" x14ac:dyDescent="0.35">
      <c r="A1763" t="s">
        <v>1799</v>
      </c>
      <c r="B1763" s="1">
        <v>45191</v>
      </c>
      <c r="C1763" t="s">
        <v>22</v>
      </c>
      <c r="D1763" t="s">
        <v>50</v>
      </c>
      <c r="E1763" t="s">
        <v>12</v>
      </c>
      <c r="F1763">
        <v>1579.43</v>
      </c>
      <c r="G1763">
        <v>450.23</v>
      </c>
      <c r="H1763" t="s">
        <v>13</v>
      </c>
      <c r="I1763" t="s">
        <v>29</v>
      </c>
    </row>
    <row r="1764" spans="1:9" x14ac:dyDescent="0.35">
      <c r="A1764" t="s">
        <v>1800</v>
      </c>
      <c r="B1764" s="1">
        <v>45049</v>
      </c>
      <c r="C1764" t="s">
        <v>22</v>
      </c>
      <c r="D1764" t="s">
        <v>41</v>
      </c>
      <c r="E1764" t="s">
        <v>12</v>
      </c>
      <c r="F1764">
        <v>849.46</v>
      </c>
      <c r="G1764">
        <v>225.44</v>
      </c>
      <c r="H1764" t="s">
        <v>13</v>
      </c>
      <c r="I1764" t="s">
        <v>20</v>
      </c>
    </row>
    <row r="1765" spans="1:9" x14ac:dyDescent="0.35">
      <c r="A1765" t="s">
        <v>1801</v>
      </c>
      <c r="B1765" s="1">
        <v>44775</v>
      </c>
      <c r="C1765" t="s">
        <v>22</v>
      </c>
      <c r="D1765" t="s">
        <v>11</v>
      </c>
      <c r="E1765" t="s">
        <v>12</v>
      </c>
      <c r="F1765">
        <v>908.62</v>
      </c>
      <c r="G1765">
        <v>56.5</v>
      </c>
      <c r="H1765" t="s">
        <v>19</v>
      </c>
      <c r="I1765" t="s">
        <v>14</v>
      </c>
    </row>
    <row r="1766" spans="1:9" x14ac:dyDescent="0.35">
      <c r="A1766" t="s">
        <v>1802</v>
      </c>
      <c r="B1766" s="1">
        <v>44860</v>
      </c>
      <c r="C1766" t="s">
        <v>22</v>
      </c>
      <c r="D1766" t="s">
        <v>73</v>
      </c>
      <c r="E1766" t="s">
        <v>27</v>
      </c>
      <c r="F1766">
        <v>222.51</v>
      </c>
      <c r="G1766">
        <v>17.29</v>
      </c>
      <c r="H1766" t="s">
        <v>19</v>
      </c>
      <c r="I1766" t="s">
        <v>29</v>
      </c>
    </row>
    <row r="1767" spans="1:9" x14ac:dyDescent="0.35">
      <c r="A1767" t="s">
        <v>1803</v>
      </c>
      <c r="B1767" s="1">
        <v>44977</v>
      </c>
      <c r="C1767" t="s">
        <v>25</v>
      </c>
      <c r="D1767" t="s">
        <v>17</v>
      </c>
      <c r="E1767" t="s">
        <v>18</v>
      </c>
      <c r="F1767">
        <v>745.3</v>
      </c>
      <c r="G1767">
        <v>181.13</v>
      </c>
      <c r="H1767" t="s">
        <v>13</v>
      </c>
      <c r="I1767" t="s">
        <v>20</v>
      </c>
    </row>
    <row r="1768" spans="1:9" x14ac:dyDescent="0.35">
      <c r="A1768" t="s">
        <v>1804</v>
      </c>
      <c r="B1768" s="1">
        <v>44859</v>
      </c>
      <c r="C1768" t="s">
        <v>10</v>
      </c>
      <c r="D1768" t="s">
        <v>50</v>
      </c>
      <c r="E1768" t="s">
        <v>12</v>
      </c>
      <c r="F1768">
        <v>653.24</v>
      </c>
      <c r="G1768">
        <v>135.57</v>
      </c>
      <c r="H1768" t="s">
        <v>19</v>
      </c>
      <c r="I1768" t="s">
        <v>34</v>
      </c>
    </row>
    <row r="1769" spans="1:9" x14ac:dyDescent="0.35">
      <c r="A1769" t="s">
        <v>1805</v>
      </c>
      <c r="B1769" s="1">
        <v>45232</v>
      </c>
      <c r="C1769" t="s">
        <v>16</v>
      </c>
      <c r="D1769" t="s">
        <v>57</v>
      </c>
      <c r="E1769" t="s">
        <v>27</v>
      </c>
      <c r="F1769">
        <v>107.74</v>
      </c>
      <c r="G1769">
        <v>20.079999999999998</v>
      </c>
      <c r="H1769" t="s">
        <v>19</v>
      </c>
      <c r="I1769" t="s">
        <v>14</v>
      </c>
    </row>
    <row r="1770" spans="1:9" x14ac:dyDescent="0.35">
      <c r="A1770" t="s">
        <v>1806</v>
      </c>
      <c r="B1770" s="1">
        <v>45549</v>
      </c>
      <c r="C1770" t="s">
        <v>10</v>
      </c>
      <c r="D1770" t="s">
        <v>26</v>
      </c>
      <c r="E1770" t="s">
        <v>27</v>
      </c>
      <c r="F1770">
        <v>617.24</v>
      </c>
      <c r="G1770">
        <v>176.73</v>
      </c>
      <c r="H1770" t="s">
        <v>28</v>
      </c>
      <c r="I1770" t="s">
        <v>20</v>
      </c>
    </row>
    <row r="1771" spans="1:9" x14ac:dyDescent="0.35">
      <c r="A1771" t="s">
        <v>1807</v>
      </c>
      <c r="B1771" s="1">
        <v>44767</v>
      </c>
      <c r="C1771" t="s">
        <v>25</v>
      </c>
      <c r="D1771" t="s">
        <v>26</v>
      </c>
      <c r="E1771" t="s">
        <v>27</v>
      </c>
      <c r="F1771">
        <v>462.83</v>
      </c>
      <c r="G1771">
        <v>131.09</v>
      </c>
      <c r="H1771" t="s">
        <v>28</v>
      </c>
      <c r="I1771" t="s">
        <v>34</v>
      </c>
    </row>
    <row r="1772" spans="1:9" x14ac:dyDescent="0.35">
      <c r="A1772" t="s">
        <v>1808</v>
      </c>
      <c r="B1772" s="1">
        <v>45594</v>
      </c>
      <c r="C1772" t="s">
        <v>25</v>
      </c>
      <c r="D1772" t="s">
        <v>95</v>
      </c>
      <c r="E1772" t="s">
        <v>18</v>
      </c>
      <c r="F1772">
        <v>548.27</v>
      </c>
      <c r="G1772">
        <v>86.39</v>
      </c>
      <c r="H1772" t="s">
        <v>28</v>
      </c>
      <c r="I1772" t="s">
        <v>20</v>
      </c>
    </row>
    <row r="1773" spans="1:9" x14ac:dyDescent="0.35">
      <c r="A1773" t="s">
        <v>1809</v>
      </c>
      <c r="B1773" s="1">
        <v>44904</v>
      </c>
      <c r="C1773" t="s">
        <v>10</v>
      </c>
      <c r="D1773" t="s">
        <v>41</v>
      </c>
      <c r="E1773" t="s">
        <v>12</v>
      </c>
      <c r="F1773">
        <v>870.38</v>
      </c>
      <c r="G1773">
        <v>201.04</v>
      </c>
      <c r="H1773" t="s">
        <v>19</v>
      </c>
      <c r="I1773" t="s">
        <v>34</v>
      </c>
    </row>
    <row r="1774" spans="1:9" x14ac:dyDescent="0.35">
      <c r="A1774" t="s">
        <v>1810</v>
      </c>
      <c r="B1774" s="1">
        <v>45653</v>
      </c>
      <c r="C1774" t="s">
        <v>25</v>
      </c>
      <c r="D1774" t="s">
        <v>11</v>
      </c>
      <c r="E1774" t="s">
        <v>12</v>
      </c>
      <c r="F1774">
        <v>527.09</v>
      </c>
      <c r="G1774">
        <v>53.99</v>
      </c>
      <c r="H1774" t="s">
        <v>13</v>
      </c>
      <c r="I1774" t="s">
        <v>34</v>
      </c>
    </row>
    <row r="1775" spans="1:9" x14ac:dyDescent="0.35">
      <c r="A1775" t="s">
        <v>1811</v>
      </c>
      <c r="B1775" s="1">
        <v>45166</v>
      </c>
      <c r="C1775" t="s">
        <v>16</v>
      </c>
      <c r="D1775" t="s">
        <v>62</v>
      </c>
      <c r="E1775" t="s">
        <v>27</v>
      </c>
      <c r="F1775">
        <v>103.04</v>
      </c>
      <c r="G1775">
        <v>18.579999999999998</v>
      </c>
      <c r="H1775" t="s">
        <v>13</v>
      </c>
      <c r="I1775" t="s">
        <v>34</v>
      </c>
    </row>
    <row r="1776" spans="1:9" x14ac:dyDescent="0.35">
      <c r="A1776" t="s">
        <v>1812</v>
      </c>
      <c r="B1776" s="1">
        <v>44694</v>
      </c>
      <c r="C1776" t="s">
        <v>16</v>
      </c>
      <c r="D1776" t="s">
        <v>95</v>
      </c>
      <c r="E1776" t="s">
        <v>18</v>
      </c>
      <c r="F1776">
        <v>773.37</v>
      </c>
      <c r="G1776">
        <v>86.82</v>
      </c>
      <c r="H1776" t="s">
        <v>13</v>
      </c>
      <c r="I1776" t="s">
        <v>20</v>
      </c>
    </row>
    <row r="1777" spans="1:9" x14ac:dyDescent="0.35">
      <c r="A1777" t="s">
        <v>1813</v>
      </c>
      <c r="B1777" s="1">
        <v>45202</v>
      </c>
      <c r="C1777" t="s">
        <v>16</v>
      </c>
      <c r="D1777" t="s">
        <v>17</v>
      </c>
      <c r="E1777" t="s">
        <v>18</v>
      </c>
      <c r="F1777">
        <v>687.81</v>
      </c>
      <c r="G1777">
        <v>101.54</v>
      </c>
      <c r="H1777" t="s">
        <v>28</v>
      </c>
      <c r="I1777" t="s">
        <v>14</v>
      </c>
    </row>
    <row r="1778" spans="1:9" x14ac:dyDescent="0.35">
      <c r="A1778" t="s">
        <v>1814</v>
      </c>
      <c r="B1778" s="1">
        <v>45230</v>
      </c>
      <c r="C1778" t="s">
        <v>22</v>
      </c>
      <c r="D1778" t="s">
        <v>17</v>
      </c>
      <c r="E1778" t="s">
        <v>18</v>
      </c>
      <c r="F1778">
        <v>1547.43</v>
      </c>
      <c r="G1778">
        <v>207.9</v>
      </c>
      <c r="H1778" t="s">
        <v>19</v>
      </c>
      <c r="I1778" t="s">
        <v>34</v>
      </c>
    </row>
    <row r="1779" spans="1:9" x14ac:dyDescent="0.35">
      <c r="A1779" t="s">
        <v>1815</v>
      </c>
      <c r="B1779" s="1">
        <v>44608</v>
      </c>
      <c r="C1779" t="s">
        <v>10</v>
      </c>
      <c r="D1779" t="s">
        <v>46</v>
      </c>
      <c r="E1779" t="s">
        <v>18</v>
      </c>
      <c r="F1779">
        <v>477.5</v>
      </c>
      <c r="G1779">
        <v>69.16</v>
      </c>
      <c r="H1779" t="s">
        <v>13</v>
      </c>
      <c r="I1779" t="s">
        <v>29</v>
      </c>
    </row>
    <row r="1780" spans="1:9" x14ac:dyDescent="0.35">
      <c r="A1780" t="s">
        <v>1816</v>
      </c>
      <c r="B1780" s="1">
        <v>45102</v>
      </c>
      <c r="C1780" t="s">
        <v>22</v>
      </c>
      <c r="D1780" t="s">
        <v>97</v>
      </c>
      <c r="E1780" t="s">
        <v>27</v>
      </c>
      <c r="F1780">
        <v>1029.99</v>
      </c>
      <c r="G1780">
        <v>182.29</v>
      </c>
      <c r="H1780" t="s">
        <v>28</v>
      </c>
      <c r="I1780" t="s">
        <v>29</v>
      </c>
    </row>
    <row r="1781" spans="1:9" x14ac:dyDescent="0.35">
      <c r="A1781" t="s">
        <v>1817</v>
      </c>
      <c r="B1781" s="1">
        <v>45429</v>
      </c>
      <c r="C1781" t="s">
        <v>25</v>
      </c>
      <c r="D1781" t="s">
        <v>73</v>
      </c>
      <c r="E1781" t="s">
        <v>27</v>
      </c>
      <c r="F1781">
        <v>152.38999999999999</v>
      </c>
      <c r="G1781">
        <v>45.21</v>
      </c>
      <c r="H1781" t="s">
        <v>28</v>
      </c>
      <c r="I1781" t="s">
        <v>34</v>
      </c>
    </row>
    <row r="1782" spans="1:9" x14ac:dyDescent="0.35">
      <c r="A1782" t="s">
        <v>1818</v>
      </c>
      <c r="B1782" s="1">
        <v>45157</v>
      </c>
      <c r="C1782" t="s">
        <v>10</v>
      </c>
      <c r="D1782" t="s">
        <v>38</v>
      </c>
      <c r="E1782" t="s">
        <v>12</v>
      </c>
      <c r="F1782">
        <v>1070.31</v>
      </c>
      <c r="G1782">
        <v>286.19</v>
      </c>
      <c r="H1782" t="s">
        <v>28</v>
      </c>
      <c r="I1782" t="s">
        <v>34</v>
      </c>
    </row>
    <row r="1783" spans="1:9" x14ac:dyDescent="0.35">
      <c r="A1783" t="s">
        <v>1819</v>
      </c>
      <c r="B1783" s="1">
        <v>44785</v>
      </c>
      <c r="C1783" t="s">
        <v>25</v>
      </c>
      <c r="D1783" t="s">
        <v>38</v>
      </c>
      <c r="E1783" t="s">
        <v>12</v>
      </c>
      <c r="F1783">
        <v>1964.18</v>
      </c>
      <c r="G1783">
        <v>411.53</v>
      </c>
      <c r="H1783" t="s">
        <v>19</v>
      </c>
      <c r="I1783" t="s">
        <v>20</v>
      </c>
    </row>
    <row r="1784" spans="1:9" x14ac:dyDescent="0.35">
      <c r="A1784" t="s">
        <v>1820</v>
      </c>
      <c r="B1784" s="1">
        <v>45072</v>
      </c>
      <c r="C1784" t="s">
        <v>10</v>
      </c>
      <c r="D1784" t="s">
        <v>57</v>
      </c>
      <c r="E1784" t="s">
        <v>27</v>
      </c>
      <c r="F1784">
        <v>1163.05</v>
      </c>
      <c r="G1784">
        <v>259.51</v>
      </c>
      <c r="H1784" t="s">
        <v>28</v>
      </c>
      <c r="I1784" t="s">
        <v>14</v>
      </c>
    </row>
    <row r="1785" spans="1:9" x14ac:dyDescent="0.35">
      <c r="A1785" t="s">
        <v>1821</v>
      </c>
      <c r="B1785" s="1">
        <v>45489</v>
      </c>
      <c r="C1785" t="s">
        <v>10</v>
      </c>
      <c r="D1785" t="s">
        <v>26</v>
      </c>
      <c r="E1785" t="s">
        <v>27</v>
      </c>
      <c r="F1785">
        <v>991.35</v>
      </c>
      <c r="G1785">
        <v>77.12</v>
      </c>
      <c r="H1785" t="s">
        <v>28</v>
      </c>
      <c r="I1785" t="s">
        <v>14</v>
      </c>
    </row>
    <row r="1786" spans="1:9" x14ac:dyDescent="0.35">
      <c r="A1786" t="s">
        <v>1822</v>
      </c>
      <c r="B1786" s="1">
        <v>44993</v>
      </c>
      <c r="C1786" t="s">
        <v>22</v>
      </c>
      <c r="D1786" t="s">
        <v>31</v>
      </c>
      <c r="E1786" t="s">
        <v>12</v>
      </c>
      <c r="F1786">
        <v>1363.65</v>
      </c>
      <c r="G1786">
        <v>407.03</v>
      </c>
      <c r="H1786" t="s">
        <v>19</v>
      </c>
      <c r="I1786" t="s">
        <v>20</v>
      </c>
    </row>
    <row r="1787" spans="1:9" x14ac:dyDescent="0.35">
      <c r="A1787" t="s">
        <v>1823</v>
      </c>
      <c r="B1787" s="1">
        <v>45458</v>
      </c>
      <c r="C1787" t="s">
        <v>22</v>
      </c>
      <c r="D1787" t="s">
        <v>33</v>
      </c>
      <c r="E1787" t="s">
        <v>18</v>
      </c>
      <c r="F1787">
        <v>1643.37</v>
      </c>
      <c r="G1787">
        <v>313.45999999999998</v>
      </c>
      <c r="H1787" t="s">
        <v>28</v>
      </c>
      <c r="I1787" t="s">
        <v>14</v>
      </c>
    </row>
    <row r="1788" spans="1:9" x14ac:dyDescent="0.35">
      <c r="A1788" t="s">
        <v>1824</v>
      </c>
      <c r="B1788" s="1">
        <v>45001</v>
      </c>
      <c r="C1788" t="s">
        <v>25</v>
      </c>
      <c r="D1788" t="s">
        <v>41</v>
      </c>
      <c r="E1788" t="s">
        <v>12</v>
      </c>
      <c r="F1788">
        <v>1678.97</v>
      </c>
      <c r="G1788">
        <v>269.08999999999997</v>
      </c>
      <c r="H1788" t="s">
        <v>13</v>
      </c>
      <c r="I1788" t="s">
        <v>34</v>
      </c>
    </row>
    <row r="1789" spans="1:9" x14ac:dyDescent="0.35">
      <c r="A1789" t="s">
        <v>1825</v>
      </c>
      <c r="B1789" s="1">
        <v>45296</v>
      </c>
      <c r="C1789" t="s">
        <v>22</v>
      </c>
      <c r="D1789" t="s">
        <v>97</v>
      </c>
      <c r="E1789" t="s">
        <v>27</v>
      </c>
      <c r="F1789">
        <v>848.83</v>
      </c>
      <c r="G1789">
        <v>135.97</v>
      </c>
      <c r="H1789" t="s">
        <v>13</v>
      </c>
      <c r="I1789" t="s">
        <v>34</v>
      </c>
    </row>
    <row r="1790" spans="1:9" x14ac:dyDescent="0.35">
      <c r="A1790" t="s">
        <v>1826</v>
      </c>
      <c r="B1790" s="1">
        <v>45628</v>
      </c>
      <c r="C1790" t="s">
        <v>25</v>
      </c>
      <c r="D1790" t="s">
        <v>26</v>
      </c>
      <c r="E1790" t="s">
        <v>27</v>
      </c>
      <c r="F1790">
        <v>1792.42</v>
      </c>
      <c r="G1790">
        <v>189.86</v>
      </c>
      <c r="H1790" t="s">
        <v>13</v>
      </c>
      <c r="I1790" t="s">
        <v>14</v>
      </c>
    </row>
    <row r="1791" spans="1:9" x14ac:dyDescent="0.35">
      <c r="A1791" t="s">
        <v>1827</v>
      </c>
      <c r="B1791" s="1">
        <v>45342</v>
      </c>
      <c r="C1791" t="s">
        <v>10</v>
      </c>
      <c r="D1791" t="s">
        <v>31</v>
      </c>
      <c r="E1791" t="s">
        <v>12</v>
      </c>
      <c r="F1791">
        <v>89.14</v>
      </c>
      <c r="G1791">
        <v>9.9</v>
      </c>
      <c r="H1791" t="s">
        <v>28</v>
      </c>
      <c r="I1791" t="s">
        <v>20</v>
      </c>
    </row>
    <row r="1792" spans="1:9" x14ac:dyDescent="0.35">
      <c r="A1792" t="s">
        <v>1828</v>
      </c>
      <c r="B1792" s="1">
        <v>45551</v>
      </c>
      <c r="C1792" t="s">
        <v>10</v>
      </c>
      <c r="D1792" t="s">
        <v>23</v>
      </c>
      <c r="E1792" t="s">
        <v>18</v>
      </c>
      <c r="F1792">
        <v>776.82</v>
      </c>
      <c r="G1792">
        <v>203.55</v>
      </c>
      <c r="H1792" t="s">
        <v>28</v>
      </c>
      <c r="I1792" t="s">
        <v>34</v>
      </c>
    </row>
    <row r="1793" spans="1:9" x14ac:dyDescent="0.35">
      <c r="A1793" t="s">
        <v>1829</v>
      </c>
      <c r="B1793" s="1">
        <v>44846</v>
      </c>
      <c r="C1793" t="s">
        <v>10</v>
      </c>
      <c r="D1793" t="s">
        <v>62</v>
      </c>
      <c r="E1793" t="s">
        <v>27</v>
      </c>
      <c r="F1793">
        <v>611.13</v>
      </c>
      <c r="G1793">
        <v>125.78</v>
      </c>
      <c r="H1793" t="s">
        <v>19</v>
      </c>
      <c r="I1793" t="s">
        <v>29</v>
      </c>
    </row>
    <row r="1794" spans="1:9" x14ac:dyDescent="0.35">
      <c r="A1794" t="s">
        <v>1830</v>
      </c>
      <c r="B1794" s="1">
        <v>45443</v>
      </c>
      <c r="C1794" t="s">
        <v>16</v>
      </c>
      <c r="D1794" t="s">
        <v>23</v>
      </c>
      <c r="E1794" t="s">
        <v>18</v>
      </c>
      <c r="F1794">
        <v>677.39</v>
      </c>
      <c r="G1794">
        <v>77.88</v>
      </c>
      <c r="H1794" t="s">
        <v>13</v>
      </c>
      <c r="I1794" t="s">
        <v>14</v>
      </c>
    </row>
    <row r="1795" spans="1:9" x14ac:dyDescent="0.35">
      <c r="A1795" t="s">
        <v>1831</v>
      </c>
      <c r="B1795" s="1">
        <v>45461</v>
      </c>
      <c r="C1795" t="s">
        <v>10</v>
      </c>
      <c r="D1795" t="s">
        <v>41</v>
      </c>
      <c r="E1795" t="s">
        <v>12</v>
      </c>
      <c r="F1795">
        <v>848.4</v>
      </c>
      <c r="G1795">
        <v>227.93</v>
      </c>
      <c r="H1795" t="s">
        <v>28</v>
      </c>
      <c r="I1795" t="s">
        <v>29</v>
      </c>
    </row>
    <row r="1796" spans="1:9" x14ac:dyDescent="0.35">
      <c r="A1796" t="s">
        <v>1832</v>
      </c>
      <c r="B1796" s="1">
        <v>44695</v>
      </c>
      <c r="C1796" t="s">
        <v>22</v>
      </c>
      <c r="D1796" t="s">
        <v>95</v>
      </c>
      <c r="E1796" t="s">
        <v>18</v>
      </c>
      <c r="F1796">
        <v>1947.19</v>
      </c>
      <c r="G1796">
        <v>115.74</v>
      </c>
      <c r="H1796" t="s">
        <v>19</v>
      </c>
      <c r="I1796" t="s">
        <v>20</v>
      </c>
    </row>
    <row r="1797" spans="1:9" x14ac:dyDescent="0.35">
      <c r="A1797" t="s">
        <v>1833</v>
      </c>
      <c r="B1797" s="1">
        <v>45566</v>
      </c>
      <c r="C1797" t="s">
        <v>25</v>
      </c>
      <c r="D1797" t="s">
        <v>31</v>
      </c>
      <c r="E1797" t="s">
        <v>12</v>
      </c>
      <c r="F1797">
        <v>1897.99</v>
      </c>
      <c r="G1797">
        <v>286.95</v>
      </c>
      <c r="H1797" t="s">
        <v>28</v>
      </c>
      <c r="I1797" t="s">
        <v>29</v>
      </c>
    </row>
    <row r="1798" spans="1:9" x14ac:dyDescent="0.35">
      <c r="A1798" t="s">
        <v>1834</v>
      </c>
      <c r="B1798" s="1">
        <v>45316</v>
      </c>
      <c r="C1798" t="s">
        <v>10</v>
      </c>
      <c r="D1798" t="s">
        <v>31</v>
      </c>
      <c r="E1798" t="s">
        <v>12</v>
      </c>
      <c r="F1798">
        <v>947.26</v>
      </c>
      <c r="G1798">
        <v>240.46</v>
      </c>
      <c r="H1798" t="s">
        <v>13</v>
      </c>
      <c r="I1798" t="s">
        <v>20</v>
      </c>
    </row>
    <row r="1799" spans="1:9" x14ac:dyDescent="0.35">
      <c r="A1799" t="s">
        <v>1835</v>
      </c>
      <c r="B1799" s="1">
        <v>45546</v>
      </c>
      <c r="C1799" t="s">
        <v>25</v>
      </c>
      <c r="D1799" t="s">
        <v>50</v>
      </c>
      <c r="E1799" t="s">
        <v>12</v>
      </c>
      <c r="F1799">
        <v>378.33</v>
      </c>
      <c r="G1799">
        <v>91.29</v>
      </c>
      <c r="H1799" t="s">
        <v>13</v>
      </c>
      <c r="I1799" t="s">
        <v>34</v>
      </c>
    </row>
    <row r="1800" spans="1:9" x14ac:dyDescent="0.35">
      <c r="A1800" t="s">
        <v>1836</v>
      </c>
      <c r="B1800" s="1">
        <v>44964</v>
      </c>
      <c r="C1800" t="s">
        <v>10</v>
      </c>
      <c r="D1800" t="s">
        <v>23</v>
      </c>
      <c r="E1800" t="s">
        <v>18</v>
      </c>
      <c r="F1800">
        <v>1406.75</v>
      </c>
      <c r="G1800">
        <v>263.66000000000003</v>
      </c>
      <c r="H1800" t="s">
        <v>13</v>
      </c>
      <c r="I1800" t="s">
        <v>34</v>
      </c>
    </row>
    <row r="1801" spans="1:9" x14ac:dyDescent="0.35">
      <c r="A1801" t="s">
        <v>1837</v>
      </c>
      <c r="B1801" s="1">
        <v>45303</v>
      </c>
      <c r="C1801" t="s">
        <v>10</v>
      </c>
      <c r="D1801" t="s">
        <v>73</v>
      </c>
      <c r="E1801" t="s">
        <v>27</v>
      </c>
      <c r="F1801">
        <v>971.94</v>
      </c>
      <c r="G1801">
        <v>198.33</v>
      </c>
      <c r="H1801" t="s">
        <v>13</v>
      </c>
      <c r="I1801" t="s">
        <v>29</v>
      </c>
    </row>
    <row r="1802" spans="1:9" x14ac:dyDescent="0.35">
      <c r="A1802" t="s">
        <v>1838</v>
      </c>
      <c r="B1802" s="1">
        <v>45240</v>
      </c>
      <c r="C1802" t="s">
        <v>25</v>
      </c>
      <c r="D1802" t="s">
        <v>62</v>
      </c>
      <c r="E1802" t="s">
        <v>27</v>
      </c>
      <c r="F1802">
        <v>71.59</v>
      </c>
      <c r="G1802">
        <v>8.35</v>
      </c>
      <c r="H1802" t="s">
        <v>28</v>
      </c>
      <c r="I1802" t="s">
        <v>34</v>
      </c>
    </row>
    <row r="1803" spans="1:9" x14ac:dyDescent="0.35">
      <c r="A1803" t="s">
        <v>1839</v>
      </c>
      <c r="B1803" s="1">
        <v>44834</v>
      </c>
      <c r="C1803" t="s">
        <v>22</v>
      </c>
      <c r="D1803" t="s">
        <v>50</v>
      </c>
      <c r="E1803" t="s">
        <v>12</v>
      </c>
      <c r="F1803">
        <v>1899.58</v>
      </c>
      <c r="G1803">
        <v>236.58</v>
      </c>
      <c r="H1803" t="s">
        <v>19</v>
      </c>
      <c r="I1803" t="s">
        <v>20</v>
      </c>
    </row>
    <row r="1804" spans="1:9" x14ac:dyDescent="0.35">
      <c r="A1804" t="s">
        <v>1840</v>
      </c>
      <c r="B1804" s="1">
        <v>44855</v>
      </c>
      <c r="C1804" t="s">
        <v>22</v>
      </c>
      <c r="D1804" t="s">
        <v>11</v>
      </c>
      <c r="E1804" t="s">
        <v>12</v>
      </c>
      <c r="F1804">
        <v>337.15</v>
      </c>
      <c r="G1804">
        <v>79.8</v>
      </c>
      <c r="H1804" t="s">
        <v>13</v>
      </c>
      <c r="I1804" t="s">
        <v>14</v>
      </c>
    </row>
    <row r="1805" spans="1:9" x14ac:dyDescent="0.35">
      <c r="A1805" t="s">
        <v>1841</v>
      </c>
      <c r="B1805" s="1">
        <v>45490</v>
      </c>
      <c r="C1805" t="s">
        <v>25</v>
      </c>
      <c r="D1805" t="s">
        <v>33</v>
      </c>
      <c r="E1805" t="s">
        <v>18</v>
      </c>
      <c r="F1805">
        <v>429.36</v>
      </c>
      <c r="G1805">
        <v>103.25</v>
      </c>
      <c r="H1805" t="s">
        <v>28</v>
      </c>
      <c r="I1805" t="s">
        <v>20</v>
      </c>
    </row>
    <row r="1806" spans="1:9" x14ac:dyDescent="0.35">
      <c r="A1806" t="s">
        <v>1842</v>
      </c>
      <c r="B1806" s="1">
        <v>45048</v>
      </c>
      <c r="C1806" t="s">
        <v>16</v>
      </c>
      <c r="D1806" t="s">
        <v>50</v>
      </c>
      <c r="E1806" t="s">
        <v>12</v>
      </c>
      <c r="F1806">
        <v>1207.98</v>
      </c>
      <c r="G1806">
        <v>63.46</v>
      </c>
      <c r="H1806" t="s">
        <v>13</v>
      </c>
      <c r="I1806" t="s">
        <v>20</v>
      </c>
    </row>
    <row r="1807" spans="1:9" x14ac:dyDescent="0.35">
      <c r="A1807" t="s">
        <v>1843</v>
      </c>
      <c r="B1807" s="1">
        <v>44704</v>
      </c>
      <c r="C1807" t="s">
        <v>16</v>
      </c>
      <c r="D1807" t="s">
        <v>62</v>
      </c>
      <c r="E1807" t="s">
        <v>27</v>
      </c>
      <c r="F1807">
        <v>458.08</v>
      </c>
      <c r="G1807">
        <v>135.30000000000001</v>
      </c>
      <c r="H1807" t="s">
        <v>13</v>
      </c>
      <c r="I1807" t="s">
        <v>29</v>
      </c>
    </row>
    <row r="1808" spans="1:9" x14ac:dyDescent="0.35">
      <c r="A1808" t="s">
        <v>1844</v>
      </c>
      <c r="B1808" s="1">
        <v>45127</v>
      </c>
      <c r="C1808" t="s">
        <v>25</v>
      </c>
      <c r="D1808" t="s">
        <v>73</v>
      </c>
      <c r="E1808" t="s">
        <v>27</v>
      </c>
      <c r="F1808">
        <v>1333.17</v>
      </c>
      <c r="G1808">
        <v>322.77999999999997</v>
      </c>
      <c r="H1808" t="s">
        <v>13</v>
      </c>
      <c r="I1808" t="s">
        <v>29</v>
      </c>
    </row>
    <row r="1809" spans="1:9" x14ac:dyDescent="0.35">
      <c r="A1809" t="s">
        <v>1845</v>
      </c>
      <c r="B1809" s="1">
        <v>44903</v>
      </c>
      <c r="C1809" t="s">
        <v>10</v>
      </c>
      <c r="D1809" t="s">
        <v>97</v>
      </c>
      <c r="E1809" t="s">
        <v>27</v>
      </c>
      <c r="F1809">
        <v>1826.59</v>
      </c>
      <c r="G1809">
        <v>244.21</v>
      </c>
      <c r="H1809" t="s">
        <v>13</v>
      </c>
      <c r="I1809" t="s">
        <v>34</v>
      </c>
    </row>
    <row r="1810" spans="1:9" x14ac:dyDescent="0.35">
      <c r="A1810" t="s">
        <v>1846</v>
      </c>
      <c r="B1810" s="1">
        <v>45283</v>
      </c>
      <c r="C1810" t="s">
        <v>10</v>
      </c>
      <c r="D1810" t="s">
        <v>97</v>
      </c>
      <c r="E1810" t="s">
        <v>27</v>
      </c>
      <c r="F1810">
        <v>1809.13</v>
      </c>
      <c r="G1810">
        <v>258.3</v>
      </c>
      <c r="H1810" t="s">
        <v>19</v>
      </c>
      <c r="I1810" t="s">
        <v>29</v>
      </c>
    </row>
    <row r="1811" spans="1:9" x14ac:dyDescent="0.35">
      <c r="A1811" t="s">
        <v>1847</v>
      </c>
      <c r="B1811" s="1">
        <v>44827</v>
      </c>
      <c r="C1811" t="s">
        <v>22</v>
      </c>
      <c r="D1811" t="s">
        <v>50</v>
      </c>
      <c r="E1811" t="s">
        <v>12</v>
      </c>
      <c r="F1811">
        <v>924.65</v>
      </c>
      <c r="G1811">
        <v>175.76</v>
      </c>
      <c r="H1811" t="s">
        <v>28</v>
      </c>
      <c r="I1811" t="s">
        <v>20</v>
      </c>
    </row>
    <row r="1812" spans="1:9" x14ac:dyDescent="0.35">
      <c r="A1812" t="s">
        <v>1848</v>
      </c>
      <c r="B1812" s="1">
        <v>45082</v>
      </c>
      <c r="C1812" t="s">
        <v>16</v>
      </c>
      <c r="D1812" t="s">
        <v>26</v>
      </c>
      <c r="E1812" t="s">
        <v>27</v>
      </c>
      <c r="F1812">
        <v>527.63</v>
      </c>
      <c r="G1812">
        <v>113.57</v>
      </c>
      <c r="H1812" t="s">
        <v>28</v>
      </c>
      <c r="I1812" t="s">
        <v>20</v>
      </c>
    </row>
    <row r="1813" spans="1:9" x14ac:dyDescent="0.35">
      <c r="A1813" t="s">
        <v>1849</v>
      </c>
      <c r="B1813" s="1">
        <v>45470</v>
      </c>
      <c r="C1813" t="s">
        <v>16</v>
      </c>
      <c r="D1813" t="s">
        <v>73</v>
      </c>
      <c r="E1813" t="s">
        <v>27</v>
      </c>
      <c r="F1813">
        <v>1216.6099999999999</v>
      </c>
      <c r="G1813">
        <v>75.16</v>
      </c>
      <c r="H1813" t="s">
        <v>28</v>
      </c>
      <c r="I1813" t="s">
        <v>20</v>
      </c>
    </row>
    <row r="1814" spans="1:9" x14ac:dyDescent="0.35">
      <c r="A1814" t="s">
        <v>1850</v>
      </c>
      <c r="B1814" s="1">
        <v>45467</v>
      </c>
      <c r="C1814" t="s">
        <v>25</v>
      </c>
      <c r="D1814" t="s">
        <v>38</v>
      </c>
      <c r="E1814" t="s">
        <v>12</v>
      </c>
      <c r="F1814">
        <v>1694.64</v>
      </c>
      <c r="G1814">
        <v>192.45</v>
      </c>
      <c r="H1814" t="s">
        <v>28</v>
      </c>
      <c r="I1814" t="s">
        <v>29</v>
      </c>
    </row>
    <row r="1815" spans="1:9" x14ac:dyDescent="0.35">
      <c r="A1815" t="s">
        <v>1851</v>
      </c>
      <c r="B1815" s="1">
        <v>44698</v>
      </c>
      <c r="C1815" t="s">
        <v>22</v>
      </c>
      <c r="D1815" t="s">
        <v>38</v>
      </c>
      <c r="E1815" t="s">
        <v>12</v>
      </c>
      <c r="F1815">
        <v>975.29</v>
      </c>
      <c r="G1815">
        <v>198.34</v>
      </c>
      <c r="H1815" t="s">
        <v>13</v>
      </c>
      <c r="I1815" t="s">
        <v>14</v>
      </c>
    </row>
    <row r="1816" spans="1:9" x14ac:dyDescent="0.35">
      <c r="A1816" t="s">
        <v>1852</v>
      </c>
      <c r="B1816" s="1">
        <v>44739</v>
      </c>
      <c r="C1816" t="s">
        <v>16</v>
      </c>
      <c r="D1816" t="s">
        <v>73</v>
      </c>
      <c r="E1816" t="s">
        <v>27</v>
      </c>
      <c r="F1816">
        <v>337.53</v>
      </c>
      <c r="G1816">
        <v>39.840000000000003</v>
      </c>
      <c r="H1816" t="s">
        <v>13</v>
      </c>
      <c r="I1816" t="s">
        <v>20</v>
      </c>
    </row>
    <row r="1817" spans="1:9" x14ac:dyDescent="0.35">
      <c r="A1817" t="s">
        <v>1853</v>
      </c>
      <c r="B1817" s="1">
        <v>45260</v>
      </c>
      <c r="C1817" t="s">
        <v>16</v>
      </c>
      <c r="D1817" t="s">
        <v>26</v>
      </c>
      <c r="E1817" t="s">
        <v>27</v>
      </c>
      <c r="F1817">
        <v>1350.4</v>
      </c>
      <c r="G1817">
        <v>304.19</v>
      </c>
      <c r="H1817" t="s">
        <v>19</v>
      </c>
      <c r="I1817" t="s">
        <v>14</v>
      </c>
    </row>
    <row r="1818" spans="1:9" x14ac:dyDescent="0.35">
      <c r="A1818" t="s">
        <v>1854</v>
      </c>
      <c r="B1818" s="1">
        <v>45531</v>
      </c>
      <c r="C1818" t="s">
        <v>25</v>
      </c>
      <c r="D1818" t="s">
        <v>38</v>
      </c>
      <c r="E1818" t="s">
        <v>12</v>
      </c>
      <c r="F1818">
        <v>218.06</v>
      </c>
      <c r="G1818">
        <v>58.48</v>
      </c>
      <c r="H1818" t="s">
        <v>19</v>
      </c>
      <c r="I1818" t="s">
        <v>14</v>
      </c>
    </row>
    <row r="1819" spans="1:9" x14ac:dyDescent="0.35">
      <c r="A1819" t="s">
        <v>1855</v>
      </c>
      <c r="B1819" s="1">
        <v>44740</v>
      </c>
      <c r="C1819" t="s">
        <v>25</v>
      </c>
      <c r="D1819" t="s">
        <v>57</v>
      </c>
      <c r="E1819" t="s">
        <v>27</v>
      </c>
      <c r="F1819">
        <v>1388.22</v>
      </c>
      <c r="G1819">
        <v>237.42</v>
      </c>
      <c r="H1819" t="s">
        <v>19</v>
      </c>
      <c r="I1819" t="s">
        <v>34</v>
      </c>
    </row>
    <row r="1820" spans="1:9" x14ac:dyDescent="0.35">
      <c r="A1820" t="s">
        <v>1856</v>
      </c>
      <c r="B1820" s="1">
        <v>45380</v>
      </c>
      <c r="C1820" t="s">
        <v>16</v>
      </c>
      <c r="D1820" t="s">
        <v>62</v>
      </c>
      <c r="E1820" t="s">
        <v>27</v>
      </c>
      <c r="F1820">
        <v>113.21</v>
      </c>
      <c r="G1820">
        <v>12.97</v>
      </c>
      <c r="H1820" t="s">
        <v>28</v>
      </c>
      <c r="I1820" t="s">
        <v>29</v>
      </c>
    </row>
    <row r="1821" spans="1:9" x14ac:dyDescent="0.35">
      <c r="A1821" t="s">
        <v>1857</v>
      </c>
      <c r="B1821" s="1">
        <v>45530</v>
      </c>
      <c r="C1821" t="s">
        <v>25</v>
      </c>
      <c r="D1821" t="s">
        <v>38</v>
      </c>
      <c r="E1821" t="s">
        <v>12</v>
      </c>
      <c r="F1821">
        <v>1671.54</v>
      </c>
      <c r="G1821">
        <v>306.20999999999998</v>
      </c>
      <c r="H1821" t="s">
        <v>28</v>
      </c>
      <c r="I1821" t="s">
        <v>29</v>
      </c>
    </row>
    <row r="1822" spans="1:9" x14ac:dyDescent="0.35">
      <c r="A1822" t="s">
        <v>1858</v>
      </c>
      <c r="B1822" s="1">
        <v>45219</v>
      </c>
      <c r="C1822" t="s">
        <v>25</v>
      </c>
      <c r="D1822" t="s">
        <v>95</v>
      </c>
      <c r="E1822" t="s">
        <v>18</v>
      </c>
      <c r="F1822">
        <v>1987.83</v>
      </c>
      <c r="G1822">
        <v>305.89999999999998</v>
      </c>
      <c r="H1822" t="s">
        <v>19</v>
      </c>
      <c r="I1822" t="s">
        <v>20</v>
      </c>
    </row>
    <row r="1823" spans="1:9" x14ac:dyDescent="0.35">
      <c r="A1823" t="s">
        <v>1859</v>
      </c>
      <c r="B1823" s="1">
        <v>44609</v>
      </c>
      <c r="C1823" t="s">
        <v>22</v>
      </c>
      <c r="D1823" t="s">
        <v>11</v>
      </c>
      <c r="E1823" t="s">
        <v>12</v>
      </c>
      <c r="F1823">
        <v>1101.05</v>
      </c>
      <c r="G1823">
        <v>189.05</v>
      </c>
      <c r="H1823" t="s">
        <v>19</v>
      </c>
      <c r="I1823" t="s">
        <v>14</v>
      </c>
    </row>
    <row r="1824" spans="1:9" x14ac:dyDescent="0.35">
      <c r="A1824" t="s">
        <v>1860</v>
      </c>
      <c r="B1824" s="1">
        <v>45026</v>
      </c>
      <c r="C1824" t="s">
        <v>16</v>
      </c>
      <c r="D1824" t="s">
        <v>62</v>
      </c>
      <c r="E1824" t="s">
        <v>27</v>
      </c>
      <c r="F1824">
        <v>830.9</v>
      </c>
      <c r="G1824">
        <v>220.12</v>
      </c>
      <c r="H1824" t="s">
        <v>28</v>
      </c>
      <c r="I1824" t="s">
        <v>20</v>
      </c>
    </row>
    <row r="1825" spans="1:9" x14ac:dyDescent="0.35">
      <c r="A1825" t="s">
        <v>1861</v>
      </c>
      <c r="B1825" s="1">
        <v>44717</v>
      </c>
      <c r="C1825" t="s">
        <v>22</v>
      </c>
      <c r="D1825" t="s">
        <v>26</v>
      </c>
      <c r="E1825" t="s">
        <v>27</v>
      </c>
      <c r="F1825">
        <v>1923.75</v>
      </c>
      <c r="G1825">
        <v>341.78</v>
      </c>
      <c r="H1825" t="s">
        <v>28</v>
      </c>
      <c r="I1825" t="s">
        <v>34</v>
      </c>
    </row>
    <row r="1826" spans="1:9" x14ac:dyDescent="0.35">
      <c r="A1826" t="s">
        <v>1862</v>
      </c>
      <c r="B1826" s="1">
        <v>45027</v>
      </c>
      <c r="C1826" t="s">
        <v>16</v>
      </c>
      <c r="D1826" t="s">
        <v>50</v>
      </c>
      <c r="E1826" t="s">
        <v>12</v>
      </c>
      <c r="F1826">
        <v>1834.09</v>
      </c>
      <c r="G1826">
        <v>102.73</v>
      </c>
      <c r="H1826" t="s">
        <v>28</v>
      </c>
      <c r="I1826" t="s">
        <v>14</v>
      </c>
    </row>
    <row r="1827" spans="1:9" x14ac:dyDescent="0.35">
      <c r="A1827" t="s">
        <v>1863</v>
      </c>
      <c r="B1827" s="1">
        <v>45018</v>
      </c>
      <c r="C1827" t="s">
        <v>10</v>
      </c>
      <c r="D1827" t="s">
        <v>73</v>
      </c>
      <c r="E1827" t="s">
        <v>27</v>
      </c>
      <c r="F1827">
        <v>1958.12</v>
      </c>
      <c r="G1827">
        <v>406.3</v>
      </c>
      <c r="H1827" t="s">
        <v>13</v>
      </c>
      <c r="I1827" t="s">
        <v>14</v>
      </c>
    </row>
    <row r="1828" spans="1:9" x14ac:dyDescent="0.35">
      <c r="A1828" t="s">
        <v>1864</v>
      </c>
      <c r="B1828" s="1">
        <v>45200</v>
      </c>
      <c r="C1828" t="s">
        <v>16</v>
      </c>
      <c r="D1828" t="s">
        <v>95</v>
      </c>
      <c r="E1828" t="s">
        <v>18</v>
      </c>
      <c r="F1828">
        <v>443.63</v>
      </c>
      <c r="G1828">
        <v>94.32</v>
      </c>
      <c r="H1828" t="s">
        <v>19</v>
      </c>
      <c r="I1828" t="s">
        <v>14</v>
      </c>
    </row>
    <row r="1829" spans="1:9" x14ac:dyDescent="0.35">
      <c r="A1829" t="s">
        <v>1865</v>
      </c>
      <c r="B1829" s="1">
        <v>45370</v>
      </c>
      <c r="C1829" t="s">
        <v>16</v>
      </c>
      <c r="D1829" t="s">
        <v>97</v>
      </c>
      <c r="E1829" t="s">
        <v>27</v>
      </c>
      <c r="F1829">
        <v>1459.44</v>
      </c>
      <c r="G1829">
        <v>155.11000000000001</v>
      </c>
      <c r="H1829" t="s">
        <v>28</v>
      </c>
      <c r="I1829" t="s">
        <v>29</v>
      </c>
    </row>
    <row r="1830" spans="1:9" x14ac:dyDescent="0.35">
      <c r="A1830" t="s">
        <v>1866</v>
      </c>
      <c r="B1830" s="1">
        <v>45584</v>
      </c>
      <c r="C1830" t="s">
        <v>25</v>
      </c>
      <c r="D1830" t="s">
        <v>38</v>
      </c>
      <c r="E1830" t="s">
        <v>12</v>
      </c>
      <c r="F1830">
        <v>1486.8</v>
      </c>
      <c r="G1830">
        <v>371.04</v>
      </c>
      <c r="H1830" t="s">
        <v>28</v>
      </c>
      <c r="I1830" t="s">
        <v>14</v>
      </c>
    </row>
    <row r="1831" spans="1:9" x14ac:dyDescent="0.35">
      <c r="A1831" t="s">
        <v>1867</v>
      </c>
      <c r="B1831" s="1">
        <v>44869</v>
      </c>
      <c r="C1831" t="s">
        <v>16</v>
      </c>
      <c r="D1831" t="s">
        <v>62</v>
      </c>
      <c r="E1831" t="s">
        <v>27</v>
      </c>
      <c r="F1831">
        <v>288.39999999999998</v>
      </c>
      <c r="G1831">
        <v>58.56</v>
      </c>
      <c r="H1831" t="s">
        <v>28</v>
      </c>
      <c r="I1831" t="s">
        <v>14</v>
      </c>
    </row>
    <row r="1832" spans="1:9" x14ac:dyDescent="0.35">
      <c r="A1832" t="s">
        <v>1868</v>
      </c>
      <c r="B1832" s="1">
        <v>45441</v>
      </c>
      <c r="C1832" t="s">
        <v>10</v>
      </c>
      <c r="D1832" t="s">
        <v>97</v>
      </c>
      <c r="E1832" t="s">
        <v>27</v>
      </c>
      <c r="F1832">
        <v>105.48</v>
      </c>
      <c r="G1832">
        <v>28.91</v>
      </c>
      <c r="H1832" t="s">
        <v>13</v>
      </c>
      <c r="I1832" t="s">
        <v>29</v>
      </c>
    </row>
    <row r="1833" spans="1:9" x14ac:dyDescent="0.35">
      <c r="A1833" t="s">
        <v>1869</v>
      </c>
      <c r="B1833" s="1">
        <v>44611</v>
      </c>
      <c r="C1833" t="s">
        <v>22</v>
      </c>
      <c r="D1833" t="s">
        <v>33</v>
      </c>
      <c r="E1833" t="s">
        <v>18</v>
      </c>
      <c r="F1833">
        <v>1918.65</v>
      </c>
      <c r="G1833">
        <v>453.28</v>
      </c>
      <c r="H1833" t="s">
        <v>28</v>
      </c>
      <c r="I1833" t="s">
        <v>20</v>
      </c>
    </row>
    <row r="1834" spans="1:9" x14ac:dyDescent="0.35">
      <c r="A1834" t="s">
        <v>1870</v>
      </c>
      <c r="B1834" s="1">
        <v>45138</v>
      </c>
      <c r="C1834" t="s">
        <v>25</v>
      </c>
      <c r="D1834" t="s">
        <v>97</v>
      </c>
      <c r="E1834" t="s">
        <v>27</v>
      </c>
      <c r="F1834">
        <v>363.3</v>
      </c>
      <c r="G1834">
        <v>72.260000000000005</v>
      </c>
      <c r="H1834" t="s">
        <v>28</v>
      </c>
      <c r="I1834" t="s">
        <v>34</v>
      </c>
    </row>
    <row r="1835" spans="1:9" x14ac:dyDescent="0.35">
      <c r="A1835" t="s">
        <v>1871</v>
      </c>
      <c r="B1835" s="1">
        <v>44955</v>
      </c>
      <c r="C1835" t="s">
        <v>25</v>
      </c>
      <c r="D1835" t="s">
        <v>62</v>
      </c>
      <c r="E1835" t="s">
        <v>27</v>
      </c>
      <c r="F1835">
        <v>1670.91</v>
      </c>
      <c r="G1835">
        <v>175.2</v>
      </c>
      <c r="H1835" t="s">
        <v>28</v>
      </c>
      <c r="I1835" t="s">
        <v>29</v>
      </c>
    </row>
    <row r="1836" spans="1:9" x14ac:dyDescent="0.35">
      <c r="A1836" t="s">
        <v>1872</v>
      </c>
      <c r="B1836" s="1">
        <v>44765</v>
      </c>
      <c r="C1836" t="s">
        <v>25</v>
      </c>
      <c r="D1836" t="s">
        <v>97</v>
      </c>
      <c r="E1836" t="s">
        <v>27</v>
      </c>
      <c r="F1836">
        <v>407.31</v>
      </c>
      <c r="G1836">
        <v>120.67</v>
      </c>
      <c r="H1836" t="s">
        <v>19</v>
      </c>
      <c r="I1836" t="s">
        <v>14</v>
      </c>
    </row>
    <row r="1837" spans="1:9" x14ac:dyDescent="0.35">
      <c r="A1837" t="s">
        <v>1873</v>
      </c>
      <c r="B1837" s="1">
        <v>45106</v>
      </c>
      <c r="C1837" t="s">
        <v>22</v>
      </c>
      <c r="D1837" t="s">
        <v>46</v>
      </c>
      <c r="E1837" t="s">
        <v>18</v>
      </c>
      <c r="F1837">
        <v>1197.52</v>
      </c>
      <c r="G1837">
        <v>189.6</v>
      </c>
      <c r="H1837" t="s">
        <v>13</v>
      </c>
      <c r="I1837" t="s">
        <v>14</v>
      </c>
    </row>
    <row r="1838" spans="1:9" x14ac:dyDescent="0.35">
      <c r="A1838" t="s">
        <v>1874</v>
      </c>
      <c r="B1838" s="1">
        <v>45427</v>
      </c>
      <c r="C1838" t="s">
        <v>16</v>
      </c>
      <c r="D1838" t="s">
        <v>17</v>
      </c>
      <c r="E1838" t="s">
        <v>18</v>
      </c>
      <c r="F1838">
        <v>1491.91</v>
      </c>
      <c r="G1838">
        <v>96.66</v>
      </c>
      <c r="H1838" t="s">
        <v>19</v>
      </c>
      <c r="I1838" t="s">
        <v>14</v>
      </c>
    </row>
    <row r="1839" spans="1:9" x14ac:dyDescent="0.35">
      <c r="A1839" t="s">
        <v>1875</v>
      </c>
      <c r="B1839" s="1">
        <v>45126</v>
      </c>
      <c r="C1839" t="s">
        <v>16</v>
      </c>
      <c r="D1839" t="s">
        <v>38</v>
      </c>
      <c r="E1839" t="s">
        <v>12</v>
      </c>
      <c r="F1839">
        <v>1930.3</v>
      </c>
      <c r="G1839">
        <v>445.67</v>
      </c>
      <c r="H1839" t="s">
        <v>28</v>
      </c>
      <c r="I1839" t="s">
        <v>29</v>
      </c>
    </row>
    <row r="1840" spans="1:9" x14ac:dyDescent="0.35">
      <c r="A1840" t="s">
        <v>1876</v>
      </c>
      <c r="B1840" s="1">
        <v>44739</v>
      </c>
      <c r="C1840" t="s">
        <v>22</v>
      </c>
      <c r="D1840" t="s">
        <v>95</v>
      </c>
      <c r="E1840" t="s">
        <v>18</v>
      </c>
      <c r="F1840">
        <v>655.24</v>
      </c>
      <c r="G1840">
        <v>136.68</v>
      </c>
      <c r="H1840" t="s">
        <v>13</v>
      </c>
      <c r="I1840" t="s">
        <v>14</v>
      </c>
    </row>
    <row r="1841" spans="1:9" x14ac:dyDescent="0.35">
      <c r="A1841" t="s">
        <v>1877</v>
      </c>
      <c r="B1841" s="1">
        <v>44991</v>
      </c>
      <c r="C1841" t="s">
        <v>10</v>
      </c>
      <c r="D1841" t="s">
        <v>46</v>
      </c>
      <c r="E1841" t="s">
        <v>18</v>
      </c>
      <c r="F1841">
        <v>982.18</v>
      </c>
      <c r="G1841">
        <v>84.07</v>
      </c>
      <c r="H1841" t="s">
        <v>13</v>
      </c>
      <c r="I1841" t="s">
        <v>20</v>
      </c>
    </row>
    <row r="1842" spans="1:9" x14ac:dyDescent="0.35">
      <c r="A1842" t="s">
        <v>1878</v>
      </c>
      <c r="B1842" s="1">
        <v>45182</v>
      </c>
      <c r="C1842" t="s">
        <v>16</v>
      </c>
      <c r="D1842" t="s">
        <v>11</v>
      </c>
      <c r="E1842" t="s">
        <v>12</v>
      </c>
      <c r="F1842">
        <v>1459.61</v>
      </c>
      <c r="G1842">
        <v>422.89</v>
      </c>
      <c r="H1842" t="s">
        <v>19</v>
      </c>
      <c r="I1842" t="s">
        <v>34</v>
      </c>
    </row>
    <row r="1843" spans="1:9" x14ac:dyDescent="0.35">
      <c r="A1843" t="s">
        <v>1879</v>
      </c>
      <c r="B1843" s="1">
        <v>44640</v>
      </c>
      <c r="C1843" t="s">
        <v>10</v>
      </c>
      <c r="D1843" t="s">
        <v>95</v>
      </c>
      <c r="E1843" t="s">
        <v>18</v>
      </c>
      <c r="F1843">
        <v>1200.3499999999999</v>
      </c>
      <c r="G1843">
        <v>216.48</v>
      </c>
      <c r="H1843" t="s">
        <v>28</v>
      </c>
      <c r="I1843" t="s">
        <v>14</v>
      </c>
    </row>
    <row r="1844" spans="1:9" x14ac:dyDescent="0.35">
      <c r="A1844" t="s">
        <v>1880</v>
      </c>
      <c r="B1844" s="1">
        <v>45043</v>
      </c>
      <c r="C1844" t="s">
        <v>22</v>
      </c>
      <c r="D1844" t="s">
        <v>62</v>
      </c>
      <c r="E1844" t="s">
        <v>27</v>
      </c>
      <c r="F1844">
        <v>406.86</v>
      </c>
      <c r="G1844">
        <v>115.98</v>
      </c>
      <c r="H1844" t="s">
        <v>19</v>
      </c>
      <c r="I1844" t="s">
        <v>34</v>
      </c>
    </row>
    <row r="1845" spans="1:9" x14ac:dyDescent="0.35">
      <c r="A1845" t="s">
        <v>1881</v>
      </c>
      <c r="B1845" s="1">
        <v>44694</v>
      </c>
      <c r="C1845" t="s">
        <v>25</v>
      </c>
      <c r="D1845" t="s">
        <v>50</v>
      </c>
      <c r="E1845" t="s">
        <v>12</v>
      </c>
      <c r="F1845">
        <v>1440.09</v>
      </c>
      <c r="G1845">
        <v>89.76</v>
      </c>
      <c r="H1845" t="s">
        <v>13</v>
      </c>
      <c r="I1845" t="s">
        <v>14</v>
      </c>
    </row>
    <row r="1846" spans="1:9" x14ac:dyDescent="0.35">
      <c r="A1846" t="s">
        <v>1882</v>
      </c>
      <c r="B1846" s="1">
        <v>45180</v>
      </c>
      <c r="C1846" t="s">
        <v>10</v>
      </c>
      <c r="D1846" t="s">
        <v>62</v>
      </c>
      <c r="E1846" t="s">
        <v>27</v>
      </c>
      <c r="F1846">
        <v>449.41</v>
      </c>
      <c r="G1846">
        <v>120.43</v>
      </c>
      <c r="H1846" t="s">
        <v>13</v>
      </c>
      <c r="I1846" t="s">
        <v>20</v>
      </c>
    </row>
    <row r="1847" spans="1:9" x14ac:dyDescent="0.35">
      <c r="A1847" t="s">
        <v>1883</v>
      </c>
      <c r="B1847" s="1">
        <v>45303</v>
      </c>
      <c r="C1847" t="s">
        <v>25</v>
      </c>
      <c r="D1847" t="s">
        <v>31</v>
      </c>
      <c r="E1847" t="s">
        <v>12</v>
      </c>
      <c r="F1847">
        <v>1468.36</v>
      </c>
      <c r="G1847">
        <v>345.71</v>
      </c>
      <c r="H1847" t="s">
        <v>19</v>
      </c>
      <c r="I1847" t="s">
        <v>14</v>
      </c>
    </row>
    <row r="1848" spans="1:9" x14ac:dyDescent="0.35">
      <c r="A1848" t="s">
        <v>1884</v>
      </c>
      <c r="B1848" s="1">
        <v>44956</v>
      </c>
      <c r="C1848" t="s">
        <v>22</v>
      </c>
      <c r="D1848" t="s">
        <v>11</v>
      </c>
      <c r="E1848" t="s">
        <v>12</v>
      </c>
      <c r="F1848">
        <v>184.19</v>
      </c>
      <c r="G1848">
        <v>22.26</v>
      </c>
      <c r="H1848" t="s">
        <v>19</v>
      </c>
      <c r="I1848" t="s">
        <v>14</v>
      </c>
    </row>
    <row r="1849" spans="1:9" x14ac:dyDescent="0.35">
      <c r="A1849" t="s">
        <v>1885</v>
      </c>
      <c r="B1849" s="1">
        <v>45069</v>
      </c>
      <c r="C1849" t="s">
        <v>25</v>
      </c>
      <c r="D1849" t="s">
        <v>11</v>
      </c>
      <c r="E1849" t="s">
        <v>12</v>
      </c>
      <c r="F1849">
        <v>1069.01</v>
      </c>
      <c r="G1849">
        <v>95.27</v>
      </c>
      <c r="H1849" t="s">
        <v>13</v>
      </c>
      <c r="I1849" t="s">
        <v>34</v>
      </c>
    </row>
    <row r="1850" spans="1:9" x14ac:dyDescent="0.35">
      <c r="A1850" t="s">
        <v>1886</v>
      </c>
      <c r="B1850" s="1">
        <v>44707</v>
      </c>
      <c r="C1850" t="s">
        <v>16</v>
      </c>
      <c r="D1850" t="s">
        <v>33</v>
      </c>
      <c r="E1850" t="s">
        <v>18</v>
      </c>
      <c r="F1850">
        <v>1357.44</v>
      </c>
      <c r="G1850">
        <v>283.97000000000003</v>
      </c>
      <c r="H1850" t="s">
        <v>19</v>
      </c>
      <c r="I1850" t="s">
        <v>29</v>
      </c>
    </row>
    <row r="1851" spans="1:9" x14ac:dyDescent="0.35">
      <c r="A1851" t="s">
        <v>1887</v>
      </c>
      <c r="B1851" s="1">
        <v>44844</v>
      </c>
      <c r="C1851" t="s">
        <v>25</v>
      </c>
      <c r="D1851" t="s">
        <v>73</v>
      </c>
      <c r="E1851" t="s">
        <v>27</v>
      </c>
      <c r="F1851">
        <v>720.48</v>
      </c>
      <c r="G1851">
        <v>44.03</v>
      </c>
      <c r="H1851" t="s">
        <v>28</v>
      </c>
      <c r="I1851" t="s">
        <v>14</v>
      </c>
    </row>
    <row r="1852" spans="1:9" x14ac:dyDescent="0.35">
      <c r="A1852" t="s">
        <v>1888</v>
      </c>
      <c r="B1852" s="1">
        <v>45410</v>
      </c>
      <c r="C1852" t="s">
        <v>16</v>
      </c>
      <c r="D1852" t="s">
        <v>31</v>
      </c>
      <c r="E1852" t="s">
        <v>12</v>
      </c>
      <c r="F1852">
        <v>1429.86</v>
      </c>
      <c r="G1852">
        <v>177.73</v>
      </c>
      <c r="H1852" t="s">
        <v>13</v>
      </c>
      <c r="I1852" t="s">
        <v>34</v>
      </c>
    </row>
    <row r="1853" spans="1:9" x14ac:dyDescent="0.35">
      <c r="A1853" t="s">
        <v>1889</v>
      </c>
      <c r="B1853" s="1">
        <v>45554</v>
      </c>
      <c r="C1853" t="s">
        <v>10</v>
      </c>
      <c r="D1853" t="s">
        <v>31</v>
      </c>
      <c r="E1853" t="s">
        <v>12</v>
      </c>
      <c r="F1853">
        <v>1209.83</v>
      </c>
      <c r="G1853">
        <v>64.22</v>
      </c>
      <c r="H1853" t="s">
        <v>28</v>
      </c>
      <c r="I1853" t="s">
        <v>29</v>
      </c>
    </row>
    <row r="1854" spans="1:9" x14ac:dyDescent="0.35">
      <c r="A1854" t="s">
        <v>1890</v>
      </c>
      <c r="B1854" s="1">
        <v>45194</v>
      </c>
      <c r="C1854" t="s">
        <v>16</v>
      </c>
      <c r="D1854" t="s">
        <v>31</v>
      </c>
      <c r="E1854" t="s">
        <v>12</v>
      </c>
      <c r="F1854">
        <v>1551.47</v>
      </c>
      <c r="G1854">
        <v>263.77999999999997</v>
      </c>
      <c r="H1854" t="s">
        <v>13</v>
      </c>
      <c r="I1854" t="s">
        <v>20</v>
      </c>
    </row>
    <row r="1855" spans="1:9" x14ac:dyDescent="0.35">
      <c r="A1855" t="s">
        <v>1891</v>
      </c>
      <c r="B1855" s="1">
        <v>45383</v>
      </c>
      <c r="C1855" t="s">
        <v>16</v>
      </c>
      <c r="D1855" t="s">
        <v>41</v>
      </c>
      <c r="E1855" t="s">
        <v>12</v>
      </c>
      <c r="F1855">
        <v>200.6</v>
      </c>
      <c r="G1855">
        <v>34.11</v>
      </c>
      <c r="H1855" t="s">
        <v>28</v>
      </c>
      <c r="I1855" t="s">
        <v>20</v>
      </c>
    </row>
    <row r="1856" spans="1:9" x14ac:dyDescent="0.35">
      <c r="A1856" t="s">
        <v>1892</v>
      </c>
      <c r="B1856" s="1">
        <v>45042</v>
      </c>
      <c r="C1856" t="s">
        <v>10</v>
      </c>
      <c r="D1856" t="s">
        <v>97</v>
      </c>
      <c r="E1856" t="s">
        <v>27</v>
      </c>
      <c r="F1856">
        <v>978.31</v>
      </c>
      <c r="G1856">
        <v>189.8</v>
      </c>
      <c r="H1856" t="s">
        <v>28</v>
      </c>
      <c r="I1856" t="s">
        <v>20</v>
      </c>
    </row>
    <row r="1857" spans="1:9" x14ac:dyDescent="0.35">
      <c r="A1857" t="s">
        <v>1893</v>
      </c>
      <c r="B1857" s="1">
        <v>45456</v>
      </c>
      <c r="C1857" t="s">
        <v>16</v>
      </c>
      <c r="D1857" t="s">
        <v>41</v>
      </c>
      <c r="E1857" t="s">
        <v>12</v>
      </c>
      <c r="F1857">
        <v>660.85</v>
      </c>
      <c r="G1857">
        <v>107.51</v>
      </c>
      <c r="H1857" t="s">
        <v>13</v>
      </c>
      <c r="I1857" t="s">
        <v>29</v>
      </c>
    </row>
    <row r="1858" spans="1:9" x14ac:dyDescent="0.35">
      <c r="A1858" t="s">
        <v>1894</v>
      </c>
      <c r="B1858" s="1">
        <v>44956</v>
      </c>
      <c r="C1858" t="s">
        <v>25</v>
      </c>
      <c r="D1858" t="s">
        <v>26</v>
      </c>
      <c r="E1858" t="s">
        <v>27</v>
      </c>
      <c r="F1858">
        <v>312.05</v>
      </c>
      <c r="G1858">
        <v>78.05</v>
      </c>
      <c r="H1858" t="s">
        <v>19</v>
      </c>
      <c r="I1858" t="s">
        <v>29</v>
      </c>
    </row>
    <row r="1859" spans="1:9" x14ac:dyDescent="0.35">
      <c r="A1859" t="s">
        <v>1895</v>
      </c>
      <c r="B1859" s="1">
        <v>45104</v>
      </c>
      <c r="C1859" t="s">
        <v>16</v>
      </c>
      <c r="D1859" t="s">
        <v>50</v>
      </c>
      <c r="E1859" t="s">
        <v>12</v>
      </c>
      <c r="F1859">
        <v>1883.48</v>
      </c>
      <c r="G1859">
        <v>262.60000000000002</v>
      </c>
      <c r="H1859" t="s">
        <v>19</v>
      </c>
      <c r="I1859" t="s">
        <v>34</v>
      </c>
    </row>
    <row r="1860" spans="1:9" x14ac:dyDescent="0.35">
      <c r="A1860" t="s">
        <v>1896</v>
      </c>
      <c r="B1860" s="1">
        <v>45403</v>
      </c>
      <c r="C1860" t="s">
        <v>22</v>
      </c>
      <c r="D1860" t="s">
        <v>57</v>
      </c>
      <c r="E1860" t="s">
        <v>27</v>
      </c>
      <c r="F1860">
        <v>1179.43</v>
      </c>
      <c r="G1860">
        <v>332.39</v>
      </c>
      <c r="H1860" t="s">
        <v>19</v>
      </c>
      <c r="I1860" t="s">
        <v>20</v>
      </c>
    </row>
    <row r="1861" spans="1:9" x14ac:dyDescent="0.35">
      <c r="A1861" t="s">
        <v>1897</v>
      </c>
      <c r="B1861" s="1">
        <v>45117</v>
      </c>
      <c r="C1861" t="s">
        <v>10</v>
      </c>
      <c r="D1861" t="s">
        <v>11</v>
      </c>
      <c r="E1861" t="s">
        <v>12</v>
      </c>
      <c r="F1861">
        <v>1387.67</v>
      </c>
      <c r="G1861">
        <v>288.99</v>
      </c>
      <c r="H1861" t="s">
        <v>19</v>
      </c>
      <c r="I1861" t="s">
        <v>34</v>
      </c>
    </row>
    <row r="1862" spans="1:9" x14ac:dyDescent="0.35">
      <c r="A1862" t="s">
        <v>1898</v>
      </c>
      <c r="B1862" s="1">
        <v>45616</v>
      </c>
      <c r="C1862" t="s">
        <v>10</v>
      </c>
      <c r="D1862" t="s">
        <v>31</v>
      </c>
      <c r="E1862" t="s">
        <v>12</v>
      </c>
      <c r="F1862">
        <v>341.73</v>
      </c>
      <c r="G1862">
        <v>17.37</v>
      </c>
      <c r="H1862" t="s">
        <v>28</v>
      </c>
      <c r="I1862" t="s">
        <v>20</v>
      </c>
    </row>
    <row r="1863" spans="1:9" x14ac:dyDescent="0.35">
      <c r="A1863" t="s">
        <v>1899</v>
      </c>
      <c r="B1863" s="1">
        <v>45162</v>
      </c>
      <c r="C1863" t="s">
        <v>10</v>
      </c>
      <c r="D1863" t="s">
        <v>62</v>
      </c>
      <c r="E1863" t="s">
        <v>27</v>
      </c>
      <c r="F1863">
        <v>410.87</v>
      </c>
      <c r="G1863">
        <v>80.819999999999993</v>
      </c>
      <c r="H1863" t="s">
        <v>19</v>
      </c>
      <c r="I1863" t="s">
        <v>34</v>
      </c>
    </row>
    <row r="1864" spans="1:9" x14ac:dyDescent="0.35">
      <c r="A1864" t="s">
        <v>1900</v>
      </c>
      <c r="B1864" s="1">
        <v>44967</v>
      </c>
      <c r="C1864" t="s">
        <v>16</v>
      </c>
      <c r="D1864" t="s">
        <v>95</v>
      </c>
      <c r="E1864" t="s">
        <v>18</v>
      </c>
      <c r="F1864">
        <v>564.09</v>
      </c>
      <c r="G1864">
        <v>89.1</v>
      </c>
      <c r="H1864" t="s">
        <v>19</v>
      </c>
      <c r="I1864" t="s">
        <v>14</v>
      </c>
    </row>
    <row r="1865" spans="1:9" x14ac:dyDescent="0.35">
      <c r="A1865" t="s">
        <v>1901</v>
      </c>
      <c r="B1865" s="1">
        <v>44849</v>
      </c>
      <c r="C1865" t="s">
        <v>10</v>
      </c>
      <c r="D1865" t="s">
        <v>62</v>
      </c>
      <c r="E1865" t="s">
        <v>27</v>
      </c>
      <c r="F1865">
        <v>1301.78</v>
      </c>
      <c r="G1865">
        <v>67.88</v>
      </c>
      <c r="H1865" t="s">
        <v>13</v>
      </c>
      <c r="I1865" t="s">
        <v>14</v>
      </c>
    </row>
    <row r="1866" spans="1:9" x14ac:dyDescent="0.35">
      <c r="A1866" t="s">
        <v>1902</v>
      </c>
      <c r="B1866" s="1">
        <v>44743</v>
      </c>
      <c r="C1866" t="s">
        <v>16</v>
      </c>
      <c r="D1866" t="s">
        <v>46</v>
      </c>
      <c r="E1866" t="s">
        <v>18</v>
      </c>
      <c r="F1866">
        <v>1285.68</v>
      </c>
      <c r="G1866">
        <v>270.95999999999998</v>
      </c>
      <c r="H1866" t="s">
        <v>13</v>
      </c>
      <c r="I1866" t="s">
        <v>20</v>
      </c>
    </row>
    <row r="1867" spans="1:9" x14ac:dyDescent="0.35">
      <c r="A1867" t="s">
        <v>1903</v>
      </c>
      <c r="B1867" s="1">
        <v>44573</v>
      </c>
      <c r="C1867" t="s">
        <v>10</v>
      </c>
      <c r="D1867" t="s">
        <v>17</v>
      </c>
      <c r="E1867" t="s">
        <v>18</v>
      </c>
      <c r="F1867">
        <v>1112.49</v>
      </c>
      <c r="G1867">
        <v>239.36</v>
      </c>
      <c r="H1867" t="s">
        <v>13</v>
      </c>
      <c r="I1867" t="s">
        <v>34</v>
      </c>
    </row>
    <row r="1868" spans="1:9" x14ac:dyDescent="0.35">
      <c r="A1868" t="s">
        <v>1904</v>
      </c>
      <c r="B1868" s="1">
        <v>44605</v>
      </c>
      <c r="C1868" t="s">
        <v>25</v>
      </c>
      <c r="D1868" t="s">
        <v>17</v>
      </c>
      <c r="E1868" t="s">
        <v>18</v>
      </c>
      <c r="F1868">
        <v>726.01</v>
      </c>
      <c r="G1868">
        <v>74.569999999999993</v>
      </c>
      <c r="H1868" t="s">
        <v>28</v>
      </c>
      <c r="I1868" t="s">
        <v>20</v>
      </c>
    </row>
    <row r="1869" spans="1:9" x14ac:dyDescent="0.35">
      <c r="A1869" t="s">
        <v>1905</v>
      </c>
      <c r="B1869" s="1">
        <v>45590</v>
      </c>
      <c r="C1869" t="s">
        <v>22</v>
      </c>
      <c r="D1869" t="s">
        <v>97</v>
      </c>
      <c r="E1869" t="s">
        <v>27</v>
      </c>
      <c r="F1869">
        <v>344.59</v>
      </c>
      <c r="G1869">
        <v>94.35</v>
      </c>
      <c r="H1869" t="s">
        <v>28</v>
      </c>
      <c r="I1869" t="s">
        <v>20</v>
      </c>
    </row>
    <row r="1870" spans="1:9" x14ac:dyDescent="0.35">
      <c r="A1870" t="s">
        <v>1906</v>
      </c>
      <c r="B1870" s="1">
        <v>44804</v>
      </c>
      <c r="C1870" t="s">
        <v>16</v>
      </c>
      <c r="D1870" t="s">
        <v>26</v>
      </c>
      <c r="E1870" t="s">
        <v>27</v>
      </c>
      <c r="F1870">
        <v>1476.51</v>
      </c>
      <c r="G1870">
        <v>366.21</v>
      </c>
      <c r="H1870" t="s">
        <v>19</v>
      </c>
      <c r="I1870" t="s">
        <v>34</v>
      </c>
    </row>
    <row r="1871" spans="1:9" x14ac:dyDescent="0.35">
      <c r="A1871" t="s">
        <v>1907</v>
      </c>
      <c r="B1871" s="1">
        <v>45396</v>
      </c>
      <c r="C1871" t="s">
        <v>10</v>
      </c>
      <c r="D1871" t="s">
        <v>31</v>
      </c>
      <c r="E1871" t="s">
        <v>12</v>
      </c>
      <c r="F1871">
        <v>901.48</v>
      </c>
      <c r="G1871">
        <v>231.85</v>
      </c>
      <c r="H1871" t="s">
        <v>28</v>
      </c>
      <c r="I1871" t="s">
        <v>14</v>
      </c>
    </row>
    <row r="1872" spans="1:9" x14ac:dyDescent="0.35">
      <c r="A1872" t="s">
        <v>1908</v>
      </c>
      <c r="B1872" s="1">
        <v>44658</v>
      </c>
      <c r="C1872" t="s">
        <v>16</v>
      </c>
      <c r="D1872" t="s">
        <v>95</v>
      </c>
      <c r="E1872" t="s">
        <v>18</v>
      </c>
      <c r="F1872">
        <v>245.98</v>
      </c>
      <c r="G1872">
        <v>66.95</v>
      </c>
      <c r="H1872" t="s">
        <v>19</v>
      </c>
      <c r="I1872" t="s">
        <v>14</v>
      </c>
    </row>
    <row r="1873" spans="1:9" x14ac:dyDescent="0.35">
      <c r="A1873" t="s">
        <v>1909</v>
      </c>
      <c r="B1873" s="1">
        <v>45375</v>
      </c>
      <c r="C1873" t="s">
        <v>22</v>
      </c>
      <c r="D1873" t="s">
        <v>26</v>
      </c>
      <c r="E1873" t="s">
        <v>27</v>
      </c>
      <c r="F1873">
        <v>922.68</v>
      </c>
      <c r="G1873">
        <v>65.38</v>
      </c>
      <c r="H1873" t="s">
        <v>13</v>
      </c>
      <c r="I1873" t="s">
        <v>14</v>
      </c>
    </row>
    <row r="1874" spans="1:9" x14ac:dyDescent="0.35">
      <c r="A1874" t="s">
        <v>1910</v>
      </c>
      <c r="B1874" s="1">
        <v>45206</v>
      </c>
      <c r="C1874" t="s">
        <v>25</v>
      </c>
      <c r="D1874" t="s">
        <v>11</v>
      </c>
      <c r="E1874" t="s">
        <v>12</v>
      </c>
      <c r="F1874">
        <v>814.75</v>
      </c>
      <c r="G1874">
        <v>220.94</v>
      </c>
      <c r="H1874" t="s">
        <v>28</v>
      </c>
      <c r="I1874" t="s">
        <v>34</v>
      </c>
    </row>
    <row r="1875" spans="1:9" x14ac:dyDescent="0.35">
      <c r="A1875" t="s">
        <v>1911</v>
      </c>
      <c r="B1875" s="1">
        <v>45162</v>
      </c>
      <c r="C1875" t="s">
        <v>16</v>
      </c>
      <c r="D1875" t="s">
        <v>31</v>
      </c>
      <c r="E1875" t="s">
        <v>12</v>
      </c>
      <c r="F1875">
        <v>230.13</v>
      </c>
      <c r="G1875">
        <v>12.74</v>
      </c>
      <c r="H1875" t="s">
        <v>19</v>
      </c>
      <c r="I1875" t="s">
        <v>34</v>
      </c>
    </row>
    <row r="1876" spans="1:9" x14ac:dyDescent="0.35">
      <c r="A1876" t="s">
        <v>1912</v>
      </c>
      <c r="B1876" s="1">
        <v>45111</v>
      </c>
      <c r="C1876" t="s">
        <v>25</v>
      </c>
      <c r="D1876" t="s">
        <v>33</v>
      </c>
      <c r="E1876" t="s">
        <v>18</v>
      </c>
      <c r="F1876">
        <v>905.22</v>
      </c>
      <c r="G1876">
        <v>71.17</v>
      </c>
      <c r="H1876" t="s">
        <v>28</v>
      </c>
      <c r="I1876" t="s">
        <v>29</v>
      </c>
    </row>
    <row r="1877" spans="1:9" x14ac:dyDescent="0.35">
      <c r="A1877" t="s">
        <v>1913</v>
      </c>
      <c r="B1877" s="1">
        <v>44911</v>
      </c>
      <c r="C1877" t="s">
        <v>16</v>
      </c>
      <c r="D1877" t="s">
        <v>26</v>
      </c>
      <c r="E1877" t="s">
        <v>27</v>
      </c>
      <c r="F1877">
        <v>396.51</v>
      </c>
      <c r="G1877">
        <v>52.34</v>
      </c>
      <c r="H1877" t="s">
        <v>13</v>
      </c>
      <c r="I1877" t="s">
        <v>34</v>
      </c>
    </row>
    <row r="1878" spans="1:9" x14ac:dyDescent="0.35">
      <c r="A1878" t="s">
        <v>1914</v>
      </c>
      <c r="B1878" s="1">
        <v>45570</v>
      </c>
      <c r="C1878" t="s">
        <v>10</v>
      </c>
      <c r="D1878" t="s">
        <v>26</v>
      </c>
      <c r="E1878" t="s">
        <v>27</v>
      </c>
      <c r="F1878">
        <v>695.86</v>
      </c>
      <c r="G1878">
        <v>62.61</v>
      </c>
      <c r="H1878" t="s">
        <v>13</v>
      </c>
      <c r="I1878" t="s">
        <v>14</v>
      </c>
    </row>
    <row r="1879" spans="1:9" x14ac:dyDescent="0.35">
      <c r="A1879" t="s">
        <v>1915</v>
      </c>
      <c r="B1879" s="1">
        <v>44690</v>
      </c>
      <c r="C1879" t="s">
        <v>16</v>
      </c>
      <c r="D1879" t="s">
        <v>41</v>
      </c>
      <c r="E1879" t="s">
        <v>12</v>
      </c>
      <c r="F1879">
        <v>1687.43</v>
      </c>
      <c r="G1879">
        <v>393.48</v>
      </c>
      <c r="H1879" t="s">
        <v>28</v>
      </c>
      <c r="I1879" t="s">
        <v>34</v>
      </c>
    </row>
    <row r="1880" spans="1:9" x14ac:dyDescent="0.35">
      <c r="A1880" t="s">
        <v>1916</v>
      </c>
      <c r="B1880" s="1">
        <v>44590</v>
      </c>
      <c r="C1880" t="s">
        <v>10</v>
      </c>
      <c r="D1880" t="s">
        <v>31</v>
      </c>
      <c r="E1880" t="s">
        <v>12</v>
      </c>
      <c r="F1880">
        <v>138.77000000000001</v>
      </c>
      <c r="G1880">
        <v>37.58</v>
      </c>
      <c r="H1880" t="s">
        <v>19</v>
      </c>
      <c r="I1880" t="s">
        <v>34</v>
      </c>
    </row>
    <row r="1881" spans="1:9" x14ac:dyDescent="0.35">
      <c r="A1881" t="s">
        <v>1917</v>
      </c>
      <c r="B1881" s="1">
        <v>44602</v>
      </c>
      <c r="C1881" t="s">
        <v>22</v>
      </c>
      <c r="D1881" t="s">
        <v>17</v>
      </c>
      <c r="E1881" t="s">
        <v>18</v>
      </c>
      <c r="F1881">
        <v>1991.76</v>
      </c>
      <c r="G1881">
        <v>389.53</v>
      </c>
      <c r="H1881" t="s">
        <v>19</v>
      </c>
      <c r="I1881" t="s">
        <v>29</v>
      </c>
    </row>
    <row r="1882" spans="1:9" x14ac:dyDescent="0.35">
      <c r="A1882" t="s">
        <v>1918</v>
      </c>
      <c r="B1882" s="1">
        <v>44772</v>
      </c>
      <c r="C1882" t="s">
        <v>10</v>
      </c>
      <c r="D1882" t="s">
        <v>41</v>
      </c>
      <c r="E1882" t="s">
        <v>12</v>
      </c>
      <c r="F1882">
        <v>917.67</v>
      </c>
      <c r="G1882">
        <v>191.66</v>
      </c>
      <c r="H1882" t="s">
        <v>13</v>
      </c>
      <c r="I1882" t="s">
        <v>14</v>
      </c>
    </row>
    <row r="1883" spans="1:9" x14ac:dyDescent="0.35">
      <c r="A1883" t="s">
        <v>1919</v>
      </c>
      <c r="B1883" s="1">
        <v>45033</v>
      </c>
      <c r="C1883" t="s">
        <v>10</v>
      </c>
      <c r="D1883" t="s">
        <v>95</v>
      </c>
      <c r="E1883" t="s">
        <v>18</v>
      </c>
      <c r="F1883">
        <v>942.11</v>
      </c>
      <c r="G1883">
        <v>138.97999999999999</v>
      </c>
      <c r="H1883" t="s">
        <v>19</v>
      </c>
      <c r="I1883" t="s">
        <v>20</v>
      </c>
    </row>
    <row r="1884" spans="1:9" x14ac:dyDescent="0.35">
      <c r="A1884" t="s">
        <v>1920</v>
      </c>
      <c r="B1884" s="1">
        <v>44771</v>
      </c>
      <c r="C1884" t="s">
        <v>16</v>
      </c>
      <c r="D1884" t="s">
        <v>73</v>
      </c>
      <c r="E1884" t="s">
        <v>27</v>
      </c>
      <c r="F1884">
        <v>558.86</v>
      </c>
      <c r="G1884">
        <v>121.29</v>
      </c>
      <c r="H1884" t="s">
        <v>19</v>
      </c>
      <c r="I1884" t="s">
        <v>34</v>
      </c>
    </row>
    <row r="1885" spans="1:9" x14ac:dyDescent="0.35">
      <c r="A1885" t="s">
        <v>1921</v>
      </c>
      <c r="B1885" s="1">
        <v>45331</v>
      </c>
      <c r="C1885" t="s">
        <v>22</v>
      </c>
      <c r="D1885" t="s">
        <v>50</v>
      </c>
      <c r="E1885" t="s">
        <v>12</v>
      </c>
      <c r="F1885">
        <v>1863.47</v>
      </c>
      <c r="G1885">
        <v>476.73</v>
      </c>
      <c r="H1885" t="s">
        <v>19</v>
      </c>
      <c r="I1885" t="s">
        <v>34</v>
      </c>
    </row>
    <row r="1886" spans="1:9" x14ac:dyDescent="0.35">
      <c r="A1886" t="s">
        <v>1922</v>
      </c>
      <c r="B1886" s="1">
        <v>45617</v>
      </c>
      <c r="C1886" t="s">
        <v>22</v>
      </c>
      <c r="D1886" t="s">
        <v>46</v>
      </c>
      <c r="E1886" t="s">
        <v>18</v>
      </c>
      <c r="F1886">
        <v>207.75</v>
      </c>
      <c r="G1886">
        <v>58.58</v>
      </c>
      <c r="H1886" t="s">
        <v>28</v>
      </c>
      <c r="I1886" t="s">
        <v>34</v>
      </c>
    </row>
    <row r="1887" spans="1:9" x14ac:dyDescent="0.35">
      <c r="A1887" t="s">
        <v>1923</v>
      </c>
      <c r="B1887" s="1">
        <v>45212</v>
      </c>
      <c r="C1887" t="s">
        <v>16</v>
      </c>
      <c r="D1887" t="s">
        <v>57</v>
      </c>
      <c r="E1887" t="s">
        <v>27</v>
      </c>
      <c r="F1887">
        <v>1329.02</v>
      </c>
      <c r="G1887">
        <v>160.06</v>
      </c>
      <c r="H1887" t="s">
        <v>19</v>
      </c>
      <c r="I1887" t="s">
        <v>14</v>
      </c>
    </row>
    <row r="1888" spans="1:9" x14ac:dyDescent="0.35">
      <c r="A1888" t="s">
        <v>1924</v>
      </c>
      <c r="B1888" s="1">
        <v>44900</v>
      </c>
      <c r="C1888" t="s">
        <v>22</v>
      </c>
      <c r="D1888" t="s">
        <v>38</v>
      </c>
      <c r="E1888" t="s">
        <v>12</v>
      </c>
      <c r="F1888">
        <v>116.94</v>
      </c>
      <c r="G1888">
        <v>9.23</v>
      </c>
      <c r="H1888" t="s">
        <v>19</v>
      </c>
      <c r="I1888" t="s">
        <v>20</v>
      </c>
    </row>
    <row r="1889" spans="1:9" x14ac:dyDescent="0.35">
      <c r="A1889" t="s">
        <v>1925</v>
      </c>
      <c r="B1889" s="1">
        <v>45278</v>
      </c>
      <c r="C1889" t="s">
        <v>22</v>
      </c>
      <c r="D1889" t="s">
        <v>57</v>
      </c>
      <c r="E1889" t="s">
        <v>27</v>
      </c>
      <c r="F1889">
        <v>1595.6</v>
      </c>
      <c r="G1889">
        <v>371.15</v>
      </c>
      <c r="H1889" t="s">
        <v>13</v>
      </c>
      <c r="I1889" t="s">
        <v>14</v>
      </c>
    </row>
    <row r="1890" spans="1:9" x14ac:dyDescent="0.35">
      <c r="A1890" t="s">
        <v>1926</v>
      </c>
      <c r="B1890" s="1">
        <v>45111</v>
      </c>
      <c r="C1890" t="s">
        <v>22</v>
      </c>
      <c r="D1890" t="s">
        <v>17</v>
      </c>
      <c r="E1890" t="s">
        <v>18</v>
      </c>
      <c r="F1890">
        <v>1591.25</v>
      </c>
      <c r="G1890">
        <v>311.67</v>
      </c>
      <c r="H1890" t="s">
        <v>28</v>
      </c>
      <c r="I1890" t="s">
        <v>29</v>
      </c>
    </row>
    <row r="1891" spans="1:9" x14ac:dyDescent="0.35">
      <c r="A1891" t="s">
        <v>1927</v>
      </c>
      <c r="B1891" s="1">
        <v>45438</v>
      </c>
      <c r="C1891" t="s">
        <v>22</v>
      </c>
      <c r="D1891" t="s">
        <v>73</v>
      </c>
      <c r="E1891" t="s">
        <v>27</v>
      </c>
      <c r="F1891">
        <v>1280.22</v>
      </c>
      <c r="G1891">
        <v>315.25</v>
      </c>
      <c r="H1891" t="s">
        <v>28</v>
      </c>
      <c r="I1891" t="s">
        <v>34</v>
      </c>
    </row>
    <row r="1892" spans="1:9" x14ac:dyDescent="0.35">
      <c r="A1892" t="s">
        <v>1928</v>
      </c>
      <c r="B1892" s="1">
        <v>44617</v>
      </c>
      <c r="C1892" t="s">
        <v>25</v>
      </c>
      <c r="D1892" t="s">
        <v>38</v>
      </c>
      <c r="E1892" t="s">
        <v>12</v>
      </c>
      <c r="F1892">
        <v>374.45</v>
      </c>
      <c r="G1892">
        <v>72.63</v>
      </c>
      <c r="H1892" t="s">
        <v>28</v>
      </c>
      <c r="I1892" t="s">
        <v>29</v>
      </c>
    </row>
    <row r="1893" spans="1:9" x14ac:dyDescent="0.35">
      <c r="A1893" t="s">
        <v>1929</v>
      </c>
      <c r="B1893" s="1">
        <v>45360</v>
      </c>
      <c r="C1893" t="s">
        <v>22</v>
      </c>
      <c r="D1893" t="s">
        <v>97</v>
      </c>
      <c r="E1893" t="s">
        <v>27</v>
      </c>
      <c r="F1893">
        <v>872.69</v>
      </c>
      <c r="G1893">
        <v>60.24</v>
      </c>
      <c r="H1893" t="s">
        <v>13</v>
      </c>
      <c r="I1893" t="s">
        <v>34</v>
      </c>
    </row>
    <row r="1894" spans="1:9" x14ac:dyDescent="0.35">
      <c r="A1894" t="s">
        <v>1930</v>
      </c>
      <c r="B1894" s="1">
        <v>45248</v>
      </c>
      <c r="C1894" t="s">
        <v>16</v>
      </c>
      <c r="D1894" t="s">
        <v>73</v>
      </c>
      <c r="E1894" t="s">
        <v>27</v>
      </c>
      <c r="F1894">
        <v>405.35</v>
      </c>
      <c r="G1894">
        <v>103.85</v>
      </c>
      <c r="H1894" t="s">
        <v>28</v>
      </c>
      <c r="I1894" t="s">
        <v>29</v>
      </c>
    </row>
    <row r="1895" spans="1:9" x14ac:dyDescent="0.35">
      <c r="A1895" t="s">
        <v>1931</v>
      </c>
      <c r="B1895" s="1">
        <v>45089</v>
      </c>
      <c r="C1895" t="s">
        <v>25</v>
      </c>
      <c r="D1895" t="s">
        <v>23</v>
      </c>
      <c r="E1895" t="s">
        <v>18</v>
      </c>
      <c r="F1895">
        <v>1320.91</v>
      </c>
      <c r="G1895">
        <v>105.68</v>
      </c>
      <c r="H1895" t="s">
        <v>13</v>
      </c>
      <c r="I1895" t="s">
        <v>20</v>
      </c>
    </row>
    <row r="1896" spans="1:9" x14ac:dyDescent="0.35">
      <c r="A1896" t="s">
        <v>1932</v>
      </c>
      <c r="B1896" s="1">
        <v>45268</v>
      </c>
      <c r="C1896" t="s">
        <v>16</v>
      </c>
      <c r="D1896" t="s">
        <v>50</v>
      </c>
      <c r="E1896" t="s">
        <v>12</v>
      </c>
      <c r="F1896">
        <v>1555.94</v>
      </c>
      <c r="G1896">
        <v>460.61</v>
      </c>
      <c r="H1896" t="s">
        <v>19</v>
      </c>
      <c r="I1896" t="s">
        <v>14</v>
      </c>
    </row>
    <row r="1897" spans="1:9" x14ac:dyDescent="0.35">
      <c r="A1897" t="s">
        <v>1933</v>
      </c>
      <c r="B1897" s="1">
        <v>45625</v>
      </c>
      <c r="C1897" t="s">
        <v>16</v>
      </c>
      <c r="D1897" t="s">
        <v>50</v>
      </c>
      <c r="E1897" t="s">
        <v>12</v>
      </c>
      <c r="F1897">
        <v>86.77</v>
      </c>
      <c r="G1897">
        <v>7.27</v>
      </c>
      <c r="H1897" t="s">
        <v>19</v>
      </c>
      <c r="I1897" t="s">
        <v>14</v>
      </c>
    </row>
    <row r="1898" spans="1:9" x14ac:dyDescent="0.35">
      <c r="A1898" t="s">
        <v>1934</v>
      </c>
      <c r="B1898" s="1">
        <v>45034</v>
      </c>
      <c r="C1898" t="s">
        <v>10</v>
      </c>
      <c r="D1898" t="s">
        <v>17</v>
      </c>
      <c r="E1898" t="s">
        <v>18</v>
      </c>
      <c r="F1898">
        <v>1911.06</v>
      </c>
      <c r="G1898">
        <v>429.16</v>
      </c>
      <c r="H1898" t="s">
        <v>19</v>
      </c>
      <c r="I1898" t="s">
        <v>14</v>
      </c>
    </row>
    <row r="1899" spans="1:9" x14ac:dyDescent="0.35">
      <c r="A1899" t="s">
        <v>1935</v>
      </c>
      <c r="B1899" s="1">
        <v>45261</v>
      </c>
      <c r="C1899" t="s">
        <v>25</v>
      </c>
      <c r="D1899" t="s">
        <v>95</v>
      </c>
      <c r="E1899" t="s">
        <v>18</v>
      </c>
      <c r="F1899">
        <v>173.17</v>
      </c>
      <c r="G1899">
        <v>15.4</v>
      </c>
      <c r="H1899" t="s">
        <v>13</v>
      </c>
      <c r="I1899" t="s">
        <v>34</v>
      </c>
    </row>
    <row r="1900" spans="1:9" x14ac:dyDescent="0.35">
      <c r="A1900" t="s">
        <v>1936</v>
      </c>
      <c r="B1900" s="1">
        <v>45164</v>
      </c>
      <c r="C1900" t="s">
        <v>16</v>
      </c>
      <c r="D1900" t="s">
        <v>95</v>
      </c>
      <c r="E1900" t="s">
        <v>18</v>
      </c>
      <c r="F1900">
        <v>1736.87</v>
      </c>
      <c r="G1900">
        <v>435.23</v>
      </c>
      <c r="H1900" t="s">
        <v>28</v>
      </c>
      <c r="I1900" t="s">
        <v>14</v>
      </c>
    </row>
    <row r="1901" spans="1:9" x14ac:dyDescent="0.35">
      <c r="A1901" t="s">
        <v>1937</v>
      </c>
      <c r="B1901" s="1">
        <v>44667</v>
      </c>
      <c r="C1901" t="s">
        <v>16</v>
      </c>
      <c r="D1901" t="s">
        <v>46</v>
      </c>
      <c r="E1901" t="s">
        <v>18</v>
      </c>
      <c r="F1901">
        <v>1172.3699999999999</v>
      </c>
      <c r="G1901">
        <v>175.19</v>
      </c>
      <c r="H1901" t="s">
        <v>28</v>
      </c>
      <c r="I1901" t="s">
        <v>20</v>
      </c>
    </row>
    <row r="1902" spans="1:9" x14ac:dyDescent="0.35">
      <c r="A1902" t="s">
        <v>1938</v>
      </c>
      <c r="B1902" s="1">
        <v>44800</v>
      </c>
      <c r="C1902" t="s">
        <v>22</v>
      </c>
      <c r="D1902" t="s">
        <v>17</v>
      </c>
      <c r="E1902" t="s">
        <v>18</v>
      </c>
      <c r="F1902">
        <v>83.02</v>
      </c>
      <c r="G1902">
        <v>16.52</v>
      </c>
      <c r="H1902" t="s">
        <v>28</v>
      </c>
      <c r="I1902" t="s">
        <v>20</v>
      </c>
    </row>
    <row r="1903" spans="1:9" x14ac:dyDescent="0.35">
      <c r="A1903" t="s">
        <v>1939</v>
      </c>
      <c r="B1903" s="1">
        <v>44624</v>
      </c>
      <c r="C1903" t="s">
        <v>10</v>
      </c>
      <c r="D1903" t="s">
        <v>73</v>
      </c>
      <c r="E1903" t="s">
        <v>27</v>
      </c>
      <c r="F1903">
        <v>1754.53</v>
      </c>
      <c r="G1903">
        <v>204.66</v>
      </c>
      <c r="H1903" t="s">
        <v>28</v>
      </c>
      <c r="I1903" t="s">
        <v>34</v>
      </c>
    </row>
    <row r="1904" spans="1:9" x14ac:dyDescent="0.35">
      <c r="A1904" t="s">
        <v>1940</v>
      </c>
      <c r="B1904" s="1">
        <v>45520</v>
      </c>
      <c r="C1904" t="s">
        <v>22</v>
      </c>
      <c r="D1904" t="s">
        <v>33</v>
      </c>
      <c r="E1904" t="s">
        <v>18</v>
      </c>
      <c r="F1904">
        <v>945.51</v>
      </c>
      <c r="G1904">
        <v>195.32</v>
      </c>
      <c r="H1904" t="s">
        <v>28</v>
      </c>
      <c r="I1904" t="s">
        <v>34</v>
      </c>
    </row>
    <row r="1905" spans="1:9" x14ac:dyDescent="0.35">
      <c r="A1905" t="s">
        <v>1941</v>
      </c>
      <c r="B1905" s="1">
        <v>44875</v>
      </c>
      <c r="C1905" t="s">
        <v>16</v>
      </c>
      <c r="D1905" t="s">
        <v>62</v>
      </c>
      <c r="E1905" t="s">
        <v>27</v>
      </c>
      <c r="F1905">
        <v>768.31</v>
      </c>
      <c r="G1905">
        <v>127.65</v>
      </c>
      <c r="H1905" t="s">
        <v>19</v>
      </c>
      <c r="I1905" t="s">
        <v>14</v>
      </c>
    </row>
    <row r="1906" spans="1:9" x14ac:dyDescent="0.35">
      <c r="A1906" t="s">
        <v>1942</v>
      </c>
      <c r="B1906" s="1">
        <v>44681</v>
      </c>
      <c r="C1906" t="s">
        <v>10</v>
      </c>
      <c r="D1906" t="s">
        <v>17</v>
      </c>
      <c r="E1906" t="s">
        <v>18</v>
      </c>
      <c r="F1906">
        <v>833.98</v>
      </c>
      <c r="G1906">
        <v>71.48</v>
      </c>
      <c r="H1906" t="s">
        <v>19</v>
      </c>
      <c r="I1906" t="s">
        <v>29</v>
      </c>
    </row>
    <row r="1907" spans="1:9" x14ac:dyDescent="0.35">
      <c r="A1907" t="s">
        <v>1943</v>
      </c>
      <c r="B1907" s="1">
        <v>45185</v>
      </c>
      <c r="C1907" t="s">
        <v>25</v>
      </c>
      <c r="D1907" t="s">
        <v>46</v>
      </c>
      <c r="E1907" t="s">
        <v>18</v>
      </c>
      <c r="F1907">
        <v>342.61</v>
      </c>
      <c r="G1907">
        <v>30.72</v>
      </c>
      <c r="H1907" t="s">
        <v>28</v>
      </c>
      <c r="I1907" t="s">
        <v>29</v>
      </c>
    </row>
    <row r="1908" spans="1:9" x14ac:dyDescent="0.35">
      <c r="A1908" t="s">
        <v>1944</v>
      </c>
      <c r="B1908" s="1">
        <v>44698</v>
      </c>
      <c r="C1908" t="s">
        <v>10</v>
      </c>
      <c r="D1908" t="s">
        <v>41</v>
      </c>
      <c r="E1908" t="s">
        <v>12</v>
      </c>
      <c r="F1908">
        <v>1902.54</v>
      </c>
      <c r="G1908">
        <v>319.69</v>
      </c>
      <c r="H1908" t="s">
        <v>13</v>
      </c>
      <c r="I1908" t="s">
        <v>20</v>
      </c>
    </row>
    <row r="1909" spans="1:9" x14ac:dyDescent="0.35">
      <c r="A1909" t="s">
        <v>1945</v>
      </c>
      <c r="B1909" s="1">
        <v>45505</v>
      </c>
      <c r="C1909" t="s">
        <v>25</v>
      </c>
      <c r="D1909" t="s">
        <v>17</v>
      </c>
      <c r="E1909" t="s">
        <v>18</v>
      </c>
      <c r="F1909">
        <v>716.78</v>
      </c>
      <c r="G1909">
        <v>44.64</v>
      </c>
      <c r="H1909" t="s">
        <v>13</v>
      </c>
      <c r="I1909" t="s">
        <v>14</v>
      </c>
    </row>
    <row r="1910" spans="1:9" x14ac:dyDescent="0.35">
      <c r="A1910" t="s">
        <v>1946</v>
      </c>
      <c r="B1910" s="1">
        <v>44906</v>
      </c>
      <c r="C1910" t="s">
        <v>16</v>
      </c>
      <c r="D1910" t="s">
        <v>17</v>
      </c>
      <c r="E1910" t="s">
        <v>18</v>
      </c>
      <c r="F1910">
        <v>1635.45</v>
      </c>
      <c r="G1910">
        <v>129.49</v>
      </c>
      <c r="H1910" t="s">
        <v>19</v>
      </c>
      <c r="I1910" t="s">
        <v>20</v>
      </c>
    </row>
    <row r="1911" spans="1:9" x14ac:dyDescent="0.35">
      <c r="A1911" t="s">
        <v>1947</v>
      </c>
      <c r="B1911" s="1">
        <v>45034</v>
      </c>
      <c r="C1911" t="s">
        <v>25</v>
      </c>
      <c r="D1911" t="s">
        <v>31</v>
      </c>
      <c r="E1911" t="s">
        <v>12</v>
      </c>
      <c r="F1911">
        <v>1549.38</v>
      </c>
      <c r="G1911">
        <v>119.14</v>
      </c>
      <c r="H1911" t="s">
        <v>13</v>
      </c>
      <c r="I1911" t="s">
        <v>29</v>
      </c>
    </row>
    <row r="1912" spans="1:9" x14ac:dyDescent="0.35">
      <c r="A1912" t="s">
        <v>1948</v>
      </c>
      <c r="B1912" s="1">
        <v>44785</v>
      </c>
      <c r="C1912" t="s">
        <v>22</v>
      </c>
      <c r="D1912" t="s">
        <v>33</v>
      </c>
      <c r="E1912" t="s">
        <v>18</v>
      </c>
      <c r="F1912">
        <v>888.76</v>
      </c>
      <c r="G1912">
        <v>246.99</v>
      </c>
      <c r="H1912" t="s">
        <v>28</v>
      </c>
      <c r="I1912" t="s">
        <v>14</v>
      </c>
    </row>
    <row r="1913" spans="1:9" x14ac:dyDescent="0.35">
      <c r="A1913" t="s">
        <v>1949</v>
      </c>
      <c r="B1913" s="1">
        <v>45614</v>
      </c>
      <c r="C1913" t="s">
        <v>25</v>
      </c>
      <c r="D1913" t="s">
        <v>23</v>
      </c>
      <c r="E1913" t="s">
        <v>18</v>
      </c>
      <c r="F1913">
        <v>1437.55</v>
      </c>
      <c r="G1913">
        <v>286.41000000000003</v>
      </c>
      <c r="H1913" t="s">
        <v>28</v>
      </c>
      <c r="I1913" t="s">
        <v>14</v>
      </c>
    </row>
    <row r="1914" spans="1:9" x14ac:dyDescent="0.35">
      <c r="A1914" t="s">
        <v>1950</v>
      </c>
      <c r="B1914" s="1">
        <v>45084</v>
      </c>
      <c r="C1914" t="s">
        <v>25</v>
      </c>
      <c r="D1914" t="s">
        <v>62</v>
      </c>
      <c r="E1914" t="s">
        <v>27</v>
      </c>
      <c r="F1914">
        <v>705.53</v>
      </c>
      <c r="G1914">
        <v>86.54</v>
      </c>
      <c r="H1914" t="s">
        <v>19</v>
      </c>
      <c r="I1914" t="s">
        <v>14</v>
      </c>
    </row>
    <row r="1915" spans="1:9" x14ac:dyDescent="0.35">
      <c r="A1915" t="s">
        <v>1951</v>
      </c>
      <c r="B1915" s="1">
        <v>45315</v>
      </c>
      <c r="C1915" t="s">
        <v>10</v>
      </c>
      <c r="D1915" t="s">
        <v>46</v>
      </c>
      <c r="E1915" t="s">
        <v>18</v>
      </c>
      <c r="F1915">
        <v>1317.09</v>
      </c>
      <c r="G1915">
        <v>320.60000000000002</v>
      </c>
      <c r="H1915" t="s">
        <v>19</v>
      </c>
      <c r="I1915" t="s">
        <v>29</v>
      </c>
    </row>
    <row r="1916" spans="1:9" x14ac:dyDescent="0.35">
      <c r="A1916" t="s">
        <v>1952</v>
      </c>
      <c r="B1916" s="1">
        <v>45063</v>
      </c>
      <c r="C1916" t="s">
        <v>22</v>
      </c>
      <c r="D1916" t="s">
        <v>38</v>
      </c>
      <c r="E1916" t="s">
        <v>12</v>
      </c>
      <c r="F1916">
        <v>615.16</v>
      </c>
      <c r="G1916">
        <v>86.54</v>
      </c>
      <c r="H1916" t="s">
        <v>19</v>
      </c>
      <c r="I1916" t="s">
        <v>29</v>
      </c>
    </row>
    <row r="1917" spans="1:9" x14ac:dyDescent="0.35">
      <c r="A1917" t="s">
        <v>1953</v>
      </c>
      <c r="B1917" s="1">
        <v>45581</v>
      </c>
      <c r="C1917" t="s">
        <v>16</v>
      </c>
      <c r="D1917" t="s">
        <v>26</v>
      </c>
      <c r="E1917" t="s">
        <v>27</v>
      </c>
      <c r="F1917">
        <v>754.84</v>
      </c>
      <c r="G1917">
        <v>98.15</v>
      </c>
      <c r="H1917" t="s">
        <v>28</v>
      </c>
      <c r="I1917" t="s">
        <v>14</v>
      </c>
    </row>
    <row r="1918" spans="1:9" x14ac:dyDescent="0.35">
      <c r="A1918" t="s">
        <v>1954</v>
      </c>
      <c r="B1918" s="1">
        <v>45491</v>
      </c>
      <c r="C1918" t="s">
        <v>16</v>
      </c>
      <c r="D1918" t="s">
        <v>38</v>
      </c>
      <c r="E1918" t="s">
        <v>12</v>
      </c>
      <c r="F1918">
        <v>1656.83</v>
      </c>
      <c r="G1918">
        <v>110.1</v>
      </c>
      <c r="H1918" t="s">
        <v>28</v>
      </c>
      <c r="I1918" t="s">
        <v>14</v>
      </c>
    </row>
    <row r="1919" spans="1:9" x14ac:dyDescent="0.35">
      <c r="A1919" t="s">
        <v>1955</v>
      </c>
      <c r="B1919" s="1">
        <v>45169</v>
      </c>
      <c r="C1919" t="s">
        <v>16</v>
      </c>
      <c r="D1919" t="s">
        <v>31</v>
      </c>
      <c r="E1919" t="s">
        <v>12</v>
      </c>
      <c r="F1919">
        <v>532.4</v>
      </c>
      <c r="G1919">
        <v>36.44</v>
      </c>
      <c r="H1919" t="s">
        <v>28</v>
      </c>
      <c r="I1919" t="s">
        <v>14</v>
      </c>
    </row>
    <row r="1920" spans="1:9" x14ac:dyDescent="0.35">
      <c r="A1920" t="s">
        <v>1956</v>
      </c>
      <c r="B1920" s="1">
        <v>45241</v>
      </c>
      <c r="C1920" t="s">
        <v>25</v>
      </c>
      <c r="D1920" t="s">
        <v>11</v>
      </c>
      <c r="E1920" t="s">
        <v>12</v>
      </c>
      <c r="F1920">
        <v>1469</v>
      </c>
      <c r="G1920">
        <v>105.2</v>
      </c>
      <c r="H1920" t="s">
        <v>19</v>
      </c>
      <c r="I1920" t="s">
        <v>34</v>
      </c>
    </row>
    <row r="1921" spans="1:9" x14ac:dyDescent="0.35">
      <c r="A1921" t="s">
        <v>1957</v>
      </c>
      <c r="B1921" s="1">
        <v>45003</v>
      </c>
      <c r="C1921" t="s">
        <v>22</v>
      </c>
      <c r="D1921" t="s">
        <v>38</v>
      </c>
      <c r="E1921" t="s">
        <v>12</v>
      </c>
      <c r="F1921">
        <v>719.63</v>
      </c>
      <c r="G1921">
        <v>169.28</v>
      </c>
      <c r="H1921" t="s">
        <v>28</v>
      </c>
      <c r="I1921" t="s">
        <v>20</v>
      </c>
    </row>
    <row r="1922" spans="1:9" x14ac:dyDescent="0.35">
      <c r="A1922" t="s">
        <v>1958</v>
      </c>
      <c r="B1922" s="1">
        <v>44814</v>
      </c>
      <c r="C1922" t="s">
        <v>16</v>
      </c>
      <c r="D1922" t="s">
        <v>50</v>
      </c>
      <c r="E1922" t="s">
        <v>12</v>
      </c>
      <c r="F1922">
        <v>1592.44</v>
      </c>
      <c r="G1922">
        <v>428.78</v>
      </c>
      <c r="H1922" t="s">
        <v>13</v>
      </c>
      <c r="I1922" t="s">
        <v>14</v>
      </c>
    </row>
    <row r="1923" spans="1:9" x14ac:dyDescent="0.35">
      <c r="A1923" t="s">
        <v>1959</v>
      </c>
      <c r="B1923" s="1">
        <v>45149</v>
      </c>
      <c r="C1923" t="s">
        <v>25</v>
      </c>
      <c r="D1923" t="s">
        <v>38</v>
      </c>
      <c r="E1923" t="s">
        <v>12</v>
      </c>
      <c r="F1923">
        <v>780.37</v>
      </c>
      <c r="G1923">
        <v>144.33000000000001</v>
      </c>
      <c r="H1923" t="s">
        <v>28</v>
      </c>
      <c r="I1923" t="s">
        <v>20</v>
      </c>
    </row>
    <row r="1924" spans="1:9" x14ac:dyDescent="0.35">
      <c r="A1924" t="s">
        <v>1960</v>
      </c>
      <c r="B1924" s="1">
        <v>45366</v>
      </c>
      <c r="C1924" t="s">
        <v>22</v>
      </c>
      <c r="D1924" t="s">
        <v>38</v>
      </c>
      <c r="E1924" t="s">
        <v>12</v>
      </c>
      <c r="F1924">
        <v>1897.93</v>
      </c>
      <c r="G1924">
        <v>470.31</v>
      </c>
      <c r="H1924" t="s">
        <v>19</v>
      </c>
      <c r="I1924" t="s">
        <v>20</v>
      </c>
    </row>
    <row r="1925" spans="1:9" x14ac:dyDescent="0.35">
      <c r="A1925" t="s">
        <v>1961</v>
      </c>
      <c r="B1925" s="1">
        <v>45444</v>
      </c>
      <c r="C1925" t="s">
        <v>25</v>
      </c>
      <c r="D1925" t="s">
        <v>97</v>
      </c>
      <c r="E1925" t="s">
        <v>27</v>
      </c>
      <c r="F1925">
        <v>1566.93</v>
      </c>
      <c r="G1925">
        <v>455.46</v>
      </c>
      <c r="H1925" t="s">
        <v>13</v>
      </c>
      <c r="I1925" t="s">
        <v>29</v>
      </c>
    </row>
    <row r="1926" spans="1:9" x14ac:dyDescent="0.35">
      <c r="A1926" t="s">
        <v>1962</v>
      </c>
      <c r="B1926" s="1">
        <v>45047</v>
      </c>
      <c r="C1926" t="s">
        <v>10</v>
      </c>
      <c r="D1926" t="s">
        <v>57</v>
      </c>
      <c r="E1926" t="s">
        <v>27</v>
      </c>
      <c r="F1926">
        <v>546.15</v>
      </c>
      <c r="G1926">
        <v>162.36000000000001</v>
      </c>
      <c r="H1926" t="s">
        <v>13</v>
      </c>
      <c r="I1926" t="s">
        <v>29</v>
      </c>
    </row>
    <row r="1927" spans="1:9" x14ac:dyDescent="0.35">
      <c r="A1927" t="s">
        <v>1963</v>
      </c>
      <c r="B1927" s="1">
        <v>45069</v>
      </c>
      <c r="C1927" t="s">
        <v>10</v>
      </c>
      <c r="D1927" t="s">
        <v>50</v>
      </c>
      <c r="E1927" t="s">
        <v>12</v>
      </c>
      <c r="F1927">
        <v>1306.52</v>
      </c>
      <c r="G1927">
        <v>156.97999999999999</v>
      </c>
      <c r="H1927" t="s">
        <v>28</v>
      </c>
      <c r="I1927" t="s">
        <v>34</v>
      </c>
    </row>
    <row r="1928" spans="1:9" x14ac:dyDescent="0.35">
      <c r="A1928" t="s">
        <v>1964</v>
      </c>
      <c r="B1928" s="1">
        <v>44911</v>
      </c>
      <c r="C1928" t="s">
        <v>25</v>
      </c>
      <c r="D1928" t="s">
        <v>26</v>
      </c>
      <c r="E1928" t="s">
        <v>27</v>
      </c>
      <c r="F1928">
        <v>196.81</v>
      </c>
      <c r="G1928">
        <v>12.83</v>
      </c>
      <c r="H1928" t="s">
        <v>28</v>
      </c>
      <c r="I1928" t="s">
        <v>29</v>
      </c>
    </row>
    <row r="1929" spans="1:9" x14ac:dyDescent="0.35">
      <c r="A1929" t="s">
        <v>1965</v>
      </c>
      <c r="B1929" s="1">
        <v>45301</v>
      </c>
      <c r="C1929" t="s">
        <v>22</v>
      </c>
      <c r="D1929" t="s">
        <v>62</v>
      </c>
      <c r="E1929" t="s">
        <v>27</v>
      </c>
      <c r="F1929">
        <v>1100.5999999999999</v>
      </c>
      <c r="G1929">
        <v>328.95</v>
      </c>
      <c r="H1929" t="s">
        <v>13</v>
      </c>
      <c r="I1929" t="s">
        <v>29</v>
      </c>
    </row>
    <row r="1930" spans="1:9" x14ac:dyDescent="0.35">
      <c r="A1930" t="s">
        <v>1966</v>
      </c>
      <c r="B1930" s="1">
        <v>45265</v>
      </c>
      <c r="C1930" t="s">
        <v>10</v>
      </c>
      <c r="D1930" t="s">
        <v>31</v>
      </c>
      <c r="E1930" t="s">
        <v>12</v>
      </c>
      <c r="F1930">
        <v>784.39</v>
      </c>
      <c r="G1930">
        <v>104.52</v>
      </c>
      <c r="H1930" t="s">
        <v>28</v>
      </c>
      <c r="I1930" t="s">
        <v>20</v>
      </c>
    </row>
    <row r="1931" spans="1:9" x14ac:dyDescent="0.35">
      <c r="A1931" t="s">
        <v>1967</v>
      </c>
      <c r="B1931" s="1">
        <v>45036</v>
      </c>
      <c r="C1931" t="s">
        <v>22</v>
      </c>
      <c r="D1931" t="s">
        <v>11</v>
      </c>
      <c r="E1931" t="s">
        <v>12</v>
      </c>
      <c r="F1931">
        <v>1591.01</v>
      </c>
      <c r="G1931">
        <v>443.98</v>
      </c>
      <c r="H1931" t="s">
        <v>13</v>
      </c>
      <c r="I1931" t="s">
        <v>29</v>
      </c>
    </row>
    <row r="1932" spans="1:9" x14ac:dyDescent="0.35">
      <c r="A1932" t="s">
        <v>1968</v>
      </c>
      <c r="B1932" s="1">
        <v>45041</v>
      </c>
      <c r="C1932" t="s">
        <v>25</v>
      </c>
      <c r="D1932" t="s">
        <v>46</v>
      </c>
      <c r="E1932" t="s">
        <v>18</v>
      </c>
      <c r="F1932">
        <v>745.17</v>
      </c>
      <c r="G1932">
        <v>187.66</v>
      </c>
      <c r="H1932" t="s">
        <v>13</v>
      </c>
      <c r="I1932" t="s">
        <v>14</v>
      </c>
    </row>
    <row r="1933" spans="1:9" x14ac:dyDescent="0.35">
      <c r="A1933" t="s">
        <v>1969</v>
      </c>
      <c r="B1933" s="1">
        <v>44847</v>
      </c>
      <c r="C1933" t="s">
        <v>25</v>
      </c>
      <c r="D1933" t="s">
        <v>57</v>
      </c>
      <c r="E1933" t="s">
        <v>27</v>
      </c>
      <c r="F1933">
        <v>1780.69</v>
      </c>
      <c r="G1933">
        <v>498.39</v>
      </c>
      <c r="H1933" t="s">
        <v>28</v>
      </c>
      <c r="I1933" t="s">
        <v>34</v>
      </c>
    </row>
    <row r="1934" spans="1:9" x14ac:dyDescent="0.35">
      <c r="A1934" t="s">
        <v>1970</v>
      </c>
      <c r="B1934" s="1">
        <v>45287</v>
      </c>
      <c r="C1934" t="s">
        <v>16</v>
      </c>
      <c r="D1934" t="s">
        <v>38</v>
      </c>
      <c r="E1934" t="s">
        <v>12</v>
      </c>
      <c r="F1934">
        <v>539.78</v>
      </c>
      <c r="G1934">
        <v>81.13</v>
      </c>
      <c r="H1934" t="s">
        <v>28</v>
      </c>
      <c r="I1934" t="s">
        <v>14</v>
      </c>
    </row>
    <row r="1935" spans="1:9" x14ac:dyDescent="0.35">
      <c r="A1935" t="s">
        <v>1971</v>
      </c>
      <c r="B1935" s="1">
        <v>45563</v>
      </c>
      <c r="C1935" t="s">
        <v>10</v>
      </c>
      <c r="D1935" t="s">
        <v>33</v>
      </c>
      <c r="E1935" t="s">
        <v>18</v>
      </c>
      <c r="F1935">
        <v>1962.67</v>
      </c>
      <c r="G1935">
        <v>462.39</v>
      </c>
      <c r="H1935" t="s">
        <v>28</v>
      </c>
      <c r="I1935" t="s">
        <v>29</v>
      </c>
    </row>
    <row r="1936" spans="1:9" x14ac:dyDescent="0.35">
      <c r="A1936" t="s">
        <v>1972</v>
      </c>
      <c r="B1936" s="1">
        <v>45469</v>
      </c>
      <c r="C1936" t="s">
        <v>22</v>
      </c>
      <c r="D1936" t="s">
        <v>57</v>
      </c>
      <c r="E1936" t="s">
        <v>27</v>
      </c>
      <c r="F1936">
        <v>1015.91</v>
      </c>
      <c r="G1936">
        <v>145.55000000000001</v>
      </c>
      <c r="H1936" t="s">
        <v>19</v>
      </c>
      <c r="I1936" t="s">
        <v>34</v>
      </c>
    </row>
    <row r="1937" spans="1:9" x14ac:dyDescent="0.35">
      <c r="A1937" t="s">
        <v>1973</v>
      </c>
      <c r="B1937" s="1">
        <v>44771</v>
      </c>
      <c r="C1937" t="s">
        <v>22</v>
      </c>
      <c r="D1937" t="s">
        <v>33</v>
      </c>
      <c r="E1937" t="s">
        <v>18</v>
      </c>
      <c r="F1937">
        <v>633.12</v>
      </c>
      <c r="G1937">
        <v>141.47</v>
      </c>
      <c r="H1937" t="s">
        <v>13</v>
      </c>
      <c r="I1937" t="s">
        <v>14</v>
      </c>
    </row>
    <row r="1938" spans="1:9" x14ac:dyDescent="0.35">
      <c r="A1938" t="s">
        <v>1974</v>
      </c>
      <c r="B1938" s="1">
        <v>45395</v>
      </c>
      <c r="C1938" t="s">
        <v>10</v>
      </c>
      <c r="D1938" t="s">
        <v>95</v>
      </c>
      <c r="E1938" t="s">
        <v>18</v>
      </c>
      <c r="F1938">
        <v>951.15</v>
      </c>
      <c r="G1938">
        <v>279.52</v>
      </c>
      <c r="H1938" t="s">
        <v>19</v>
      </c>
      <c r="I1938" t="s">
        <v>29</v>
      </c>
    </row>
    <row r="1939" spans="1:9" x14ac:dyDescent="0.35">
      <c r="A1939" t="s">
        <v>1975</v>
      </c>
      <c r="B1939" s="1">
        <v>44615</v>
      </c>
      <c r="C1939" t="s">
        <v>10</v>
      </c>
      <c r="D1939" t="s">
        <v>57</v>
      </c>
      <c r="E1939" t="s">
        <v>27</v>
      </c>
      <c r="F1939">
        <v>962.58</v>
      </c>
      <c r="G1939">
        <v>201.36</v>
      </c>
      <c r="H1939" t="s">
        <v>13</v>
      </c>
      <c r="I1939" t="s">
        <v>34</v>
      </c>
    </row>
    <row r="1940" spans="1:9" x14ac:dyDescent="0.35">
      <c r="A1940" t="s">
        <v>1976</v>
      </c>
      <c r="B1940" s="1">
        <v>45409</v>
      </c>
      <c r="C1940" t="s">
        <v>10</v>
      </c>
      <c r="D1940" t="s">
        <v>73</v>
      </c>
      <c r="E1940" t="s">
        <v>27</v>
      </c>
      <c r="F1940">
        <v>742.74</v>
      </c>
      <c r="G1940">
        <v>190.7</v>
      </c>
      <c r="H1940" t="s">
        <v>28</v>
      </c>
      <c r="I1940" t="s">
        <v>34</v>
      </c>
    </row>
    <row r="1941" spans="1:9" x14ac:dyDescent="0.35">
      <c r="A1941" t="s">
        <v>1977</v>
      </c>
      <c r="B1941" s="1">
        <v>44787</v>
      </c>
      <c r="C1941" t="s">
        <v>10</v>
      </c>
      <c r="D1941" t="s">
        <v>23</v>
      </c>
      <c r="E1941" t="s">
        <v>18</v>
      </c>
      <c r="F1941">
        <v>1947.55</v>
      </c>
      <c r="G1941">
        <v>505.7</v>
      </c>
      <c r="H1941" t="s">
        <v>19</v>
      </c>
      <c r="I1941" t="s">
        <v>14</v>
      </c>
    </row>
    <row r="1942" spans="1:9" x14ac:dyDescent="0.35">
      <c r="A1942" t="s">
        <v>1978</v>
      </c>
      <c r="B1942" s="1">
        <v>44610</v>
      </c>
      <c r="C1942" t="s">
        <v>10</v>
      </c>
      <c r="D1942" t="s">
        <v>23</v>
      </c>
      <c r="E1942" t="s">
        <v>18</v>
      </c>
      <c r="F1942">
        <v>1109.98</v>
      </c>
      <c r="G1942">
        <v>202.19</v>
      </c>
      <c r="H1942" t="s">
        <v>19</v>
      </c>
      <c r="I1942" t="s">
        <v>20</v>
      </c>
    </row>
    <row r="1943" spans="1:9" x14ac:dyDescent="0.35">
      <c r="A1943" t="s">
        <v>1979</v>
      </c>
      <c r="B1943" s="1">
        <v>45392</v>
      </c>
      <c r="C1943" t="s">
        <v>10</v>
      </c>
      <c r="D1943" t="s">
        <v>33</v>
      </c>
      <c r="E1943" t="s">
        <v>18</v>
      </c>
      <c r="F1943">
        <v>1800.24</v>
      </c>
      <c r="G1943">
        <v>276.7</v>
      </c>
      <c r="H1943" t="s">
        <v>19</v>
      </c>
      <c r="I1943" t="s">
        <v>14</v>
      </c>
    </row>
    <row r="1944" spans="1:9" x14ac:dyDescent="0.35">
      <c r="A1944" t="s">
        <v>1980</v>
      </c>
      <c r="B1944" s="1">
        <v>45102</v>
      </c>
      <c r="C1944" t="s">
        <v>22</v>
      </c>
      <c r="D1944" t="s">
        <v>23</v>
      </c>
      <c r="E1944" t="s">
        <v>18</v>
      </c>
      <c r="F1944">
        <v>1069.82</v>
      </c>
      <c r="G1944">
        <v>82.2</v>
      </c>
      <c r="H1944" t="s">
        <v>19</v>
      </c>
      <c r="I1944" t="s">
        <v>20</v>
      </c>
    </row>
    <row r="1945" spans="1:9" x14ac:dyDescent="0.35">
      <c r="A1945" t="s">
        <v>1981</v>
      </c>
      <c r="B1945" s="1">
        <v>44656</v>
      </c>
      <c r="C1945" t="s">
        <v>10</v>
      </c>
      <c r="D1945" t="s">
        <v>46</v>
      </c>
      <c r="E1945" t="s">
        <v>18</v>
      </c>
      <c r="F1945">
        <v>1863.91</v>
      </c>
      <c r="G1945">
        <v>339.06</v>
      </c>
      <c r="H1945" t="s">
        <v>19</v>
      </c>
      <c r="I1945" t="s">
        <v>20</v>
      </c>
    </row>
    <row r="1946" spans="1:9" x14ac:dyDescent="0.35">
      <c r="A1946" t="s">
        <v>1982</v>
      </c>
      <c r="B1946" s="1">
        <v>45602</v>
      </c>
      <c r="C1946" t="s">
        <v>22</v>
      </c>
      <c r="D1946" t="s">
        <v>50</v>
      </c>
      <c r="E1946" t="s">
        <v>12</v>
      </c>
      <c r="F1946">
        <v>1742.23</v>
      </c>
      <c r="G1946">
        <v>383.76</v>
      </c>
      <c r="H1946" t="s">
        <v>19</v>
      </c>
      <c r="I1946" t="s">
        <v>20</v>
      </c>
    </row>
    <row r="1947" spans="1:9" x14ac:dyDescent="0.35">
      <c r="A1947" t="s">
        <v>1983</v>
      </c>
      <c r="B1947" s="1">
        <v>45135</v>
      </c>
      <c r="C1947" t="s">
        <v>10</v>
      </c>
      <c r="D1947" t="s">
        <v>50</v>
      </c>
      <c r="E1947" t="s">
        <v>12</v>
      </c>
      <c r="F1947">
        <v>714.2</v>
      </c>
      <c r="G1947">
        <v>209.31</v>
      </c>
      <c r="H1947" t="s">
        <v>28</v>
      </c>
      <c r="I1947" t="s">
        <v>34</v>
      </c>
    </row>
    <row r="1948" spans="1:9" x14ac:dyDescent="0.35">
      <c r="A1948" t="s">
        <v>1984</v>
      </c>
      <c r="B1948" s="1">
        <v>45131</v>
      </c>
      <c r="C1948" t="s">
        <v>22</v>
      </c>
      <c r="D1948" t="s">
        <v>26</v>
      </c>
      <c r="E1948" t="s">
        <v>27</v>
      </c>
      <c r="F1948">
        <v>636.52</v>
      </c>
      <c r="G1948">
        <v>47.23</v>
      </c>
      <c r="H1948" t="s">
        <v>13</v>
      </c>
      <c r="I1948" t="s">
        <v>20</v>
      </c>
    </row>
    <row r="1949" spans="1:9" x14ac:dyDescent="0.35">
      <c r="A1949" t="s">
        <v>1985</v>
      </c>
      <c r="B1949" s="1">
        <v>45338</v>
      </c>
      <c r="C1949" t="s">
        <v>22</v>
      </c>
      <c r="D1949" t="s">
        <v>38</v>
      </c>
      <c r="E1949" t="s">
        <v>12</v>
      </c>
      <c r="F1949">
        <v>222.36</v>
      </c>
      <c r="G1949">
        <v>34.18</v>
      </c>
      <c r="H1949" t="s">
        <v>28</v>
      </c>
      <c r="I1949" t="s">
        <v>20</v>
      </c>
    </row>
    <row r="1950" spans="1:9" x14ac:dyDescent="0.35">
      <c r="A1950" t="s">
        <v>1986</v>
      </c>
      <c r="B1950" s="1">
        <v>44819</v>
      </c>
      <c r="C1950" t="s">
        <v>10</v>
      </c>
      <c r="D1950" t="s">
        <v>95</v>
      </c>
      <c r="E1950" t="s">
        <v>18</v>
      </c>
      <c r="F1950">
        <v>292.07</v>
      </c>
      <c r="G1950">
        <v>78.819999999999993</v>
      </c>
      <c r="H1950" t="s">
        <v>28</v>
      </c>
      <c r="I1950" t="s">
        <v>14</v>
      </c>
    </row>
    <row r="1951" spans="1:9" x14ac:dyDescent="0.35">
      <c r="A1951" t="s">
        <v>1987</v>
      </c>
      <c r="B1951" s="1">
        <v>45267</v>
      </c>
      <c r="C1951" t="s">
        <v>22</v>
      </c>
      <c r="D1951" t="s">
        <v>31</v>
      </c>
      <c r="E1951" t="s">
        <v>12</v>
      </c>
      <c r="F1951">
        <v>1507.39</v>
      </c>
      <c r="G1951">
        <v>105.37</v>
      </c>
      <c r="H1951" t="s">
        <v>19</v>
      </c>
      <c r="I1951" t="s">
        <v>34</v>
      </c>
    </row>
    <row r="1952" spans="1:9" x14ac:dyDescent="0.35">
      <c r="A1952" t="s">
        <v>1988</v>
      </c>
      <c r="B1952" s="1">
        <v>45473</v>
      </c>
      <c r="C1952" t="s">
        <v>16</v>
      </c>
      <c r="D1952" t="s">
        <v>57</v>
      </c>
      <c r="E1952" t="s">
        <v>27</v>
      </c>
      <c r="F1952">
        <v>326.07</v>
      </c>
      <c r="G1952">
        <v>70.430000000000007</v>
      </c>
      <c r="H1952" t="s">
        <v>13</v>
      </c>
      <c r="I1952" t="s">
        <v>14</v>
      </c>
    </row>
    <row r="1953" spans="1:9" x14ac:dyDescent="0.35">
      <c r="A1953" t="s">
        <v>1989</v>
      </c>
      <c r="B1953" s="1">
        <v>44642</v>
      </c>
      <c r="C1953" t="s">
        <v>10</v>
      </c>
      <c r="D1953" t="s">
        <v>97</v>
      </c>
      <c r="E1953" t="s">
        <v>27</v>
      </c>
      <c r="F1953">
        <v>1285.8699999999999</v>
      </c>
      <c r="G1953">
        <v>204.15</v>
      </c>
      <c r="H1953" t="s">
        <v>19</v>
      </c>
      <c r="I1953" t="s">
        <v>20</v>
      </c>
    </row>
    <row r="1954" spans="1:9" x14ac:dyDescent="0.35">
      <c r="A1954" t="s">
        <v>1990</v>
      </c>
      <c r="B1954" s="1">
        <v>45056</v>
      </c>
      <c r="C1954" t="s">
        <v>16</v>
      </c>
      <c r="D1954" t="s">
        <v>41</v>
      </c>
      <c r="E1954" t="s">
        <v>12</v>
      </c>
      <c r="F1954">
        <v>1779.54</v>
      </c>
      <c r="G1954">
        <v>270.74</v>
      </c>
      <c r="H1954" t="s">
        <v>13</v>
      </c>
      <c r="I1954" t="s">
        <v>20</v>
      </c>
    </row>
    <row r="1955" spans="1:9" x14ac:dyDescent="0.35">
      <c r="A1955" t="s">
        <v>1991</v>
      </c>
      <c r="B1955" s="1">
        <v>45382</v>
      </c>
      <c r="C1955" t="s">
        <v>25</v>
      </c>
      <c r="D1955" t="s">
        <v>50</v>
      </c>
      <c r="E1955" t="s">
        <v>12</v>
      </c>
      <c r="F1955">
        <v>1193.32</v>
      </c>
      <c r="G1955">
        <v>158.85</v>
      </c>
      <c r="H1955" t="s">
        <v>28</v>
      </c>
      <c r="I1955" t="s">
        <v>29</v>
      </c>
    </row>
    <row r="1956" spans="1:9" x14ac:dyDescent="0.35">
      <c r="A1956" t="s">
        <v>1992</v>
      </c>
      <c r="B1956" s="1">
        <v>45600</v>
      </c>
      <c r="C1956" t="s">
        <v>16</v>
      </c>
      <c r="D1956" t="s">
        <v>23</v>
      </c>
      <c r="E1956" t="s">
        <v>18</v>
      </c>
      <c r="F1956">
        <v>1668.14</v>
      </c>
      <c r="G1956">
        <v>172.12</v>
      </c>
      <c r="H1956" t="s">
        <v>19</v>
      </c>
      <c r="I1956" t="s">
        <v>34</v>
      </c>
    </row>
    <row r="1957" spans="1:9" x14ac:dyDescent="0.35">
      <c r="A1957" t="s">
        <v>1993</v>
      </c>
      <c r="B1957" s="1">
        <v>44625</v>
      </c>
      <c r="C1957" t="s">
        <v>25</v>
      </c>
      <c r="D1957" t="s">
        <v>31</v>
      </c>
      <c r="E1957" t="s">
        <v>12</v>
      </c>
      <c r="F1957">
        <v>1713.71</v>
      </c>
      <c r="G1957">
        <v>142.15</v>
      </c>
      <c r="H1957" t="s">
        <v>28</v>
      </c>
      <c r="I1957" t="s">
        <v>14</v>
      </c>
    </row>
    <row r="1958" spans="1:9" x14ac:dyDescent="0.35">
      <c r="A1958" t="s">
        <v>1994</v>
      </c>
      <c r="B1958" s="1">
        <v>45287</v>
      </c>
      <c r="C1958" t="s">
        <v>25</v>
      </c>
      <c r="D1958" t="s">
        <v>62</v>
      </c>
      <c r="E1958" t="s">
        <v>27</v>
      </c>
      <c r="F1958">
        <v>500.34</v>
      </c>
      <c r="G1958">
        <v>132.21</v>
      </c>
      <c r="H1958" t="s">
        <v>28</v>
      </c>
      <c r="I1958" t="s">
        <v>34</v>
      </c>
    </row>
    <row r="1959" spans="1:9" x14ac:dyDescent="0.35">
      <c r="A1959" t="s">
        <v>1995</v>
      </c>
      <c r="B1959" s="1">
        <v>45649</v>
      </c>
      <c r="C1959" t="s">
        <v>10</v>
      </c>
      <c r="D1959" t="s">
        <v>73</v>
      </c>
      <c r="E1959" t="s">
        <v>27</v>
      </c>
      <c r="F1959">
        <v>1232.79</v>
      </c>
      <c r="G1959">
        <v>98.23</v>
      </c>
      <c r="H1959" t="s">
        <v>28</v>
      </c>
      <c r="I1959" t="s">
        <v>20</v>
      </c>
    </row>
    <row r="1960" spans="1:9" x14ac:dyDescent="0.35">
      <c r="A1960" t="s">
        <v>1996</v>
      </c>
      <c r="B1960" s="1">
        <v>45042</v>
      </c>
      <c r="C1960" t="s">
        <v>10</v>
      </c>
      <c r="D1960" t="s">
        <v>31</v>
      </c>
      <c r="E1960" t="s">
        <v>12</v>
      </c>
      <c r="F1960">
        <v>111.64</v>
      </c>
      <c r="G1960">
        <v>28.56</v>
      </c>
      <c r="H1960" t="s">
        <v>19</v>
      </c>
      <c r="I1960" t="s">
        <v>29</v>
      </c>
    </row>
    <row r="1961" spans="1:9" x14ac:dyDescent="0.35">
      <c r="A1961" t="s">
        <v>1997</v>
      </c>
      <c r="B1961" s="1">
        <v>45090</v>
      </c>
      <c r="C1961" t="s">
        <v>16</v>
      </c>
      <c r="D1961" t="s">
        <v>46</v>
      </c>
      <c r="E1961" t="s">
        <v>18</v>
      </c>
      <c r="F1961">
        <v>140.25</v>
      </c>
      <c r="G1961">
        <v>29.93</v>
      </c>
      <c r="H1961" t="s">
        <v>13</v>
      </c>
      <c r="I1961" t="s">
        <v>29</v>
      </c>
    </row>
    <row r="1962" spans="1:9" x14ac:dyDescent="0.35">
      <c r="A1962" t="s">
        <v>1998</v>
      </c>
      <c r="B1962" s="1">
        <v>45412</v>
      </c>
      <c r="C1962" t="s">
        <v>10</v>
      </c>
      <c r="D1962" t="s">
        <v>17</v>
      </c>
      <c r="E1962" t="s">
        <v>18</v>
      </c>
      <c r="F1962">
        <v>1414.6</v>
      </c>
      <c r="G1962">
        <v>348.64</v>
      </c>
      <c r="H1962" t="s">
        <v>28</v>
      </c>
      <c r="I1962" t="s">
        <v>14</v>
      </c>
    </row>
    <row r="1963" spans="1:9" x14ac:dyDescent="0.35">
      <c r="A1963" t="s">
        <v>1999</v>
      </c>
      <c r="B1963" s="1">
        <v>45575</v>
      </c>
      <c r="C1963" t="s">
        <v>10</v>
      </c>
      <c r="D1963" t="s">
        <v>26</v>
      </c>
      <c r="E1963" t="s">
        <v>27</v>
      </c>
      <c r="F1963">
        <v>298.05</v>
      </c>
      <c r="G1963">
        <v>58.16</v>
      </c>
      <c r="H1963" t="s">
        <v>28</v>
      </c>
      <c r="I1963" t="s">
        <v>14</v>
      </c>
    </row>
    <row r="1964" spans="1:9" x14ac:dyDescent="0.35">
      <c r="A1964" t="s">
        <v>2000</v>
      </c>
      <c r="B1964" s="1">
        <v>45155</v>
      </c>
      <c r="C1964" t="s">
        <v>25</v>
      </c>
      <c r="D1964" t="s">
        <v>73</v>
      </c>
      <c r="E1964" t="s">
        <v>27</v>
      </c>
      <c r="F1964">
        <v>1034.3399999999999</v>
      </c>
      <c r="G1964">
        <v>286.83</v>
      </c>
      <c r="H1964" t="s">
        <v>19</v>
      </c>
      <c r="I1964" t="s">
        <v>34</v>
      </c>
    </row>
    <row r="1965" spans="1:9" x14ac:dyDescent="0.35">
      <c r="A1965" t="s">
        <v>2001</v>
      </c>
      <c r="B1965" s="1">
        <v>45492</v>
      </c>
      <c r="C1965" t="s">
        <v>22</v>
      </c>
      <c r="D1965" t="s">
        <v>97</v>
      </c>
      <c r="E1965" t="s">
        <v>27</v>
      </c>
      <c r="F1965">
        <v>1964.28</v>
      </c>
      <c r="G1965">
        <v>197.6</v>
      </c>
      <c r="H1965" t="s">
        <v>13</v>
      </c>
      <c r="I1965" t="s">
        <v>34</v>
      </c>
    </row>
    <row r="1966" spans="1:9" x14ac:dyDescent="0.35">
      <c r="A1966" t="s">
        <v>2002</v>
      </c>
      <c r="B1966" s="1">
        <v>44727</v>
      </c>
      <c r="C1966" t="s">
        <v>16</v>
      </c>
      <c r="D1966" t="s">
        <v>97</v>
      </c>
      <c r="E1966" t="s">
        <v>27</v>
      </c>
      <c r="F1966">
        <v>60.17</v>
      </c>
      <c r="G1966">
        <v>8.93</v>
      </c>
      <c r="H1966" t="s">
        <v>13</v>
      </c>
      <c r="I1966" t="s">
        <v>29</v>
      </c>
    </row>
    <row r="1967" spans="1:9" x14ac:dyDescent="0.35">
      <c r="A1967" t="s">
        <v>2003</v>
      </c>
      <c r="B1967" s="1">
        <v>45404</v>
      </c>
      <c r="C1967" t="s">
        <v>22</v>
      </c>
      <c r="D1967" t="s">
        <v>73</v>
      </c>
      <c r="E1967" t="s">
        <v>27</v>
      </c>
      <c r="F1967">
        <v>1114.1600000000001</v>
      </c>
      <c r="G1967">
        <v>100.06</v>
      </c>
      <c r="H1967" t="s">
        <v>28</v>
      </c>
      <c r="I1967" t="s">
        <v>14</v>
      </c>
    </row>
    <row r="1968" spans="1:9" x14ac:dyDescent="0.35">
      <c r="A1968" t="s">
        <v>2004</v>
      </c>
      <c r="B1968" s="1">
        <v>45498</v>
      </c>
      <c r="C1968" t="s">
        <v>22</v>
      </c>
      <c r="D1968" t="s">
        <v>97</v>
      </c>
      <c r="E1968" t="s">
        <v>27</v>
      </c>
      <c r="F1968">
        <v>674.16</v>
      </c>
      <c r="G1968">
        <v>133.47999999999999</v>
      </c>
      <c r="H1968" t="s">
        <v>13</v>
      </c>
      <c r="I1968" t="s">
        <v>29</v>
      </c>
    </row>
    <row r="1969" spans="1:9" x14ac:dyDescent="0.35">
      <c r="A1969" t="s">
        <v>2005</v>
      </c>
      <c r="B1969" s="1">
        <v>45508</v>
      </c>
      <c r="C1969" t="s">
        <v>25</v>
      </c>
      <c r="D1969" t="s">
        <v>62</v>
      </c>
      <c r="E1969" t="s">
        <v>27</v>
      </c>
      <c r="F1969">
        <v>334.73</v>
      </c>
      <c r="G1969">
        <v>16.829999999999998</v>
      </c>
      <c r="H1969" t="s">
        <v>19</v>
      </c>
      <c r="I1969" t="s">
        <v>29</v>
      </c>
    </row>
    <row r="1970" spans="1:9" x14ac:dyDescent="0.35">
      <c r="A1970" t="s">
        <v>2006</v>
      </c>
      <c r="B1970" s="1">
        <v>45415</v>
      </c>
      <c r="C1970" t="s">
        <v>16</v>
      </c>
      <c r="D1970" t="s">
        <v>23</v>
      </c>
      <c r="E1970" t="s">
        <v>18</v>
      </c>
      <c r="F1970">
        <v>1858.21</v>
      </c>
      <c r="G1970">
        <v>376.83</v>
      </c>
      <c r="H1970" t="s">
        <v>19</v>
      </c>
      <c r="I1970" t="s">
        <v>20</v>
      </c>
    </row>
    <row r="1971" spans="1:9" x14ac:dyDescent="0.35">
      <c r="A1971" t="s">
        <v>2007</v>
      </c>
      <c r="B1971" s="1">
        <v>44898</v>
      </c>
      <c r="C1971" t="s">
        <v>10</v>
      </c>
      <c r="D1971" t="s">
        <v>97</v>
      </c>
      <c r="E1971" t="s">
        <v>27</v>
      </c>
      <c r="F1971">
        <v>1113.99</v>
      </c>
      <c r="G1971">
        <v>278.36</v>
      </c>
      <c r="H1971" t="s">
        <v>19</v>
      </c>
      <c r="I1971" t="s">
        <v>34</v>
      </c>
    </row>
    <row r="1972" spans="1:9" x14ac:dyDescent="0.35">
      <c r="A1972" t="s">
        <v>2008</v>
      </c>
      <c r="B1972" s="1">
        <v>45268</v>
      </c>
      <c r="C1972" t="s">
        <v>16</v>
      </c>
      <c r="D1972" t="s">
        <v>57</v>
      </c>
      <c r="E1972" t="s">
        <v>27</v>
      </c>
      <c r="F1972">
        <v>1621.6</v>
      </c>
      <c r="G1972">
        <v>355.61</v>
      </c>
      <c r="H1972" t="s">
        <v>13</v>
      </c>
      <c r="I1972" t="s">
        <v>14</v>
      </c>
    </row>
    <row r="1973" spans="1:9" x14ac:dyDescent="0.35">
      <c r="A1973" t="s">
        <v>2009</v>
      </c>
      <c r="B1973" s="1">
        <v>45103</v>
      </c>
      <c r="C1973" t="s">
        <v>22</v>
      </c>
      <c r="D1973" t="s">
        <v>46</v>
      </c>
      <c r="E1973" t="s">
        <v>18</v>
      </c>
      <c r="F1973">
        <v>344.6</v>
      </c>
      <c r="G1973">
        <v>22.39</v>
      </c>
      <c r="H1973" t="s">
        <v>13</v>
      </c>
      <c r="I1973" t="s">
        <v>29</v>
      </c>
    </row>
    <row r="1974" spans="1:9" x14ac:dyDescent="0.35">
      <c r="A1974" t="s">
        <v>2010</v>
      </c>
      <c r="B1974" s="1">
        <v>45625</v>
      </c>
      <c r="C1974" t="s">
        <v>22</v>
      </c>
      <c r="D1974" t="s">
        <v>46</v>
      </c>
      <c r="E1974" t="s">
        <v>18</v>
      </c>
      <c r="F1974">
        <v>903.33</v>
      </c>
      <c r="G1974">
        <v>75.239999999999995</v>
      </c>
      <c r="H1974" t="s">
        <v>28</v>
      </c>
      <c r="I1974" t="s">
        <v>34</v>
      </c>
    </row>
    <row r="1975" spans="1:9" x14ac:dyDescent="0.35">
      <c r="A1975" t="s">
        <v>2011</v>
      </c>
      <c r="B1975" s="1">
        <v>45460</v>
      </c>
      <c r="C1975" t="s">
        <v>16</v>
      </c>
      <c r="D1975" t="s">
        <v>26</v>
      </c>
      <c r="E1975" t="s">
        <v>27</v>
      </c>
      <c r="F1975">
        <v>998.17</v>
      </c>
      <c r="G1975">
        <v>275.89</v>
      </c>
      <c r="H1975" t="s">
        <v>19</v>
      </c>
      <c r="I1975" t="s">
        <v>29</v>
      </c>
    </row>
    <row r="1976" spans="1:9" x14ac:dyDescent="0.35">
      <c r="A1976" t="s">
        <v>2012</v>
      </c>
      <c r="B1976" s="1">
        <v>44924</v>
      </c>
      <c r="C1976" t="s">
        <v>22</v>
      </c>
      <c r="D1976" t="s">
        <v>11</v>
      </c>
      <c r="E1976" t="s">
        <v>12</v>
      </c>
      <c r="F1976">
        <v>1084.1199999999999</v>
      </c>
      <c r="G1976">
        <v>286.85000000000002</v>
      </c>
      <c r="H1976" t="s">
        <v>28</v>
      </c>
      <c r="I1976" t="s">
        <v>14</v>
      </c>
    </row>
    <row r="1977" spans="1:9" x14ac:dyDescent="0.35">
      <c r="A1977" t="s">
        <v>2013</v>
      </c>
      <c r="B1977" s="1">
        <v>44610</v>
      </c>
      <c r="C1977" t="s">
        <v>16</v>
      </c>
      <c r="D1977" t="s">
        <v>73</v>
      </c>
      <c r="E1977" t="s">
        <v>27</v>
      </c>
      <c r="F1977">
        <v>363.47</v>
      </c>
      <c r="G1977">
        <v>37.590000000000003</v>
      </c>
      <c r="H1977" t="s">
        <v>28</v>
      </c>
      <c r="I1977" t="s">
        <v>20</v>
      </c>
    </row>
    <row r="1978" spans="1:9" x14ac:dyDescent="0.35">
      <c r="A1978" t="s">
        <v>2014</v>
      </c>
      <c r="B1978" s="1">
        <v>45635</v>
      </c>
      <c r="C1978" t="s">
        <v>25</v>
      </c>
      <c r="D1978" t="s">
        <v>11</v>
      </c>
      <c r="E1978" t="s">
        <v>12</v>
      </c>
      <c r="F1978">
        <v>991.1</v>
      </c>
      <c r="G1978">
        <v>274.13</v>
      </c>
      <c r="H1978" t="s">
        <v>13</v>
      </c>
      <c r="I1978" t="s">
        <v>29</v>
      </c>
    </row>
    <row r="1979" spans="1:9" x14ac:dyDescent="0.35">
      <c r="A1979" t="s">
        <v>2015</v>
      </c>
      <c r="B1979" s="1">
        <v>45257</v>
      </c>
      <c r="C1979" t="s">
        <v>16</v>
      </c>
      <c r="D1979" t="s">
        <v>33</v>
      </c>
      <c r="E1979" t="s">
        <v>18</v>
      </c>
      <c r="F1979">
        <v>532.74</v>
      </c>
      <c r="G1979">
        <v>50.54</v>
      </c>
      <c r="H1979" t="s">
        <v>19</v>
      </c>
      <c r="I1979" t="s">
        <v>29</v>
      </c>
    </row>
    <row r="1980" spans="1:9" x14ac:dyDescent="0.35">
      <c r="A1980" t="s">
        <v>2016</v>
      </c>
      <c r="B1980" s="1">
        <v>44958</v>
      </c>
      <c r="C1980" t="s">
        <v>16</v>
      </c>
      <c r="D1980" t="s">
        <v>23</v>
      </c>
      <c r="E1980" t="s">
        <v>18</v>
      </c>
      <c r="F1980">
        <v>1300.02</v>
      </c>
      <c r="G1980">
        <v>125.38</v>
      </c>
      <c r="H1980" t="s">
        <v>28</v>
      </c>
      <c r="I1980" t="s">
        <v>20</v>
      </c>
    </row>
    <row r="1981" spans="1:9" x14ac:dyDescent="0.35">
      <c r="A1981" t="s">
        <v>2017</v>
      </c>
      <c r="B1981" s="1">
        <v>45025</v>
      </c>
      <c r="C1981" t="s">
        <v>22</v>
      </c>
      <c r="D1981" t="s">
        <v>95</v>
      </c>
      <c r="E1981" t="s">
        <v>18</v>
      </c>
      <c r="F1981">
        <v>524.63</v>
      </c>
      <c r="G1981">
        <v>40.869999999999997</v>
      </c>
      <c r="H1981" t="s">
        <v>19</v>
      </c>
      <c r="I1981" t="s">
        <v>20</v>
      </c>
    </row>
    <row r="1982" spans="1:9" x14ac:dyDescent="0.35">
      <c r="A1982" t="s">
        <v>2018</v>
      </c>
      <c r="B1982" s="1">
        <v>44774</v>
      </c>
      <c r="C1982" t="s">
        <v>25</v>
      </c>
      <c r="D1982" t="s">
        <v>57</v>
      </c>
      <c r="E1982" t="s">
        <v>27</v>
      </c>
      <c r="F1982">
        <v>564.39</v>
      </c>
      <c r="G1982">
        <v>83.87</v>
      </c>
      <c r="H1982" t="s">
        <v>28</v>
      </c>
      <c r="I1982" t="s">
        <v>20</v>
      </c>
    </row>
    <row r="1983" spans="1:9" x14ac:dyDescent="0.35">
      <c r="A1983" t="s">
        <v>2019</v>
      </c>
      <c r="B1983" s="1">
        <v>45503</v>
      </c>
      <c r="C1983" t="s">
        <v>25</v>
      </c>
      <c r="D1983" t="s">
        <v>62</v>
      </c>
      <c r="E1983" t="s">
        <v>27</v>
      </c>
      <c r="F1983">
        <v>1815.24</v>
      </c>
      <c r="G1983">
        <v>353.08</v>
      </c>
      <c r="H1983" t="s">
        <v>19</v>
      </c>
      <c r="I1983" t="s">
        <v>20</v>
      </c>
    </row>
    <row r="1984" spans="1:9" x14ac:dyDescent="0.35">
      <c r="A1984" t="s">
        <v>2020</v>
      </c>
      <c r="B1984" s="1">
        <v>44705</v>
      </c>
      <c r="C1984" t="s">
        <v>22</v>
      </c>
      <c r="D1984" t="s">
        <v>97</v>
      </c>
      <c r="E1984" t="s">
        <v>27</v>
      </c>
      <c r="F1984">
        <v>1047.1600000000001</v>
      </c>
      <c r="G1984">
        <v>187.21</v>
      </c>
      <c r="H1984" t="s">
        <v>19</v>
      </c>
      <c r="I1984" t="s">
        <v>34</v>
      </c>
    </row>
    <row r="1985" spans="1:9" x14ac:dyDescent="0.35">
      <c r="A1985" t="s">
        <v>2021</v>
      </c>
      <c r="B1985" s="1">
        <v>45240</v>
      </c>
      <c r="C1985" t="s">
        <v>10</v>
      </c>
      <c r="D1985" t="s">
        <v>11</v>
      </c>
      <c r="E1985" t="s">
        <v>12</v>
      </c>
      <c r="F1985">
        <v>451.3</v>
      </c>
      <c r="G1985">
        <v>43.45</v>
      </c>
      <c r="H1985" t="s">
        <v>13</v>
      </c>
      <c r="I1985" t="s">
        <v>20</v>
      </c>
    </row>
    <row r="1986" spans="1:9" x14ac:dyDescent="0.35">
      <c r="A1986" t="s">
        <v>2022</v>
      </c>
      <c r="B1986" s="1">
        <v>44944</v>
      </c>
      <c r="C1986" t="s">
        <v>16</v>
      </c>
      <c r="D1986" t="s">
        <v>50</v>
      </c>
      <c r="E1986" t="s">
        <v>12</v>
      </c>
      <c r="F1986">
        <v>1576.46</v>
      </c>
      <c r="G1986">
        <v>428.27</v>
      </c>
      <c r="H1986" t="s">
        <v>28</v>
      </c>
      <c r="I1986" t="s">
        <v>14</v>
      </c>
    </row>
    <row r="1987" spans="1:9" x14ac:dyDescent="0.35">
      <c r="A1987" t="s">
        <v>2023</v>
      </c>
      <c r="B1987" s="1">
        <v>45454</v>
      </c>
      <c r="C1987" t="s">
        <v>16</v>
      </c>
      <c r="D1987" t="s">
        <v>23</v>
      </c>
      <c r="E1987" t="s">
        <v>18</v>
      </c>
      <c r="F1987">
        <v>1549.16</v>
      </c>
      <c r="G1987">
        <v>158.91</v>
      </c>
      <c r="H1987" t="s">
        <v>19</v>
      </c>
      <c r="I1987" t="s">
        <v>14</v>
      </c>
    </row>
    <row r="1988" spans="1:9" x14ac:dyDescent="0.35">
      <c r="A1988" t="s">
        <v>2024</v>
      </c>
      <c r="B1988" s="1">
        <v>44787</v>
      </c>
      <c r="C1988" t="s">
        <v>25</v>
      </c>
      <c r="D1988" t="s">
        <v>95</v>
      </c>
      <c r="E1988" t="s">
        <v>18</v>
      </c>
      <c r="F1988">
        <v>1739.3</v>
      </c>
      <c r="G1988">
        <v>420.46</v>
      </c>
      <c r="H1988" t="s">
        <v>28</v>
      </c>
      <c r="I1988" t="s">
        <v>34</v>
      </c>
    </row>
    <row r="1989" spans="1:9" x14ac:dyDescent="0.35">
      <c r="A1989" t="s">
        <v>2025</v>
      </c>
      <c r="B1989" s="1">
        <v>44894</v>
      </c>
      <c r="C1989" t="s">
        <v>22</v>
      </c>
      <c r="D1989" t="s">
        <v>73</v>
      </c>
      <c r="E1989" t="s">
        <v>27</v>
      </c>
      <c r="F1989">
        <v>1364.6</v>
      </c>
      <c r="G1989">
        <v>194.56</v>
      </c>
      <c r="H1989" t="s">
        <v>13</v>
      </c>
      <c r="I1989" t="s">
        <v>29</v>
      </c>
    </row>
    <row r="1990" spans="1:9" x14ac:dyDescent="0.35">
      <c r="A1990" t="s">
        <v>2026</v>
      </c>
      <c r="B1990" s="1">
        <v>45469</v>
      </c>
      <c r="C1990" t="s">
        <v>22</v>
      </c>
      <c r="D1990" t="s">
        <v>26</v>
      </c>
      <c r="E1990" t="s">
        <v>27</v>
      </c>
      <c r="F1990">
        <v>1387.5</v>
      </c>
      <c r="G1990">
        <v>337.47</v>
      </c>
      <c r="H1990" t="s">
        <v>19</v>
      </c>
      <c r="I1990" t="s">
        <v>34</v>
      </c>
    </row>
    <row r="1991" spans="1:9" x14ac:dyDescent="0.35">
      <c r="A1991" t="s">
        <v>2027</v>
      </c>
      <c r="B1991" s="1">
        <v>45562</v>
      </c>
      <c r="C1991" t="s">
        <v>25</v>
      </c>
      <c r="D1991" t="s">
        <v>11</v>
      </c>
      <c r="E1991" t="s">
        <v>12</v>
      </c>
      <c r="F1991">
        <v>1545.46</v>
      </c>
      <c r="G1991">
        <v>463.62</v>
      </c>
      <c r="H1991" t="s">
        <v>28</v>
      </c>
      <c r="I1991" t="s">
        <v>29</v>
      </c>
    </row>
    <row r="1992" spans="1:9" x14ac:dyDescent="0.35">
      <c r="A1992" t="s">
        <v>2028</v>
      </c>
      <c r="B1992" s="1">
        <v>45328</v>
      </c>
      <c r="C1992" t="s">
        <v>25</v>
      </c>
      <c r="D1992" t="s">
        <v>46</v>
      </c>
      <c r="E1992" t="s">
        <v>18</v>
      </c>
      <c r="F1992">
        <v>962.35</v>
      </c>
      <c r="G1992">
        <v>262.73</v>
      </c>
      <c r="H1992" t="s">
        <v>13</v>
      </c>
      <c r="I1992" t="s">
        <v>20</v>
      </c>
    </row>
    <row r="1993" spans="1:9" x14ac:dyDescent="0.35">
      <c r="A1993" t="s">
        <v>2029</v>
      </c>
      <c r="B1993" s="1">
        <v>45001</v>
      </c>
      <c r="C1993" t="s">
        <v>22</v>
      </c>
      <c r="D1993" t="s">
        <v>46</v>
      </c>
      <c r="E1993" t="s">
        <v>18</v>
      </c>
      <c r="F1993">
        <v>1538.98</v>
      </c>
      <c r="G1993">
        <v>298.49</v>
      </c>
      <c r="H1993" t="s">
        <v>13</v>
      </c>
      <c r="I1993" t="s">
        <v>14</v>
      </c>
    </row>
    <row r="1994" spans="1:9" x14ac:dyDescent="0.35">
      <c r="A1994" t="s">
        <v>2030</v>
      </c>
      <c r="B1994" s="1">
        <v>44763</v>
      </c>
      <c r="C1994" t="s">
        <v>22</v>
      </c>
      <c r="D1994" t="s">
        <v>11</v>
      </c>
      <c r="E1994" t="s">
        <v>12</v>
      </c>
      <c r="F1994">
        <v>655.49</v>
      </c>
      <c r="G1994">
        <v>158.83000000000001</v>
      </c>
      <c r="H1994" t="s">
        <v>13</v>
      </c>
      <c r="I1994" t="s">
        <v>14</v>
      </c>
    </row>
    <row r="1995" spans="1:9" x14ac:dyDescent="0.35">
      <c r="A1995" t="s">
        <v>2031</v>
      </c>
      <c r="B1995" s="1">
        <v>44580</v>
      </c>
      <c r="C1995" t="s">
        <v>16</v>
      </c>
      <c r="D1995" t="s">
        <v>62</v>
      </c>
      <c r="E1995" t="s">
        <v>27</v>
      </c>
      <c r="F1995">
        <v>1141.31</v>
      </c>
      <c r="G1995">
        <v>264.77999999999997</v>
      </c>
      <c r="H1995" t="s">
        <v>19</v>
      </c>
      <c r="I1995" t="s">
        <v>29</v>
      </c>
    </row>
    <row r="1996" spans="1:9" x14ac:dyDescent="0.35">
      <c r="A1996" t="s">
        <v>2032</v>
      </c>
      <c r="B1996" s="1">
        <v>44741</v>
      </c>
      <c r="C1996" t="s">
        <v>25</v>
      </c>
      <c r="D1996" t="s">
        <v>46</v>
      </c>
      <c r="E1996" t="s">
        <v>18</v>
      </c>
      <c r="F1996">
        <v>175.1</v>
      </c>
      <c r="G1996">
        <v>19.559999999999999</v>
      </c>
      <c r="H1996" t="s">
        <v>28</v>
      </c>
      <c r="I1996" t="s">
        <v>29</v>
      </c>
    </row>
    <row r="1997" spans="1:9" x14ac:dyDescent="0.35">
      <c r="A1997" t="s">
        <v>2033</v>
      </c>
      <c r="B1997" s="1">
        <v>45408</v>
      </c>
      <c r="C1997" t="s">
        <v>10</v>
      </c>
      <c r="D1997" t="s">
        <v>62</v>
      </c>
      <c r="E1997" t="s">
        <v>27</v>
      </c>
      <c r="F1997">
        <v>1974.86</v>
      </c>
      <c r="G1997">
        <v>227.64</v>
      </c>
      <c r="H1997" t="s">
        <v>19</v>
      </c>
      <c r="I1997" t="s">
        <v>29</v>
      </c>
    </row>
    <row r="1998" spans="1:9" x14ac:dyDescent="0.35">
      <c r="A1998" t="s">
        <v>2034</v>
      </c>
      <c r="B1998" s="1">
        <v>45366</v>
      </c>
      <c r="C1998" t="s">
        <v>16</v>
      </c>
      <c r="D1998" t="s">
        <v>95</v>
      </c>
      <c r="E1998" t="s">
        <v>18</v>
      </c>
      <c r="F1998">
        <v>923.53</v>
      </c>
      <c r="G1998">
        <v>149.83000000000001</v>
      </c>
      <c r="H1998" t="s">
        <v>13</v>
      </c>
      <c r="I1998" t="s">
        <v>14</v>
      </c>
    </row>
    <row r="1999" spans="1:9" x14ac:dyDescent="0.35">
      <c r="A1999" t="s">
        <v>2035</v>
      </c>
      <c r="B1999" s="1">
        <v>45047</v>
      </c>
      <c r="C1999" t="s">
        <v>10</v>
      </c>
      <c r="D1999" t="s">
        <v>33</v>
      </c>
      <c r="E1999" t="s">
        <v>18</v>
      </c>
      <c r="F1999">
        <v>903.63</v>
      </c>
      <c r="G1999">
        <v>255.8</v>
      </c>
      <c r="H1999" t="s">
        <v>13</v>
      </c>
      <c r="I1999" t="s">
        <v>20</v>
      </c>
    </row>
    <row r="2000" spans="1:9" x14ac:dyDescent="0.35">
      <c r="A2000" t="s">
        <v>2036</v>
      </c>
      <c r="B2000" s="1">
        <v>45389</v>
      </c>
      <c r="C2000" t="s">
        <v>25</v>
      </c>
      <c r="D2000" t="s">
        <v>62</v>
      </c>
      <c r="E2000" t="s">
        <v>27</v>
      </c>
      <c r="F2000">
        <v>1497.4</v>
      </c>
      <c r="G2000">
        <v>153.57</v>
      </c>
      <c r="H2000" t="s">
        <v>13</v>
      </c>
      <c r="I2000" t="s">
        <v>14</v>
      </c>
    </row>
    <row r="2001" spans="1:9" x14ac:dyDescent="0.35">
      <c r="A2001" t="s">
        <v>2037</v>
      </c>
      <c r="B2001" s="1">
        <v>45458</v>
      </c>
      <c r="C2001" t="s">
        <v>16</v>
      </c>
      <c r="D2001" t="s">
        <v>41</v>
      </c>
      <c r="E2001" t="s">
        <v>12</v>
      </c>
      <c r="F2001">
        <v>310.52</v>
      </c>
      <c r="G2001">
        <v>17.07</v>
      </c>
      <c r="H2001" t="s">
        <v>28</v>
      </c>
      <c r="I2001" t="s">
        <v>29</v>
      </c>
    </row>
    <row r="2002" spans="1:9" x14ac:dyDescent="0.35">
      <c r="A2002" t="s">
        <v>2038</v>
      </c>
      <c r="B2002" s="1">
        <v>44688</v>
      </c>
      <c r="C2002" t="s">
        <v>22</v>
      </c>
      <c r="D2002" t="s">
        <v>95</v>
      </c>
      <c r="E2002" t="s">
        <v>18</v>
      </c>
      <c r="F2002">
        <v>1759.18</v>
      </c>
      <c r="G2002">
        <v>174.2</v>
      </c>
      <c r="H2002" t="s">
        <v>19</v>
      </c>
      <c r="I2002" t="s">
        <v>14</v>
      </c>
    </row>
    <row r="2003" spans="1:9" x14ac:dyDescent="0.35">
      <c r="A2003" t="s">
        <v>2039</v>
      </c>
      <c r="B2003" s="1">
        <v>44709</v>
      </c>
      <c r="C2003" t="s">
        <v>22</v>
      </c>
      <c r="D2003" t="s">
        <v>31</v>
      </c>
      <c r="E2003" t="s">
        <v>12</v>
      </c>
      <c r="F2003">
        <v>1214.8499999999999</v>
      </c>
      <c r="G2003">
        <v>332.58</v>
      </c>
      <c r="H2003" t="s">
        <v>13</v>
      </c>
      <c r="I2003" t="s">
        <v>14</v>
      </c>
    </row>
    <row r="2004" spans="1:9" x14ac:dyDescent="0.35">
      <c r="A2004" t="s">
        <v>2040</v>
      </c>
      <c r="B2004" s="1">
        <v>45069</v>
      </c>
      <c r="C2004" t="s">
        <v>25</v>
      </c>
      <c r="D2004" t="s">
        <v>17</v>
      </c>
      <c r="E2004" t="s">
        <v>18</v>
      </c>
      <c r="F2004">
        <v>1182.9000000000001</v>
      </c>
      <c r="G2004">
        <v>268.33999999999997</v>
      </c>
      <c r="H2004" t="s">
        <v>19</v>
      </c>
      <c r="I2004" t="s">
        <v>34</v>
      </c>
    </row>
    <row r="2005" spans="1:9" x14ac:dyDescent="0.35">
      <c r="A2005" t="s">
        <v>2041</v>
      </c>
      <c r="B2005" s="1">
        <v>45595</v>
      </c>
      <c r="C2005" t="s">
        <v>25</v>
      </c>
      <c r="D2005" t="s">
        <v>23</v>
      </c>
      <c r="E2005" t="s">
        <v>18</v>
      </c>
      <c r="F2005">
        <v>1355.53</v>
      </c>
      <c r="G2005">
        <v>324.61</v>
      </c>
      <c r="H2005" t="s">
        <v>19</v>
      </c>
      <c r="I2005" t="s">
        <v>29</v>
      </c>
    </row>
    <row r="2006" spans="1:9" x14ac:dyDescent="0.35">
      <c r="A2006" t="s">
        <v>2042</v>
      </c>
      <c r="B2006" s="1">
        <v>45574</v>
      </c>
      <c r="C2006" t="s">
        <v>16</v>
      </c>
      <c r="D2006" t="s">
        <v>11</v>
      </c>
      <c r="E2006" t="s">
        <v>12</v>
      </c>
      <c r="F2006">
        <v>594.09</v>
      </c>
      <c r="G2006">
        <v>78.38</v>
      </c>
      <c r="H2006" t="s">
        <v>19</v>
      </c>
      <c r="I2006" t="s">
        <v>20</v>
      </c>
    </row>
    <row r="2007" spans="1:9" x14ac:dyDescent="0.35">
      <c r="A2007" t="s">
        <v>2043</v>
      </c>
      <c r="B2007" s="1">
        <v>45426</v>
      </c>
      <c r="C2007" t="s">
        <v>25</v>
      </c>
      <c r="D2007" t="s">
        <v>11</v>
      </c>
      <c r="E2007" t="s">
        <v>12</v>
      </c>
      <c r="F2007">
        <v>1754.86</v>
      </c>
      <c r="G2007">
        <v>365.05</v>
      </c>
      <c r="H2007" t="s">
        <v>28</v>
      </c>
      <c r="I2007" t="s">
        <v>20</v>
      </c>
    </row>
    <row r="2008" spans="1:9" x14ac:dyDescent="0.35">
      <c r="A2008" t="s">
        <v>2044</v>
      </c>
      <c r="B2008" s="1">
        <v>44700</v>
      </c>
      <c r="C2008" t="s">
        <v>22</v>
      </c>
      <c r="D2008" t="s">
        <v>97</v>
      </c>
      <c r="E2008" t="s">
        <v>27</v>
      </c>
      <c r="F2008">
        <v>1937.21</v>
      </c>
      <c r="G2008">
        <v>295.86</v>
      </c>
      <c r="H2008" t="s">
        <v>13</v>
      </c>
      <c r="I2008" t="s">
        <v>20</v>
      </c>
    </row>
    <row r="2009" spans="1:9" x14ac:dyDescent="0.35">
      <c r="A2009" t="s">
        <v>2045</v>
      </c>
      <c r="B2009" s="1">
        <v>44707</v>
      </c>
      <c r="C2009" t="s">
        <v>16</v>
      </c>
      <c r="D2009" t="s">
        <v>50</v>
      </c>
      <c r="E2009" t="s">
        <v>12</v>
      </c>
      <c r="F2009">
        <v>1559.15</v>
      </c>
      <c r="G2009">
        <v>118.45</v>
      </c>
      <c r="H2009" t="s">
        <v>28</v>
      </c>
      <c r="I2009" t="s">
        <v>29</v>
      </c>
    </row>
    <row r="2010" spans="1:9" x14ac:dyDescent="0.35">
      <c r="A2010" t="s">
        <v>2046</v>
      </c>
      <c r="B2010" s="1">
        <v>45395</v>
      </c>
      <c r="C2010" t="s">
        <v>16</v>
      </c>
      <c r="D2010" t="s">
        <v>41</v>
      </c>
      <c r="E2010" t="s">
        <v>12</v>
      </c>
      <c r="F2010">
        <v>338.25</v>
      </c>
      <c r="G2010">
        <v>45.12</v>
      </c>
      <c r="H2010" t="s">
        <v>19</v>
      </c>
      <c r="I2010" t="s">
        <v>34</v>
      </c>
    </row>
    <row r="2011" spans="1:9" x14ac:dyDescent="0.35">
      <c r="A2011" t="s">
        <v>2047</v>
      </c>
      <c r="B2011" s="1">
        <v>44820</v>
      </c>
      <c r="C2011" t="s">
        <v>10</v>
      </c>
      <c r="D2011" t="s">
        <v>26</v>
      </c>
      <c r="E2011" t="s">
        <v>27</v>
      </c>
      <c r="F2011">
        <v>545.89</v>
      </c>
      <c r="G2011">
        <v>74.709999999999994</v>
      </c>
      <c r="H2011" t="s">
        <v>28</v>
      </c>
      <c r="I2011" t="s">
        <v>14</v>
      </c>
    </row>
    <row r="2012" spans="1:9" x14ac:dyDescent="0.35">
      <c r="A2012" t="s">
        <v>2048</v>
      </c>
      <c r="B2012" s="1">
        <v>45589</v>
      </c>
      <c r="C2012" t="s">
        <v>16</v>
      </c>
      <c r="D2012" t="s">
        <v>33</v>
      </c>
      <c r="E2012" t="s">
        <v>18</v>
      </c>
      <c r="F2012">
        <v>51.14</v>
      </c>
      <c r="G2012">
        <v>5.24</v>
      </c>
      <c r="H2012" t="s">
        <v>19</v>
      </c>
      <c r="I2012" t="s">
        <v>34</v>
      </c>
    </row>
    <row r="2013" spans="1:9" x14ac:dyDescent="0.35">
      <c r="A2013" t="s">
        <v>2049</v>
      </c>
      <c r="B2013" s="1">
        <v>45420</v>
      </c>
      <c r="C2013" t="s">
        <v>16</v>
      </c>
      <c r="D2013" t="s">
        <v>38</v>
      </c>
      <c r="E2013" t="s">
        <v>12</v>
      </c>
      <c r="F2013">
        <v>1347.79</v>
      </c>
      <c r="G2013">
        <v>255.21</v>
      </c>
      <c r="H2013" t="s">
        <v>19</v>
      </c>
      <c r="I2013" t="s">
        <v>29</v>
      </c>
    </row>
    <row r="2014" spans="1:9" x14ac:dyDescent="0.35">
      <c r="A2014" t="s">
        <v>2050</v>
      </c>
      <c r="B2014" s="1">
        <v>45370</v>
      </c>
      <c r="C2014" t="s">
        <v>22</v>
      </c>
      <c r="D2014" t="s">
        <v>41</v>
      </c>
      <c r="E2014" t="s">
        <v>12</v>
      </c>
      <c r="F2014">
        <v>1901.48</v>
      </c>
      <c r="G2014">
        <v>567.21</v>
      </c>
      <c r="H2014" t="s">
        <v>13</v>
      </c>
      <c r="I2014" t="s">
        <v>14</v>
      </c>
    </row>
    <row r="2015" spans="1:9" x14ac:dyDescent="0.35">
      <c r="A2015" t="s">
        <v>2051</v>
      </c>
      <c r="B2015" s="1">
        <v>45222</v>
      </c>
      <c r="C2015" t="s">
        <v>16</v>
      </c>
      <c r="D2015" t="s">
        <v>23</v>
      </c>
      <c r="E2015" t="s">
        <v>18</v>
      </c>
      <c r="F2015">
        <v>337.89</v>
      </c>
      <c r="G2015">
        <v>49.69</v>
      </c>
      <c r="H2015" t="s">
        <v>19</v>
      </c>
      <c r="I2015" t="s">
        <v>29</v>
      </c>
    </row>
    <row r="2016" spans="1:9" x14ac:dyDescent="0.35">
      <c r="A2016" t="s">
        <v>2052</v>
      </c>
      <c r="B2016" s="1">
        <v>45270</v>
      </c>
      <c r="C2016" t="s">
        <v>16</v>
      </c>
      <c r="D2016" t="s">
        <v>17</v>
      </c>
      <c r="E2016" t="s">
        <v>18</v>
      </c>
      <c r="F2016">
        <v>426.21</v>
      </c>
      <c r="G2016">
        <v>72.680000000000007</v>
      </c>
      <c r="H2016" t="s">
        <v>19</v>
      </c>
      <c r="I2016" t="s">
        <v>34</v>
      </c>
    </row>
    <row r="2017" spans="1:9" x14ac:dyDescent="0.35">
      <c r="A2017" t="s">
        <v>2053</v>
      </c>
      <c r="B2017" s="1">
        <v>45357</v>
      </c>
      <c r="C2017" t="s">
        <v>25</v>
      </c>
      <c r="D2017" t="s">
        <v>95</v>
      </c>
      <c r="E2017" t="s">
        <v>18</v>
      </c>
      <c r="F2017">
        <v>1512.47</v>
      </c>
      <c r="G2017">
        <v>363.63</v>
      </c>
      <c r="H2017" t="s">
        <v>13</v>
      </c>
      <c r="I2017" t="s">
        <v>14</v>
      </c>
    </row>
    <row r="2018" spans="1:9" x14ac:dyDescent="0.35">
      <c r="A2018" t="s">
        <v>2054</v>
      </c>
      <c r="B2018" s="1">
        <v>44579</v>
      </c>
      <c r="C2018" t="s">
        <v>10</v>
      </c>
      <c r="D2018" t="s">
        <v>95</v>
      </c>
      <c r="E2018" t="s">
        <v>18</v>
      </c>
      <c r="F2018">
        <v>336.21</v>
      </c>
      <c r="G2018">
        <v>75.290000000000006</v>
      </c>
      <c r="H2018" t="s">
        <v>19</v>
      </c>
      <c r="I2018" t="s">
        <v>34</v>
      </c>
    </row>
    <row r="2019" spans="1:9" x14ac:dyDescent="0.35">
      <c r="A2019" t="s">
        <v>2055</v>
      </c>
      <c r="B2019" s="1">
        <v>45602</v>
      </c>
      <c r="C2019" t="s">
        <v>25</v>
      </c>
      <c r="D2019" t="s">
        <v>73</v>
      </c>
      <c r="E2019" t="s">
        <v>27</v>
      </c>
      <c r="F2019">
        <v>733.12</v>
      </c>
      <c r="G2019">
        <v>56.37</v>
      </c>
      <c r="H2019" t="s">
        <v>13</v>
      </c>
      <c r="I2019" t="s">
        <v>14</v>
      </c>
    </row>
    <row r="2020" spans="1:9" x14ac:dyDescent="0.35">
      <c r="A2020" t="s">
        <v>2056</v>
      </c>
      <c r="B2020" s="1">
        <v>45451</v>
      </c>
      <c r="C2020" t="s">
        <v>25</v>
      </c>
      <c r="D2020" t="s">
        <v>95</v>
      </c>
      <c r="E2020" t="s">
        <v>18</v>
      </c>
      <c r="F2020">
        <v>294.05</v>
      </c>
      <c r="G2020">
        <v>61.06</v>
      </c>
      <c r="H2020" t="s">
        <v>13</v>
      </c>
      <c r="I2020" t="s">
        <v>20</v>
      </c>
    </row>
    <row r="2021" spans="1:9" x14ac:dyDescent="0.35">
      <c r="A2021" t="s">
        <v>2057</v>
      </c>
      <c r="B2021" s="1">
        <v>45291</v>
      </c>
      <c r="C2021" t="s">
        <v>10</v>
      </c>
      <c r="D2021" t="s">
        <v>11</v>
      </c>
      <c r="E2021" t="s">
        <v>12</v>
      </c>
      <c r="F2021">
        <v>1367.54</v>
      </c>
      <c r="G2021">
        <v>71.180000000000007</v>
      </c>
      <c r="H2021" t="s">
        <v>28</v>
      </c>
      <c r="I2021" t="s">
        <v>20</v>
      </c>
    </row>
    <row r="2022" spans="1:9" x14ac:dyDescent="0.35">
      <c r="A2022" t="s">
        <v>2058</v>
      </c>
      <c r="B2022" s="1">
        <v>45312</v>
      </c>
      <c r="C2022" t="s">
        <v>16</v>
      </c>
      <c r="D2022" t="s">
        <v>46</v>
      </c>
      <c r="E2022" t="s">
        <v>18</v>
      </c>
      <c r="F2022">
        <v>1911.04</v>
      </c>
      <c r="G2022">
        <v>422.08</v>
      </c>
      <c r="H2022" t="s">
        <v>13</v>
      </c>
      <c r="I2022" t="s">
        <v>14</v>
      </c>
    </row>
    <row r="2023" spans="1:9" x14ac:dyDescent="0.35">
      <c r="A2023" t="s">
        <v>2059</v>
      </c>
      <c r="B2023" s="1">
        <v>44742</v>
      </c>
      <c r="C2023" t="s">
        <v>25</v>
      </c>
      <c r="D2023" t="s">
        <v>73</v>
      </c>
      <c r="E2023" t="s">
        <v>27</v>
      </c>
      <c r="F2023">
        <v>1216.8499999999999</v>
      </c>
      <c r="G2023">
        <v>86.5</v>
      </c>
      <c r="H2023" t="s">
        <v>28</v>
      </c>
      <c r="I2023" t="s">
        <v>20</v>
      </c>
    </row>
    <row r="2024" spans="1:9" x14ac:dyDescent="0.35">
      <c r="A2024" t="s">
        <v>2060</v>
      </c>
      <c r="B2024" s="1">
        <v>45104</v>
      </c>
      <c r="C2024" t="s">
        <v>16</v>
      </c>
      <c r="D2024" t="s">
        <v>62</v>
      </c>
      <c r="E2024" t="s">
        <v>27</v>
      </c>
      <c r="F2024">
        <v>1409.91</v>
      </c>
      <c r="G2024">
        <v>362.42</v>
      </c>
      <c r="H2024" t="s">
        <v>13</v>
      </c>
      <c r="I2024" t="s">
        <v>20</v>
      </c>
    </row>
    <row r="2025" spans="1:9" x14ac:dyDescent="0.35">
      <c r="A2025" t="s">
        <v>2061</v>
      </c>
      <c r="B2025" s="1">
        <v>44858</v>
      </c>
      <c r="C2025" t="s">
        <v>22</v>
      </c>
      <c r="D2025" t="s">
        <v>46</v>
      </c>
      <c r="E2025" t="s">
        <v>18</v>
      </c>
      <c r="F2025">
        <v>657.29</v>
      </c>
      <c r="G2025">
        <v>147.94</v>
      </c>
      <c r="H2025" t="s">
        <v>19</v>
      </c>
      <c r="I2025" t="s">
        <v>20</v>
      </c>
    </row>
    <row r="2026" spans="1:9" x14ac:dyDescent="0.35">
      <c r="A2026" t="s">
        <v>2062</v>
      </c>
      <c r="B2026" s="1">
        <v>44766</v>
      </c>
      <c r="C2026" t="s">
        <v>22</v>
      </c>
      <c r="D2026" t="s">
        <v>41</v>
      </c>
      <c r="E2026" t="s">
        <v>12</v>
      </c>
      <c r="F2026">
        <v>521.05999999999995</v>
      </c>
      <c r="G2026">
        <v>45.05</v>
      </c>
      <c r="H2026" t="s">
        <v>13</v>
      </c>
      <c r="I2026" t="s">
        <v>14</v>
      </c>
    </row>
    <row r="2027" spans="1:9" x14ac:dyDescent="0.35">
      <c r="A2027" t="s">
        <v>2063</v>
      </c>
      <c r="B2027" s="1">
        <v>45281</v>
      </c>
      <c r="C2027" t="s">
        <v>25</v>
      </c>
      <c r="D2027" t="s">
        <v>62</v>
      </c>
      <c r="E2027" t="s">
        <v>27</v>
      </c>
      <c r="F2027">
        <v>1696.93</v>
      </c>
      <c r="G2027">
        <v>287.95</v>
      </c>
      <c r="H2027" t="s">
        <v>13</v>
      </c>
      <c r="I2027" t="s">
        <v>14</v>
      </c>
    </row>
    <row r="2028" spans="1:9" x14ac:dyDescent="0.35">
      <c r="A2028" t="s">
        <v>2064</v>
      </c>
      <c r="B2028" s="1">
        <v>45643</v>
      </c>
      <c r="C2028" t="s">
        <v>16</v>
      </c>
      <c r="D2028" t="s">
        <v>62</v>
      </c>
      <c r="E2028" t="s">
        <v>27</v>
      </c>
      <c r="F2028">
        <v>1245.27</v>
      </c>
      <c r="G2028">
        <v>331.44</v>
      </c>
      <c r="H2028" t="s">
        <v>19</v>
      </c>
      <c r="I2028" t="s">
        <v>20</v>
      </c>
    </row>
    <row r="2029" spans="1:9" x14ac:dyDescent="0.35">
      <c r="A2029" t="s">
        <v>2065</v>
      </c>
      <c r="B2029" s="1">
        <v>44843</v>
      </c>
      <c r="C2029" t="s">
        <v>25</v>
      </c>
      <c r="D2029" t="s">
        <v>38</v>
      </c>
      <c r="E2029" t="s">
        <v>12</v>
      </c>
      <c r="F2029">
        <v>339.35</v>
      </c>
      <c r="G2029">
        <v>60.01</v>
      </c>
      <c r="H2029" t="s">
        <v>13</v>
      </c>
      <c r="I2029" t="s">
        <v>29</v>
      </c>
    </row>
    <row r="2030" spans="1:9" x14ac:dyDescent="0.35">
      <c r="A2030" t="s">
        <v>2066</v>
      </c>
      <c r="B2030" s="1">
        <v>45567</v>
      </c>
      <c r="C2030" t="s">
        <v>16</v>
      </c>
      <c r="D2030" t="s">
        <v>95</v>
      </c>
      <c r="E2030" t="s">
        <v>18</v>
      </c>
      <c r="F2030">
        <v>535.64</v>
      </c>
      <c r="G2030">
        <v>33.99</v>
      </c>
      <c r="H2030" t="s">
        <v>28</v>
      </c>
      <c r="I2030" t="s">
        <v>14</v>
      </c>
    </row>
    <row r="2031" spans="1:9" x14ac:dyDescent="0.35">
      <c r="A2031" t="s">
        <v>2067</v>
      </c>
      <c r="B2031" s="1">
        <v>45587</v>
      </c>
      <c r="C2031" t="s">
        <v>22</v>
      </c>
      <c r="D2031" t="s">
        <v>17</v>
      </c>
      <c r="E2031" t="s">
        <v>18</v>
      </c>
      <c r="F2031">
        <v>904.81</v>
      </c>
      <c r="G2031">
        <v>200.18</v>
      </c>
      <c r="H2031" t="s">
        <v>28</v>
      </c>
      <c r="I2031" t="s">
        <v>29</v>
      </c>
    </row>
    <row r="2032" spans="1:9" x14ac:dyDescent="0.35">
      <c r="A2032" t="s">
        <v>2068</v>
      </c>
      <c r="B2032" s="1">
        <v>44722</v>
      </c>
      <c r="C2032" t="s">
        <v>10</v>
      </c>
      <c r="D2032" t="s">
        <v>31</v>
      </c>
      <c r="E2032" t="s">
        <v>12</v>
      </c>
      <c r="F2032">
        <v>69.849999999999994</v>
      </c>
      <c r="G2032">
        <v>13.9</v>
      </c>
      <c r="H2032" t="s">
        <v>28</v>
      </c>
      <c r="I2032" t="s">
        <v>29</v>
      </c>
    </row>
    <row r="2033" spans="1:9" x14ac:dyDescent="0.35">
      <c r="A2033" t="s">
        <v>2069</v>
      </c>
      <c r="B2033" s="1">
        <v>45282</v>
      </c>
      <c r="C2033" t="s">
        <v>22</v>
      </c>
      <c r="D2033" t="s">
        <v>95</v>
      </c>
      <c r="E2033" t="s">
        <v>18</v>
      </c>
      <c r="F2033">
        <v>844.94</v>
      </c>
      <c r="G2033">
        <v>152.93</v>
      </c>
      <c r="H2033" t="s">
        <v>19</v>
      </c>
      <c r="I2033" t="s">
        <v>34</v>
      </c>
    </row>
    <row r="2034" spans="1:9" x14ac:dyDescent="0.35">
      <c r="A2034" t="s">
        <v>2070</v>
      </c>
      <c r="B2034" s="1">
        <v>45084</v>
      </c>
      <c r="C2034" t="s">
        <v>25</v>
      </c>
      <c r="D2034" t="s">
        <v>73</v>
      </c>
      <c r="E2034" t="s">
        <v>27</v>
      </c>
      <c r="F2034">
        <v>1488.85</v>
      </c>
      <c r="G2034">
        <v>214.25</v>
      </c>
      <c r="H2034" t="s">
        <v>28</v>
      </c>
      <c r="I2034" t="s">
        <v>34</v>
      </c>
    </row>
    <row r="2035" spans="1:9" x14ac:dyDescent="0.35">
      <c r="A2035" t="s">
        <v>2071</v>
      </c>
      <c r="B2035" s="1">
        <v>44607</v>
      </c>
      <c r="C2035" t="s">
        <v>16</v>
      </c>
      <c r="D2035" t="s">
        <v>31</v>
      </c>
      <c r="E2035" t="s">
        <v>12</v>
      </c>
      <c r="F2035">
        <v>451.71</v>
      </c>
      <c r="G2035">
        <v>56.03</v>
      </c>
      <c r="H2035" t="s">
        <v>13</v>
      </c>
      <c r="I2035" t="s">
        <v>14</v>
      </c>
    </row>
    <row r="2036" spans="1:9" x14ac:dyDescent="0.35">
      <c r="A2036" t="s">
        <v>2072</v>
      </c>
      <c r="B2036" s="1">
        <v>45303</v>
      </c>
      <c r="C2036" t="s">
        <v>16</v>
      </c>
      <c r="D2036" t="s">
        <v>97</v>
      </c>
      <c r="E2036" t="s">
        <v>27</v>
      </c>
      <c r="F2036">
        <v>1834.93</v>
      </c>
      <c r="G2036">
        <v>500.31</v>
      </c>
      <c r="H2036" t="s">
        <v>28</v>
      </c>
      <c r="I2036" t="s">
        <v>29</v>
      </c>
    </row>
    <row r="2037" spans="1:9" x14ac:dyDescent="0.35">
      <c r="A2037" t="s">
        <v>2073</v>
      </c>
      <c r="B2037" s="1">
        <v>45394</v>
      </c>
      <c r="C2037" t="s">
        <v>16</v>
      </c>
      <c r="D2037" t="s">
        <v>26</v>
      </c>
      <c r="E2037" t="s">
        <v>27</v>
      </c>
      <c r="F2037">
        <v>342.58</v>
      </c>
      <c r="G2037">
        <v>33.36</v>
      </c>
      <c r="H2037" t="s">
        <v>28</v>
      </c>
      <c r="I2037" t="s">
        <v>20</v>
      </c>
    </row>
    <row r="2038" spans="1:9" x14ac:dyDescent="0.35">
      <c r="A2038" t="s">
        <v>2074</v>
      </c>
      <c r="B2038" s="1">
        <v>45410</v>
      </c>
      <c r="C2038" t="s">
        <v>25</v>
      </c>
      <c r="D2038" t="s">
        <v>41</v>
      </c>
      <c r="E2038" t="s">
        <v>12</v>
      </c>
      <c r="F2038">
        <v>403.31</v>
      </c>
      <c r="G2038">
        <v>93.47</v>
      </c>
      <c r="H2038" t="s">
        <v>28</v>
      </c>
      <c r="I2038" t="s">
        <v>14</v>
      </c>
    </row>
    <row r="2039" spans="1:9" x14ac:dyDescent="0.35">
      <c r="A2039" t="s">
        <v>2075</v>
      </c>
      <c r="B2039" s="1">
        <v>44708</v>
      </c>
      <c r="C2039" t="s">
        <v>25</v>
      </c>
      <c r="D2039" t="s">
        <v>50</v>
      </c>
      <c r="E2039" t="s">
        <v>12</v>
      </c>
      <c r="F2039">
        <v>364.64</v>
      </c>
      <c r="G2039">
        <v>105.08</v>
      </c>
      <c r="H2039" t="s">
        <v>13</v>
      </c>
      <c r="I2039" t="s">
        <v>14</v>
      </c>
    </row>
    <row r="2040" spans="1:9" x14ac:dyDescent="0.35">
      <c r="A2040" t="s">
        <v>2076</v>
      </c>
      <c r="B2040" s="1">
        <v>45446</v>
      </c>
      <c r="C2040" t="s">
        <v>16</v>
      </c>
      <c r="D2040" t="s">
        <v>95</v>
      </c>
      <c r="E2040" t="s">
        <v>18</v>
      </c>
      <c r="F2040">
        <v>862.99</v>
      </c>
      <c r="G2040">
        <v>63.88</v>
      </c>
      <c r="H2040" t="s">
        <v>13</v>
      </c>
      <c r="I2040" t="s">
        <v>14</v>
      </c>
    </row>
    <row r="2041" spans="1:9" x14ac:dyDescent="0.35">
      <c r="A2041" t="s">
        <v>2077</v>
      </c>
      <c r="B2041" s="1">
        <v>45254</v>
      </c>
      <c r="C2041" t="s">
        <v>22</v>
      </c>
      <c r="D2041" t="s">
        <v>11</v>
      </c>
      <c r="E2041" t="s">
        <v>12</v>
      </c>
      <c r="F2041">
        <v>1489.67</v>
      </c>
      <c r="G2041">
        <v>414.11</v>
      </c>
      <c r="H2041" t="s">
        <v>13</v>
      </c>
      <c r="I2041" t="s">
        <v>14</v>
      </c>
    </row>
    <row r="2042" spans="1:9" x14ac:dyDescent="0.35">
      <c r="A2042" t="s">
        <v>2078</v>
      </c>
      <c r="B2042" s="1">
        <v>45182</v>
      </c>
      <c r="C2042" t="s">
        <v>25</v>
      </c>
      <c r="D2042" t="s">
        <v>33</v>
      </c>
      <c r="E2042" t="s">
        <v>18</v>
      </c>
      <c r="F2042">
        <v>715.74</v>
      </c>
      <c r="G2042">
        <v>102.46</v>
      </c>
      <c r="H2042" t="s">
        <v>28</v>
      </c>
      <c r="I2042" t="s">
        <v>14</v>
      </c>
    </row>
    <row r="2043" spans="1:9" x14ac:dyDescent="0.35">
      <c r="A2043" t="s">
        <v>2079</v>
      </c>
      <c r="B2043" s="1">
        <v>44934</v>
      </c>
      <c r="C2043" t="s">
        <v>25</v>
      </c>
      <c r="D2043" t="s">
        <v>73</v>
      </c>
      <c r="E2043" t="s">
        <v>27</v>
      </c>
      <c r="F2043">
        <v>1895.24</v>
      </c>
      <c r="G2043">
        <v>476.97</v>
      </c>
      <c r="H2043" t="s">
        <v>28</v>
      </c>
      <c r="I2043" t="s">
        <v>29</v>
      </c>
    </row>
    <row r="2044" spans="1:9" x14ac:dyDescent="0.35">
      <c r="A2044" t="s">
        <v>2080</v>
      </c>
      <c r="B2044" s="1">
        <v>45364</v>
      </c>
      <c r="C2044" t="s">
        <v>22</v>
      </c>
      <c r="D2044" t="s">
        <v>73</v>
      </c>
      <c r="E2044" t="s">
        <v>27</v>
      </c>
      <c r="F2044">
        <v>1894.44</v>
      </c>
      <c r="G2044">
        <v>437.86</v>
      </c>
      <c r="H2044" t="s">
        <v>19</v>
      </c>
      <c r="I2044" t="s">
        <v>20</v>
      </c>
    </row>
    <row r="2045" spans="1:9" x14ac:dyDescent="0.35">
      <c r="A2045" t="s">
        <v>2081</v>
      </c>
      <c r="B2045" s="1">
        <v>45531</v>
      </c>
      <c r="C2045" t="s">
        <v>25</v>
      </c>
      <c r="D2045" t="s">
        <v>31</v>
      </c>
      <c r="E2045" t="s">
        <v>12</v>
      </c>
      <c r="F2045">
        <v>1385.24</v>
      </c>
      <c r="G2045">
        <v>269.36</v>
      </c>
      <c r="H2045" t="s">
        <v>19</v>
      </c>
      <c r="I2045" t="s">
        <v>14</v>
      </c>
    </row>
    <row r="2046" spans="1:9" x14ac:dyDescent="0.35">
      <c r="A2046" t="s">
        <v>2082</v>
      </c>
      <c r="B2046" s="1">
        <v>44912</v>
      </c>
      <c r="C2046" t="s">
        <v>22</v>
      </c>
      <c r="D2046" t="s">
        <v>57</v>
      </c>
      <c r="E2046" t="s">
        <v>27</v>
      </c>
      <c r="F2046">
        <v>168.15</v>
      </c>
      <c r="G2046">
        <v>9</v>
      </c>
      <c r="H2046" t="s">
        <v>28</v>
      </c>
      <c r="I2046" t="s">
        <v>20</v>
      </c>
    </row>
    <row r="2047" spans="1:9" x14ac:dyDescent="0.35">
      <c r="A2047" t="s">
        <v>2083</v>
      </c>
      <c r="B2047" s="1">
        <v>45118</v>
      </c>
      <c r="C2047" t="s">
        <v>22</v>
      </c>
      <c r="D2047" t="s">
        <v>73</v>
      </c>
      <c r="E2047" t="s">
        <v>27</v>
      </c>
      <c r="F2047">
        <v>1153.42</v>
      </c>
      <c r="G2047">
        <v>338.15</v>
      </c>
      <c r="H2047" t="s">
        <v>19</v>
      </c>
      <c r="I2047" t="s">
        <v>14</v>
      </c>
    </row>
    <row r="2048" spans="1:9" x14ac:dyDescent="0.35">
      <c r="A2048" t="s">
        <v>2084</v>
      </c>
      <c r="B2048" s="1">
        <v>45142</v>
      </c>
      <c r="C2048" t="s">
        <v>10</v>
      </c>
      <c r="D2048" t="s">
        <v>50</v>
      </c>
      <c r="E2048" t="s">
        <v>12</v>
      </c>
      <c r="F2048">
        <v>1377.91</v>
      </c>
      <c r="G2048">
        <v>220.78</v>
      </c>
      <c r="H2048" t="s">
        <v>19</v>
      </c>
      <c r="I2048" t="s">
        <v>14</v>
      </c>
    </row>
    <row r="2049" spans="1:9" x14ac:dyDescent="0.35">
      <c r="A2049" t="s">
        <v>2085</v>
      </c>
      <c r="B2049" s="1">
        <v>44677</v>
      </c>
      <c r="C2049" t="s">
        <v>25</v>
      </c>
      <c r="D2049" t="s">
        <v>23</v>
      </c>
      <c r="E2049" t="s">
        <v>18</v>
      </c>
      <c r="F2049">
        <v>446.78</v>
      </c>
      <c r="G2049">
        <v>63.71</v>
      </c>
      <c r="H2049" t="s">
        <v>19</v>
      </c>
      <c r="I2049" t="s">
        <v>14</v>
      </c>
    </row>
    <row r="2050" spans="1:9" x14ac:dyDescent="0.35">
      <c r="A2050" t="s">
        <v>2086</v>
      </c>
      <c r="B2050" s="1">
        <v>45030</v>
      </c>
      <c r="C2050" t="s">
        <v>10</v>
      </c>
      <c r="D2050" t="s">
        <v>46</v>
      </c>
      <c r="E2050" t="s">
        <v>18</v>
      </c>
      <c r="F2050">
        <v>1016.96</v>
      </c>
      <c r="G2050">
        <v>65.7</v>
      </c>
      <c r="H2050" t="s">
        <v>13</v>
      </c>
      <c r="I2050" t="s">
        <v>14</v>
      </c>
    </row>
    <row r="2051" spans="1:9" x14ac:dyDescent="0.35">
      <c r="A2051" t="s">
        <v>2087</v>
      </c>
      <c r="B2051" s="1">
        <v>45474</v>
      </c>
      <c r="C2051" t="s">
        <v>16</v>
      </c>
      <c r="D2051" t="s">
        <v>11</v>
      </c>
      <c r="E2051" t="s">
        <v>12</v>
      </c>
      <c r="F2051">
        <v>567.95000000000005</v>
      </c>
      <c r="G2051">
        <v>74.75</v>
      </c>
      <c r="H2051" t="s">
        <v>28</v>
      </c>
      <c r="I2051" t="s">
        <v>29</v>
      </c>
    </row>
    <row r="2052" spans="1:9" x14ac:dyDescent="0.35">
      <c r="A2052" t="s">
        <v>2088</v>
      </c>
      <c r="B2052" s="1">
        <v>45396</v>
      </c>
      <c r="C2052" t="s">
        <v>16</v>
      </c>
      <c r="D2052" t="s">
        <v>41</v>
      </c>
      <c r="E2052" t="s">
        <v>12</v>
      </c>
      <c r="F2052">
        <v>72.489999999999995</v>
      </c>
      <c r="G2052">
        <v>6.87</v>
      </c>
      <c r="H2052" t="s">
        <v>28</v>
      </c>
      <c r="I2052" t="s">
        <v>34</v>
      </c>
    </row>
    <row r="2053" spans="1:9" x14ac:dyDescent="0.35">
      <c r="A2053" t="s">
        <v>2089</v>
      </c>
      <c r="B2053" s="1">
        <v>44971</v>
      </c>
      <c r="C2053" t="s">
        <v>16</v>
      </c>
      <c r="D2053" t="s">
        <v>41</v>
      </c>
      <c r="E2053" t="s">
        <v>12</v>
      </c>
      <c r="F2053">
        <v>631.53</v>
      </c>
      <c r="G2053">
        <v>110.17</v>
      </c>
      <c r="H2053" t="s">
        <v>19</v>
      </c>
      <c r="I2053" t="s">
        <v>20</v>
      </c>
    </row>
    <row r="2054" spans="1:9" x14ac:dyDescent="0.35">
      <c r="A2054" t="s">
        <v>2090</v>
      </c>
      <c r="B2054" s="1">
        <v>44787</v>
      </c>
      <c r="C2054" t="s">
        <v>22</v>
      </c>
      <c r="D2054" t="s">
        <v>73</v>
      </c>
      <c r="E2054" t="s">
        <v>27</v>
      </c>
      <c r="F2054">
        <v>155.80000000000001</v>
      </c>
      <c r="G2054">
        <v>44.17</v>
      </c>
      <c r="H2054" t="s">
        <v>19</v>
      </c>
      <c r="I2054" t="s">
        <v>34</v>
      </c>
    </row>
    <row r="2055" spans="1:9" x14ac:dyDescent="0.35">
      <c r="A2055" t="s">
        <v>2091</v>
      </c>
      <c r="B2055" s="1">
        <v>44944</v>
      </c>
      <c r="C2055" t="s">
        <v>16</v>
      </c>
      <c r="D2055" t="s">
        <v>41</v>
      </c>
      <c r="E2055" t="s">
        <v>12</v>
      </c>
      <c r="F2055">
        <v>1799.4</v>
      </c>
      <c r="G2055">
        <v>439.33</v>
      </c>
      <c r="H2055" t="s">
        <v>28</v>
      </c>
      <c r="I2055" t="s">
        <v>14</v>
      </c>
    </row>
    <row r="2056" spans="1:9" x14ac:dyDescent="0.35">
      <c r="A2056" t="s">
        <v>2092</v>
      </c>
      <c r="B2056" s="1">
        <v>45523</v>
      </c>
      <c r="C2056" t="s">
        <v>10</v>
      </c>
      <c r="D2056" t="s">
        <v>23</v>
      </c>
      <c r="E2056" t="s">
        <v>18</v>
      </c>
      <c r="F2056">
        <v>956</v>
      </c>
      <c r="G2056">
        <v>270.29000000000002</v>
      </c>
      <c r="H2056" t="s">
        <v>19</v>
      </c>
      <c r="I2056" t="s">
        <v>20</v>
      </c>
    </row>
    <row r="2057" spans="1:9" x14ac:dyDescent="0.35">
      <c r="A2057" t="s">
        <v>2093</v>
      </c>
      <c r="B2057" s="1">
        <v>45327</v>
      </c>
      <c r="C2057" t="s">
        <v>16</v>
      </c>
      <c r="D2057" t="s">
        <v>31</v>
      </c>
      <c r="E2057" t="s">
        <v>12</v>
      </c>
      <c r="F2057">
        <v>1695.44</v>
      </c>
      <c r="G2057">
        <v>434.17</v>
      </c>
      <c r="H2057" t="s">
        <v>19</v>
      </c>
      <c r="I2057" t="s">
        <v>20</v>
      </c>
    </row>
    <row r="2058" spans="1:9" x14ac:dyDescent="0.35">
      <c r="A2058" t="s">
        <v>2094</v>
      </c>
      <c r="B2058" s="1">
        <v>45395</v>
      </c>
      <c r="C2058" t="s">
        <v>22</v>
      </c>
      <c r="D2058" t="s">
        <v>97</v>
      </c>
      <c r="E2058" t="s">
        <v>27</v>
      </c>
      <c r="F2058">
        <v>1160.56</v>
      </c>
      <c r="G2058">
        <v>86.55</v>
      </c>
      <c r="H2058" t="s">
        <v>13</v>
      </c>
      <c r="I2058" t="s">
        <v>29</v>
      </c>
    </row>
    <row r="2059" spans="1:9" x14ac:dyDescent="0.35">
      <c r="A2059" t="s">
        <v>2095</v>
      </c>
      <c r="B2059" s="1">
        <v>45501</v>
      </c>
      <c r="C2059" t="s">
        <v>10</v>
      </c>
      <c r="D2059" t="s">
        <v>26</v>
      </c>
      <c r="E2059" t="s">
        <v>27</v>
      </c>
      <c r="F2059">
        <v>1312.78</v>
      </c>
      <c r="G2059">
        <v>120.95</v>
      </c>
      <c r="H2059" t="s">
        <v>19</v>
      </c>
      <c r="I2059" t="s">
        <v>14</v>
      </c>
    </row>
    <row r="2060" spans="1:9" x14ac:dyDescent="0.35">
      <c r="A2060" t="s">
        <v>2096</v>
      </c>
      <c r="B2060" s="1">
        <v>45499</v>
      </c>
      <c r="C2060" t="s">
        <v>22</v>
      </c>
      <c r="D2060" t="s">
        <v>26</v>
      </c>
      <c r="E2060" t="s">
        <v>27</v>
      </c>
      <c r="F2060">
        <v>194.1</v>
      </c>
      <c r="G2060">
        <v>32.6</v>
      </c>
      <c r="H2060" t="s">
        <v>19</v>
      </c>
      <c r="I2060" t="s">
        <v>34</v>
      </c>
    </row>
    <row r="2061" spans="1:9" x14ac:dyDescent="0.35">
      <c r="A2061" t="s">
        <v>2097</v>
      </c>
      <c r="B2061" s="1">
        <v>44824</v>
      </c>
      <c r="C2061" t="s">
        <v>25</v>
      </c>
      <c r="D2061" t="s">
        <v>97</v>
      </c>
      <c r="E2061" t="s">
        <v>27</v>
      </c>
      <c r="F2061">
        <v>1665.24</v>
      </c>
      <c r="G2061">
        <v>360.92</v>
      </c>
      <c r="H2061" t="s">
        <v>13</v>
      </c>
      <c r="I2061" t="s">
        <v>14</v>
      </c>
    </row>
    <row r="2062" spans="1:9" x14ac:dyDescent="0.35">
      <c r="A2062" t="s">
        <v>2098</v>
      </c>
      <c r="B2062" s="1">
        <v>45258</v>
      </c>
      <c r="C2062" t="s">
        <v>25</v>
      </c>
      <c r="D2062" t="s">
        <v>57</v>
      </c>
      <c r="E2062" t="s">
        <v>27</v>
      </c>
      <c r="F2062">
        <v>943.16</v>
      </c>
      <c r="G2062">
        <v>228.04</v>
      </c>
      <c r="H2062" t="s">
        <v>19</v>
      </c>
      <c r="I2062" t="s">
        <v>14</v>
      </c>
    </row>
    <row r="2063" spans="1:9" x14ac:dyDescent="0.35">
      <c r="A2063" t="s">
        <v>2099</v>
      </c>
      <c r="B2063" s="1">
        <v>45148</v>
      </c>
      <c r="C2063" t="s">
        <v>16</v>
      </c>
      <c r="D2063" t="s">
        <v>57</v>
      </c>
      <c r="E2063" t="s">
        <v>27</v>
      </c>
      <c r="F2063">
        <v>1661.06</v>
      </c>
      <c r="G2063">
        <v>293.37</v>
      </c>
      <c r="H2063" t="s">
        <v>19</v>
      </c>
      <c r="I2063" t="s">
        <v>20</v>
      </c>
    </row>
    <row r="2064" spans="1:9" x14ac:dyDescent="0.35">
      <c r="A2064" t="s">
        <v>2100</v>
      </c>
      <c r="B2064" s="1">
        <v>44818</v>
      </c>
      <c r="C2064" t="s">
        <v>22</v>
      </c>
      <c r="D2064" t="s">
        <v>23</v>
      </c>
      <c r="E2064" t="s">
        <v>18</v>
      </c>
      <c r="F2064">
        <v>621.23</v>
      </c>
      <c r="G2064">
        <v>56.26</v>
      </c>
      <c r="H2064" t="s">
        <v>19</v>
      </c>
      <c r="I2064" t="s">
        <v>20</v>
      </c>
    </row>
    <row r="2065" spans="1:9" x14ac:dyDescent="0.35">
      <c r="A2065" t="s">
        <v>2101</v>
      </c>
      <c r="B2065" s="1">
        <v>45031</v>
      </c>
      <c r="C2065" t="s">
        <v>25</v>
      </c>
      <c r="D2065" t="s">
        <v>50</v>
      </c>
      <c r="E2065" t="s">
        <v>12</v>
      </c>
      <c r="F2065">
        <v>1697.74</v>
      </c>
      <c r="G2065">
        <v>331.32</v>
      </c>
      <c r="H2065" t="s">
        <v>19</v>
      </c>
      <c r="I2065" t="s">
        <v>14</v>
      </c>
    </row>
    <row r="2066" spans="1:9" x14ac:dyDescent="0.35">
      <c r="A2066" t="s">
        <v>2102</v>
      </c>
      <c r="B2066" s="1">
        <v>44948</v>
      </c>
      <c r="C2066" t="s">
        <v>16</v>
      </c>
      <c r="D2066" t="s">
        <v>11</v>
      </c>
      <c r="E2066" t="s">
        <v>12</v>
      </c>
      <c r="F2066">
        <v>1198.51</v>
      </c>
      <c r="G2066">
        <v>224.99</v>
      </c>
      <c r="H2066" t="s">
        <v>19</v>
      </c>
      <c r="I2066" t="s">
        <v>20</v>
      </c>
    </row>
    <row r="2067" spans="1:9" x14ac:dyDescent="0.35">
      <c r="A2067" t="s">
        <v>2103</v>
      </c>
      <c r="B2067" s="1">
        <v>45444</v>
      </c>
      <c r="C2067" t="s">
        <v>25</v>
      </c>
      <c r="D2067" t="s">
        <v>73</v>
      </c>
      <c r="E2067" t="s">
        <v>27</v>
      </c>
      <c r="F2067">
        <v>138.33000000000001</v>
      </c>
      <c r="G2067">
        <v>14.46</v>
      </c>
      <c r="H2067" t="s">
        <v>28</v>
      </c>
      <c r="I2067" t="s">
        <v>20</v>
      </c>
    </row>
    <row r="2068" spans="1:9" x14ac:dyDescent="0.35">
      <c r="A2068" t="s">
        <v>2104</v>
      </c>
      <c r="B2068" s="1">
        <v>45129</v>
      </c>
      <c r="C2068" t="s">
        <v>22</v>
      </c>
      <c r="D2068" t="s">
        <v>11</v>
      </c>
      <c r="E2068" t="s">
        <v>12</v>
      </c>
      <c r="F2068">
        <v>215.35</v>
      </c>
      <c r="G2068">
        <v>29.73</v>
      </c>
      <c r="H2068" t="s">
        <v>13</v>
      </c>
      <c r="I2068" t="s">
        <v>34</v>
      </c>
    </row>
    <row r="2069" spans="1:9" x14ac:dyDescent="0.35">
      <c r="A2069" t="s">
        <v>2105</v>
      </c>
      <c r="B2069" s="1">
        <v>44738</v>
      </c>
      <c r="C2069" t="s">
        <v>16</v>
      </c>
      <c r="D2069" t="s">
        <v>95</v>
      </c>
      <c r="E2069" t="s">
        <v>18</v>
      </c>
      <c r="F2069">
        <v>1988.08</v>
      </c>
      <c r="G2069">
        <v>184.32</v>
      </c>
      <c r="H2069" t="s">
        <v>28</v>
      </c>
      <c r="I2069" t="s">
        <v>14</v>
      </c>
    </row>
    <row r="2070" spans="1:9" x14ac:dyDescent="0.35">
      <c r="A2070" t="s">
        <v>2106</v>
      </c>
      <c r="B2070" s="1">
        <v>44763</v>
      </c>
      <c r="C2070" t="s">
        <v>16</v>
      </c>
      <c r="D2070" t="s">
        <v>73</v>
      </c>
      <c r="E2070" t="s">
        <v>27</v>
      </c>
      <c r="F2070">
        <v>394.8</v>
      </c>
      <c r="G2070">
        <v>89.48</v>
      </c>
      <c r="H2070" t="s">
        <v>19</v>
      </c>
      <c r="I2070" t="s">
        <v>14</v>
      </c>
    </row>
    <row r="2071" spans="1:9" x14ac:dyDescent="0.35">
      <c r="A2071" t="s">
        <v>2107</v>
      </c>
      <c r="B2071" s="1">
        <v>44779</v>
      </c>
      <c r="C2071" t="s">
        <v>10</v>
      </c>
      <c r="D2071" t="s">
        <v>50</v>
      </c>
      <c r="E2071" t="s">
        <v>12</v>
      </c>
      <c r="F2071">
        <v>65.290000000000006</v>
      </c>
      <c r="G2071">
        <v>17.7</v>
      </c>
      <c r="H2071" t="s">
        <v>13</v>
      </c>
      <c r="I2071" t="s">
        <v>20</v>
      </c>
    </row>
    <row r="2072" spans="1:9" x14ac:dyDescent="0.35">
      <c r="A2072" t="s">
        <v>2108</v>
      </c>
      <c r="B2072" s="1">
        <v>44992</v>
      </c>
      <c r="C2072" t="s">
        <v>10</v>
      </c>
      <c r="D2072" t="s">
        <v>50</v>
      </c>
      <c r="E2072" t="s">
        <v>12</v>
      </c>
      <c r="F2072">
        <v>808.04</v>
      </c>
      <c r="G2072">
        <v>170.23</v>
      </c>
      <c r="H2072" t="s">
        <v>13</v>
      </c>
      <c r="I2072" t="s">
        <v>34</v>
      </c>
    </row>
    <row r="2073" spans="1:9" x14ac:dyDescent="0.35">
      <c r="A2073" t="s">
        <v>2109</v>
      </c>
      <c r="B2073" s="1">
        <v>45529</v>
      </c>
      <c r="C2073" t="s">
        <v>10</v>
      </c>
      <c r="D2073" t="s">
        <v>38</v>
      </c>
      <c r="E2073" t="s">
        <v>12</v>
      </c>
      <c r="F2073">
        <v>1814.32</v>
      </c>
      <c r="G2073">
        <v>423.59</v>
      </c>
      <c r="H2073" t="s">
        <v>19</v>
      </c>
      <c r="I2073" t="s">
        <v>29</v>
      </c>
    </row>
    <row r="2074" spans="1:9" x14ac:dyDescent="0.35">
      <c r="A2074" t="s">
        <v>2110</v>
      </c>
      <c r="B2074" s="1">
        <v>45487</v>
      </c>
      <c r="C2074" t="s">
        <v>22</v>
      </c>
      <c r="D2074" t="s">
        <v>26</v>
      </c>
      <c r="E2074" t="s">
        <v>27</v>
      </c>
      <c r="F2074">
        <v>1735.86</v>
      </c>
      <c r="G2074">
        <v>365.83</v>
      </c>
      <c r="H2074" t="s">
        <v>13</v>
      </c>
      <c r="I2074" t="s">
        <v>14</v>
      </c>
    </row>
    <row r="2075" spans="1:9" x14ac:dyDescent="0.35">
      <c r="A2075" t="s">
        <v>2111</v>
      </c>
      <c r="B2075" s="1">
        <v>45647</v>
      </c>
      <c r="C2075" t="s">
        <v>10</v>
      </c>
      <c r="D2075" t="s">
        <v>26</v>
      </c>
      <c r="E2075" t="s">
        <v>27</v>
      </c>
      <c r="F2075">
        <v>1828.68</v>
      </c>
      <c r="G2075">
        <v>316.85000000000002</v>
      </c>
      <c r="H2075" t="s">
        <v>19</v>
      </c>
      <c r="I2075" t="s">
        <v>29</v>
      </c>
    </row>
    <row r="2076" spans="1:9" x14ac:dyDescent="0.35">
      <c r="A2076" t="s">
        <v>2112</v>
      </c>
      <c r="B2076" s="1">
        <v>44684</v>
      </c>
      <c r="C2076" t="s">
        <v>25</v>
      </c>
      <c r="D2076" t="s">
        <v>11</v>
      </c>
      <c r="E2076" t="s">
        <v>12</v>
      </c>
      <c r="F2076">
        <v>635.86</v>
      </c>
      <c r="G2076">
        <v>190.48</v>
      </c>
      <c r="H2076" t="s">
        <v>13</v>
      </c>
      <c r="I2076" t="s">
        <v>20</v>
      </c>
    </row>
    <row r="2077" spans="1:9" x14ac:dyDescent="0.35">
      <c r="A2077" t="s">
        <v>2113</v>
      </c>
      <c r="B2077" s="1">
        <v>44672</v>
      </c>
      <c r="C2077" t="s">
        <v>10</v>
      </c>
      <c r="D2077" t="s">
        <v>38</v>
      </c>
      <c r="E2077" t="s">
        <v>12</v>
      </c>
      <c r="F2077">
        <v>684.6</v>
      </c>
      <c r="G2077">
        <v>45.35</v>
      </c>
      <c r="H2077" t="s">
        <v>13</v>
      </c>
      <c r="I2077" t="s">
        <v>20</v>
      </c>
    </row>
    <row r="2078" spans="1:9" x14ac:dyDescent="0.35">
      <c r="A2078" t="s">
        <v>2114</v>
      </c>
      <c r="B2078" s="1">
        <v>44601</v>
      </c>
      <c r="C2078" t="s">
        <v>10</v>
      </c>
      <c r="D2078" t="s">
        <v>57</v>
      </c>
      <c r="E2078" t="s">
        <v>27</v>
      </c>
      <c r="F2078">
        <v>1076.96</v>
      </c>
      <c r="G2078">
        <v>302.06</v>
      </c>
      <c r="H2078" t="s">
        <v>19</v>
      </c>
      <c r="I2078" t="s">
        <v>14</v>
      </c>
    </row>
    <row r="2079" spans="1:9" x14ac:dyDescent="0.35">
      <c r="A2079" t="s">
        <v>2115</v>
      </c>
      <c r="B2079" s="1">
        <v>44659</v>
      </c>
      <c r="C2079" t="s">
        <v>22</v>
      </c>
      <c r="D2079" t="s">
        <v>95</v>
      </c>
      <c r="E2079" t="s">
        <v>18</v>
      </c>
      <c r="F2079">
        <v>1714.81</v>
      </c>
      <c r="G2079">
        <v>290.51</v>
      </c>
      <c r="H2079" t="s">
        <v>13</v>
      </c>
      <c r="I2079" t="s">
        <v>29</v>
      </c>
    </row>
    <row r="2080" spans="1:9" x14ac:dyDescent="0.35">
      <c r="A2080" t="s">
        <v>2116</v>
      </c>
      <c r="B2080" s="1">
        <v>45502</v>
      </c>
      <c r="C2080" t="s">
        <v>25</v>
      </c>
      <c r="D2080" t="s">
        <v>23</v>
      </c>
      <c r="E2080" t="s">
        <v>18</v>
      </c>
      <c r="F2080">
        <v>626.24</v>
      </c>
      <c r="G2080">
        <v>111.3</v>
      </c>
      <c r="H2080" t="s">
        <v>28</v>
      </c>
      <c r="I2080" t="s">
        <v>34</v>
      </c>
    </row>
    <row r="2081" spans="1:9" x14ac:dyDescent="0.35">
      <c r="A2081" t="s">
        <v>2117</v>
      </c>
      <c r="B2081" s="1">
        <v>44660</v>
      </c>
      <c r="C2081" t="s">
        <v>16</v>
      </c>
      <c r="D2081" t="s">
        <v>97</v>
      </c>
      <c r="E2081" t="s">
        <v>27</v>
      </c>
      <c r="F2081">
        <v>893.57</v>
      </c>
      <c r="G2081">
        <v>171.36</v>
      </c>
      <c r="H2081" t="s">
        <v>28</v>
      </c>
      <c r="I2081" t="s">
        <v>20</v>
      </c>
    </row>
    <row r="2082" spans="1:9" x14ac:dyDescent="0.35">
      <c r="A2082" t="s">
        <v>2118</v>
      </c>
      <c r="B2082" s="1">
        <v>44587</v>
      </c>
      <c r="C2082" t="s">
        <v>25</v>
      </c>
      <c r="D2082" t="s">
        <v>50</v>
      </c>
      <c r="E2082" t="s">
        <v>12</v>
      </c>
      <c r="F2082">
        <v>1635.8</v>
      </c>
      <c r="G2082">
        <v>254.21</v>
      </c>
      <c r="H2082" t="s">
        <v>19</v>
      </c>
      <c r="I2082" t="s">
        <v>14</v>
      </c>
    </row>
    <row r="2083" spans="1:9" x14ac:dyDescent="0.35">
      <c r="A2083" t="s">
        <v>2119</v>
      </c>
      <c r="B2083" s="1">
        <v>45358</v>
      </c>
      <c r="C2083" t="s">
        <v>25</v>
      </c>
      <c r="D2083" t="s">
        <v>50</v>
      </c>
      <c r="E2083" t="s">
        <v>12</v>
      </c>
      <c r="F2083">
        <v>404.79</v>
      </c>
      <c r="G2083">
        <v>40.22</v>
      </c>
      <c r="H2083" t="s">
        <v>28</v>
      </c>
      <c r="I2083" t="s">
        <v>29</v>
      </c>
    </row>
    <row r="2084" spans="1:9" x14ac:dyDescent="0.35">
      <c r="A2084" t="s">
        <v>2120</v>
      </c>
      <c r="B2084" s="1">
        <v>44950</v>
      </c>
      <c r="C2084" t="s">
        <v>16</v>
      </c>
      <c r="D2084" t="s">
        <v>50</v>
      </c>
      <c r="E2084" t="s">
        <v>12</v>
      </c>
      <c r="F2084">
        <v>1526.22</v>
      </c>
      <c r="G2084">
        <v>134.65</v>
      </c>
      <c r="H2084" t="s">
        <v>19</v>
      </c>
      <c r="I2084" t="s">
        <v>14</v>
      </c>
    </row>
    <row r="2085" spans="1:9" x14ac:dyDescent="0.35">
      <c r="A2085" t="s">
        <v>2121</v>
      </c>
      <c r="B2085" s="1">
        <v>45030</v>
      </c>
      <c r="C2085" t="s">
        <v>16</v>
      </c>
      <c r="D2085" t="s">
        <v>31</v>
      </c>
      <c r="E2085" t="s">
        <v>12</v>
      </c>
      <c r="F2085">
        <v>146.35</v>
      </c>
      <c r="G2085">
        <v>17.329999999999998</v>
      </c>
      <c r="H2085" t="s">
        <v>28</v>
      </c>
      <c r="I2085" t="s">
        <v>20</v>
      </c>
    </row>
    <row r="2086" spans="1:9" x14ac:dyDescent="0.35">
      <c r="A2086" t="s">
        <v>2122</v>
      </c>
      <c r="B2086" s="1">
        <v>45206</v>
      </c>
      <c r="C2086" t="s">
        <v>22</v>
      </c>
      <c r="D2086" t="s">
        <v>50</v>
      </c>
      <c r="E2086" t="s">
        <v>12</v>
      </c>
      <c r="F2086">
        <v>1701.02</v>
      </c>
      <c r="G2086">
        <v>228.06</v>
      </c>
      <c r="H2086" t="s">
        <v>28</v>
      </c>
      <c r="I2086" t="s">
        <v>29</v>
      </c>
    </row>
    <row r="2087" spans="1:9" x14ac:dyDescent="0.35">
      <c r="A2087" t="s">
        <v>2123</v>
      </c>
      <c r="B2087" s="1">
        <v>45214</v>
      </c>
      <c r="C2087" t="s">
        <v>25</v>
      </c>
      <c r="D2087" t="s">
        <v>73</v>
      </c>
      <c r="E2087" t="s">
        <v>27</v>
      </c>
      <c r="F2087">
        <v>1362.88</v>
      </c>
      <c r="G2087">
        <v>136.97</v>
      </c>
      <c r="H2087" t="s">
        <v>13</v>
      </c>
      <c r="I2087" t="s">
        <v>20</v>
      </c>
    </row>
    <row r="2088" spans="1:9" x14ac:dyDescent="0.35">
      <c r="A2088" t="s">
        <v>2124</v>
      </c>
      <c r="B2088" s="1">
        <v>45076</v>
      </c>
      <c r="C2088" t="s">
        <v>25</v>
      </c>
      <c r="D2088" t="s">
        <v>33</v>
      </c>
      <c r="E2088" t="s">
        <v>18</v>
      </c>
      <c r="F2088">
        <v>1982.23</v>
      </c>
      <c r="G2088">
        <v>361.65</v>
      </c>
      <c r="H2088" t="s">
        <v>28</v>
      </c>
      <c r="I2088" t="s">
        <v>34</v>
      </c>
    </row>
    <row r="2089" spans="1:9" x14ac:dyDescent="0.35">
      <c r="A2089" t="s">
        <v>2125</v>
      </c>
      <c r="B2089" s="1">
        <v>44917</v>
      </c>
      <c r="C2089" t="s">
        <v>22</v>
      </c>
      <c r="D2089" t="s">
        <v>95</v>
      </c>
      <c r="E2089" t="s">
        <v>18</v>
      </c>
      <c r="F2089">
        <v>1979.91</v>
      </c>
      <c r="G2089">
        <v>347.24</v>
      </c>
      <c r="H2089" t="s">
        <v>28</v>
      </c>
      <c r="I2089" t="s">
        <v>14</v>
      </c>
    </row>
    <row r="2090" spans="1:9" x14ac:dyDescent="0.35">
      <c r="A2090" t="s">
        <v>2126</v>
      </c>
      <c r="B2090" s="1">
        <v>45462</v>
      </c>
      <c r="C2090" t="s">
        <v>22</v>
      </c>
      <c r="D2090" t="s">
        <v>33</v>
      </c>
      <c r="E2090" t="s">
        <v>18</v>
      </c>
      <c r="F2090">
        <v>954.5</v>
      </c>
      <c r="G2090">
        <v>131.66999999999999</v>
      </c>
      <c r="H2090" t="s">
        <v>19</v>
      </c>
      <c r="I2090" t="s">
        <v>29</v>
      </c>
    </row>
    <row r="2091" spans="1:9" x14ac:dyDescent="0.35">
      <c r="A2091" t="s">
        <v>2127</v>
      </c>
      <c r="B2091" s="1">
        <v>44993</v>
      </c>
      <c r="C2091" t="s">
        <v>22</v>
      </c>
      <c r="D2091" t="s">
        <v>46</v>
      </c>
      <c r="E2091" t="s">
        <v>18</v>
      </c>
      <c r="F2091">
        <v>1901.49</v>
      </c>
      <c r="G2091">
        <v>483.53</v>
      </c>
      <c r="H2091" t="s">
        <v>13</v>
      </c>
      <c r="I2091" t="s">
        <v>14</v>
      </c>
    </row>
    <row r="2092" spans="1:9" x14ac:dyDescent="0.35">
      <c r="A2092" t="s">
        <v>2128</v>
      </c>
      <c r="B2092" s="1">
        <v>45049</v>
      </c>
      <c r="C2092" t="s">
        <v>16</v>
      </c>
      <c r="D2092" t="s">
        <v>41</v>
      </c>
      <c r="E2092" t="s">
        <v>12</v>
      </c>
      <c r="F2092">
        <v>957.3</v>
      </c>
      <c r="G2092">
        <v>111.17</v>
      </c>
      <c r="H2092" t="s">
        <v>28</v>
      </c>
      <c r="I2092" t="s">
        <v>34</v>
      </c>
    </row>
    <row r="2093" spans="1:9" x14ac:dyDescent="0.35">
      <c r="A2093" t="s">
        <v>2129</v>
      </c>
      <c r="B2093" s="1">
        <v>45613</v>
      </c>
      <c r="C2093" t="s">
        <v>25</v>
      </c>
      <c r="D2093" t="s">
        <v>26</v>
      </c>
      <c r="E2093" t="s">
        <v>27</v>
      </c>
      <c r="F2093">
        <v>1349.55</v>
      </c>
      <c r="G2093">
        <v>112.44</v>
      </c>
      <c r="H2093" t="s">
        <v>19</v>
      </c>
      <c r="I2093" t="s">
        <v>34</v>
      </c>
    </row>
    <row r="2094" spans="1:9" x14ac:dyDescent="0.35">
      <c r="A2094" t="s">
        <v>2130</v>
      </c>
      <c r="B2094" s="1">
        <v>45622</v>
      </c>
      <c r="C2094" t="s">
        <v>25</v>
      </c>
      <c r="D2094" t="s">
        <v>31</v>
      </c>
      <c r="E2094" t="s">
        <v>12</v>
      </c>
      <c r="F2094">
        <v>1803.88</v>
      </c>
      <c r="G2094">
        <v>281.27999999999997</v>
      </c>
      <c r="H2094" t="s">
        <v>28</v>
      </c>
      <c r="I2094" t="s">
        <v>34</v>
      </c>
    </row>
    <row r="2095" spans="1:9" x14ac:dyDescent="0.35">
      <c r="A2095" t="s">
        <v>2131</v>
      </c>
      <c r="B2095" s="1">
        <v>44619</v>
      </c>
      <c r="C2095" t="s">
        <v>22</v>
      </c>
      <c r="D2095" t="s">
        <v>41</v>
      </c>
      <c r="E2095" t="s">
        <v>12</v>
      </c>
      <c r="F2095">
        <v>927.48</v>
      </c>
      <c r="G2095">
        <v>53.25</v>
      </c>
      <c r="H2095" t="s">
        <v>19</v>
      </c>
      <c r="I2095" t="s">
        <v>14</v>
      </c>
    </row>
    <row r="2096" spans="1:9" x14ac:dyDescent="0.35">
      <c r="A2096" t="s">
        <v>2132</v>
      </c>
      <c r="B2096" s="1">
        <v>45572</v>
      </c>
      <c r="C2096" t="s">
        <v>22</v>
      </c>
      <c r="D2096" t="s">
        <v>62</v>
      </c>
      <c r="E2096" t="s">
        <v>27</v>
      </c>
      <c r="F2096">
        <v>187.68</v>
      </c>
      <c r="G2096">
        <v>42.87</v>
      </c>
      <c r="H2096" t="s">
        <v>13</v>
      </c>
      <c r="I2096" t="s">
        <v>34</v>
      </c>
    </row>
    <row r="2097" spans="1:9" x14ac:dyDescent="0.35">
      <c r="A2097" t="s">
        <v>2133</v>
      </c>
      <c r="B2097" s="1">
        <v>45575</v>
      </c>
      <c r="C2097" t="s">
        <v>16</v>
      </c>
      <c r="D2097" t="s">
        <v>23</v>
      </c>
      <c r="E2097" t="s">
        <v>18</v>
      </c>
      <c r="F2097">
        <v>1153.28</v>
      </c>
      <c r="G2097">
        <v>197.14</v>
      </c>
      <c r="H2097" t="s">
        <v>13</v>
      </c>
      <c r="I2097" t="s">
        <v>29</v>
      </c>
    </row>
    <row r="2098" spans="1:9" x14ac:dyDescent="0.35">
      <c r="A2098" t="s">
        <v>2134</v>
      </c>
      <c r="B2098" s="1">
        <v>44694</v>
      </c>
      <c r="C2098" t="s">
        <v>25</v>
      </c>
      <c r="D2098" t="s">
        <v>38</v>
      </c>
      <c r="E2098" t="s">
        <v>12</v>
      </c>
      <c r="F2098">
        <v>1702.35</v>
      </c>
      <c r="G2098">
        <v>136.51</v>
      </c>
      <c r="H2098" t="s">
        <v>19</v>
      </c>
      <c r="I2098" t="s">
        <v>20</v>
      </c>
    </row>
    <row r="2099" spans="1:9" x14ac:dyDescent="0.35">
      <c r="A2099" t="s">
        <v>2135</v>
      </c>
      <c r="B2099" s="1">
        <v>44839</v>
      </c>
      <c r="C2099" t="s">
        <v>16</v>
      </c>
      <c r="D2099" t="s">
        <v>97</v>
      </c>
      <c r="E2099" t="s">
        <v>27</v>
      </c>
      <c r="F2099">
        <v>1758.82</v>
      </c>
      <c r="G2099">
        <v>134.58000000000001</v>
      </c>
      <c r="H2099" t="s">
        <v>28</v>
      </c>
      <c r="I2099" t="s">
        <v>14</v>
      </c>
    </row>
    <row r="2100" spans="1:9" x14ac:dyDescent="0.35">
      <c r="A2100" t="s">
        <v>2136</v>
      </c>
      <c r="B2100" s="1">
        <v>44984</v>
      </c>
      <c r="C2100" t="s">
        <v>16</v>
      </c>
      <c r="D2100" t="s">
        <v>57</v>
      </c>
      <c r="E2100" t="s">
        <v>27</v>
      </c>
      <c r="F2100">
        <v>592.15</v>
      </c>
      <c r="G2100">
        <v>80.86</v>
      </c>
      <c r="H2100" t="s">
        <v>19</v>
      </c>
      <c r="I2100" t="s">
        <v>34</v>
      </c>
    </row>
    <row r="2101" spans="1:9" x14ac:dyDescent="0.35">
      <c r="A2101" t="s">
        <v>2137</v>
      </c>
      <c r="B2101" s="1">
        <v>45352</v>
      </c>
      <c r="C2101" t="s">
        <v>10</v>
      </c>
      <c r="D2101" t="s">
        <v>33</v>
      </c>
      <c r="E2101" t="s">
        <v>18</v>
      </c>
      <c r="F2101">
        <v>678.96</v>
      </c>
      <c r="G2101">
        <v>183.92</v>
      </c>
      <c r="H2101" t="s">
        <v>13</v>
      </c>
      <c r="I2101" t="s">
        <v>20</v>
      </c>
    </row>
    <row r="2102" spans="1:9" x14ac:dyDescent="0.35">
      <c r="A2102" t="s">
        <v>2138</v>
      </c>
      <c r="B2102" s="1">
        <v>44762</v>
      </c>
      <c r="C2102" t="s">
        <v>10</v>
      </c>
      <c r="D2102" t="s">
        <v>17</v>
      </c>
      <c r="E2102" t="s">
        <v>18</v>
      </c>
      <c r="F2102">
        <v>216.95</v>
      </c>
      <c r="G2102">
        <v>62.23</v>
      </c>
      <c r="H2102" t="s">
        <v>13</v>
      </c>
      <c r="I2102" t="s">
        <v>34</v>
      </c>
    </row>
    <row r="2103" spans="1:9" x14ac:dyDescent="0.35">
      <c r="A2103" t="s">
        <v>2139</v>
      </c>
      <c r="B2103" s="1">
        <v>44896</v>
      </c>
      <c r="C2103" t="s">
        <v>25</v>
      </c>
      <c r="D2103" t="s">
        <v>50</v>
      </c>
      <c r="E2103" t="s">
        <v>12</v>
      </c>
      <c r="F2103">
        <v>840.7</v>
      </c>
      <c r="G2103">
        <v>187.33</v>
      </c>
      <c r="H2103" t="s">
        <v>19</v>
      </c>
      <c r="I2103" t="s">
        <v>14</v>
      </c>
    </row>
    <row r="2104" spans="1:9" x14ac:dyDescent="0.35">
      <c r="A2104" t="s">
        <v>2140</v>
      </c>
      <c r="B2104" s="1">
        <v>45550</v>
      </c>
      <c r="C2104" t="s">
        <v>10</v>
      </c>
      <c r="D2104" t="s">
        <v>57</v>
      </c>
      <c r="E2104" t="s">
        <v>27</v>
      </c>
      <c r="F2104">
        <v>1733.89</v>
      </c>
      <c r="G2104">
        <v>184.65</v>
      </c>
      <c r="H2104" t="s">
        <v>13</v>
      </c>
      <c r="I2104" t="s">
        <v>34</v>
      </c>
    </row>
    <row r="2105" spans="1:9" x14ac:dyDescent="0.35">
      <c r="A2105" t="s">
        <v>2141</v>
      </c>
      <c r="B2105" s="1">
        <v>45124</v>
      </c>
      <c r="C2105" t="s">
        <v>10</v>
      </c>
      <c r="D2105" t="s">
        <v>23</v>
      </c>
      <c r="E2105" t="s">
        <v>18</v>
      </c>
      <c r="F2105">
        <v>1312.8</v>
      </c>
      <c r="G2105">
        <v>337.94</v>
      </c>
      <c r="H2105" t="s">
        <v>13</v>
      </c>
      <c r="I2105" t="s">
        <v>29</v>
      </c>
    </row>
    <row r="2106" spans="1:9" x14ac:dyDescent="0.35">
      <c r="A2106" t="s">
        <v>2142</v>
      </c>
      <c r="B2106" s="1">
        <v>45143</v>
      </c>
      <c r="C2106" t="s">
        <v>16</v>
      </c>
      <c r="D2106" t="s">
        <v>57</v>
      </c>
      <c r="E2106" t="s">
        <v>27</v>
      </c>
      <c r="F2106">
        <v>108.81</v>
      </c>
      <c r="G2106">
        <v>20.9</v>
      </c>
      <c r="H2106" t="s">
        <v>13</v>
      </c>
      <c r="I2106" t="s">
        <v>14</v>
      </c>
    </row>
    <row r="2107" spans="1:9" x14ac:dyDescent="0.35">
      <c r="A2107" t="s">
        <v>2143</v>
      </c>
      <c r="B2107" s="1">
        <v>44592</v>
      </c>
      <c r="C2107" t="s">
        <v>16</v>
      </c>
      <c r="D2107" t="s">
        <v>62</v>
      </c>
      <c r="E2107" t="s">
        <v>27</v>
      </c>
      <c r="F2107">
        <v>1724.06</v>
      </c>
      <c r="G2107">
        <v>402.49</v>
      </c>
      <c r="H2107" t="s">
        <v>28</v>
      </c>
      <c r="I2107" t="s">
        <v>29</v>
      </c>
    </row>
    <row r="2108" spans="1:9" x14ac:dyDescent="0.35">
      <c r="A2108" t="s">
        <v>2144</v>
      </c>
      <c r="B2108" s="1">
        <v>45097</v>
      </c>
      <c r="C2108" t="s">
        <v>10</v>
      </c>
      <c r="D2108" t="s">
        <v>41</v>
      </c>
      <c r="E2108" t="s">
        <v>12</v>
      </c>
      <c r="F2108">
        <v>510.6</v>
      </c>
      <c r="G2108">
        <v>56.19</v>
      </c>
      <c r="H2108" t="s">
        <v>13</v>
      </c>
      <c r="I2108" t="s">
        <v>20</v>
      </c>
    </row>
    <row r="2109" spans="1:9" x14ac:dyDescent="0.35">
      <c r="A2109" t="s">
        <v>2145</v>
      </c>
      <c r="B2109" s="1">
        <v>45339</v>
      </c>
      <c r="C2109" t="s">
        <v>10</v>
      </c>
      <c r="D2109" t="s">
        <v>97</v>
      </c>
      <c r="E2109" t="s">
        <v>27</v>
      </c>
      <c r="F2109">
        <v>589.58000000000004</v>
      </c>
      <c r="G2109">
        <v>160.56</v>
      </c>
      <c r="H2109" t="s">
        <v>28</v>
      </c>
      <c r="I2109" t="s">
        <v>14</v>
      </c>
    </row>
    <row r="2110" spans="1:9" x14ac:dyDescent="0.35">
      <c r="A2110" t="s">
        <v>2146</v>
      </c>
      <c r="B2110" s="1">
        <v>45261</v>
      </c>
      <c r="C2110" t="s">
        <v>25</v>
      </c>
      <c r="D2110" t="s">
        <v>33</v>
      </c>
      <c r="E2110" t="s">
        <v>18</v>
      </c>
      <c r="F2110">
        <v>1772.99</v>
      </c>
      <c r="G2110">
        <v>277.74</v>
      </c>
      <c r="H2110" t="s">
        <v>28</v>
      </c>
      <c r="I2110" t="s">
        <v>34</v>
      </c>
    </row>
    <row r="2111" spans="1:9" x14ac:dyDescent="0.35">
      <c r="A2111" t="s">
        <v>2147</v>
      </c>
      <c r="B2111" s="1">
        <v>44805</v>
      </c>
      <c r="C2111" t="s">
        <v>22</v>
      </c>
      <c r="D2111" t="s">
        <v>46</v>
      </c>
      <c r="E2111" t="s">
        <v>18</v>
      </c>
      <c r="F2111">
        <v>597.27</v>
      </c>
      <c r="G2111">
        <v>157.59</v>
      </c>
      <c r="H2111" t="s">
        <v>19</v>
      </c>
      <c r="I2111" t="s">
        <v>20</v>
      </c>
    </row>
    <row r="2112" spans="1:9" x14ac:dyDescent="0.35">
      <c r="A2112" t="s">
        <v>2148</v>
      </c>
      <c r="B2112" s="1">
        <v>44844</v>
      </c>
      <c r="C2112" t="s">
        <v>22</v>
      </c>
      <c r="D2112" t="s">
        <v>62</v>
      </c>
      <c r="E2112" t="s">
        <v>27</v>
      </c>
      <c r="F2112">
        <v>1646.27</v>
      </c>
      <c r="G2112">
        <v>461.34</v>
      </c>
      <c r="H2112" t="s">
        <v>13</v>
      </c>
      <c r="I2112" t="s">
        <v>20</v>
      </c>
    </row>
    <row r="2113" spans="1:9" x14ac:dyDescent="0.35">
      <c r="A2113" t="s">
        <v>2149</v>
      </c>
      <c r="B2113" s="1">
        <v>44816</v>
      </c>
      <c r="C2113" t="s">
        <v>10</v>
      </c>
      <c r="D2113" t="s">
        <v>33</v>
      </c>
      <c r="E2113" t="s">
        <v>18</v>
      </c>
      <c r="F2113">
        <v>569.11</v>
      </c>
      <c r="G2113">
        <v>147.21</v>
      </c>
      <c r="H2113" t="s">
        <v>28</v>
      </c>
      <c r="I2113" t="s">
        <v>14</v>
      </c>
    </row>
    <row r="2114" spans="1:9" x14ac:dyDescent="0.35">
      <c r="A2114" t="s">
        <v>2150</v>
      </c>
      <c r="B2114" s="1">
        <v>44750</v>
      </c>
      <c r="C2114" t="s">
        <v>22</v>
      </c>
      <c r="D2114" t="s">
        <v>62</v>
      </c>
      <c r="E2114" t="s">
        <v>27</v>
      </c>
      <c r="F2114">
        <v>1405.16</v>
      </c>
      <c r="G2114">
        <v>384.74</v>
      </c>
      <c r="H2114" t="s">
        <v>13</v>
      </c>
      <c r="I2114" t="s">
        <v>20</v>
      </c>
    </row>
    <row r="2115" spans="1:9" x14ac:dyDescent="0.35">
      <c r="A2115" t="s">
        <v>2151</v>
      </c>
      <c r="B2115" s="1">
        <v>45346</v>
      </c>
      <c r="C2115" t="s">
        <v>25</v>
      </c>
      <c r="D2115" t="s">
        <v>33</v>
      </c>
      <c r="E2115" t="s">
        <v>18</v>
      </c>
      <c r="F2115">
        <v>1414.12</v>
      </c>
      <c r="G2115">
        <v>358.63</v>
      </c>
      <c r="H2115" t="s">
        <v>13</v>
      </c>
      <c r="I2115" t="s">
        <v>20</v>
      </c>
    </row>
    <row r="2116" spans="1:9" x14ac:dyDescent="0.35">
      <c r="A2116" t="s">
        <v>2152</v>
      </c>
      <c r="B2116" s="1">
        <v>44982</v>
      </c>
      <c r="C2116" t="s">
        <v>16</v>
      </c>
      <c r="D2116" t="s">
        <v>26</v>
      </c>
      <c r="E2116" t="s">
        <v>27</v>
      </c>
      <c r="F2116">
        <v>344.17</v>
      </c>
      <c r="G2116">
        <v>51.11</v>
      </c>
      <c r="H2116" t="s">
        <v>28</v>
      </c>
      <c r="I2116" t="s">
        <v>14</v>
      </c>
    </row>
    <row r="2117" spans="1:9" x14ac:dyDescent="0.35">
      <c r="A2117" t="s">
        <v>2153</v>
      </c>
      <c r="B2117" s="1">
        <v>44779</v>
      </c>
      <c r="C2117" t="s">
        <v>25</v>
      </c>
      <c r="D2117" t="s">
        <v>17</v>
      </c>
      <c r="E2117" t="s">
        <v>18</v>
      </c>
      <c r="F2117">
        <v>1016.25</v>
      </c>
      <c r="G2117">
        <v>82.85</v>
      </c>
      <c r="H2117" t="s">
        <v>13</v>
      </c>
      <c r="I2117" t="s">
        <v>14</v>
      </c>
    </row>
    <row r="2118" spans="1:9" x14ac:dyDescent="0.35">
      <c r="A2118" t="s">
        <v>2154</v>
      </c>
      <c r="B2118" s="1">
        <v>44775</v>
      </c>
      <c r="C2118" t="s">
        <v>25</v>
      </c>
      <c r="D2118" t="s">
        <v>11</v>
      </c>
      <c r="E2118" t="s">
        <v>12</v>
      </c>
      <c r="F2118">
        <v>514.66</v>
      </c>
      <c r="G2118">
        <v>34.299999999999997</v>
      </c>
      <c r="H2118" t="s">
        <v>13</v>
      </c>
      <c r="I2118" t="s">
        <v>29</v>
      </c>
    </row>
    <row r="2119" spans="1:9" x14ac:dyDescent="0.35">
      <c r="A2119" t="s">
        <v>2155</v>
      </c>
      <c r="B2119" s="1">
        <v>45114</v>
      </c>
      <c r="C2119" t="s">
        <v>22</v>
      </c>
      <c r="D2119" t="s">
        <v>95</v>
      </c>
      <c r="E2119" t="s">
        <v>18</v>
      </c>
      <c r="F2119">
        <v>714.36</v>
      </c>
      <c r="G2119">
        <v>142.27000000000001</v>
      </c>
      <c r="H2119" t="s">
        <v>19</v>
      </c>
      <c r="I2119" t="s">
        <v>29</v>
      </c>
    </row>
    <row r="2120" spans="1:9" x14ac:dyDescent="0.35">
      <c r="A2120" t="s">
        <v>2156</v>
      </c>
      <c r="B2120" s="1">
        <v>45412</v>
      </c>
      <c r="C2120" t="s">
        <v>25</v>
      </c>
      <c r="D2120" t="s">
        <v>33</v>
      </c>
      <c r="E2120" t="s">
        <v>18</v>
      </c>
      <c r="F2120">
        <v>1709</v>
      </c>
      <c r="G2120">
        <v>384.94</v>
      </c>
      <c r="H2120" t="s">
        <v>13</v>
      </c>
      <c r="I2120" t="s">
        <v>20</v>
      </c>
    </row>
    <row r="2121" spans="1:9" x14ac:dyDescent="0.35">
      <c r="A2121" t="s">
        <v>2157</v>
      </c>
      <c r="B2121" s="1">
        <v>45391</v>
      </c>
      <c r="C2121" t="s">
        <v>10</v>
      </c>
      <c r="D2121" t="s">
        <v>33</v>
      </c>
      <c r="E2121" t="s">
        <v>18</v>
      </c>
      <c r="F2121">
        <v>794.68</v>
      </c>
      <c r="G2121">
        <v>238.23</v>
      </c>
      <c r="H2121" t="s">
        <v>13</v>
      </c>
      <c r="I2121" t="s">
        <v>20</v>
      </c>
    </row>
    <row r="2122" spans="1:9" x14ac:dyDescent="0.35">
      <c r="A2122" t="s">
        <v>2158</v>
      </c>
      <c r="B2122" s="1">
        <v>45178</v>
      </c>
      <c r="C2122" t="s">
        <v>22</v>
      </c>
      <c r="D2122" t="s">
        <v>95</v>
      </c>
      <c r="E2122" t="s">
        <v>18</v>
      </c>
      <c r="F2122">
        <v>1336.03</v>
      </c>
      <c r="G2122">
        <v>253.15</v>
      </c>
      <c r="H2122" t="s">
        <v>13</v>
      </c>
      <c r="I2122" t="s">
        <v>34</v>
      </c>
    </row>
    <row r="2123" spans="1:9" x14ac:dyDescent="0.35">
      <c r="A2123" t="s">
        <v>2159</v>
      </c>
      <c r="B2123" s="1">
        <v>44657</v>
      </c>
      <c r="C2123" t="s">
        <v>25</v>
      </c>
      <c r="D2123" t="s">
        <v>95</v>
      </c>
      <c r="E2123" t="s">
        <v>18</v>
      </c>
      <c r="F2123">
        <v>1787</v>
      </c>
      <c r="G2123">
        <v>162.87</v>
      </c>
      <c r="H2123" t="s">
        <v>13</v>
      </c>
      <c r="I2123" t="s">
        <v>34</v>
      </c>
    </row>
    <row r="2124" spans="1:9" x14ac:dyDescent="0.35">
      <c r="A2124" t="s">
        <v>2160</v>
      </c>
      <c r="B2124" s="1">
        <v>45372</v>
      </c>
      <c r="C2124" t="s">
        <v>10</v>
      </c>
      <c r="D2124" t="s">
        <v>62</v>
      </c>
      <c r="E2124" t="s">
        <v>27</v>
      </c>
      <c r="F2124">
        <v>97.44</v>
      </c>
      <c r="G2124">
        <v>5.68</v>
      </c>
      <c r="H2124" t="s">
        <v>28</v>
      </c>
      <c r="I2124" t="s">
        <v>14</v>
      </c>
    </row>
    <row r="2125" spans="1:9" x14ac:dyDescent="0.35">
      <c r="A2125" t="s">
        <v>2161</v>
      </c>
      <c r="B2125" s="1">
        <v>45625</v>
      </c>
      <c r="C2125" t="s">
        <v>16</v>
      </c>
      <c r="D2125" t="s">
        <v>33</v>
      </c>
      <c r="E2125" t="s">
        <v>18</v>
      </c>
      <c r="F2125">
        <v>1217.93</v>
      </c>
      <c r="G2125">
        <v>298.3</v>
      </c>
      <c r="H2125" t="s">
        <v>19</v>
      </c>
      <c r="I2125" t="s">
        <v>20</v>
      </c>
    </row>
    <row r="2126" spans="1:9" x14ac:dyDescent="0.35">
      <c r="A2126" t="s">
        <v>2162</v>
      </c>
      <c r="B2126" s="1">
        <v>45096</v>
      </c>
      <c r="C2126" t="s">
        <v>16</v>
      </c>
      <c r="D2126" t="s">
        <v>62</v>
      </c>
      <c r="E2126" t="s">
        <v>27</v>
      </c>
      <c r="F2126">
        <v>422.11</v>
      </c>
      <c r="G2126">
        <v>88.81</v>
      </c>
      <c r="H2126" t="s">
        <v>28</v>
      </c>
      <c r="I2126" t="s">
        <v>34</v>
      </c>
    </row>
    <row r="2127" spans="1:9" x14ac:dyDescent="0.35">
      <c r="A2127" t="s">
        <v>2163</v>
      </c>
      <c r="B2127" s="1">
        <v>45250</v>
      </c>
      <c r="C2127" t="s">
        <v>22</v>
      </c>
      <c r="D2127" t="s">
        <v>17</v>
      </c>
      <c r="E2127" t="s">
        <v>18</v>
      </c>
      <c r="F2127">
        <v>1553.89</v>
      </c>
      <c r="G2127">
        <v>93.98</v>
      </c>
      <c r="H2127" t="s">
        <v>13</v>
      </c>
      <c r="I2127" t="s">
        <v>14</v>
      </c>
    </row>
    <row r="2128" spans="1:9" x14ac:dyDescent="0.35">
      <c r="A2128" t="s">
        <v>2164</v>
      </c>
      <c r="B2128" s="1">
        <v>44564</v>
      </c>
      <c r="C2128" t="s">
        <v>16</v>
      </c>
      <c r="D2128" t="s">
        <v>46</v>
      </c>
      <c r="E2128" t="s">
        <v>18</v>
      </c>
      <c r="F2128">
        <v>377.93</v>
      </c>
      <c r="G2128">
        <v>107.27</v>
      </c>
      <c r="H2128" t="s">
        <v>19</v>
      </c>
      <c r="I2128" t="s">
        <v>20</v>
      </c>
    </row>
    <row r="2129" spans="1:9" x14ac:dyDescent="0.35">
      <c r="A2129" t="s">
        <v>2165</v>
      </c>
      <c r="B2129" s="1">
        <v>44800</v>
      </c>
      <c r="C2129" t="s">
        <v>25</v>
      </c>
      <c r="D2129" t="s">
        <v>26</v>
      </c>
      <c r="E2129" t="s">
        <v>27</v>
      </c>
      <c r="F2129">
        <v>160.78</v>
      </c>
      <c r="G2129">
        <v>39.5</v>
      </c>
      <c r="H2129" t="s">
        <v>19</v>
      </c>
      <c r="I2129" t="s">
        <v>34</v>
      </c>
    </row>
    <row r="2130" spans="1:9" x14ac:dyDescent="0.35">
      <c r="A2130" t="s">
        <v>2166</v>
      </c>
      <c r="B2130" s="1">
        <v>45548</v>
      </c>
      <c r="C2130" t="s">
        <v>16</v>
      </c>
      <c r="D2130" t="s">
        <v>31</v>
      </c>
      <c r="E2130" t="s">
        <v>12</v>
      </c>
      <c r="F2130">
        <v>645.76</v>
      </c>
      <c r="G2130">
        <v>119.15</v>
      </c>
      <c r="H2130" t="s">
        <v>19</v>
      </c>
      <c r="I2130" t="s">
        <v>29</v>
      </c>
    </row>
    <row r="2131" spans="1:9" x14ac:dyDescent="0.35">
      <c r="A2131" t="s">
        <v>2167</v>
      </c>
      <c r="B2131" s="1">
        <v>44990</v>
      </c>
      <c r="C2131" t="s">
        <v>10</v>
      </c>
      <c r="D2131" t="s">
        <v>50</v>
      </c>
      <c r="E2131" t="s">
        <v>12</v>
      </c>
      <c r="F2131">
        <v>333.65</v>
      </c>
      <c r="G2131">
        <v>31</v>
      </c>
      <c r="H2131" t="s">
        <v>28</v>
      </c>
      <c r="I2131" t="s">
        <v>34</v>
      </c>
    </row>
    <row r="2132" spans="1:9" x14ac:dyDescent="0.35">
      <c r="A2132" t="s">
        <v>2168</v>
      </c>
      <c r="B2132" s="1">
        <v>44590</v>
      </c>
      <c r="C2132" t="s">
        <v>10</v>
      </c>
      <c r="D2132" t="s">
        <v>23</v>
      </c>
      <c r="E2132" t="s">
        <v>18</v>
      </c>
      <c r="F2132">
        <v>282.18</v>
      </c>
      <c r="G2132">
        <v>63.45</v>
      </c>
      <c r="H2132" t="s">
        <v>19</v>
      </c>
      <c r="I2132" t="s">
        <v>34</v>
      </c>
    </row>
    <row r="2133" spans="1:9" x14ac:dyDescent="0.35">
      <c r="A2133" t="s">
        <v>2169</v>
      </c>
      <c r="B2133" s="1">
        <v>44998</v>
      </c>
      <c r="C2133" t="s">
        <v>22</v>
      </c>
      <c r="D2133" t="s">
        <v>11</v>
      </c>
      <c r="E2133" t="s">
        <v>12</v>
      </c>
      <c r="F2133">
        <v>558.65</v>
      </c>
      <c r="G2133">
        <v>67.22</v>
      </c>
      <c r="H2133" t="s">
        <v>28</v>
      </c>
      <c r="I2133" t="s">
        <v>29</v>
      </c>
    </row>
    <row r="2134" spans="1:9" x14ac:dyDescent="0.35">
      <c r="A2134" t="s">
        <v>2170</v>
      </c>
      <c r="B2134" s="1">
        <v>44863</v>
      </c>
      <c r="C2134" t="s">
        <v>10</v>
      </c>
      <c r="D2134" t="s">
        <v>26</v>
      </c>
      <c r="E2134" t="s">
        <v>27</v>
      </c>
      <c r="F2134">
        <v>1479.41</v>
      </c>
      <c r="G2134">
        <v>100.97</v>
      </c>
      <c r="H2134" t="s">
        <v>13</v>
      </c>
      <c r="I2134" t="s">
        <v>20</v>
      </c>
    </row>
    <row r="2135" spans="1:9" x14ac:dyDescent="0.35">
      <c r="A2135" t="s">
        <v>2171</v>
      </c>
      <c r="B2135" s="1">
        <v>45649</v>
      </c>
      <c r="C2135" t="s">
        <v>25</v>
      </c>
      <c r="D2135" t="s">
        <v>38</v>
      </c>
      <c r="E2135" t="s">
        <v>12</v>
      </c>
      <c r="F2135">
        <v>1268.5899999999999</v>
      </c>
      <c r="G2135">
        <v>360.39</v>
      </c>
      <c r="H2135" t="s">
        <v>28</v>
      </c>
      <c r="I2135" t="s">
        <v>14</v>
      </c>
    </row>
    <row r="2136" spans="1:9" x14ac:dyDescent="0.35">
      <c r="A2136" t="s">
        <v>2172</v>
      </c>
      <c r="B2136" s="1">
        <v>44670</v>
      </c>
      <c r="C2136" t="s">
        <v>25</v>
      </c>
      <c r="D2136" t="s">
        <v>62</v>
      </c>
      <c r="E2136" t="s">
        <v>27</v>
      </c>
      <c r="F2136">
        <v>1411.53</v>
      </c>
      <c r="G2136">
        <v>392.84</v>
      </c>
      <c r="H2136" t="s">
        <v>13</v>
      </c>
      <c r="I2136" t="s">
        <v>20</v>
      </c>
    </row>
    <row r="2137" spans="1:9" x14ac:dyDescent="0.35">
      <c r="A2137" t="s">
        <v>2173</v>
      </c>
      <c r="B2137" s="1">
        <v>44859</v>
      </c>
      <c r="C2137" t="s">
        <v>16</v>
      </c>
      <c r="D2137" t="s">
        <v>50</v>
      </c>
      <c r="E2137" t="s">
        <v>12</v>
      </c>
      <c r="F2137">
        <v>1790.74</v>
      </c>
      <c r="G2137">
        <v>140.29</v>
      </c>
      <c r="H2137" t="s">
        <v>28</v>
      </c>
      <c r="I2137" t="s">
        <v>20</v>
      </c>
    </row>
    <row r="2138" spans="1:9" x14ac:dyDescent="0.35">
      <c r="A2138" t="s">
        <v>2174</v>
      </c>
      <c r="B2138" s="1">
        <v>45094</v>
      </c>
      <c r="C2138" t="s">
        <v>25</v>
      </c>
      <c r="D2138" t="s">
        <v>46</v>
      </c>
      <c r="E2138" t="s">
        <v>18</v>
      </c>
      <c r="F2138">
        <v>966.56</v>
      </c>
      <c r="G2138">
        <v>76.39</v>
      </c>
      <c r="H2138" t="s">
        <v>19</v>
      </c>
      <c r="I2138" t="s">
        <v>34</v>
      </c>
    </row>
    <row r="2139" spans="1:9" x14ac:dyDescent="0.35">
      <c r="A2139" t="s">
        <v>2175</v>
      </c>
      <c r="B2139" s="1">
        <v>45459</v>
      </c>
      <c r="C2139" t="s">
        <v>25</v>
      </c>
      <c r="D2139" t="s">
        <v>33</v>
      </c>
      <c r="E2139" t="s">
        <v>18</v>
      </c>
      <c r="F2139">
        <v>1997.5</v>
      </c>
      <c r="G2139">
        <v>522.79</v>
      </c>
      <c r="H2139" t="s">
        <v>28</v>
      </c>
      <c r="I2139" t="s">
        <v>14</v>
      </c>
    </row>
    <row r="2140" spans="1:9" x14ac:dyDescent="0.35">
      <c r="A2140" t="s">
        <v>2176</v>
      </c>
      <c r="B2140" s="1">
        <v>45411</v>
      </c>
      <c r="C2140" t="s">
        <v>16</v>
      </c>
      <c r="D2140" t="s">
        <v>62</v>
      </c>
      <c r="E2140" t="s">
        <v>27</v>
      </c>
      <c r="F2140">
        <v>344.6</v>
      </c>
      <c r="G2140">
        <v>66</v>
      </c>
      <c r="H2140" t="s">
        <v>19</v>
      </c>
      <c r="I2140" t="s">
        <v>14</v>
      </c>
    </row>
    <row r="2141" spans="1:9" x14ac:dyDescent="0.35">
      <c r="A2141" t="s">
        <v>2177</v>
      </c>
      <c r="B2141" s="1">
        <v>45042</v>
      </c>
      <c r="C2141" t="s">
        <v>16</v>
      </c>
      <c r="D2141" t="s">
        <v>46</v>
      </c>
      <c r="E2141" t="s">
        <v>18</v>
      </c>
      <c r="F2141">
        <v>64.540000000000006</v>
      </c>
      <c r="G2141">
        <v>18.72</v>
      </c>
      <c r="H2141" t="s">
        <v>28</v>
      </c>
      <c r="I2141" t="s">
        <v>14</v>
      </c>
    </row>
    <row r="2142" spans="1:9" x14ac:dyDescent="0.35">
      <c r="A2142" t="s">
        <v>2178</v>
      </c>
      <c r="B2142" s="1">
        <v>44766</v>
      </c>
      <c r="C2142" t="s">
        <v>25</v>
      </c>
      <c r="D2142" t="s">
        <v>26</v>
      </c>
      <c r="E2142" t="s">
        <v>27</v>
      </c>
      <c r="F2142">
        <v>916.81</v>
      </c>
      <c r="G2142">
        <v>76.010000000000005</v>
      </c>
      <c r="H2142" t="s">
        <v>13</v>
      </c>
      <c r="I2142" t="s">
        <v>34</v>
      </c>
    </row>
    <row r="2143" spans="1:9" x14ac:dyDescent="0.35">
      <c r="A2143" t="s">
        <v>2179</v>
      </c>
      <c r="B2143" s="1">
        <v>45070</v>
      </c>
      <c r="C2143" t="s">
        <v>10</v>
      </c>
      <c r="D2143" t="s">
        <v>33</v>
      </c>
      <c r="E2143" t="s">
        <v>18</v>
      </c>
      <c r="F2143">
        <v>244.57</v>
      </c>
      <c r="G2143">
        <v>62.7</v>
      </c>
      <c r="H2143" t="s">
        <v>28</v>
      </c>
      <c r="I2143" t="s">
        <v>29</v>
      </c>
    </row>
    <row r="2144" spans="1:9" x14ac:dyDescent="0.35">
      <c r="A2144" t="s">
        <v>2180</v>
      </c>
      <c r="B2144" s="1">
        <v>44972</v>
      </c>
      <c r="C2144" t="s">
        <v>16</v>
      </c>
      <c r="D2144" t="s">
        <v>23</v>
      </c>
      <c r="E2144" t="s">
        <v>18</v>
      </c>
      <c r="F2144">
        <v>570.39</v>
      </c>
      <c r="G2144">
        <v>170.81</v>
      </c>
      <c r="H2144" t="s">
        <v>19</v>
      </c>
      <c r="I2144" t="s">
        <v>14</v>
      </c>
    </row>
    <row r="2145" spans="1:9" x14ac:dyDescent="0.35">
      <c r="A2145" t="s">
        <v>2181</v>
      </c>
      <c r="B2145" s="1">
        <v>44924</v>
      </c>
      <c r="C2145" t="s">
        <v>10</v>
      </c>
      <c r="D2145" t="s">
        <v>95</v>
      </c>
      <c r="E2145" t="s">
        <v>18</v>
      </c>
      <c r="F2145">
        <v>1052.6099999999999</v>
      </c>
      <c r="G2145">
        <v>202.59</v>
      </c>
      <c r="H2145" t="s">
        <v>28</v>
      </c>
      <c r="I2145" t="s">
        <v>20</v>
      </c>
    </row>
    <row r="2146" spans="1:9" x14ac:dyDescent="0.35">
      <c r="A2146" t="s">
        <v>2182</v>
      </c>
      <c r="B2146" s="1">
        <v>44827</v>
      </c>
      <c r="C2146" t="s">
        <v>25</v>
      </c>
      <c r="D2146" t="s">
        <v>23</v>
      </c>
      <c r="E2146" t="s">
        <v>18</v>
      </c>
      <c r="F2146">
        <v>1022.09</v>
      </c>
      <c r="G2146">
        <v>263.77</v>
      </c>
      <c r="H2146" t="s">
        <v>13</v>
      </c>
      <c r="I2146" t="s">
        <v>20</v>
      </c>
    </row>
    <row r="2147" spans="1:9" x14ac:dyDescent="0.35">
      <c r="A2147" t="s">
        <v>2183</v>
      </c>
      <c r="B2147" s="1">
        <v>45237</v>
      </c>
      <c r="C2147" t="s">
        <v>22</v>
      </c>
      <c r="D2147" t="s">
        <v>50</v>
      </c>
      <c r="E2147" t="s">
        <v>12</v>
      </c>
      <c r="F2147">
        <v>196.29</v>
      </c>
      <c r="G2147">
        <v>38.229999999999997</v>
      </c>
      <c r="H2147" t="s">
        <v>19</v>
      </c>
      <c r="I2147" t="s">
        <v>29</v>
      </c>
    </row>
    <row r="2148" spans="1:9" x14ac:dyDescent="0.35">
      <c r="A2148" t="s">
        <v>2184</v>
      </c>
      <c r="B2148" s="1">
        <v>44796</v>
      </c>
      <c r="C2148" t="s">
        <v>25</v>
      </c>
      <c r="D2148" t="s">
        <v>33</v>
      </c>
      <c r="E2148" t="s">
        <v>18</v>
      </c>
      <c r="F2148">
        <v>850.34</v>
      </c>
      <c r="G2148">
        <v>233.76</v>
      </c>
      <c r="H2148" t="s">
        <v>28</v>
      </c>
      <c r="I2148" t="s">
        <v>14</v>
      </c>
    </row>
    <row r="2149" spans="1:9" x14ac:dyDescent="0.35">
      <c r="A2149" t="s">
        <v>2185</v>
      </c>
      <c r="B2149" s="1">
        <v>45316</v>
      </c>
      <c r="C2149" t="s">
        <v>10</v>
      </c>
      <c r="D2149" t="s">
        <v>62</v>
      </c>
      <c r="E2149" t="s">
        <v>27</v>
      </c>
      <c r="F2149">
        <v>1221.02</v>
      </c>
      <c r="G2149">
        <v>216.96</v>
      </c>
      <c r="H2149" t="s">
        <v>13</v>
      </c>
      <c r="I2149" t="s">
        <v>14</v>
      </c>
    </row>
    <row r="2150" spans="1:9" x14ac:dyDescent="0.35">
      <c r="A2150" t="s">
        <v>2186</v>
      </c>
      <c r="B2150" s="1">
        <v>45032</v>
      </c>
      <c r="C2150" t="s">
        <v>16</v>
      </c>
      <c r="D2150" t="s">
        <v>26</v>
      </c>
      <c r="E2150" t="s">
        <v>27</v>
      </c>
      <c r="F2150">
        <v>1302.75</v>
      </c>
      <c r="G2150">
        <v>139.97</v>
      </c>
      <c r="H2150" t="s">
        <v>13</v>
      </c>
      <c r="I2150" t="s">
        <v>34</v>
      </c>
    </row>
    <row r="2151" spans="1:9" x14ac:dyDescent="0.35">
      <c r="A2151" t="s">
        <v>2187</v>
      </c>
      <c r="B2151" s="1">
        <v>45306</v>
      </c>
      <c r="C2151" t="s">
        <v>22</v>
      </c>
      <c r="D2151" t="s">
        <v>62</v>
      </c>
      <c r="E2151" t="s">
        <v>27</v>
      </c>
      <c r="F2151">
        <v>518.05999999999995</v>
      </c>
      <c r="G2151">
        <v>119.15</v>
      </c>
      <c r="H2151" t="s">
        <v>19</v>
      </c>
      <c r="I2151" t="s">
        <v>29</v>
      </c>
    </row>
    <row r="2152" spans="1:9" x14ac:dyDescent="0.35">
      <c r="A2152" t="s">
        <v>2188</v>
      </c>
      <c r="B2152" s="1">
        <v>44797</v>
      </c>
      <c r="C2152" t="s">
        <v>16</v>
      </c>
      <c r="D2152" t="s">
        <v>46</v>
      </c>
      <c r="E2152" t="s">
        <v>18</v>
      </c>
      <c r="F2152">
        <v>1601.78</v>
      </c>
      <c r="G2152">
        <v>410.94</v>
      </c>
      <c r="H2152" t="s">
        <v>28</v>
      </c>
      <c r="I2152" t="s">
        <v>20</v>
      </c>
    </row>
    <row r="2153" spans="1:9" x14ac:dyDescent="0.35">
      <c r="A2153" t="s">
        <v>2189</v>
      </c>
      <c r="B2153" s="1">
        <v>45517</v>
      </c>
      <c r="C2153" t="s">
        <v>10</v>
      </c>
      <c r="D2153" t="s">
        <v>41</v>
      </c>
      <c r="E2153" t="s">
        <v>12</v>
      </c>
      <c r="F2153">
        <v>1021.8</v>
      </c>
      <c r="G2153">
        <v>124.97</v>
      </c>
      <c r="H2153" t="s">
        <v>13</v>
      </c>
      <c r="I2153" t="s">
        <v>29</v>
      </c>
    </row>
    <row r="2154" spans="1:9" x14ac:dyDescent="0.35">
      <c r="A2154" t="s">
        <v>2190</v>
      </c>
      <c r="B2154" s="1">
        <v>44922</v>
      </c>
      <c r="C2154" t="s">
        <v>10</v>
      </c>
      <c r="D2154" t="s">
        <v>73</v>
      </c>
      <c r="E2154" t="s">
        <v>27</v>
      </c>
      <c r="F2154">
        <v>199.59</v>
      </c>
      <c r="G2154">
        <v>27.09</v>
      </c>
      <c r="H2154" t="s">
        <v>13</v>
      </c>
      <c r="I2154" t="s">
        <v>29</v>
      </c>
    </row>
    <row r="2155" spans="1:9" x14ac:dyDescent="0.35">
      <c r="A2155" t="s">
        <v>2191</v>
      </c>
      <c r="B2155" s="1">
        <v>45092</v>
      </c>
      <c r="C2155" t="s">
        <v>22</v>
      </c>
      <c r="D2155" t="s">
        <v>62</v>
      </c>
      <c r="E2155" t="s">
        <v>27</v>
      </c>
      <c r="F2155">
        <v>219.09</v>
      </c>
      <c r="G2155">
        <v>48.64</v>
      </c>
      <c r="H2155" t="s">
        <v>13</v>
      </c>
      <c r="I2155" t="s">
        <v>34</v>
      </c>
    </row>
    <row r="2156" spans="1:9" x14ac:dyDescent="0.35">
      <c r="A2156" t="s">
        <v>2192</v>
      </c>
      <c r="B2156" s="1">
        <v>45455</v>
      </c>
      <c r="C2156" t="s">
        <v>10</v>
      </c>
      <c r="D2156" t="s">
        <v>31</v>
      </c>
      <c r="E2156" t="s">
        <v>12</v>
      </c>
      <c r="F2156">
        <v>1144.72</v>
      </c>
      <c r="G2156">
        <v>267.14999999999998</v>
      </c>
      <c r="H2156" t="s">
        <v>13</v>
      </c>
      <c r="I2156" t="s">
        <v>20</v>
      </c>
    </row>
    <row r="2157" spans="1:9" x14ac:dyDescent="0.35">
      <c r="A2157" t="s">
        <v>2193</v>
      </c>
      <c r="B2157" s="1">
        <v>44733</v>
      </c>
      <c r="C2157" t="s">
        <v>22</v>
      </c>
      <c r="D2157" t="s">
        <v>11</v>
      </c>
      <c r="E2157" t="s">
        <v>12</v>
      </c>
      <c r="F2157">
        <v>1263.8</v>
      </c>
      <c r="G2157">
        <v>345.46</v>
      </c>
      <c r="H2157" t="s">
        <v>19</v>
      </c>
      <c r="I2157" t="s">
        <v>14</v>
      </c>
    </row>
    <row r="2158" spans="1:9" x14ac:dyDescent="0.35">
      <c r="A2158" t="s">
        <v>2194</v>
      </c>
      <c r="B2158" s="1">
        <v>45052</v>
      </c>
      <c r="C2158" t="s">
        <v>16</v>
      </c>
      <c r="D2158" t="s">
        <v>38</v>
      </c>
      <c r="E2158" t="s">
        <v>12</v>
      </c>
      <c r="F2158">
        <v>1561.43</v>
      </c>
      <c r="G2158">
        <v>311.63</v>
      </c>
      <c r="H2158" t="s">
        <v>28</v>
      </c>
      <c r="I2158" t="s">
        <v>14</v>
      </c>
    </row>
    <row r="2159" spans="1:9" x14ac:dyDescent="0.35">
      <c r="A2159" t="s">
        <v>2195</v>
      </c>
      <c r="B2159" s="1">
        <v>44786</v>
      </c>
      <c r="C2159" t="s">
        <v>25</v>
      </c>
      <c r="D2159" t="s">
        <v>46</v>
      </c>
      <c r="E2159" t="s">
        <v>18</v>
      </c>
      <c r="F2159">
        <v>121.86</v>
      </c>
      <c r="G2159">
        <v>9.34</v>
      </c>
      <c r="H2159" t="s">
        <v>13</v>
      </c>
      <c r="I2159" t="s">
        <v>34</v>
      </c>
    </row>
    <row r="2160" spans="1:9" x14ac:dyDescent="0.35">
      <c r="A2160" t="s">
        <v>2196</v>
      </c>
      <c r="B2160" s="1">
        <v>45487</v>
      </c>
      <c r="C2160" t="s">
        <v>16</v>
      </c>
      <c r="D2160" t="s">
        <v>95</v>
      </c>
      <c r="E2160" t="s">
        <v>18</v>
      </c>
      <c r="F2160">
        <v>1427.78</v>
      </c>
      <c r="G2160">
        <v>217.03</v>
      </c>
      <c r="H2160" t="s">
        <v>28</v>
      </c>
      <c r="I2160" t="s">
        <v>29</v>
      </c>
    </row>
    <row r="2161" spans="1:9" x14ac:dyDescent="0.35">
      <c r="A2161" t="s">
        <v>2197</v>
      </c>
      <c r="B2161" s="1">
        <v>45640</v>
      </c>
      <c r="C2161" t="s">
        <v>16</v>
      </c>
      <c r="D2161" t="s">
        <v>50</v>
      </c>
      <c r="E2161" t="s">
        <v>12</v>
      </c>
      <c r="F2161">
        <v>1103.07</v>
      </c>
      <c r="G2161">
        <v>278.62</v>
      </c>
      <c r="H2161" t="s">
        <v>13</v>
      </c>
      <c r="I2161" t="s">
        <v>14</v>
      </c>
    </row>
    <row r="2162" spans="1:9" x14ac:dyDescent="0.35">
      <c r="A2162" t="s">
        <v>2198</v>
      </c>
      <c r="B2162" s="1">
        <v>44920</v>
      </c>
      <c r="C2162" t="s">
        <v>10</v>
      </c>
      <c r="D2162" t="s">
        <v>33</v>
      </c>
      <c r="E2162" t="s">
        <v>18</v>
      </c>
      <c r="F2162">
        <v>1191.3699999999999</v>
      </c>
      <c r="G2162">
        <v>279.64</v>
      </c>
      <c r="H2162" t="s">
        <v>13</v>
      </c>
      <c r="I2162" t="s">
        <v>34</v>
      </c>
    </row>
    <row r="2163" spans="1:9" x14ac:dyDescent="0.35">
      <c r="A2163" t="s">
        <v>2199</v>
      </c>
      <c r="B2163" s="1">
        <v>44778</v>
      </c>
      <c r="C2163" t="s">
        <v>22</v>
      </c>
      <c r="D2163" t="s">
        <v>50</v>
      </c>
      <c r="E2163" t="s">
        <v>12</v>
      </c>
      <c r="F2163">
        <v>1254.5899999999999</v>
      </c>
      <c r="G2163">
        <v>117.9</v>
      </c>
      <c r="H2163" t="s">
        <v>19</v>
      </c>
      <c r="I2163" t="s">
        <v>14</v>
      </c>
    </row>
    <row r="2164" spans="1:9" x14ac:dyDescent="0.35">
      <c r="A2164" t="s">
        <v>2200</v>
      </c>
      <c r="B2164" s="1">
        <v>45485</v>
      </c>
      <c r="C2164" t="s">
        <v>22</v>
      </c>
      <c r="D2164" t="s">
        <v>23</v>
      </c>
      <c r="E2164" t="s">
        <v>18</v>
      </c>
      <c r="F2164">
        <v>887.65</v>
      </c>
      <c r="G2164">
        <v>128.37</v>
      </c>
      <c r="H2164" t="s">
        <v>19</v>
      </c>
      <c r="I2164" t="s">
        <v>29</v>
      </c>
    </row>
    <row r="2165" spans="1:9" x14ac:dyDescent="0.35">
      <c r="A2165" t="s">
        <v>2201</v>
      </c>
      <c r="B2165" s="1">
        <v>44709</v>
      </c>
      <c r="C2165" t="s">
        <v>22</v>
      </c>
      <c r="D2165" t="s">
        <v>62</v>
      </c>
      <c r="E2165" t="s">
        <v>27</v>
      </c>
      <c r="F2165">
        <v>468.5</v>
      </c>
      <c r="G2165">
        <v>125.41</v>
      </c>
      <c r="H2165" t="s">
        <v>13</v>
      </c>
      <c r="I2165" t="s">
        <v>14</v>
      </c>
    </row>
    <row r="2166" spans="1:9" x14ac:dyDescent="0.35">
      <c r="A2166" t="s">
        <v>2202</v>
      </c>
      <c r="B2166" s="1">
        <v>44876</v>
      </c>
      <c r="C2166" t="s">
        <v>25</v>
      </c>
      <c r="D2166" t="s">
        <v>41</v>
      </c>
      <c r="E2166" t="s">
        <v>12</v>
      </c>
      <c r="F2166">
        <v>1499.54</v>
      </c>
      <c r="G2166">
        <v>230.32</v>
      </c>
      <c r="H2166" t="s">
        <v>19</v>
      </c>
      <c r="I2166" t="s">
        <v>20</v>
      </c>
    </row>
    <row r="2167" spans="1:9" x14ac:dyDescent="0.35">
      <c r="A2167" t="s">
        <v>2203</v>
      </c>
      <c r="B2167" s="1">
        <v>45510</v>
      </c>
      <c r="C2167" t="s">
        <v>25</v>
      </c>
      <c r="D2167" t="s">
        <v>95</v>
      </c>
      <c r="E2167" t="s">
        <v>18</v>
      </c>
      <c r="F2167">
        <v>492.43</v>
      </c>
      <c r="G2167">
        <v>116.05</v>
      </c>
      <c r="H2167" t="s">
        <v>13</v>
      </c>
      <c r="I2167" t="s">
        <v>20</v>
      </c>
    </row>
    <row r="2168" spans="1:9" x14ac:dyDescent="0.35">
      <c r="A2168" t="s">
        <v>2204</v>
      </c>
      <c r="B2168" s="1">
        <v>44605</v>
      </c>
      <c r="C2168" t="s">
        <v>10</v>
      </c>
      <c r="D2168" t="s">
        <v>33</v>
      </c>
      <c r="E2168" t="s">
        <v>18</v>
      </c>
      <c r="F2168">
        <v>1732.77</v>
      </c>
      <c r="G2168">
        <v>488.24</v>
      </c>
      <c r="H2168" t="s">
        <v>28</v>
      </c>
      <c r="I2168" t="s">
        <v>29</v>
      </c>
    </row>
    <row r="2169" spans="1:9" x14ac:dyDescent="0.35">
      <c r="A2169" t="s">
        <v>2205</v>
      </c>
      <c r="B2169" s="1">
        <v>45199</v>
      </c>
      <c r="C2169" t="s">
        <v>16</v>
      </c>
      <c r="D2169" t="s">
        <v>97</v>
      </c>
      <c r="E2169" t="s">
        <v>27</v>
      </c>
      <c r="F2169">
        <v>1441.25</v>
      </c>
      <c r="G2169">
        <v>102.91</v>
      </c>
      <c r="H2169" t="s">
        <v>13</v>
      </c>
      <c r="I2169" t="s">
        <v>34</v>
      </c>
    </row>
    <row r="2170" spans="1:9" x14ac:dyDescent="0.35">
      <c r="A2170" t="s">
        <v>2206</v>
      </c>
      <c r="B2170" s="1">
        <v>45190</v>
      </c>
      <c r="C2170" t="s">
        <v>25</v>
      </c>
      <c r="D2170" t="s">
        <v>11</v>
      </c>
      <c r="E2170" t="s">
        <v>12</v>
      </c>
      <c r="F2170">
        <v>1956.34</v>
      </c>
      <c r="G2170">
        <v>424.5</v>
      </c>
      <c r="H2170" t="s">
        <v>19</v>
      </c>
      <c r="I2170" t="s">
        <v>29</v>
      </c>
    </row>
    <row r="2171" spans="1:9" x14ac:dyDescent="0.35">
      <c r="A2171" t="s">
        <v>2207</v>
      </c>
      <c r="B2171" s="1">
        <v>44987</v>
      </c>
      <c r="C2171" t="s">
        <v>16</v>
      </c>
      <c r="D2171" t="s">
        <v>97</v>
      </c>
      <c r="E2171" t="s">
        <v>27</v>
      </c>
      <c r="F2171">
        <v>1582.89</v>
      </c>
      <c r="G2171">
        <v>367.67</v>
      </c>
      <c r="H2171" t="s">
        <v>19</v>
      </c>
      <c r="I2171" t="s">
        <v>29</v>
      </c>
    </row>
    <row r="2172" spans="1:9" x14ac:dyDescent="0.35">
      <c r="A2172" t="s">
        <v>2208</v>
      </c>
      <c r="B2172" s="1">
        <v>45590</v>
      </c>
      <c r="C2172" t="s">
        <v>25</v>
      </c>
      <c r="D2172" t="s">
        <v>31</v>
      </c>
      <c r="E2172" t="s">
        <v>12</v>
      </c>
      <c r="F2172">
        <v>1093.33</v>
      </c>
      <c r="G2172">
        <v>277.97000000000003</v>
      </c>
      <c r="H2172" t="s">
        <v>28</v>
      </c>
      <c r="I2172" t="s">
        <v>20</v>
      </c>
    </row>
    <row r="2173" spans="1:9" x14ac:dyDescent="0.35">
      <c r="A2173" t="s">
        <v>2209</v>
      </c>
      <c r="B2173" s="1">
        <v>45553</v>
      </c>
      <c r="C2173" t="s">
        <v>16</v>
      </c>
      <c r="D2173" t="s">
        <v>95</v>
      </c>
      <c r="E2173" t="s">
        <v>18</v>
      </c>
      <c r="F2173">
        <v>1376.89</v>
      </c>
      <c r="G2173">
        <v>303.05</v>
      </c>
      <c r="H2173" t="s">
        <v>28</v>
      </c>
      <c r="I2173" t="s">
        <v>29</v>
      </c>
    </row>
    <row r="2174" spans="1:9" x14ac:dyDescent="0.35">
      <c r="A2174" t="s">
        <v>2210</v>
      </c>
      <c r="B2174" s="1">
        <v>45609</v>
      </c>
      <c r="C2174" t="s">
        <v>16</v>
      </c>
      <c r="D2174" t="s">
        <v>41</v>
      </c>
      <c r="E2174" t="s">
        <v>12</v>
      </c>
      <c r="F2174">
        <v>1826.06</v>
      </c>
      <c r="G2174">
        <v>311.73</v>
      </c>
      <c r="H2174" t="s">
        <v>13</v>
      </c>
      <c r="I2174" t="s">
        <v>20</v>
      </c>
    </row>
    <row r="2175" spans="1:9" x14ac:dyDescent="0.35">
      <c r="A2175" t="s">
        <v>2211</v>
      </c>
      <c r="B2175" s="1">
        <v>45575</v>
      </c>
      <c r="C2175" t="s">
        <v>16</v>
      </c>
      <c r="D2175" t="s">
        <v>62</v>
      </c>
      <c r="E2175" t="s">
        <v>27</v>
      </c>
      <c r="F2175">
        <v>1620.16</v>
      </c>
      <c r="G2175">
        <v>297.57</v>
      </c>
      <c r="H2175" t="s">
        <v>13</v>
      </c>
      <c r="I2175" t="s">
        <v>14</v>
      </c>
    </row>
    <row r="2176" spans="1:9" x14ac:dyDescent="0.35">
      <c r="A2176" t="s">
        <v>2212</v>
      </c>
      <c r="B2176" s="1">
        <v>45490</v>
      </c>
      <c r="C2176" t="s">
        <v>10</v>
      </c>
      <c r="D2176" t="s">
        <v>95</v>
      </c>
      <c r="E2176" t="s">
        <v>18</v>
      </c>
      <c r="F2176">
        <v>602.89</v>
      </c>
      <c r="G2176">
        <v>106.56</v>
      </c>
      <c r="H2176" t="s">
        <v>13</v>
      </c>
      <c r="I2176" t="s">
        <v>14</v>
      </c>
    </row>
    <row r="2177" spans="1:9" x14ac:dyDescent="0.35">
      <c r="A2177" t="s">
        <v>2213</v>
      </c>
      <c r="B2177" s="1">
        <v>45086</v>
      </c>
      <c r="C2177" t="s">
        <v>16</v>
      </c>
      <c r="D2177" t="s">
        <v>95</v>
      </c>
      <c r="E2177" t="s">
        <v>18</v>
      </c>
      <c r="F2177">
        <v>1130.47</v>
      </c>
      <c r="G2177">
        <v>298.14999999999998</v>
      </c>
      <c r="H2177" t="s">
        <v>28</v>
      </c>
      <c r="I2177" t="s">
        <v>20</v>
      </c>
    </row>
    <row r="2178" spans="1:9" x14ac:dyDescent="0.35">
      <c r="A2178" t="s">
        <v>2214</v>
      </c>
      <c r="B2178" s="1">
        <v>44751</v>
      </c>
      <c r="C2178" t="s">
        <v>16</v>
      </c>
      <c r="D2178" t="s">
        <v>62</v>
      </c>
      <c r="E2178" t="s">
        <v>27</v>
      </c>
      <c r="F2178">
        <v>715.49</v>
      </c>
      <c r="G2178">
        <v>68.73</v>
      </c>
      <c r="H2178" t="s">
        <v>19</v>
      </c>
      <c r="I2178" t="s">
        <v>29</v>
      </c>
    </row>
    <row r="2179" spans="1:9" x14ac:dyDescent="0.35">
      <c r="A2179" t="s">
        <v>2215</v>
      </c>
      <c r="B2179" s="1">
        <v>45094</v>
      </c>
      <c r="C2179" t="s">
        <v>22</v>
      </c>
      <c r="D2179" t="s">
        <v>62</v>
      </c>
      <c r="E2179" t="s">
        <v>27</v>
      </c>
      <c r="F2179">
        <v>1292.0999999999999</v>
      </c>
      <c r="G2179">
        <v>345.3</v>
      </c>
      <c r="H2179" t="s">
        <v>19</v>
      </c>
      <c r="I2179" t="s">
        <v>34</v>
      </c>
    </row>
    <row r="2180" spans="1:9" x14ac:dyDescent="0.35">
      <c r="A2180" t="s">
        <v>2216</v>
      </c>
      <c r="B2180" s="1">
        <v>45258</v>
      </c>
      <c r="C2180" t="s">
        <v>10</v>
      </c>
      <c r="D2180" t="s">
        <v>73</v>
      </c>
      <c r="E2180" t="s">
        <v>27</v>
      </c>
      <c r="F2180">
        <v>1583.05</v>
      </c>
      <c r="G2180">
        <v>203.3</v>
      </c>
      <c r="H2180" t="s">
        <v>13</v>
      </c>
      <c r="I2180" t="s">
        <v>29</v>
      </c>
    </row>
    <row r="2181" spans="1:9" x14ac:dyDescent="0.35">
      <c r="A2181" t="s">
        <v>2217</v>
      </c>
      <c r="B2181" s="1">
        <v>45192</v>
      </c>
      <c r="C2181" t="s">
        <v>10</v>
      </c>
      <c r="D2181" t="s">
        <v>46</v>
      </c>
      <c r="E2181" t="s">
        <v>18</v>
      </c>
      <c r="F2181">
        <v>771.75</v>
      </c>
      <c r="G2181">
        <v>202.05</v>
      </c>
      <c r="H2181" t="s">
        <v>13</v>
      </c>
      <c r="I2181" t="s">
        <v>14</v>
      </c>
    </row>
    <row r="2182" spans="1:9" x14ac:dyDescent="0.35">
      <c r="A2182" t="s">
        <v>2218</v>
      </c>
      <c r="B2182" s="1">
        <v>44775</v>
      </c>
      <c r="C2182" t="s">
        <v>25</v>
      </c>
      <c r="D2182" t="s">
        <v>57</v>
      </c>
      <c r="E2182" t="s">
        <v>27</v>
      </c>
      <c r="F2182">
        <v>682.3</v>
      </c>
      <c r="G2182">
        <v>134.57</v>
      </c>
      <c r="H2182" t="s">
        <v>28</v>
      </c>
      <c r="I2182" t="s">
        <v>29</v>
      </c>
    </row>
    <row r="2183" spans="1:9" x14ac:dyDescent="0.35">
      <c r="A2183" t="s">
        <v>2219</v>
      </c>
      <c r="B2183" s="1">
        <v>45006</v>
      </c>
      <c r="C2183" t="s">
        <v>25</v>
      </c>
      <c r="D2183" t="s">
        <v>17</v>
      </c>
      <c r="E2183" t="s">
        <v>18</v>
      </c>
      <c r="F2183">
        <v>717.46</v>
      </c>
      <c r="G2183">
        <v>194.33</v>
      </c>
      <c r="H2183" t="s">
        <v>19</v>
      </c>
      <c r="I2183" t="s">
        <v>29</v>
      </c>
    </row>
    <row r="2184" spans="1:9" x14ac:dyDescent="0.35">
      <c r="A2184" t="s">
        <v>2220</v>
      </c>
      <c r="B2184" s="1">
        <v>44847</v>
      </c>
      <c r="C2184" t="s">
        <v>10</v>
      </c>
      <c r="D2184" t="s">
        <v>50</v>
      </c>
      <c r="E2184" t="s">
        <v>12</v>
      </c>
      <c r="F2184">
        <v>536.63</v>
      </c>
      <c r="G2184">
        <v>120.1</v>
      </c>
      <c r="H2184" t="s">
        <v>28</v>
      </c>
      <c r="I2184" t="s">
        <v>20</v>
      </c>
    </row>
    <row r="2185" spans="1:9" x14ac:dyDescent="0.35">
      <c r="A2185" t="s">
        <v>2221</v>
      </c>
      <c r="B2185" s="1">
        <v>45280</v>
      </c>
      <c r="C2185" t="s">
        <v>16</v>
      </c>
      <c r="D2185" t="s">
        <v>57</v>
      </c>
      <c r="E2185" t="s">
        <v>27</v>
      </c>
      <c r="F2185">
        <v>123.74</v>
      </c>
      <c r="G2185">
        <v>12.3</v>
      </c>
      <c r="H2185" t="s">
        <v>13</v>
      </c>
      <c r="I2185" t="s">
        <v>20</v>
      </c>
    </row>
    <row r="2186" spans="1:9" x14ac:dyDescent="0.35">
      <c r="A2186" t="s">
        <v>2222</v>
      </c>
      <c r="B2186" s="1">
        <v>45006</v>
      </c>
      <c r="C2186" t="s">
        <v>10</v>
      </c>
      <c r="D2186" t="s">
        <v>11</v>
      </c>
      <c r="E2186" t="s">
        <v>12</v>
      </c>
      <c r="F2186">
        <v>204.3</v>
      </c>
      <c r="G2186">
        <v>12.51</v>
      </c>
      <c r="H2186" t="s">
        <v>28</v>
      </c>
      <c r="I2186" t="s">
        <v>14</v>
      </c>
    </row>
    <row r="2187" spans="1:9" x14ac:dyDescent="0.35">
      <c r="A2187" t="s">
        <v>2223</v>
      </c>
      <c r="B2187" s="1">
        <v>45510</v>
      </c>
      <c r="C2187" t="s">
        <v>16</v>
      </c>
      <c r="D2187" t="s">
        <v>46</v>
      </c>
      <c r="E2187" t="s">
        <v>18</v>
      </c>
      <c r="F2187">
        <v>1007.53</v>
      </c>
      <c r="G2187">
        <v>122.27</v>
      </c>
      <c r="H2187" t="s">
        <v>19</v>
      </c>
      <c r="I2187" t="s">
        <v>14</v>
      </c>
    </row>
    <row r="2188" spans="1:9" x14ac:dyDescent="0.35">
      <c r="A2188" t="s">
        <v>2224</v>
      </c>
      <c r="B2188" s="1">
        <v>44824</v>
      </c>
      <c r="C2188" t="s">
        <v>22</v>
      </c>
      <c r="D2188" t="s">
        <v>95</v>
      </c>
      <c r="E2188" t="s">
        <v>18</v>
      </c>
      <c r="F2188">
        <v>1239.21</v>
      </c>
      <c r="G2188">
        <v>111.85</v>
      </c>
      <c r="H2188" t="s">
        <v>19</v>
      </c>
      <c r="I2188" t="s">
        <v>34</v>
      </c>
    </row>
    <row r="2189" spans="1:9" x14ac:dyDescent="0.35">
      <c r="A2189" t="s">
        <v>2225</v>
      </c>
      <c r="B2189" s="1">
        <v>45476</v>
      </c>
      <c r="C2189" t="s">
        <v>25</v>
      </c>
      <c r="D2189" t="s">
        <v>38</v>
      </c>
      <c r="E2189" t="s">
        <v>12</v>
      </c>
      <c r="F2189">
        <v>1669.41</v>
      </c>
      <c r="G2189">
        <v>135.35</v>
      </c>
      <c r="H2189" t="s">
        <v>28</v>
      </c>
      <c r="I2189" t="s">
        <v>34</v>
      </c>
    </row>
    <row r="2190" spans="1:9" x14ac:dyDescent="0.35">
      <c r="A2190" t="s">
        <v>2226</v>
      </c>
      <c r="B2190" s="1">
        <v>45475</v>
      </c>
      <c r="C2190" t="s">
        <v>16</v>
      </c>
      <c r="D2190" t="s">
        <v>95</v>
      </c>
      <c r="E2190" t="s">
        <v>18</v>
      </c>
      <c r="F2190">
        <v>324.27</v>
      </c>
      <c r="G2190">
        <v>77.11</v>
      </c>
      <c r="H2190" t="s">
        <v>13</v>
      </c>
      <c r="I2190" t="s">
        <v>14</v>
      </c>
    </row>
    <row r="2191" spans="1:9" x14ac:dyDescent="0.35">
      <c r="A2191" t="s">
        <v>2227</v>
      </c>
      <c r="B2191" s="1">
        <v>45242</v>
      </c>
      <c r="C2191" t="s">
        <v>22</v>
      </c>
      <c r="D2191" t="s">
        <v>95</v>
      </c>
      <c r="E2191" t="s">
        <v>18</v>
      </c>
      <c r="F2191">
        <v>1765.88</v>
      </c>
      <c r="G2191">
        <v>172.46</v>
      </c>
      <c r="H2191" t="s">
        <v>13</v>
      </c>
      <c r="I2191" t="s">
        <v>29</v>
      </c>
    </row>
    <row r="2192" spans="1:9" x14ac:dyDescent="0.35">
      <c r="A2192" t="s">
        <v>2228</v>
      </c>
      <c r="B2192" s="1">
        <v>45278</v>
      </c>
      <c r="C2192" t="s">
        <v>25</v>
      </c>
      <c r="D2192" t="s">
        <v>73</v>
      </c>
      <c r="E2192" t="s">
        <v>27</v>
      </c>
      <c r="F2192">
        <v>1793.91</v>
      </c>
      <c r="G2192">
        <v>278.20999999999998</v>
      </c>
      <c r="H2192" t="s">
        <v>28</v>
      </c>
      <c r="I2192" t="s">
        <v>29</v>
      </c>
    </row>
    <row r="2193" spans="1:9" x14ac:dyDescent="0.35">
      <c r="A2193" t="s">
        <v>2229</v>
      </c>
      <c r="B2193" s="1">
        <v>44717</v>
      </c>
      <c r="C2193" t="s">
        <v>16</v>
      </c>
      <c r="D2193" t="s">
        <v>31</v>
      </c>
      <c r="E2193" t="s">
        <v>12</v>
      </c>
      <c r="F2193">
        <v>1941.05</v>
      </c>
      <c r="G2193">
        <v>144.34</v>
      </c>
      <c r="H2193" t="s">
        <v>28</v>
      </c>
      <c r="I2193" t="s">
        <v>29</v>
      </c>
    </row>
    <row r="2194" spans="1:9" x14ac:dyDescent="0.35">
      <c r="A2194" t="s">
        <v>2230</v>
      </c>
      <c r="B2194" s="1">
        <v>44597</v>
      </c>
      <c r="C2194" t="s">
        <v>16</v>
      </c>
      <c r="D2194" t="s">
        <v>73</v>
      </c>
      <c r="E2194" t="s">
        <v>27</v>
      </c>
      <c r="F2194">
        <v>1173.8499999999999</v>
      </c>
      <c r="G2194">
        <v>180.07</v>
      </c>
      <c r="H2194" t="s">
        <v>19</v>
      </c>
      <c r="I2194" t="s">
        <v>29</v>
      </c>
    </row>
    <row r="2195" spans="1:9" x14ac:dyDescent="0.35">
      <c r="A2195" t="s">
        <v>2231</v>
      </c>
      <c r="B2195" s="1">
        <v>44700</v>
      </c>
      <c r="C2195" t="s">
        <v>25</v>
      </c>
      <c r="D2195" t="s">
        <v>62</v>
      </c>
      <c r="E2195" t="s">
        <v>27</v>
      </c>
      <c r="F2195">
        <v>524.49</v>
      </c>
      <c r="G2195">
        <v>100.94</v>
      </c>
      <c r="H2195" t="s">
        <v>28</v>
      </c>
      <c r="I2195" t="s">
        <v>20</v>
      </c>
    </row>
    <row r="2196" spans="1:9" x14ac:dyDescent="0.35">
      <c r="A2196" t="s">
        <v>2232</v>
      </c>
      <c r="B2196" s="1">
        <v>44852</v>
      </c>
      <c r="C2196" t="s">
        <v>10</v>
      </c>
      <c r="D2196" t="s">
        <v>23</v>
      </c>
      <c r="E2196" t="s">
        <v>18</v>
      </c>
      <c r="F2196">
        <v>354.73</v>
      </c>
      <c r="G2196">
        <v>24.55</v>
      </c>
      <c r="H2196" t="s">
        <v>13</v>
      </c>
      <c r="I2196" t="s">
        <v>34</v>
      </c>
    </row>
    <row r="2197" spans="1:9" x14ac:dyDescent="0.35">
      <c r="A2197" t="s">
        <v>2233</v>
      </c>
      <c r="B2197" s="1">
        <v>45154</v>
      </c>
      <c r="C2197" t="s">
        <v>10</v>
      </c>
      <c r="D2197" t="s">
        <v>11</v>
      </c>
      <c r="E2197" t="s">
        <v>12</v>
      </c>
      <c r="F2197">
        <v>963.9</v>
      </c>
      <c r="G2197">
        <v>144.74</v>
      </c>
      <c r="H2197" t="s">
        <v>28</v>
      </c>
      <c r="I2197" t="s">
        <v>29</v>
      </c>
    </row>
    <row r="2198" spans="1:9" x14ac:dyDescent="0.35">
      <c r="A2198" t="s">
        <v>2234</v>
      </c>
      <c r="B2198" s="1">
        <v>44926</v>
      </c>
      <c r="C2198" t="s">
        <v>22</v>
      </c>
      <c r="D2198" t="s">
        <v>31</v>
      </c>
      <c r="E2198" t="s">
        <v>12</v>
      </c>
      <c r="F2198">
        <v>891.2</v>
      </c>
      <c r="G2198">
        <v>234.16</v>
      </c>
      <c r="H2198" t="s">
        <v>28</v>
      </c>
      <c r="I2198" t="s">
        <v>34</v>
      </c>
    </row>
    <row r="2199" spans="1:9" x14ac:dyDescent="0.35">
      <c r="A2199" t="s">
        <v>2235</v>
      </c>
      <c r="B2199" s="1">
        <v>45013</v>
      </c>
      <c r="C2199" t="s">
        <v>16</v>
      </c>
      <c r="D2199" t="s">
        <v>41</v>
      </c>
      <c r="E2199" t="s">
        <v>12</v>
      </c>
      <c r="F2199">
        <v>863.74</v>
      </c>
      <c r="G2199">
        <v>159.28</v>
      </c>
      <c r="H2199" t="s">
        <v>19</v>
      </c>
      <c r="I2199" t="s">
        <v>34</v>
      </c>
    </row>
    <row r="2200" spans="1:9" x14ac:dyDescent="0.35">
      <c r="A2200" t="s">
        <v>2236</v>
      </c>
      <c r="B2200" s="1">
        <v>45410</v>
      </c>
      <c r="C2200" t="s">
        <v>25</v>
      </c>
      <c r="D2200" t="s">
        <v>57</v>
      </c>
      <c r="E2200" t="s">
        <v>27</v>
      </c>
      <c r="F2200">
        <v>1847.41</v>
      </c>
      <c r="G2200">
        <v>367.82</v>
      </c>
      <c r="H2200" t="s">
        <v>19</v>
      </c>
      <c r="I2200" t="s">
        <v>20</v>
      </c>
    </row>
    <row r="2201" spans="1:9" x14ac:dyDescent="0.35">
      <c r="A2201" t="s">
        <v>2237</v>
      </c>
      <c r="B2201" s="1">
        <v>45612</v>
      </c>
      <c r="C2201" t="s">
        <v>10</v>
      </c>
      <c r="D2201" t="s">
        <v>50</v>
      </c>
      <c r="E2201" t="s">
        <v>12</v>
      </c>
      <c r="F2201">
        <v>430.98</v>
      </c>
      <c r="G2201">
        <v>53.13</v>
      </c>
      <c r="H2201" t="s">
        <v>19</v>
      </c>
      <c r="I2201" t="s">
        <v>29</v>
      </c>
    </row>
    <row r="2202" spans="1:9" x14ac:dyDescent="0.35">
      <c r="A2202" t="s">
        <v>2238</v>
      </c>
      <c r="B2202" s="1">
        <v>45646</v>
      </c>
      <c r="C2202" t="s">
        <v>10</v>
      </c>
      <c r="D2202" t="s">
        <v>11</v>
      </c>
      <c r="E2202" t="s">
        <v>12</v>
      </c>
      <c r="F2202">
        <v>947.39</v>
      </c>
      <c r="G2202">
        <v>244.69</v>
      </c>
      <c r="H2202" t="s">
        <v>28</v>
      </c>
      <c r="I2202" t="s">
        <v>29</v>
      </c>
    </row>
    <row r="2203" spans="1:9" x14ac:dyDescent="0.35">
      <c r="A2203" t="s">
        <v>2239</v>
      </c>
      <c r="B2203" s="1">
        <v>44586</v>
      </c>
      <c r="C2203" t="s">
        <v>10</v>
      </c>
      <c r="D2203" t="s">
        <v>31</v>
      </c>
      <c r="E2203" t="s">
        <v>12</v>
      </c>
      <c r="F2203">
        <v>1714.73</v>
      </c>
      <c r="G2203">
        <v>181.98</v>
      </c>
      <c r="H2203" t="s">
        <v>13</v>
      </c>
      <c r="I2203" t="s">
        <v>20</v>
      </c>
    </row>
    <row r="2204" spans="1:9" x14ac:dyDescent="0.35">
      <c r="A2204" t="s">
        <v>2240</v>
      </c>
      <c r="B2204" s="1">
        <v>45013</v>
      </c>
      <c r="C2204" t="s">
        <v>25</v>
      </c>
      <c r="D2204" t="s">
        <v>17</v>
      </c>
      <c r="E2204" t="s">
        <v>18</v>
      </c>
      <c r="F2204">
        <v>1100.95</v>
      </c>
      <c r="G2204">
        <v>296.08</v>
      </c>
      <c r="H2204" t="s">
        <v>19</v>
      </c>
      <c r="I2204" t="s">
        <v>14</v>
      </c>
    </row>
    <row r="2205" spans="1:9" x14ac:dyDescent="0.35">
      <c r="A2205" t="s">
        <v>2241</v>
      </c>
      <c r="B2205" s="1">
        <v>44690</v>
      </c>
      <c r="C2205" t="s">
        <v>25</v>
      </c>
      <c r="D2205" t="s">
        <v>31</v>
      </c>
      <c r="E2205" t="s">
        <v>12</v>
      </c>
      <c r="F2205">
        <v>1940.64</v>
      </c>
      <c r="G2205">
        <v>300.82</v>
      </c>
      <c r="H2205" t="s">
        <v>19</v>
      </c>
      <c r="I2205" t="s">
        <v>20</v>
      </c>
    </row>
    <row r="2206" spans="1:9" x14ac:dyDescent="0.35">
      <c r="A2206" t="s">
        <v>2242</v>
      </c>
      <c r="B2206" s="1">
        <v>45188</v>
      </c>
      <c r="C2206" t="s">
        <v>16</v>
      </c>
      <c r="D2206" t="s">
        <v>26</v>
      </c>
      <c r="E2206" t="s">
        <v>27</v>
      </c>
      <c r="F2206">
        <v>802.2</v>
      </c>
      <c r="G2206">
        <v>151.62</v>
      </c>
      <c r="H2206" t="s">
        <v>28</v>
      </c>
      <c r="I2206" t="s">
        <v>29</v>
      </c>
    </row>
    <row r="2207" spans="1:9" x14ac:dyDescent="0.35">
      <c r="A2207" t="s">
        <v>2243</v>
      </c>
      <c r="B2207" s="1">
        <v>45352</v>
      </c>
      <c r="C2207" t="s">
        <v>10</v>
      </c>
      <c r="D2207" t="s">
        <v>46</v>
      </c>
      <c r="E2207" t="s">
        <v>18</v>
      </c>
      <c r="F2207">
        <v>342.02</v>
      </c>
      <c r="G2207">
        <v>17.52</v>
      </c>
      <c r="H2207" t="s">
        <v>19</v>
      </c>
      <c r="I2207" t="s">
        <v>29</v>
      </c>
    </row>
    <row r="2208" spans="1:9" x14ac:dyDescent="0.35">
      <c r="A2208" t="s">
        <v>2244</v>
      </c>
      <c r="B2208" s="1">
        <v>44885</v>
      </c>
      <c r="C2208" t="s">
        <v>10</v>
      </c>
      <c r="D2208" t="s">
        <v>97</v>
      </c>
      <c r="E2208" t="s">
        <v>27</v>
      </c>
      <c r="F2208">
        <v>239.55</v>
      </c>
      <c r="G2208">
        <v>33.130000000000003</v>
      </c>
      <c r="H2208" t="s">
        <v>28</v>
      </c>
      <c r="I2208" t="s">
        <v>20</v>
      </c>
    </row>
    <row r="2209" spans="1:9" x14ac:dyDescent="0.35">
      <c r="A2209" t="s">
        <v>2245</v>
      </c>
      <c r="B2209" s="1">
        <v>45270</v>
      </c>
      <c r="C2209" t="s">
        <v>25</v>
      </c>
      <c r="D2209" t="s">
        <v>33</v>
      </c>
      <c r="E2209" t="s">
        <v>18</v>
      </c>
      <c r="F2209">
        <v>1180.3900000000001</v>
      </c>
      <c r="G2209">
        <v>140.47999999999999</v>
      </c>
      <c r="H2209" t="s">
        <v>13</v>
      </c>
      <c r="I2209" t="s">
        <v>14</v>
      </c>
    </row>
    <row r="2210" spans="1:9" x14ac:dyDescent="0.35">
      <c r="A2210" t="s">
        <v>2246</v>
      </c>
      <c r="B2210" s="1">
        <v>45197</v>
      </c>
      <c r="C2210" t="s">
        <v>16</v>
      </c>
      <c r="D2210" t="s">
        <v>31</v>
      </c>
      <c r="E2210" t="s">
        <v>12</v>
      </c>
      <c r="F2210">
        <v>640.79999999999995</v>
      </c>
      <c r="G2210">
        <v>65.63</v>
      </c>
      <c r="H2210" t="s">
        <v>28</v>
      </c>
      <c r="I2210" t="s">
        <v>20</v>
      </c>
    </row>
    <row r="2211" spans="1:9" x14ac:dyDescent="0.35">
      <c r="A2211" t="s">
        <v>2247</v>
      </c>
      <c r="B2211" s="1">
        <v>45046</v>
      </c>
      <c r="C2211" t="s">
        <v>10</v>
      </c>
      <c r="D2211" t="s">
        <v>11</v>
      </c>
      <c r="E2211" t="s">
        <v>12</v>
      </c>
      <c r="F2211">
        <v>830.68</v>
      </c>
      <c r="G2211">
        <v>212.44</v>
      </c>
      <c r="H2211" t="s">
        <v>13</v>
      </c>
      <c r="I2211" t="s">
        <v>34</v>
      </c>
    </row>
    <row r="2212" spans="1:9" x14ac:dyDescent="0.35">
      <c r="A2212" t="s">
        <v>2248</v>
      </c>
      <c r="B2212" s="1">
        <v>45067</v>
      </c>
      <c r="C2212" t="s">
        <v>22</v>
      </c>
      <c r="D2212" t="s">
        <v>97</v>
      </c>
      <c r="E2212" t="s">
        <v>27</v>
      </c>
      <c r="F2212">
        <v>959.67</v>
      </c>
      <c r="G2212">
        <v>79.709999999999994</v>
      </c>
      <c r="H2212" t="s">
        <v>19</v>
      </c>
      <c r="I2212" t="s">
        <v>34</v>
      </c>
    </row>
    <row r="2213" spans="1:9" x14ac:dyDescent="0.35">
      <c r="A2213" t="s">
        <v>2249</v>
      </c>
      <c r="B2213" s="1">
        <v>45357</v>
      </c>
      <c r="C2213" t="s">
        <v>16</v>
      </c>
      <c r="D2213" t="s">
        <v>31</v>
      </c>
      <c r="E2213" t="s">
        <v>12</v>
      </c>
      <c r="F2213">
        <v>498.72</v>
      </c>
      <c r="G2213">
        <v>32.9</v>
      </c>
      <c r="H2213" t="s">
        <v>19</v>
      </c>
      <c r="I2213" t="s">
        <v>29</v>
      </c>
    </row>
    <row r="2214" spans="1:9" x14ac:dyDescent="0.35">
      <c r="A2214" t="s">
        <v>2250</v>
      </c>
      <c r="B2214" s="1">
        <v>44861</v>
      </c>
      <c r="C2214" t="s">
        <v>10</v>
      </c>
      <c r="D2214" t="s">
        <v>62</v>
      </c>
      <c r="E2214" t="s">
        <v>27</v>
      </c>
      <c r="F2214">
        <v>1664.67</v>
      </c>
      <c r="G2214">
        <v>194.72</v>
      </c>
      <c r="H2214" t="s">
        <v>13</v>
      </c>
      <c r="I2214" t="s">
        <v>20</v>
      </c>
    </row>
    <row r="2215" spans="1:9" x14ac:dyDescent="0.35">
      <c r="A2215" t="s">
        <v>2251</v>
      </c>
      <c r="B2215" s="1">
        <v>44694</v>
      </c>
      <c r="C2215" t="s">
        <v>22</v>
      </c>
      <c r="D2215" t="s">
        <v>11</v>
      </c>
      <c r="E2215" t="s">
        <v>12</v>
      </c>
      <c r="F2215">
        <v>814.55</v>
      </c>
      <c r="G2215">
        <v>51.4</v>
      </c>
      <c r="H2215" t="s">
        <v>28</v>
      </c>
      <c r="I2215" t="s">
        <v>20</v>
      </c>
    </row>
    <row r="2216" spans="1:9" x14ac:dyDescent="0.35">
      <c r="A2216" t="s">
        <v>2252</v>
      </c>
      <c r="B2216" s="1">
        <v>45466</v>
      </c>
      <c r="C2216" t="s">
        <v>16</v>
      </c>
      <c r="D2216" t="s">
        <v>73</v>
      </c>
      <c r="E2216" t="s">
        <v>27</v>
      </c>
      <c r="F2216">
        <v>1884.8</v>
      </c>
      <c r="G2216">
        <v>260.52999999999997</v>
      </c>
      <c r="H2216" t="s">
        <v>13</v>
      </c>
      <c r="I2216" t="s">
        <v>34</v>
      </c>
    </row>
    <row r="2217" spans="1:9" x14ac:dyDescent="0.35">
      <c r="A2217" t="s">
        <v>2253</v>
      </c>
      <c r="B2217" s="1">
        <v>44656</v>
      </c>
      <c r="C2217" t="s">
        <v>22</v>
      </c>
      <c r="D2217" t="s">
        <v>26</v>
      </c>
      <c r="E2217" t="s">
        <v>27</v>
      </c>
      <c r="F2217">
        <v>1136.23</v>
      </c>
      <c r="G2217">
        <v>184.53</v>
      </c>
      <c r="H2217" t="s">
        <v>28</v>
      </c>
      <c r="I2217" t="s">
        <v>14</v>
      </c>
    </row>
    <row r="2218" spans="1:9" x14ac:dyDescent="0.35">
      <c r="A2218" t="s">
        <v>2254</v>
      </c>
      <c r="B2218" s="1">
        <v>44685</v>
      </c>
      <c r="C2218" t="s">
        <v>16</v>
      </c>
      <c r="D2218" t="s">
        <v>31</v>
      </c>
      <c r="E2218" t="s">
        <v>12</v>
      </c>
      <c r="F2218">
        <v>1474.07</v>
      </c>
      <c r="G2218">
        <v>381.99</v>
      </c>
      <c r="H2218" t="s">
        <v>28</v>
      </c>
      <c r="I2218" t="s">
        <v>14</v>
      </c>
    </row>
    <row r="2219" spans="1:9" x14ac:dyDescent="0.35">
      <c r="A2219" t="s">
        <v>2255</v>
      </c>
      <c r="B2219" s="1">
        <v>44941</v>
      </c>
      <c r="C2219" t="s">
        <v>16</v>
      </c>
      <c r="D2219" t="s">
        <v>38</v>
      </c>
      <c r="E2219" t="s">
        <v>12</v>
      </c>
      <c r="F2219">
        <v>1140.99</v>
      </c>
      <c r="G2219">
        <v>188.53</v>
      </c>
      <c r="H2219" t="s">
        <v>28</v>
      </c>
      <c r="I2219" t="s">
        <v>14</v>
      </c>
    </row>
    <row r="2220" spans="1:9" x14ac:dyDescent="0.35">
      <c r="A2220" t="s">
        <v>2256</v>
      </c>
      <c r="B2220" s="1">
        <v>45115</v>
      </c>
      <c r="C2220" t="s">
        <v>25</v>
      </c>
      <c r="D2220" t="s">
        <v>97</v>
      </c>
      <c r="E2220" t="s">
        <v>27</v>
      </c>
      <c r="F2220">
        <v>399.16</v>
      </c>
      <c r="G2220">
        <v>114.14</v>
      </c>
      <c r="H2220" t="s">
        <v>19</v>
      </c>
      <c r="I2220" t="s">
        <v>20</v>
      </c>
    </row>
    <row r="2221" spans="1:9" x14ac:dyDescent="0.35">
      <c r="A2221" t="s">
        <v>2257</v>
      </c>
      <c r="B2221" s="1">
        <v>44584</v>
      </c>
      <c r="C2221" t="s">
        <v>25</v>
      </c>
      <c r="D2221" t="s">
        <v>41</v>
      </c>
      <c r="E2221" t="s">
        <v>12</v>
      </c>
      <c r="F2221">
        <v>1168.6400000000001</v>
      </c>
      <c r="G2221">
        <v>72.06</v>
      </c>
      <c r="H2221" t="s">
        <v>19</v>
      </c>
      <c r="I2221" t="s">
        <v>29</v>
      </c>
    </row>
    <row r="2222" spans="1:9" x14ac:dyDescent="0.35">
      <c r="A2222" t="s">
        <v>2258</v>
      </c>
      <c r="B2222" s="1">
        <v>45357</v>
      </c>
      <c r="C2222" t="s">
        <v>16</v>
      </c>
      <c r="D2222" t="s">
        <v>50</v>
      </c>
      <c r="E2222" t="s">
        <v>12</v>
      </c>
      <c r="F2222">
        <v>211.47</v>
      </c>
      <c r="G2222">
        <v>42.42</v>
      </c>
      <c r="H2222" t="s">
        <v>19</v>
      </c>
      <c r="I2222" t="s">
        <v>29</v>
      </c>
    </row>
    <row r="2223" spans="1:9" x14ac:dyDescent="0.35">
      <c r="A2223" t="s">
        <v>2259</v>
      </c>
      <c r="B2223" s="1">
        <v>45456</v>
      </c>
      <c r="C2223" t="s">
        <v>22</v>
      </c>
      <c r="D2223" t="s">
        <v>17</v>
      </c>
      <c r="E2223" t="s">
        <v>18</v>
      </c>
      <c r="F2223">
        <v>1032.23</v>
      </c>
      <c r="G2223">
        <v>78.13</v>
      </c>
      <c r="H2223" t="s">
        <v>13</v>
      </c>
      <c r="I2223" t="s">
        <v>20</v>
      </c>
    </row>
    <row r="2224" spans="1:9" x14ac:dyDescent="0.35">
      <c r="A2224" t="s">
        <v>2260</v>
      </c>
      <c r="B2224" s="1">
        <v>45642</v>
      </c>
      <c r="C2224" t="s">
        <v>22</v>
      </c>
      <c r="D2224" t="s">
        <v>97</v>
      </c>
      <c r="E2224" t="s">
        <v>27</v>
      </c>
      <c r="F2224">
        <v>1230.0899999999999</v>
      </c>
      <c r="G2224">
        <v>222.22</v>
      </c>
      <c r="H2224" t="s">
        <v>28</v>
      </c>
      <c r="I2224" t="s">
        <v>34</v>
      </c>
    </row>
    <row r="2225" spans="1:9" x14ac:dyDescent="0.35">
      <c r="A2225" t="s">
        <v>2261</v>
      </c>
      <c r="B2225" s="1">
        <v>44903</v>
      </c>
      <c r="C2225" t="s">
        <v>10</v>
      </c>
      <c r="D2225" t="s">
        <v>33</v>
      </c>
      <c r="E2225" t="s">
        <v>18</v>
      </c>
      <c r="F2225">
        <v>961.51</v>
      </c>
      <c r="G2225">
        <v>252.9</v>
      </c>
      <c r="H2225" t="s">
        <v>19</v>
      </c>
      <c r="I2225" t="s">
        <v>34</v>
      </c>
    </row>
    <row r="2226" spans="1:9" x14ac:dyDescent="0.35">
      <c r="A2226" t="s">
        <v>2262</v>
      </c>
      <c r="B2226" s="1">
        <v>45214</v>
      </c>
      <c r="C2226" t="s">
        <v>10</v>
      </c>
      <c r="D2226" t="s">
        <v>57</v>
      </c>
      <c r="E2226" t="s">
        <v>27</v>
      </c>
      <c r="F2226">
        <v>1874.97</v>
      </c>
      <c r="G2226">
        <v>166.6</v>
      </c>
      <c r="H2226" t="s">
        <v>28</v>
      </c>
      <c r="I2226" t="s">
        <v>34</v>
      </c>
    </row>
    <row r="2227" spans="1:9" x14ac:dyDescent="0.35">
      <c r="A2227" t="s">
        <v>2263</v>
      </c>
      <c r="B2227" s="1">
        <v>44620</v>
      </c>
      <c r="C2227" t="s">
        <v>10</v>
      </c>
      <c r="D2227" t="s">
        <v>31</v>
      </c>
      <c r="E2227" t="s">
        <v>12</v>
      </c>
      <c r="F2227">
        <v>366.43</v>
      </c>
      <c r="G2227">
        <v>45.7</v>
      </c>
      <c r="H2227" t="s">
        <v>19</v>
      </c>
      <c r="I2227" t="s">
        <v>20</v>
      </c>
    </row>
    <row r="2228" spans="1:9" x14ac:dyDescent="0.35">
      <c r="A2228" t="s">
        <v>2264</v>
      </c>
      <c r="B2228" s="1">
        <v>44629</v>
      </c>
      <c r="C2228" t="s">
        <v>22</v>
      </c>
      <c r="D2228" t="s">
        <v>62</v>
      </c>
      <c r="E2228" t="s">
        <v>27</v>
      </c>
      <c r="F2228">
        <v>1365.75</v>
      </c>
      <c r="G2228">
        <v>97.19</v>
      </c>
      <c r="H2228" t="s">
        <v>13</v>
      </c>
      <c r="I2228" t="s">
        <v>29</v>
      </c>
    </row>
    <row r="2229" spans="1:9" x14ac:dyDescent="0.35">
      <c r="A2229" t="s">
        <v>2265</v>
      </c>
      <c r="B2229" s="1">
        <v>45624</v>
      </c>
      <c r="C2229" t="s">
        <v>25</v>
      </c>
      <c r="D2229" t="s">
        <v>73</v>
      </c>
      <c r="E2229" t="s">
        <v>27</v>
      </c>
      <c r="F2229">
        <v>1949.34</v>
      </c>
      <c r="G2229">
        <v>439.34</v>
      </c>
      <c r="H2229" t="s">
        <v>13</v>
      </c>
      <c r="I2229" t="s">
        <v>14</v>
      </c>
    </row>
    <row r="2230" spans="1:9" x14ac:dyDescent="0.35">
      <c r="A2230" t="s">
        <v>2266</v>
      </c>
      <c r="B2230" s="1">
        <v>45129</v>
      </c>
      <c r="C2230" t="s">
        <v>25</v>
      </c>
      <c r="D2230" t="s">
        <v>26</v>
      </c>
      <c r="E2230" t="s">
        <v>27</v>
      </c>
      <c r="F2230">
        <v>1234.01</v>
      </c>
      <c r="G2230">
        <v>245.88</v>
      </c>
      <c r="H2230" t="s">
        <v>28</v>
      </c>
      <c r="I2230" t="s">
        <v>29</v>
      </c>
    </row>
    <row r="2231" spans="1:9" x14ac:dyDescent="0.35">
      <c r="A2231" t="s">
        <v>2267</v>
      </c>
      <c r="B2231" s="1">
        <v>44907</v>
      </c>
      <c r="C2231" t="s">
        <v>16</v>
      </c>
      <c r="D2231" t="s">
        <v>46</v>
      </c>
      <c r="E2231" t="s">
        <v>18</v>
      </c>
      <c r="F2231">
        <v>1326.57</v>
      </c>
      <c r="G2231">
        <v>153.38</v>
      </c>
      <c r="H2231" t="s">
        <v>19</v>
      </c>
      <c r="I2231" t="s">
        <v>14</v>
      </c>
    </row>
    <row r="2232" spans="1:9" x14ac:dyDescent="0.35">
      <c r="A2232" t="s">
        <v>2268</v>
      </c>
      <c r="B2232" s="1">
        <v>45599</v>
      </c>
      <c r="C2232" t="s">
        <v>25</v>
      </c>
      <c r="D2232" t="s">
        <v>57</v>
      </c>
      <c r="E2232" t="s">
        <v>27</v>
      </c>
      <c r="F2232">
        <v>1210.3599999999999</v>
      </c>
      <c r="G2232">
        <v>112.29</v>
      </c>
      <c r="H2232" t="s">
        <v>13</v>
      </c>
      <c r="I2232" t="s">
        <v>29</v>
      </c>
    </row>
    <row r="2233" spans="1:9" x14ac:dyDescent="0.35">
      <c r="A2233" t="s">
        <v>2269</v>
      </c>
      <c r="B2233" s="1">
        <v>45597</v>
      </c>
      <c r="C2233" t="s">
        <v>16</v>
      </c>
      <c r="D2233" t="s">
        <v>38</v>
      </c>
      <c r="E2233" t="s">
        <v>12</v>
      </c>
      <c r="F2233">
        <v>1668.54</v>
      </c>
      <c r="G2233">
        <v>222.38</v>
      </c>
      <c r="H2233" t="s">
        <v>13</v>
      </c>
      <c r="I2233" t="s">
        <v>14</v>
      </c>
    </row>
    <row r="2234" spans="1:9" x14ac:dyDescent="0.35">
      <c r="A2234" t="s">
        <v>2270</v>
      </c>
      <c r="B2234" s="1">
        <v>45163</v>
      </c>
      <c r="C2234" t="s">
        <v>22</v>
      </c>
      <c r="D2234" t="s">
        <v>73</v>
      </c>
      <c r="E2234" t="s">
        <v>27</v>
      </c>
      <c r="F2234">
        <v>514.84</v>
      </c>
      <c r="G2234">
        <v>65.67</v>
      </c>
      <c r="H2234" t="s">
        <v>19</v>
      </c>
      <c r="I2234" t="s">
        <v>20</v>
      </c>
    </row>
    <row r="2235" spans="1:9" x14ac:dyDescent="0.35">
      <c r="A2235" t="s">
        <v>2271</v>
      </c>
      <c r="B2235" s="1">
        <v>45277</v>
      </c>
      <c r="C2235" t="s">
        <v>25</v>
      </c>
      <c r="D2235" t="s">
        <v>41</v>
      </c>
      <c r="E2235" t="s">
        <v>12</v>
      </c>
      <c r="F2235">
        <v>1682.15</v>
      </c>
      <c r="G2235">
        <v>354.86</v>
      </c>
      <c r="H2235" t="s">
        <v>13</v>
      </c>
      <c r="I2235" t="s">
        <v>29</v>
      </c>
    </row>
    <row r="2236" spans="1:9" x14ac:dyDescent="0.35">
      <c r="A2236" t="s">
        <v>2272</v>
      </c>
      <c r="B2236" s="1">
        <v>45565</v>
      </c>
      <c r="C2236" t="s">
        <v>22</v>
      </c>
      <c r="D2236" t="s">
        <v>50</v>
      </c>
      <c r="E2236" t="s">
        <v>12</v>
      </c>
      <c r="F2236">
        <v>338.67</v>
      </c>
      <c r="G2236">
        <v>26.67</v>
      </c>
      <c r="H2236" t="s">
        <v>28</v>
      </c>
      <c r="I2236" t="s">
        <v>29</v>
      </c>
    </row>
    <row r="2237" spans="1:9" x14ac:dyDescent="0.35">
      <c r="A2237" t="s">
        <v>2273</v>
      </c>
      <c r="B2237" s="1">
        <v>45074</v>
      </c>
      <c r="C2237" t="s">
        <v>22</v>
      </c>
      <c r="D2237" t="s">
        <v>38</v>
      </c>
      <c r="E2237" t="s">
        <v>12</v>
      </c>
      <c r="F2237">
        <v>976.73</v>
      </c>
      <c r="G2237">
        <v>192.09</v>
      </c>
      <c r="H2237" t="s">
        <v>19</v>
      </c>
      <c r="I2237" t="s">
        <v>20</v>
      </c>
    </row>
    <row r="2238" spans="1:9" x14ac:dyDescent="0.35">
      <c r="A2238" t="s">
        <v>2274</v>
      </c>
      <c r="B2238" s="1">
        <v>45452</v>
      </c>
      <c r="C2238" t="s">
        <v>25</v>
      </c>
      <c r="D2238" t="s">
        <v>57</v>
      </c>
      <c r="E2238" t="s">
        <v>27</v>
      </c>
      <c r="F2238">
        <v>1259.93</v>
      </c>
      <c r="G2238">
        <v>162.94</v>
      </c>
      <c r="H2238" t="s">
        <v>19</v>
      </c>
      <c r="I2238" t="s">
        <v>14</v>
      </c>
    </row>
    <row r="2239" spans="1:9" x14ac:dyDescent="0.35">
      <c r="A2239" t="s">
        <v>2275</v>
      </c>
      <c r="B2239" s="1">
        <v>44770</v>
      </c>
      <c r="C2239" t="s">
        <v>16</v>
      </c>
      <c r="D2239" t="s">
        <v>57</v>
      </c>
      <c r="E2239" t="s">
        <v>27</v>
      </c>
      <c r="F2239">
        <v>1898.31</v>
      </c>
      <c r="G2239">
        <v>177.24</v>
      </c>
      <c r="H2239" t="s">
        <v>28</v>
      </c>
      <c r="I2239" t="s">
        <v>14</v>
      </c>
    </row>
    <row r="2240" spans="1:9" x14ac:dyDescent="0.35">
      <c r="A2240" t="s">
        <v>2276</v>
      </c>
      <c r="B2240" s="1">
        <v>45615</v>
      </c>
      <c r="C2240" t="s">
        <v>16</v>
      </c>
      <c r="D2240" t="s">
        <v>50</v>
      </c>
      <c r="E2240" t="s">
        <v>12</v>
      </c>
      <c r="F2240">
        <v>1071.51</v>
      </c>
      <c r="G2240">
        <v>269.58999999999997</v>
      </c>
      <c r="H2240" t="s">
        <v>28</v>
      </c>
      <c r="I2240" t="s">
        <v>20</v>
      </c>
    </row>
    <row r="2241" spans="1:9" x14ac:dyDescent="0.35">
      <c r="A2241" t="s">
        <v>2277</v>
      </c>
      <c r="B2241" s="1">
        <v>44902</v>
      </c>
      <c r="C2241" t="s">
        <v>22</v>
      </c>
      <c r="D2241" t="s">
        <v>38</v>
      </c>
      <c r="E2241" t="s">
        <v>12</v>
      </c>
      <c r="F2241">
        <v>1365.54</v>
      </c>
      <c r="G2241">
        <v>263.45999999999998</v>
      </c>
      <c r="H2241" t="s">
        <v>19</v>
      </c>
      <c r="I2241" t="s">
        <v>29</v>
      </c>
    </row>
    <row r="2242" spans="1:9" x14ac:dyDescent="0.35">
      <c r="A2242" t="s">
        <v>2278</v>
      </c>
      <c r="B2242" s="1">
        <v>45045</v>
      </c>
      <c r="C2242" t="s">
        <v>10</v>
      </c>
      <c r="D2242" t="s">
        <v>17</v>
      </c>
      <c r="E2242" t="s">
        <v>18</v>
      </c>
      <c r="F2242">
        <v>137.93</v>
      </c>
      <c r="G2242">
        <v>29.37</v>
      </c>
      <c r="H2242" t="s">
        <v>19</v>
      </c>
      <c r="I2242" t="s">
        <v>34</v>
      </c>
    </row>
    <row r="2243" spans="1:9" x14ac:dyDescent="0.35">
      <c r="A2243" t="s">
        <v>2279</v>
      </c>
      <c r="B2243" s="1">
        <v>44928</v>
      </c>
      <c r="C2243" t="s">
        <v>16</v>
      </c>
      <c r="D2243" t="s">
        <v>46</v>
      </c>
      <c r="E2243" t="s">
        <v>18</v>
      </c>
      <c r="F2243">
        <v>1761.52</v>
      </c>
      <c r="G2243">
        <v>95.55</v>
      </c>
      <c r="H2243" t="s">
        <v>13</v>
      </c>
      <c r="I2243" t="s">
        <v>14</v>
      </c>
    </row>
    <row r="2244" spans="1:9" x14ac:dyDescent="0.35">
      <c r="A2244" t="s">
        <v>2280</v>
      </c>
      <c r="B2244" s="1">
        <v>45378</v>
      </c>
      <c r="C2244" t="s">
        <v>16</v>
      </c>
      <c r="D2244" t="s">
        <v>41</v>
      </c>
      <c r="E2244" t="s">
        <v>12</v>
      </c>
      <c r="F2244">
        <v>1854.9</v>
      </c>
      <c r="G2244">
        <v>117.99</v>
      </c>
      <c r="H2244" t="s">
        <v>28</v>
      </c>
      <c r="I2244" t="s">
        <v>34</v>
      </c>
    </row>
    <row r="2245" spans="1:9" x14ac:dyDescent="0.35">
      <c r="A2245" t="s">
        <v>2281</v>
      </c>
      <c r="B2245" s="1">
        <v>44692</v>
      </c>
      <c r="C2245" t="s">
        <v>16</v>
      </c>
      <c r="D2245" t="s">
        <v>95</v>
      </c>
      <c r="E2245" t="s">
        <v>18</v>
      </c>
      <c r="F2245">
        <v>256.88</v>
      </c>
      <c r="G2245">
        <v>59.18</v>
      </c>
      <c r="H2245" t="s">
        <v>28</v>
      </c>
      <c r="I2245" t="s">
        <v>34</v>
      </c>
    </row>
    <row r="2246" spans="1:9" x14ac:dyDescent="0.35">
      <c r="A2246" t="s">
        <v>2282</v>
      </c>
      <c r="B2246" s="1">
        <v>45346</v>
      </c>
      <c r="C2246" t="s">
        <v>16</v>
      </c>
      <c r="D2246" t="s">
        <v>38</v>
      </c>
      <c r="E2246" t="s">
        <v>12</v>
      </c>
      <c r="F2246">
        <v>375.01</v>
      </c>
      <c r="G2246">
        <v>51.4</v>
      </c>
      <c r="H2246" t="s">
        <v>19</v>
      </c>
      <c r="I2246" t="s">
        <v>29</v>
      </c>
    </row>
    <row r="2247" spans="1:9" x14ac:dyDescent="0.35">
      <c r="A2247" t="s">
        <v>2283</v>
      </c>
      <c r="B2247" s="1">
        <v>44907</v>
      </c>
      <c r="C2247" t="s">
        <v>22</v>
      </c>
      <c r="D2247" t="s">
        <v>38</v>
      </c>
      <c r="E2247" t="s">
        <v>12</v>
      </c>
      <c r="F2247">
        <v>840.5</v>
      </c>
      <c r="G2247">
        <v>190.2</v>
      </c>
      <c r="H2247" t="s">
        <v>19</v>
      </c>
      <c r="I2247" t="s">
        <v>34</v>
      </c>
    </row>
    <row r="2248" spans="1:9" x14ac:dyDescent="0.35">
      <c r="A2248" t="s">
        <v>2284</v>
      </c>
      <c r="B2248" s="1">
        <v>44816</v>
      </c>
      <c r="C2248" t="s">
        <v>16</v>
      </c>
      <c r="D2248" t="s">
        <v>11</v>
      </c>
      <c r="E2248" t="s">
        <v>12</v>
      </c>
      <c r="F2248">
        <v>717.05</v>
      </c>
      <c r="G2248">
        <v>136.74</v>
      </c>
      <c r="H2248" t="s">
        <v>28</v>
      </c>
      <c r="I2248" t="s">
        <v>14</v>
      </c>
    </row>
    <row r="2249" spans="1:9" x14ac:dyDescent="0.35">
      <c r="A2249" t="s">
        <v>2285</v>
      </c>
      <c r="B2249" s="1">
        <v>45394</v>
      </c>
      <c r="C2249" t="s">
        <v>10</v>
      </c>
      <c r="D2249" t="s">
        <v>73</v>
      </c>
      <c r="E2249" t="s">
        <v>27</v>
      </c>
      <c r="F2249">
        <v>1567.28</v>
      </c>
      <c r="G2249">
        <v>308.89999999999998</v>
      </c>
      <c r="H2249" t="s">
        <v>28</v>
      </c>
      <c r="I2249" t="s">
        <v>20</v>
      </c>
    </row>
    <row r="2250" spans="1:9" x14ac:dyDescent="0.35">
      <c r="A2250" t="s">
        <v>2286</v>
      </c>
      <c r="B2250" s="1">
        <v>44708</v>
      </c>
      <c r="C2250" t="s">
        <v>10</v>
      </c>
      <c r="D2250" t="s">
        <v>46</v>
      </c>
      <c r="E2250" t="s">
        <v>18</v>
      </c>
      <c r="F2250">
        <v>680.82</v>
      </c>
      <c r="G2250">
        <v>99.31</v>
      </c>
      <c r="H2250" t="s">
        <v>13</v>
      </c>
      <c r="I2250" t="s">
        <v>20</v>
      </c>
    </row>
    <row r="2251" spans="1:9" x14ac:dyDescent="0.35">
      <c r="A2251" t="s">
        <v>2287</v>
      </c>
      <c r="B2251" s="1">
        <v>45310</v>
      </c>
      <c r="C2251" t="s">
        <v>16</v>
      </c>
      <c r="D2251" t="s">
        <v>23</v>
      </c>
      <c r="E2251" t="s">
        <v>18</v>
      </c>
      <c r="F2251">
        <v>438.5</v>
      </c>
      <c r="G2251">
        <v>125.04</v>
      </c>
      <c r="H2251" t="s">
        <v>28</v>
      </c>
      <c r="I2251" t="s">
        <v>20</v>
      </c>
    </row>
    <row r="2252" spans="1:9" x14ac:dyDescent="0.35">
      <c r="A2252" t="s">
        <v>2288</v>
      </c>
      <c r="B2252" s="1">
        <v>45476</v>
      </c>
      <c r="C2252" t="s">
        <v>16</v>
      </c>
      <c r="D2252" t="s">
        <v>50</v>
      </c>
      <c r="E2252" t="s">
        <v>12</v>
      </c>
      <c r="F2252">
        <v>1318.56</v>
      </c>
      <c r="G2252">
        <v>366.58</v>
      </c>
      <c r="H2252" t="s">
        <v>19</v>
      </c>
      <c r="I2252" t="s">
        <v>34</v>
      </c>
    </row>
    <row r="2253" spans="1:9" x14ac:dyDescent="0.35">
      <c r="A2253" t="s">
        <v>2289</v>
      </c>
      <c r="B2253" s="1">
        <v>45305</v>
      </c>
      <c r="C2253" t="s">
        <v>10</v>
      </c>
      <c r="D2253" t="s">
        <v>11</v>
      </c>
      <c r="E2253" t="s">
        <v>12</v>
      </c>
      <c r="F2253">
        <v>1733.59</v>
      </c>
      <c r="G2253">
        <v>119.19</v>
      </c>
      <c r="H2253" t="s">
        <v>13</v>
      </c>
      <c r="I2253" t="s">
        <v>29</v>
      </c>
    </row>
    <row r="2254" spans="1:9" x14ac:dyDescent="0.35">
      <c r="A2254" t="s">
        <v>2290</v>
      </c>
      <c r="B2254" s="1">
        <v>44849</v>
      </c>
      <c r="C2254" t="s">
        <v>25</v>
      </c>
      <c r="D2254" t="s">
        <v>95</v>
      </c>
      <c r="E2254" t="s">
        <v>18</v>
      </c>
      <c r="F2254">
        <v>1569.58</v>
      </c>
      <c r="G2254">
        <v>326.3</v>
      </c>
      <c r="H2254" t="s">
        <v>13</v>
      </c>
      <c r="I2254" t="s">
        <v>34</v>
      </c>
    </row>
    <row r="2255" spans="1:9" x14ac:dyDescent="0.35">
      <c r="A2255" t="s">
        <v>2291</v>
      </c>
      <c r="B2255" s="1">
        <v>45382</v>
      </c>
      <c r="C2255" t="s">
        <v>10</v>
      </c>
      <c r="D2255" t="s">
        <v>95</v>
      </c>
      <c r="E2255" t="s">
        <v>18</v>
      </c>
      <c r="F2255">
        <v>1962.15</v>
      </c>
      <c r="G2255">
        <v>146.56</v>
      </c>
      <c r="H2255" t="s">
        <v>13</v>
      </c>
      <c r="I2255" t="s">
        <v>29</v>
      </c>
    </row>
    <row r="2256" spans="1:9" x14ac:dyDescent="0.35">
      <c r="A2256" t="s">
        <v>2292</v>
      </c>
      <c r="B2256" s="1">
        <v>44909</v>
      </c>
      <c r="C2256" t="s">
        <v>10</v>
      </c>
      <c r="D2256" t="s">
        <v>31</v>
      </c>
      <c r="E2256" t="s">
        <v>12</v>
      </c>
      <c r="F2256">
        <v>711.77</v>
      </c>
      <c r="G2256">
        <v>110.78</v>
      </c>
      <c r="H2256" t="s">
        <v>13</v>
      </c>
      <c r="I2256" t="s">
        <v>34</v>
      </c>
    </row>
    <row r="2257" spans="1:9" x14ac:dyDescent="0.35">
      <c r="A2257" t="s">
        <v>2293</v>
      </c>
      <c r="B2257" s="1">
        <v>45162</v>
      </c>
      <c r="C2257" t="s">
        <v>16</v>
      </c>
      <c r="D2257" t="s">
        <v>73</v>
      </c>
      <c r="E2257" t="s">
        <v>27</v>
      </c>
      <c r="F2257">
        <v>195.74</v>
      </c>
      <c r="G2257">
        <v>52.24</v>
      </c>
      <c r="H2257" t="s">
        <v>19</v>
      </c>
      <c r="I2257" t="s">
        <v>29</v>
      </c>
    </row>
    <row r="2258" spans="1:9" x14ac:dyDescent="0.35">
      <c r="A2258" t="s">
        <v>2294</v>
      </c>
      <c r="B2258" s="1">
        <v>44813</v>
      </c>
      <c r="C2258" t="s">
        <v>22</v>
      </c>
      <c r="D2258" t="s">
        <v>97</v>
      </c>
      <c r="E2258" t="s">
        <v>27</v>
      </c>
      <c r="F2258">
        <v>818.39</v>
      </c>
      <c r="G2258">
        <v>125.31</v>
      </c>
      <c r="H2258" t="s">
        <v>28</v>
      </c>
      <c r="I2258" t="s">
        <v>34</v>
      </c>
    </row>
    <row r="2259" spans="1:9" x14ac:dyDescent="0.35">
      <c r="A2259" t="s">
        <v>2295</v>
      </c>
      <c r="B2259" s="1">
        <v>44907</v>
      </c>
      <c r="C2259" t="s">
        <v>22</v>
      </c>
      <c r="D2259" t="s">
        <v>23</v>
      </c>
      <c r="E2259" t="s">
        <v>18</v>
      </c>
      <c r="F2259">
        <v>1638.91</v>
      </c>
      <c r="G2259">
        <v>274.23</v>
      </c>
      <c r="H2259" t="s">
        <v>13</v>
      </c>
      <c r="I2259" t="s">
        <v>14</v>
      </c>
    </row>
    <row r="2260" spans="1:9" x14ac:dyDescent="0.35">
      <c r="A2260" t="s">
        <v>2296</v>
      </c>
      <c r="B2260" s="1">
        <v>44763</v>
      </c>
      <c r="C2260" t="s">
        <v>16</v>
      </c>
      <c r="D2260" t="s">
        <v>73</v>
      </c>
      <c r="E2260" t="s">
        <v>27</v>
      </c>
      <c r="F2260">
        <v>1737.18</v>
      </c>
      <c r="G2260">
        <v>415.29</v>
      </c>
      <c r="H2260" t="s">
        <v>28</v>
      </c>
      <c r="I2260" t="s">
        <v>20</v>
      </c>
    </row>
    <row r="2261" spans="1:9" x14ac:dyDescent="0.35">
      <c r="A2261" t="s">
        <v>2297</v>
      </c>
      <c r="B2261" s="1">
        <v>45003</v>
      </c>
      <c r="C2261" t="s">
        <v>25</v>
      </c>
      <c r="D2261" t="s">
        <v>33</v>
      </c>
      <c r="E2261" t="s">
        <v>18</v>
      </c>
      <c r="F2261">
        <v>431.5</v>
      </c>
      <c r="G2261">
        <v>126.02</v>
      </c>
      <c r="H2261" t="s">
        <v>28</v>
      </c>
      <c r="I2261" t="s">
        <v>20</v>
      </c>
    </row>
    <row r="2262" spans="1:9" x14ac:dyDescent="0.35">
      <c r="A2262" t="s">
        <v>2298</v>
      </c>
      <c r="B2262" s="1">
        <v>45349</v>
      </c>
      <c r="C2262" t="s">
        <v>16</v>
      </c>
      <c r="D2262" t="s">
        <v>38</v>
      </c>
      <c r="E2262" t="s">
        <v>12</v>
      </c>
      <c r="F2262">
        <v>1656.59</v>
      </c>
      <c r="G2262">
        <v>174.46</v>
      </c>
      <c r="H2262" t="s">
        <v>13</v>
      </c>
      <c r="I2262" t="s">
        <v>20</v>
      </c>
    </row>
    <row r="2263" spans="1:9" x14ac:dyDescent="0.35">
      <c r="A2263" t="s">
        <v>2299</v>
      </c>
      <c r="B2263" s="1">
        <v>44949</v>
      </c>
      <c r="C2263" t="s">
        <v>25</v>
      </c>
      <c r="D2263" t="s">
        <v>46</v>
      </c>
      <c r="E2263" t="s">
        <v>18</v>
      </c>
      <c r="F2263">
        <v>888.7</v>
      </c>
      <c r="G2263">
        <v>195.46</v>
      </c>
      <c r="H2263" t="s">
        <v>28</v>
      </c>
      <c r="I2263" t="s">
        <v>29</v>
      </c>
    </row>
    <row r="2264" spans="1:9" x14ac:dyDescent="0.35">
      <c r="A2264" t="s">
        <v>2300</v>
      </c>
      <c r="B2264" s="1">
        <v>45494</v>
      </c>
      <c r="C2264" t="s">
        <v>10</v>
      </c>
      <c r="D2264" t="s">
        <v>23</v>
      </c>
      <c r="E2264" t="s">
        <v>18</v>
      </c>
      <c r="F2264">
        <v>890.15</v>
      </c>
      <c r="G2264">
        <v>141.21</v>
      </c>
      <c r="H2264" t="s">
        <v>13</v>
      </c>
      <c r="I2264" t="s">
        <v>29</v>
      </c>
    </row>
    <row r="2265" spans="1:9" x14ac:dyDescent="0.35">
      <c r="A2265" t="s">
        <v>2301</v>
      </c>
      <c r="B2265" s="1">
        <v>45115</v>
      </c>
      <c r="C2265" t="s">
        <v>10</v>
      </c>
      <c r="D2265" t="s">
        <v>57</v>
      </c>
      <c r="E2265" t="s">
        <v>27</v>
      </c>
      <c r="F2265">
        <v>1298.94</v>
      </c>
      <c r="G2265">
        <v>331.03</v>
      </c>
      <c r="H2265" t="s">
        <v>13</v>
      </c>
      <c r="I2265" t="s">
        <v>29</v>
      </c>
    </row>
    <row r="2266" spans="1:9" x14ac:dyDescent="0.35">
      <c r="A2266" t="s">
        <v>2302</v>
      </c>
      <c r="B2266" s="1">
        <v>44717</v>
      </c>
      <c r="C2266" t="s">
        <v>25</v>
      </c>
      <c r="D2266" t="s">
        <v>33</v>
      </c>
      <c r="E2266" t="s">
        <v>18</v>
      </c>
      <c r="F2266">
        <v>64.349999999999994</v>
      </c>
      <c r="G2266">
        <v>11.04</v>
      </c>
      <c r="H2266" t="s">
        <v>19</v>
      </c>
      <c r="I2266" t="s">
        <v>34</v>
      </c>
    </row>
    <row r="2267" spans="1:9" x14ac:dyDescent="0.35">
      <c r="A2267" t="s">
        <v>2303</v>
      </c>
      <c r="B2267" s="1">
        <v>45009</v>
      </c>
      <c r="C2267" t="s">
        <v>10</v>
      </c>
      <c r="D2267" t="s">
        <v>41</v>
      </c>
      <c r="E2267" t="s">
        <v>12</v>
      </c>
      <c r="F2267">
        <v>844.54</v>
      </c>
      <c r="G2267">
        <v>106.29</v>
      </c>
      <c r="H2267" t="s">
        <v>19</v>
      </c>
      <c r="I2267" t="s">
        <v>29</v>
      </c>
    </row>
    <row r="2268" spans="1:9" x14ac:dyDescent="0.35">
      <c r="A2268" t="s">
        <v>2304</v>
      </c>
      <c r="B2268" s="1">
        <v>44984</v>
      </c>
      <c r="C2268" t="s">
        <v>16</v>
      </c>
      <c r="D2268" t="s">
        <v>73</v>
      </c>
      <c r="E2268" t="s">
        <v>27</v>
      </c>
      <c r="F2268">
        <v>961.29</v>
      </c>
      <c r="G2268">
        <v>153.63999999999999</v>
      </c>
      <c r="H2268" t="s">
        <v>28</v>
      </c>
      <c r="I2268" t="s">
        <v>14</v>
      </c>
    </row>
    <row r="2269" spans="1:9" x14ac:dyDescent="0.35">
      <c r="A2269" t="s">
        <v>2305</v>
      </c>
      <c r="B2269" s="1">
        <v>44572</v>
      </c>
      <c r="C2269" t="s">
        <v>10</v>
      </c>
      <c r="D2269" t="s">
        <v>73</v>
      </c>
      <c r="E2269" t="s">
        <v>27</v>
      </c>
      <c r="F2269">
        <v>1188.8800000000001</v>
      </c>
      <c r="G2269">
        <v>235.69</v>
      </c>
      <c r="H2269" t="s">
        <v>13</v>
      </c>
      <c r="I2269" t="s">
        <v>34</v>
      </c>
    </row>
    <row r="2270" spans="1:9" x14ac:dyDescent="0.35">
      <c r="A2270" t="s">
        <v>2306</v>
      </c>
      <c r="B2270" s="1">
        <v>45316</v>
      </c>
      <c r="C2270" t="s">
        <v>16</v>
      </c>
      <c r="D2270" t="s">
        <v>62</v>
      </c>
      <c r="E2270" t="s">
        <v>27</v>
      </c>
      <c r="F2270">
        <v>981.09</v>
      </c>
      <c r="G2270">
        <v>139.18</v>
      </c>
      <c r="H2270" t="s">
        <v>28</v>
      </c>
      <c r="I2270" t="s">
        <v>14</v>
      </c>
    </row>
    <row r="2271" spans="1:9" x14ac:dyDescent="0.35">
      <c r="A2271" t="s">
        <v>2307</v>
      </c>
      <c r="B2271" s="1">
        <v>44785</v>
      </c>
      <c r="C2271" t="s">
        <v>16</v>
      </c>
      <c r="D2271" t="s">
        <v>57</v>
      </c>
      <c r="E2271" t="s">
        <v>27</v>
      </c>
      <c r="F2271">
        <v>765.83</v>
      </c>
      <c r="G2271">
        <v>178.83</v>
      </c>
      <c r="H2271" t="s">
        <v>19</v>
      </c>
      <c r="I2271" t="s">
        <v>20</v>
      </c>
    </row>
    <row r="2272" spans="1:9" x14ac:dyDescent="0.35">
      <c r="A2272" t="s">
        <v>2308</v>
      </c>
      <c r="B2272" s="1">
        <v>45274</v>
      </c>
      <c r="C2272" t="s">
        <v>25</v>
      </c>
      <c r="D2272" t="s">
        <v>50</v>
      </c>
      <c r="E2272" t="s">
        <v>12</v>
      </c>
      <c r="F2272">
        <v>479.29</v>
      </c>
      <c r="G2272">
        <v>54.47</v>
      </c>
      <c r="H2272" t="s">
        <v>19</v>
      </c>
      <c r="I2272" t="s">
        <v>34</v>
      </c>
    </row>
    <row r="2273" spans="1:9" x14ac:dyDescent="0.35">
      <c r="A2273" t="s">
        <v>2309</v>
      </c>
      <c r="B2273" s="1">
        <v>45480</v>
      </c>
      <c r="C2273" t="s">
        <v>10</v>
      </c>
      <c r="D2273" t="s">
        <v>57</v>
      </c>
      <c r="E2273" t="s">
        <v>27</v>
      </c>
      <c r="F2273">
        <v>704.09</v>
      </c>
      <c r="G2273">
        <v>168.26</v>
      </c>
      <c r="H2273" t="s">
        <v>13</v>
      </c>
      <c r="I2273" t="s">
        <v>29</v>
      </c>
    </row>
    <row r="2274" spans="1:9" x14ac:dyDescent="0.35">
      <c r="A2274" t="s">
        <v>2310</v>
      </c>
      <c r="B2274" s="1">
        <v>45388</v>
      </c>
      <c r="C2274" t="s">
        <v>25</v>
      </c>
      <c r="D2274" t="s">
        <v>50</v>
      </c>
      <c r="E2274" t="s">
        <v>12</v>
      </c>
      <c r="F2274">
        <v>352.82</v>
      </c>
      <c r="G2274">
        <v>66.86</v>
      </c>
      <c r="H2274" t="s">
        <v>19</v>
      </c>
      <c r="I2274" t="s">
        <v>29</v>
      </c>
    </row>
    <row r="2275" spans="1:9" x14ac:dyDescent="0.35">
      <c r="A2275" t="s">
        <v>2311</v>
      </c>
      <c r="B2275" s="1">
        <v>45281</v>
      </c>
      <c r="C2275" t="s">
        <v>25</v>
      </c>
      <c r="D2275" t="s">
        <v>97</v>
      </c>
      <c r="E2275" t="s">
        <v>27</v>
      </c>
      <c r="F2275">
        <v>1111.55</v>
      </c>
      <c r="G2275">
        <v>179.54</v>
      </c>
      <c r="H2275" t="s">
        <v>28</v>
      </c>
      <c r="I2275" t="s">
        <v>14</v>
      </c>
    </row>
    <row r="2276" spans="1:9" x14ac:dyDescent="0.35">
      <c r="A2276" t="s">
        <v>2312</v>
      </c>
      <c r="B2276" s="1">
        <v>45306</v>
      </c>
      <c r="C2276" t="s">
        <v>22</v>
      </c>
      <c r="D2276" t="s">
        <v>95</v>
      </c>
      <c r="E2276" t="s">
        <v>18</v>
      </c>
      <c r="F2276">
        <v>284.72000000000003</v>
      </c>
      <c r="G2276">
        <v>65.7</v>
      </c>
      <c r="H2276" t="s">
        <v>19</v>
      </c>
      <c r="I2276" t="s">
        <v>20</v>
      </c>
    </row>
    <row r="2277" spans="1:9" x14ac:dyDescent="0.35">
      <c r="A2277" t="s">
        <v>2313</v>
      </c>
      <c r="B2277" s="1">
        <v>45211</v>
      </c>
      <c r="C2277" t="s">
        <v>25</v>
      </c>
      <c r="D2277" t="s">
        <v>73</v>
      </c>
      <c r="E2277" t="s">
        <v>27</v>
      </c>
      <c r="F2277">
        <v>601.16</v>
      </c>
      <c r="G2277">
        <v>139.82</v>
      </c>
      <c r="H2277" t="s">
        <v>28</v>
      </c>
      <c r="I2277" t="s">
        <v>34</v>
      </c>
    </row>
    <row r="2278" spans="1:9" x14ac:dyDescent="0.35">
      <c r="A2278" t="s">
        <v>2314</v>
      </c>
      <c r="B2278" s="1">
        <v>44624</v>
      </c>
      <c r="C2278" t="s">
        <v>10</v>
      </c>
      <c r="D2278" t="s">
        <v>97</v>
      </c>
      <c r="E2278" t="s">
        <v>27</v>
      </c>
      <c r="F2278">
        <v>1360.5</v>
      </c>
      <c r="G2278">
        <v>281.02999999999997</v>
      </c>
      <c r="H2278" t="s">
        <v>13</v>
      </c>
      <c r="I2278" t="s">
        <v>34</v>
      </c>
    </row>
    <row r="2279" spans="1:9" x14ac:dyDescent="0.35">
      <c r="A2279" t="s">
        <v>2315</v>
      </c>
      <c r="B2279" s="1">
        <v>44760</v>
      </c>
      <c r="C2279" t="s">
        <v>22</v>
      </c>
      <c r="D2279" t="s">
        <v>73</v>
      </c>
      <c r="E2279" t="s">
        <v>27</v>
      </c>
      <c r="F2279">
        <v>1584.87</v>
      </c>
      <c r="G2279">
        <v>448.5</v>
      </c>
      <c r="H2279" t="s">
        <v>13</v>
      </c>
      <c r="I2279" t="s">
        <v>34</v>
      </c>
    </row>
    <row r="2280" spans="1:9" x14ac:dyDescent="0.35">
      <c r="A2280" t="s">
        <v>2316</v>
      </c>
      <c r="B2280" s="1">
        <v>44634</v>
      </c>
      <c r="C2280" t="s">
        <v>16</v>
      </c>
      <c r="D2280" t="s">
        <v>46</v>
      </c>
      <c r="E2280" t="s">
        <v>18</v>
      </c>
      <c r="F2280">
        <v>1136.5899999999999</v>
      </c>
      <c r="G2280">
        <v>72.040000000000006</v>
      </c>
      <c r="H2280" t="s">
        <v>19</v>
      </c>
      <c r="I2280" t="s">
        <v>20</v>
      </c>
    </row>
    <row r="2281" spans="1:9" x14ac:dyDescent="0.35">
      <c r="A2281" t="s">
        <v>2317</v>
      </c>
      <c r="B2281" s="1">
        <v>44796</v>
      </c>
      <c r="C2281" t="s">
        <v>25</v>
      </c>
      <c r="D2281" t="s">
        <v>33</v>
      </c>
      <c r="E2281" t="s">
        <v>18</v>
      </c>
      <c r="F2281">
        <v>1086.03</v>
      </c>
      <c r="G2281">
        <v>56.87</v>
      </c>
      <c r="H2281" t="s">
        <v>13</v>
      </c>
      <c r="I2281" t="s">
        <v>20</v>
      </c>
    </row>
    <row r="2282" spans="1:9" x14ac:dyDescent="0.35">
      <c r="A2282" t="s">
        <v>2318</v>
      </c>
      <c r="B2282" s="1">
        <v>45427</v>
      </c>
      <c r="C2282" t="s">
        <v>25</v>
      </c>
      <c r="D2282" t="s">
        <v>26</v>
      </c>
      <c r="E2282" t="s">
        <v>27</v>
      </c>
      <c r="F2282">
        <v>1484.41</v>
      </c>
      <c r="G2282">
        <v>180.32</v>
      </c>
      <c r="H2282" t="s">
        <v>19</v>
      </c>
      <c r="I2282" t="s">
        <v>14</v>
      </c>
    </row>
    <row r="2283" spans="1:9" x14ac:dyDescent="0.35">
      <c r="A2283" t="s">
        <v>2319</v>
      </c>
      <c r="B2283" s="1">
        <v>44764</v>
      </c>
      <c r="C2283" t="s">
        <v>16</v>
      </c>
      <c r="D2283" t="s">
        <v>11</v>
      </c>
      <c r="E2283" t="s">
        <v>12</v>
      </c>
      <c r="F2283">
        <v>627.66</v>
      </c>
      <c r="G2283">
        <v>156.74</v>
      </c>
      <c r="H2283" t="s">
        <v>13</v>
      </c>
      <c r="I2283" t="s">
        <v>29</v>
      </c>
    </row>
    <row r="2284" spans="1:9" x14ac:dyDescent="0.35">
      <c r="A2284" t="s">
        <v>2320</v>
      </c>
      <c r="B2284" s="1">
        <v>44774</v>
      </c>
      <c r="C2284" t="s">
        <v>22</v>
      </c>
      <c r="D2284" t="s">
        <v>57</v>
      </c>
      <c r="E2284" t="s">
        <v>27</v>
      </c>
      <c r="F2284">
        <v>53.64</v>
      </c>
      <c r="G2284">
        <v>7.13</v>
      </c>
      <c r="H2284" t="s">
        <v>28</v>
      </c>
      <c r="I2284" t="s">
        <v>34</v>
      </c>
    </row>
    <row r="2285" spans="1:9" x14ac:dyDescent="0.35">
      <c r="A2285" t="s">
        <v>2321</v>
      </c>
      <c r="B2285" s="1">
        <v>44613</v>
      </c>
      <c r="C2285" t="s">
        <v>25</v>
      </c>
      <c r="D2285" t="s">
        <v>23</v>
      </c>
      <c r="E2285" t="s">
        <v>18</v>
      </c>
      <c r="F2285">
        <v>212.23</v>
      </c>
      <c r="G2285">
        <v>42.82</v>
      </c>
      <c r="H2285" t="s">
        <v>13</v>
      </c>
      <c r="I2285" t="s">
        <v>34</v>
      </c>
    </row>
    <row r="2286" spans="1:9" x14ac:dyDescent="0.35">
      <c r="A2286" t="s">
        <v>2322</v>
      </c>
      <c r="B2286" s="1">
        <v>44883</v>
      </c>
      <c r="C2286" t="s">
        <v>16</v>
      </c>
      <c r="D2286" t="s">
        <v>41</v>
      </c>
      <c r="E2286" t="s">
        <v>12</v>
      </c>
      <c r="F2286">
        <v>109.64</v>
      </c>
      <c r="G2286">
        <v>30.89</v>
      </c>
      <c r="H2286" t="s">
        <v>28</v>
      </c>
      <c r="I2286" t="s">
        <v>14</v>
      </c>
    </row>
    <row r="2287" spans="1:9" x14ac:dyDescent="0.35">
      <c r="A2287" t="s">
        <v>2323</v>
      </c>
      <c r="B2287" s="1">
        <v>45095</v>
      </c>
      <c r="C2287" t="s">
        <v>22</v>
      </c>
      <c r="D2287" t="s">
        <v>57</v>
      </c>
      <c r="E2287" t="s">
        <v>27</v>
      </c>
      <c r="F2287">
        <v>1558.68</v>
      </c>
      <c r="G2287">
        <v>128.56</v>
      </c>
      <c r="H2287" t="s">
        <v>19</v>
      </c>
      <c r="I2287" t="s">
        <v>34</v>
      </c>
    </row>
    <row r="2288" spans="1:9" x14ac:dyDescent="0.35">
      <c r="A2288" t="s">
        <v>2324</v>
      </c>
      <c r="B2288" s="1">
        <v>44583</v>
      </c>
      <c r="C2288" t="s">
        <v>16</v>
      </c>
      <c r="D2288" t="s">
        <v>31</v>
      </c>
      <c r="E2288" t="s">
        <v>12</v>
      </c>
      <c r="F2288">
        <v>1021.46</v>
      </c>
      <c r="G2288">
        <v>75.86</v>
      </c>
      <c r="H2288" t="s">
        <v>19</v>
      </c>
      <c r="I2288" t="s">
        <v>29</v>
      </c>
    </row>
    <row r="2289" spans="1:9" x14ac:dyDescent="0.35">
      <c r="A2289" t="s">
        <v>2325</v>
      </c>
      <c r="B2289" s="1">
        <v>44707</v>
      </c>
      <c r="C2289" t="s">
        <v>25</v>
      </c>
      <c r="D2289" t="s">
        <v>31</v>
      </c>
      <c r="E2289" t="s">
        <v>12</v>
      </c>
      <c r="F2289">
        <v>1046.2</v>
      </c>
      <c r="G2289">
        <v>254.61</v>
      </c>
      <c r="H2289" t="s">
        <v>19</v>
      </c>
      <c r="I2289" t="s">
        <v>14</v>
      </c>
    </row>
    <row r="2290" spans="1:9" x14ac:dyDescent="0.35">
      <c r="A2290" t="s">
        <v>2326</v>
      </c>
      <c r="B2290" s="1">
        <v>45494</v>
      </c>
      <c r="C2290" t="s">
        <v>25</v>
      </c>
      <c r="D2290" t="s">
        <v>57</v>
      </c>
      <c r="E2290" t="s">
        <v>27</v>
      </c>
      <c r="F2290">
        <v>868.1</v>
      </c>
      <c r="G2290">
        <v>63.67</v>
      </c>
      <c r="H2290" t="s">
        <v>19</v>
      </c>
      <c r="I2290" t="s">
        <v>29</v>
      </c>
    </row>
    <row r="2291" spans="1:9" x14ac:dyDescent="0.35">
      <c r="A2291" t="s">
        <v>2327</v>
      </c>
      <c r="B2291" s="1">
        <v>45605</v>
      </c>
      <c r="C2291" t="s">
        <v>22</v>
      </c>
      <c r="D2291" t="s">
        <v>31</v>
      </c>
      <c r="E2291" t="s">
        <v>12</v>
      </c>
      <c r="F2291">
        <v>1988.04</v>
      </c>
      <c r="G2291">
        <v>311.5</v>
      </c>
      <c r="H2291" t="s">
        <v>28</v>
      </c>
      <c r="I2291" t="s">
        <v>29</v>
      </c>
    </row>
    <row r="2292" spans="1:9" x14ac:dyDescent="0.35">
      <c r="A2292" t="s">
        <v>2328</v>
      </c>
      <c r="B2292" s="1">
        <v>45238</v>
      </c>
      <c r="C2292" t="s">
        <v>22</v>
      </c>
      <c r="D2292" t="s">
        <v>31</v>
      </c>
      <c r="E2292" t="s">
        <v>12</v>
      </c>
      <c r="F2292">
        <v>1433.5</v>
      </c>
      <c r="G2292">
        <v>279.16000000000003</v>
      </c>
      <c r="H2292" t="s">
        <v>13</v>
      </c>
      <c r="I2292" t="s">
        <v>29</v>
      </c>
    </row>
    <row r="2293" spans="1:9" x14ac:dyDescent="0.35">
      <c r="A2293" t="s">
        <v>2329</v>
      </c>
      <c r="B2293" s="1">
        <v>45337</v>
      </c>
      <c r="C2293" t="s">
        <v>16</v>
      </c>
      <c r="D2293" t="s">
        <v>31</v>
      </c>
      <c r="E2293" t="s">
        <v>12</v>
      </c>
      <c r="F2293">
        <v>200.17</v>
      </c>
      <c r="G2293">
        <v>16.399999999999999</v>
      </c>
      <c r="H2293" t="s">
        <v>13</v>
      </c>
      <c r="I2293" t="s">
        <v>29</v>
      </c>
    </row>
    <row r="2294" spans="1:9" x14ac:dyDescent="0.35">
      <c r="A2294" t="s">
        <v>2330</v>
      </c>
      <c r="B2294" s="1">
        <v>44922</v>
      </c>
      <c r="C2294" t="s">
        <v>16</v>
      </c>
      <c r="D2294" t="s">
        <v>11</v>
      </c>
      <c r="E2294" t="s">
        <v>12</v>
      </c>
      <c r="F2294">
        <v>1578.92</v>
      </c>
      <c r="G2294">
        <v>256.60000000000002</v>
      </c>
      <c r="H2294" t="s">
        <v>28</v>
      </c>
      <c r="I2294" t="s">
        <v>14</v>
      </c>
    </row>
    <row r="2295" spans="1:9" x14ac:dyDescent="0.35">
      <c r="A2295" t="s">
        <v>2331</v>
      </c>
      <c r="B2295" s="1">
        <v>44824</v>
      </c>
      <c r="C2295" t="s">
        <v>10</v>
      </c>
      <c r="D2295" t="s">
        <v>50</v>
      </c>
      <c r="E2295" t="s">
        <v>12</v>
      </c>
      <c r="F2295">
        <v>341.41</v>
      </c>
      <c r="G2295">
        <v>91.76</v>
      </c>
      <c r="H2295" t="s">
        <v>28</v>
      </c>
      <c r="I2295" t="s">
        <v>14</v>
      </c>
    </row>
    <row r="2296" spans="1:9" x14ac:dyDescent="0.35">
      <c r="A2296" t="s">
        <v>2332</v>
      </c>
      <c r="B2296" s="1">
        <v>44967</v>
      </c>
      <c r="C2296" t="s">
        <v>22</v>
      </c>
      <c r="D2296" t="s">
        <v>62</v>
      </c>
      <c r="E2296" t="s">
        <v>27</v>
      </c>
      <c r="F2296">
        <v>407.33</v>
      </c>
      <c r="G2296">
        <v>60.35</v>
      </c>
      <c r="H2296" t="s">
        <v>19</v>
      </c>
      <c r="I2296" t="s">
        <v>14</v>
      </c>
    </row>
    <row r="2297" spans="1:9" x14ac:dyDescent="0.35">
      <c r="A2297" t="s">
        <v>2333</v>
      </c>
      <c r="B2297" s="1">
        <v>44934</v>
      </c>
      <c r="C2297" t="s">
        <v>22</v>
      </c>
      <c r="D2297" t="s">
        <v>38</v>
      </c>
      <c r="E2297" t="s">
        <v>12</v>
      </c>
      <c r="F2297">
        <v>1802.03</v>
      </c>
      <c r="G2297">
        <v>494.37</v>
      </c>
      <c r="H2297" t="s">
        <v>28</v>
      </c>
      <c r="I2297" t="s">
        <v>29</v>
      </c>
    </row>
    <row r="2298" spans="1:9" x14ac:dyDescent="0.35">
      <c r="A2298" t="s">
        <v>2334</v>
      </c>
      <c r="B2298" s="1">
        <v>45014</v>
      </c>
      <c r="C2298" t="s">
        <v>22</v>
      </c>
      <c r="D2298" t="s">
        <v>95</v>
      </c>
      <c r="E2298" t="s">
        <v>18</v>
      </c>
      <c r="F2298">
        <v>621.42999999999995</v>
      </c>
      <c r="G2298">
        <v>74.56</v>
      </c>
      <c r="H2298" t="s">
        <v>19</v>
      </c>
      <c r="I2298" t="s">
        <v>34</v>
      </c>
    </row>
    <row r="2299" spans="1:9" x14ac:dyDescent="0.35">
      <c r="A2299" t="s">
        <v>2335</v>
      </c>
      <c r="B2299" s="1">
        <v>44638</v>
      </c>
      <c r="C2299" t="s">
        <v>25</v>
      </c>
      <c r="D2299" t="s">
        <v>50</v>
      </c>
      <c r="E2299" t="s">
        <v>12</v>
      </c>
      <c r="F2299">
        <v>685.27</v>
      </c>
      <c r="G2299">
        <v>158.12</v>
      </c>
      <c r="H2299" t="s">
        <v>19</v>
      </c>
      <c r="I2299" t="s">
        <v>29</v>
      </c>
    </row>
    <row r="2300" spans="1:9" x14ac:dyDescent="0.35">
      <c r="A2300" t="s">
        <v>2336</v>
      </c>
      <c r="B2300" s="1">
        <v>44964</v>
      </c>
      <c r="C2300" t="s">
        <v>16</v>
      </c>
      <c r="D2300" t="s">
        <v>33</v>
      </c>
      <c r="E2300" t="s">
        <v>18</v>
      </c>
      <c r="F2300">
        <v>352.25</v>
      </c>
      <c r="G2300">
        <v>76.209999999999994</v>
      </c>
      <c r="H2300" t="s">
        <v>13</v>
      </c>
      <c r="I2300" t="s">
        <v>14</v>
      </c>
    </row>
    <row r="2301" spans="1:9" x14ac:dyDescent="0.35">
      <c r="A2301" t="s">
        <v>2337</v>
      </c>
      <c r="B2301" s="1">
        <v>45343</v>
      </c>
      <c r="C2301" t="s">
        <v>22</v>
      </c>
      <c r="D2301" t="s">
        <v>11</v>
      </c>
      <c r="E2301" t="s">
        <v>12</v>
      </c>
      <c r="F2301">
        <v>853.31</v>
      </c>
      <c r="G2301">
        <v>228.26</v>
      </c>
      <c r="H2301" t="s">
        <v>19</v>
      </c>
      <c r="I2301" t="s">
        <v>20</v>
      </c>
    </row>
    <row r="2302" spans="1:9" x14ac:dyDescent="0.35">
      <c r="A2302" t="s">
        <v>2338</v>
      </c>
      <c r="B2302" s="1">
        <v>44642</v>
      </c>
      <c r="C2302" t="s">
        <v>16</v>
      </c>
      <c r="D2302" t="s">
        <v>17</v>
      </c>
      <c r="E2302" t="s">
        <v>18</v>
      </c>
      <c r="F2302">
        <v>100.57</v>
      </c>
      <c r="G2302">
        <v>27.93</v>
      </c>
      <c r="H2302" t="s">
        <v>28</v>
      </c>
      <c r="I2302" t="s">
        <v>34</v>
      </c>
    </row>
    <row r="2303" spans="1:9" x14ac:dyDescent="0.35">
      <c r="A2303" t="s">
        <v>2339</v>
      </c>
      <c r="B2303" s="1">
        <v>45249</v>
      </c>
      <c r="C2303" t="s">
        <v>16</v>
      </c>
      <c r="D2303" t="s">
        <v>62</v>
      </c>
      <c r="E2303" t="s">
        <v>27</v>
      </c>
      <c r="F2303">
        <v>1170.3699999999999</v>
      </c>
      <c r="G2303">
        <v>67.05</v>
      </c>
      <c r="H2303" t="s">
        <v>28</v>
      </c>
      <c r="I2303" t="s">
        <v>29</v>
      </c>
    </row>
    <row r="2304" spans="1:9" x14ac:dyDescent="0.35">
      <c r="A2304" t="s">
        <v>2340</v>
      </c>
      <c r="B2304" s="1">
        <v>45005</v>
      </c>
      <c r="C2304" t="s">
        <v>25</v>
      </c>
      <c r="D2304" t="s">
        <v>31</v>
      </c>
      <c r="E2304" t="s">
        <v>12</v>
      </c>
      <c r="F2304">
        <v>1386.25</v>
      </c>
      <c r="G2304">
        <v>325.19</v>
      </c>
      <c r="H2304" t="s">
        <v>13</v>
      </c>
      <c r="I2304" t="s">
        <v>29</v>
      </c>
    </row>
    <row r="2305" spans="1:9" x14ac:dyDescent="0.35">
      <c r="A2305" t="s">
        <v>2341</v>
      </c>
      <c r="B2305" s="1">
        <v>45032</v>
      </c>
      <c r="C2305" t="s">
        <v>25</v>
      </c>
      <c r="D2305" t="s">
        <v>73</v>
      </c>
      <c r="E2305" t="s">
        <v>27</v>
      </c>
      <c r="F2305">
        <v>872.36</v>
      </c>
      <c r="G2305">
        <v>76.63</v>
      </c>
      <c r="H2305" t="s">
        <v>28</v>
      </c>
      <c r="I2305" t="s">
        <v>14</v>
      </c>
    </row>
    <row r="2306" spans="1:9" x14ac:dyDescent="0.35">
      <c r="A2306" t="s">
        <v>2342</v>
      </c>
      <c r="B2306" s="1">
        <v>45133</v>
      </c>
      <c r="C2306" t="s">
        <v>10</v>
      </c>
      <c r="D2306" t="s">
        <v>73</v>
      </c>
      <c r="E2306" t="s">
        <v>27</v>
      </c>
      <c r="F2306">
        <v>831.32</v>
      </c>
      <c r="G2306">
        <v>225.04</v>
      </c>
      <c r="H2306" t="s">
        <v>13</v>
      </c>
      <c r="I2306" t="s">
        <v>29</v>
      </c>
    </row>
    <row r="2307" spans="1:9" x14ac:dyDescent="0.35">
      <c r="A2307" t="s">
        <v>2343</v>
      </c>
      <c r="B2307" s="1">
        <v>45597</v>
      </c>
      <c r="C2307" t="s">
        <v>22</v>
      </c>
      <c r="D2307" t="s">
        <v>31</v>
      </c>
      <c r="E2307" t="s">
        <v>12</v>
      </c>
      <c r="F2307">
        <v>188.65</v>
      </c>
      <c r="G2307">
        <v>48.37</v>
      </c>
      <c r="H2307" t="s">
        <v>13</v>
      </c>
      <c r="I2307" t="s">
        <v>14</v>
      </c>
    </row>
    <row r="2308" spans="1:9" x14ac:dyDescent="0.35">
      <c r="A2308" t="s">
        <v>2344</v>
      </c>
      <c r="B2308" s="1">
        <v>44691</v>
      </c>
      <c r="C2308" t="s">
        <v>22</v>
      </c>
      <c r="D2308" t="s">
        <v>26</v>
      </c>
      <c r="E2308" t="s">
        <v>27</v>
      </c>
      <c r="F2308">
        <v>1820.91</v>
      </c>
      <c r="G2308">
        <v>235.82</v>
      </c>
      <c r="H2308" t="s">
        <v>28</v>
      </c>
      <c r="I2308" t="s">
        <v>14</v>
      </c>
    </row>
    <row r="2309" spans="1:9" x14ac:dyDescent="0.35">
      <c r="A2309" t="s">
        <v>2345</v>
      </c>
      <c r="B2309" s="1">
        <v>45624</v>
      </c>
      <c r="C2309" t="s">
        <v>10</v>
      </c>
      <c r="D2309" t="s">
        <v>46</v>
      </c>
      <c r="E2309" t="s">
        <v>18</v>
      </c>
      <c r="F2309">
        <v>1935.98</v>
      </c>
      <c r="G2309">
        <v>130.66999999999999</v>
      </c>
      <c r="H2309" t="s">
        <v>28</v>
      </c>
      <c r="I2309" t="s">
        <v>34</v>
      </c>
    </row>
    <row r="2310" spans="1:9" x14ac:dyDescent="0.35">
      <c r="A2310" t="s">
        <v>2346</v>
      </c>
      <c r="B2310" s="1">
        <v>45254</v>
      </c>
      <c r="C2310" t="s">
        <v>22</v>
      </c>
      <c r="D2310" t="s">
        <v>73</v>
      </c>
      <c r="E2310" t="s">
        <v>27</v>
      </c>
      <c r="F2310">
        <v>306.52</v>
      </c>
      <c r="G2310">
        <v>84.7</v>
      </c>
      <c r="H2310" t="s">
        <v>13</v>
      </c>
      <c r="I2310" t="s">
        <v>34</v>
      </c>
    </row>
    <row r="2311" spans="1:9" x14ac:dyDescent="0.35">
      <c r="A2311" t="s">
        <v>2347</v>
      </c>
      <c r="B2311" s="1">
        <v>44980</v>
      </c>
      <c r="C2311" t="s">
        <v>25</v>
      </c>
      <c r="D2311" t="s">
        <v>46</v>
      </c>
      <c r="E2311" t="s">
        <v>18</v>
      </c>
      <c r="F2311">
        <v>1725.6</v>
      </c>
      <c r="G2311">
        <v>396.96</v>
      </c>
      <c r="H2311" t="s">
        <v>19</v>
      </c>
      <c r="I2311" t="s">
        <v>14</v>
      </c>
    </row>
    <row r="2312" spans="1:9" x14ac:dyDescent="0.35">
      <c r="A2312" t="s">
        <v>2348</v>
      </c>
      <c r="B2312" s="1">
        <v>44578</v>
      </c>
      <c r="C2312" t="s">
        <v>10</v>
      </c>
      <c r="D2312" t="s">
        <v>38</v>
      </c>
      <c r="E2312" t="s">
        <v>12</v>
      </c>
      <c r="F2312">
        <v>886.3</v>
      </c>
      <c r="G2312">
        <v>244.83</v>
      </c>
      <c r="H2312" t="s">
        <v>19</v>
      </c>
      <c r="I2312" t="s">
        <v>14</v>
      </c>
    </row>
    <row r="2313" spans="1:9" x14ac:dyDescent="0.35">
      <c r="A2313" t="s">
        <v>2349</v>
      </c>
      <c r="B2313" s="1">
        <v>45093</v>
      </c>
      <c r="C2313" t="s">
        <v>22</v>
      </c>
      <c r="D2313" t="s">
        <v>38</v>
      </c>
      <c r="E2313" t="s">
        <v>12</v>
      </c>
      <c r="F2313">
        <v>1849.82</v>
      </c>
      <c r="G2313">
        <v>204.9</v>
      </c>
      <c r="H2313" t="s">
        <v>13</v>
      </c>
      <c r="I2313" t="s">
        <v>20</v>
      </c>
    </row>
    <row r="2314" spans="1:9" x14ac:dyDescent="0.35">
      <c r="A2314" t="s">
        <v>2350</v>
      </c>
      <c r="B2314" s="1">
        <v>45007</v>
      </c>
      <c r="C2314" t="s">
        <v>16</v>
      </c>
      <c r="D2314" t="s">
        <v>50</v>
      </c>
      <c r="E2314" t="s">
        <v>12</v>
      </c>
      <c r="F2314">
        <v>1273.56</v>
      </c>
      <c r="G2314">
        <v>99.06</v>
      </c>
      <c r="H2314" t="s">
        <v>13</v>
      </c>
      <c r="I2314" t="s">
        <v>14</v>
      </c>
    </row>
    <row r="2315" spans="1:9" x14ac:dyDescent="0.35">
      <c r="A2315" t="s">
        <v>2351</v>
      </c>
      <c r="B2315" s="1">
        <v>45065</v>
      </c>
      <c r="C2315" t="s">
        <v>22</v>
      </c>
      <c r="D2315" t="s">
        <v>26</v>
      </c>
      <c r="E2315" t="s">
        <v>27</v>
      </c>
      <c r="F2315">
        <v>214.9</v>
      </c>
      <c r="G2315">
        <v>48.68</v>
      </c>
      <c r="H2315" t="s">
        <v>13</v>
      </c>
      <c r="I2315" t="s">
        <v>29</v>
      </c>
    </row>
    <row r="2316" spans="1:9" x14ac:dyDescent="0.35">
      <c r="A2316" t="s">
        <v>2352</v>
      </c>
      <c r="B2316" s="1">
        <v>45073</v>
      </c>
      <c r="C2316" t="s">
        <v>10</v>
      </c>
      <c r="D2316" t="s">
        <v>95</v>
      </c>
      <c r="E2316" t="s">
        <v>18</v>
      </c>
      <c r="F2316">
        <v>1505.92</v>
      </c>
      <c r="G2316">
        <v>231.3</v>
      </c>
      <c r="H2316" t="s">
        <v>19</v>
      </c>
      <c r="I2316" t="s">
        <v>29</v>
      </c>
    </row>
    <row r="2317" spans="1:9" x14ac:dyDescent="0.35">
      <c r="A2317" t="s">
        <v>2353</v>
      </c>
      <c r="B2317" s="1">
        <v>44746</v>
      </c>
      <c r="C2317" t="s">
        <v>25</v>
      </c>
      <c r="D2317" t="s">
        <v>95</v>
      </c>
      <c r="E2317" t="s">
        <v>18</v>
      </c>
      <c r="F2317">
        <v>905.72</v>
      </c>
      <c r="G2317">
        <v>259.29000000000002</v>
      </c>
      <c r="H2317" t="s">
        <v>13</v>
      </c>
      <c r="I2317" t="s">
        <v>14</v>
      </c>
    </row>
    <row r="2318" spans="1:9" x14ac:dyDescent="0.35">
      <c r="A2318" t="s">
        <v>2354</v>
      </c>
      <c r="B2318" s="1">
        <v>44764</v>
      </c>
      <c r="C2318" t="s">
        <v>25</v>
      </c>
      <c r="D2318" t="s">
        <v>41</v>
      </c>
      <c r="E2318" t="s">
        <v>12</v>
      </c>
      <c r="F2318">
        <v>913.05</v>
      </c>
      <c r="G2318">
        <v>249.01</v>
      </c>
      <c r="H2318" t="s">
        <v>28</v>
      </c>
      <c r="I2318" t="s">
        <v>34</v>
      </c>
    </row>
    <row r="2319" spans="1:9" x14ac:dyDescent="0.35">
      <c r="A2319" t="s">
        <v>2355</v>
      </c>
      <c r="B2319" s="1">
        <v>44666</v>
      </c>
      <c r="C2319" t="s">
        <v>16</v>
      </c>
      <c r="D2319" t="s">
        <v>33</v>
      </c>
      <c r="E2319" t="s">
        <v>18</v>
      </c>
      <c r="F2319">
        <v>1691.8</v>
      </c>
      <c r="G2319">
        <v>331.47</v>
      </c>
      <c r="H2319" t="s">
        <v>13</v>
      </c>
      <c r="I2319" t="s">
        <v>29</v>
      </c>
    </row>
    <row r="2320" spans="1:9" x14ac:dyDescent="0.35">
      <c r="A2320" t="s">
        <v>2356</v>
      </c>
      <c r="B2320" s="1">
        <v>44569</v>
      </c>
      <c r="C2320" t="s">
        <v>10</v>
      </c>
      <c r="D2320" t="s">
        <v>46</v>
      </c>
      <c r="E2320" t="s">
        <v>18</v>
      </c>
      <c r="F2320">
        <v>340.5</v>
      </c>
      <c r="G2320">
        <v>54.67</v>
      </c>
      <c r="H2320" t="s">
        <v>13</v>
      </c>
      <c r="I2320" t="s">
        <v>34</v>
      </c>
    </row>
    <row r="2321" spans="1:9" x14ac:dyDescent="0.35">
      <c r="A2321" t="s">
        <v>2357</v>
      </c>
      <c r="B2321" s="1">
        <v>44854</v>
      </c>
      <c r="C2321" t="s">
        <v>25</v>
      </c>
      <c r="D2321" t="s">
        <v>46</v>
      </c>
      <c r="E2321" t="s">
        <v>18</v>
      </c>
      <c r="F2321">
        <v>1900.18</v>
      </c>
      <c r="G2321">
        <v>154.6</v>
      </c>
      <c r="H2321" t="s">
        <v>13</v>
      </c>
      <c r="I2321" t="s">
        <v>34</v>
      </c>
    </row>
    <row r="2322" spans="1:9" x14ac:dyDescent="0.35">
      <c r="A2322" t="s">
        <v>2358</v>
      </c>
      <c r="B2322" s="1">
        <v>44916</v>
      </c>
      <c r="C2322" t="s">
        <v>10</v>
      </c>
      <c r="D2322" t="s">
        <v>73</v>
      </c>
      <c r="E2322" t="s">
        <v>27</v>
      </c>
      <c r="F2322">
        <v>723.69</v>
      </c>
      <c r="G2322">
        <v>103.91</v>
      </c>
      <c r="H2322" t="s">
        <v>28</v>
      </c>
      <c r="I2322" t="s">
        <v>29</v>
      </c>
    </row>
    <row r="2323" spans="1:9" x14ac:dyDescent="0.35">
      <c r="A2323" t="s">
        <v>2359</v>
      </c>
      <c r="B2323" s="1">
        <v>44847</v>
      </c>
      <c r="C2323" t="s">
        <v>22</v>
      </c>
      <c r="D2323" t="s">
        <v>62</v>
      </c>
      <c r="E2323" t="s">
        <v>27</v>
      </c>
      <c r="F2323">
        <v>531.91</v>
      </c>
      <c r="G2323">
        <v>88.02</v>
      </c>
      <c r="H2323" t="s">
        <v>13</v>
      </c>
      <c r="I2323" t="s">
        <v>20</v>
      </c>
    </row>
    <row r="2324" spans="1:9" x14ac:dyDescent="0.35">
      <c r="A2324" t="s">
        <v>2360</v>
      </c>
      <c r="B2324" s="1">
        <v>45331</v>
      </c>
      <c r="C2324" t="s">
        <v>16</v>
      </c>
      <c r="D2324" t="s">
        <v>62</v>
      </c>
      <c r="E2324" t="s">
        <v>27</v>
      </c>
      <c r="F2324">
        <v>648.99</v>
      </c>
      <c r="G2324">
        <v>35.35</v>
      </c>
      <c r="H2324" t="s">
        <v>13</v>
      </c>
      <c r="I2324" t="s">
        <v>34</v>
      </c>
    </row>
    <row r="2325" spans="1:9" x14ac:dyDescent="0.35">
      <c r="A2325" t="s">
        <v>2361</v>
      </c>
      <c r="B2325" s="1">
        <v>44703</v>
      </c>
      <c r="C2325" t="s">
        <v>16</v>
      </c>
      <c r="D2325" t="s">
        <v>23</v>
      </c>
      <c r="E2325" t="s">
        <v>18</v>
      </c>
      <c r="F2325">
        <v>296.94</v>
      </c>
      <c r="G2325">
        <v>51.16</v>
      </c>
      <c r="H2325" t="s">
        <v>19</v>
      </c>
      <c r="I2325" t="s">
        <v>20</v>
      </c>
    </row>
    <row r="2326" spans="1:9" x14ac:dyDescent="0.35">
      <c r="A2326" t="s">
        <v>2362</v>
      </c>
      <c r="B2326" s="1">
        <v>44819</v>
      </c>
      <c r="C2326" t="s">
        <v>22</v>
      </c>
      <c r="D2326" t="s">
        <v>33</v>
      </c>
      <c r="E2326" t="s">
        <v>18</v>
      </c>
      <c r="F2326">
        <v>1080.54</v>
      </c>
      <c r="G2326">
        <v>201.01</v>
      </c>
      <c r="H2326" t="s">
        <v>28</v>
      </c>
      <c r="I2326" t="s">
        <v>34</v>
      </c>
    </row>
    <row r="2327" spans="1:9" x14ac:dyDescent="0.35">
      <c r="A2327" t="s">
        <v>2363</v>
      </c>
      <c r="B2327" s="1">
        <v>45172</v>
      </c>
      <c r="C2327" t="s">
        <v>16</v>
      </c>
      <c r="D2327" t="s">
        <v>57</v>
      </c>
      <c r="E2327" t="s">
        <v>27</v>
      </c>
      <c r="F2327">
        <v>1278.31</v>
      </c>
      <c r="G2327">
        <v>369.48</v>
      </c>
      <c r="H2327" t="s">
        <v>19</v>
      </c>
      <c r="I2327" t="s">
        <v>34</v>
      </c>
    </row>
    <row r="2328" spans="1:9" x14ac:dyDescent="0.35">
      <c r="A2328" t="s">
        <v>2364</v>
      </c>
      <c r="B2328" s="1">
        <v>45230</v>
      </c>
      <c r="C2328" t="s">
        <v>16</v>
      </c>
      <c r="D2328" t="s">
        <v>33</v>
      </c>
      <c r="E2328" t="s">
        <v>18</v>
      </c>
      <c r="F2328">
        <v>1479.93</v>
      </c>
      <c r="G2328">
        <v>113.22</v>
      </c>
      <c r="H2328" t="s">
        <v>28</v>
      </c>
      <c r="I2328" t="s">
        <v>20</v>
      </c>
    </row>
    <row r="2329" spans="1:9" x14ac:dyDescent="0.35">
      <c r="A2329" t="s">
        <v>2365</v>
      </c>
      <c r="B2329" s="1">
        <v>45539</v>
      </c>
      <c r="C2329" t="s">
        <v>10</v>
      </c>
      <c r="D2329" t="s">
        <v>73</v>
      </c>
      <c r="E2329" t="s">
        <v>27</v>
      </c>
      <c r="F2329">
        <v>1400.86</v>
      </c>
      <c r="G2329">
        <v>275.25</v>
      </c>
      <c r="H2329" t="s">
        <v>28</v>
      </c>
      <c r="I2329" t="s">
        <v>14</v>
      </c>
    </row>
    <row r="2330" spans="1:9" x14ac:dyDescent="0.35">
      <c r="A2330" t="s">
        <v>2366</v>
      </c>
      <c r="B2330" s="1">
        <v>45377</v>
      </c>
      <c r="C2330" t="s">
        <v>22</v>
      </c>
      <c r="D2330" t="s">
        <v>38</v>
      </c>
      <c r="E2330" t="s">
        <v>12</v>
      </c>
      <c r="F2330">
        <v>1890.25</v>
      </c>
      <c r="G2330">
        <v>436.89</v>
      </c>
      <c r="H2330" t="s">
        <v>19</v>
      </c>
      <c r="I2330" t="s">
        <v>14</v>
      </c>
    </row>
    <row r="2331" spans="1:9" x14ac:dyDescent="0.35">
      <c r="A2331" t="s">
        <v>2367</v>
      </c>
      <c r="B2331" s="1">
        <v>45106</v>
      </c>
      <c r="C2331" t="s">
        <v>22</v>
      </c>
      <c r="D2331" t="s">
        <v>38</v>
      </c>
      <c r="E2331" t="s">
        <v>12</v>
      </c>
      <c r="F2331">
        <v>556.54999999999995</v>
      </c>
      <c r="G2331">
        <v>124.05</v>
      </c>
      <c r="H2331" t="s">
        <v>13</v>
      </c>
      <c r="I2331" t="s">
        <v>20</v>
      </c>
    </row>
    <row r="2332" spans="1:9" x14ac:dyDescent="0.35">
      <c r="A2332" t="s">
        <v>2368</v>
      </c>
      <c r="B2332" s="1">
        <v>44737</v>
      </c>
      <c r="C2332" t="s">
        <v>22</v>
      </c>
      <c r="D2332" t="s">
        <v>41</v>
      </c>
      <c r="E2332" t="s">
        <v>12</v>
      </c>
      <c r="F2332">
        <v>896.64</v>
      </c>
      <c r="G2332">
        <v>146.32</v>
      </c>
      <c r="H2332" t="s">
        <v>28</v>
      </c>
      <c r="I2332" t="s">
        <v>14</v>
      </c>
    </row>
    <row r="2333" spans="1:9" x14ac:dyDescent="0.35">
      <c r="A2333" t="s">
        <v>2369</v>
      </c>
      <c r="B2333" s="1">
        <v>45200</v>
      </c>
      <c r="C2333" t="s">
        <v>16</v>
      </c>
      <c r="D2333" t="s">
        <v>57</v>
      </c>
      <c r="E2333" t="s">
        <v>27</v>
      </c>
      <c r="F2333">
        <v>1630.08</v>
      </c>
      <c r="G2333">
        <v>224.4</v>
      </c>
      <c r="H2333" t="s">
        <v>19</v>
      </c>
      <c r="I2333" t="s">
        <v>29</v>
      </c>
    </row>
    <row r="2334" spans="1:9" x14ac:dyDescent="0.35">
      <c r="A2334" t="s">
        <v>2370</v>
      </c>
      <c r="B2334" s="1">
        <v>44601</v>
      </c>
      <c r="C2334" t="s">
        <v>16</v>
      </c>
      <c r="D2334" t="s">
        <v>33</v>
      </c>
      <c r="E2334" t="s">
        <v>18</v>
      </c>
      <c r="F2334">
        <v>1927.77</v>
      </c>
      <c r="G2334">
        <v>526.99</v>
      </c>
      <c r="H2334" t="s">
        <v>19</v>
      </c>
      <c r="I2334" t="s">
        <v>14</v>
      </c>
    </row>
    <row r="2335" spans="1:9" x14ac:dyDescent="0.35">
      <c r="A2335" t="s">
        <v>2371</v>
      </c>
      <c r="B2335" s="1">
        <v>45061</v>
      </c>
      <c r="C2335" t="s">
        <v>25</v>
      </c>
      <c r="D2335" t="s">
        <v>50</v>
      </c>
      <c r="E2335" t="s">
        <v>12</v>
      </c>
      <c r="F2335">
        <v>1630.74</v>
      </c>
      <c r="G2335">
        <v>382.21</v>
      </c>
      <c r="H2335" t="s">
        <v>28</v>
      </c>
      <c r="I2335" t="s">
        <v>14</v>
      </c>
    </row>
    <row r="2336" spans="1:9" x14ac:dyDescent="0.35">
      <c r="A2336" t="s">
        <v>2372</v>
      </c>
      <c r="B2336" s="1">
        <v>44906</v>
      </c>
      <c r="C2336" t="s">
        <v>22</v>
      </c>
      <c r="D2336" t="s">
        <v>95</v>
      </c>
      <c r="E2336" t="s">
        <v>18</v>
      </c>
      <c r="F2336">
        <v>110.54</v>
      </c>
      <c r="G2336">
        <v>28.9</v>
      </c>
      <c r="H2336" t="s">
        <v>13</v>
      </c>
      <c r="I2336" t="s">
        <v>14</v>
      </c>
    </row>
    <row r="2337" spans="1:9" x14ac:dyDescent="0.35">
      <c r="A2337" t="s">
        <v>2373</v>
      </c>
      <c r="B2337" s="1">
        <v>45033</v>
      </c>
      <c r="C2337" t="s">
        <v>22</v>
      </c>
      <c r="D2337" t="s">
        <v>50</v>
      </c>
      <c r="E2337" t="s">
        <v>12</v>
      </c>
      <c r="F2337">
        <v>109.21</v>
      </c>
      <c r="G2337">
        <v>29.82</v>
      </c>
      <c r="H2337" t="s">
        <v>28</v>
      </c>
      <c r="I2337" t="s">
        <v>34</v>
      </c>
    </row>
    <row r="2338" spans="1:9" x14ac:dyDescent="0.35">
      <c r="A2338" t="s">
        <v>2374</v>
      </c>
      <c r="B2338" s="1">
        <v>44629</v>
      </c>
      <c r="C2338" t="s">
        <v>25</v>
      </c>
      <c r="D2338" t="s">
        <v>57</v>
      </c>
      <c r="E2338" t="s">
        <v>27</v>
      </c>
      <c r="F2338">
        <v>1669.12</v>
      </c>
      <c r="G2338">
        <v>424.82</v>
      </c>
      <c r="H2338" t="s">
        <v>13</v>
      </c>
      <c r="I2338" t="s">
        <v>14</v>
      </c>
    </row>
    <row r="2339" spans="1:9" x14ac:dyDescent="0.35">
      <c r="A2339" t="s">
        <v>2375</v>
      </c>
      <c r="B2339" s="1">
        <v>45463</v>
      </c>
      <c r="C2339" t="s">
        <v>25</v>
      </c>
      <c r="D2339" t="s">
        <v>17</v>
      </c>
      <c r="E2339" t="s">
        <v>18</v>
      </c>
      <c r="F2339">
        <v>1361.28</v>
      </c>
      <c r="G2339">
        <v>276.94</v>
      </c>
      <c r="H2339" t="s">
        <v>28</v>
      </c>
      <c r="I2339" t="s">
        <v>29</v>
      </c>
    </row>
    <row r="2340" spans="1:9" x14ac:dyDescent="0.35">
      <c r="A2340" t="s">
        <v>2376</v>
      </c>
      <c r="B2340" s="1">
        <v>45044</v>
      </c>
      <c r="C2340" t="s">
        <v>22</v>
      </c>
      <c r="D2340" t="s">
        <v>23</v>
      </c>
      <c r="E2340" t="s">
        <v>18</v>
      </c>
      <c r="F2340">
        <v>1399.13</v>
      </c>
      <c r="G2340">
        <v>249.22</v>
      </c>
      <c r="H2340" t="s">
        <v>19</v>
      </c>
      <c r="I2340" t="s">
        <v>20</v>
      </c>
    </row>
    <row r="2341" spans="1:9" x14ac:dyDescent="0.35">
      <c r="A2341" t="s">
        <v>2377</v>
      </c>
      <c r="B2341" s="1">
        <v>45636</v>
      </c>
      <c r="C2341" t="s">
        <v>16</v>
      </c>
      <c r="D2341" t="s">
        <v>17</v>
      </c>
      <c r="E2341" t="s">
        <v>18</v>
      </c>
      <c r="F2341">
        <v>356.59</v>
      </c>
      <c r="G2341">
        <v>59.66</v>
      </c>
      <c r="H2341" t="s">
        <v>13</v>
      </c>
      <c r="I2341" t="s">
        <v>34</v>
      </c>
    </row>
    <row r="2342" spans="1:9" x14ac:dyDescent="0.35">
      <c r="A2342" t="s">
        <v>2378</v>
      </c>
      <c r="B2342" s="1">
        <v>45029</v>
      </c>
      <c r="C2342" t="s">
        <v>10</v>
      </c>
      <c r="D2342" t="s">
        <v>23</v>
      </c>
      <c r="E2342" t="s">
        <v>18</v>
      </c>
      <c r="F2342">
        <v>1336.66</v>
      </c>
      <c r="G2342">
        <v>197.82</v>
      </c>
      <c r="H2342" t="s">
        <v>13</v>
      </c>
      <c r="I2342" t="s">
        <v>20</v>
      </c>
    </row>
    <row r="2343" spans="1:9" x14ac:dyDescent="0.35">
      <c r="A2343" t="s">
        <v>2379</v>
      </c>
      <c r="B2343" s="1">
        <v>45417</v>
      </c>
      <c r="C2343" t="s">
        <v>16</v>
      </c>
      <c r="D2343" t="s">
        <v>23</v>
      </c>
      <c r="E2343" t="s">
        <v>18</v>
      </c>
      <c r="F2343">
        <v>523.79</v>
      </c>
      <c r="G2343">
        <v>86.02</v>
      </c>
      <c r="H2343" t="s">
        <v>28</v>
      </c>
      <c r="I2343" t="s">
        <v>29</v>
      </c>
    </row>
    <row r="2344" spans="1:9" x14ac:dyDescent="0.35">
      <c r="A2344" t="s">
        <v>2380</v>
      </c>
      <c r="B2344" s="1">
        <v>44843</v>
      </c>
      <c r="C2344" t="s">
        <v>10</v>
      </c>
      <c r="D2344" t="s">
        <v>31</v>
      </c>
      <c r="E2344" t="s">
        <v>12</v>
      </c>
      <c r="F2344">
        <v>1377.66</v>
      </c>
      <c r="G2344">
        <v>114.1</v>
      </c>
      <c r="H2344" t="s">
        <v>13</v>
      </c>
      <c r="I2344" t="s">
        <v>14</v>
      </c>
    </row>
    <row r="2345" spans="1:9" x14ac:dyDescent="0.35">
      <c r="A2345" t="s">
        <v>2381</v>
      </c>
      <c r="B2345" s="1">
        <v>45596</v>
      </c>
      <c r="C2345" t="s">
        <v>16</v>
      </c>
      <c r="D2345" t="s">
        <v>26</v>
      </c>
      <c r="E2345" t="s">
        <v>27</v>
      </c>
      <c r="F2345">
        <v>636.08000000000004</v>
      </c>
      <c r="G2345">
        <v>85.35</v>
      </c>
      <c r="H2345" t="s">
        <v>19</v>
      </c>
      <c r="I2345" t="s">
        <v>20</v>
      </c>
    </row>
    <row r="2346" spans="1:9" x14ac:dyDescent="0.35">
      <c r="A2346" t="s">
        <v>2382</v>
      </c>
      <c r="B2346" s="1">
        <v>44903</v>
      </c>
      <c r="C2346" t="s">
        <v>22</v>
      </c>
      <c r="D2346" t="s">
        <v>50</v>
      </c>
      <c r="E2346" t="s">
        <v>12</v>
      </c>
      <c r="F2346">
        <v>762.07</v>
      </c>
      <c r="G2346">
        <v>136.59</v>
      </c>
      <c r="H2346" t="s">
        <v>13</v>
      </c>
      <c r="I2346" t="s">
        <v>34</v>
      </c>
    </row>
    <row r="2347" spans="1:9" x14ac:dyDescent="0.35">
      <c r="A2347" t="s">
        <v>2383</v>
      </c>
      <c r="B2347" s="1">
        <v>45355</v>
      </c>
      <c r="C2347" t="s">
        <v>25</v>
      </c>
      <c r="D2347" t="s">
        <v>31</v>
      </c>
      <c r="E2347" t="s">
        <v>12</v>
      </c>
      <c r="F2347">
        <v>1335.92</v>
      </c>
      <c r="G2347">
        <v>365.19</v>
      </c>
      <c r="H2347" t="s">
        <v>28</v>
      </c>
      <c r="I2347" t="s">
        <v>20</v>
      </c>
    </row>
    <row r="2348" spans="1:9" x14ac:dyDescent="0.35">
      <c r="A2348" t="s">
        <v>2384</v>
      </c>
      <c r="B2348" s="1">
        <v>45413</v>
      </c>
      <c r="C2348" t="s">
        <v>25</v>
      </c>
      <c r="D2348" t="s">
        <v>50</v>
      </c>
      <c r="E2348" t="s">
        <v>12</v>
      </c>
      <c r="F2348">
        <v>253.47</v>
      </c>
      <c r="G2348">
        <v>60.2</v>
      </c>
      <c r="H2348" t="s">
        <v>19</v>
      </c>
      <c r="I2348" t="s">
        <v>34</v>
      </c>
    </row>
    <row r="2349" spans="1:9" x14ac:dyDescent="0.35">
      <c r="A2349" t="s">
        <v>2385</v>
      </c>
      <c r="B2349" s="1">
        <v>45071</v>
      </c>
      <c r="C2349" t="s">
        <v>16</v>
      </c>
      <c r="D2349" t="s">
        <v>38</v>
      </c>
      <c r="E2349" t="s">
        <v>12</v>
      </c>
      <c r="F2349">
        <v>1610.6</v>
      </c>
      <c r="G2349">
        <v>312.11</v>
      </c>
      <c r="H2349" t="s">
        <v>13</v>
      </c>
      <c r="I2349" t="s">
        <v>34</v>
      </c>
    </row>
    <row r="2350" spans="1:9" x14ac:dyDescent="0.35">
      <c r="A2350" t="s">
        <v>2386</v>
      </c>
      <c r="B2350" s="1">
        <v>45343</v>
      </c>
      <c r="C2350" t="s">
        <v>25</v>
      </c>
      <c r="D2350" t="s">
        <v>33</v>
      </c>
      <c r="E2350" t="s">
        <v>18</v>
      </c>
      <c r="F2350">
        <v>1987.77</v>
      </c>
      <c r="G2350">
        <v>253.76</v>
      </c>
      <c r="H2350" t="s">
        <v>19</v>
      </c>
      <c r="I2350" t="s">
        <v>20</v>
      </c>
    </row>
    <row r="2351" spans="1:9" x14ac:dyDescent="0.35">
      <c r="A2351" t="s">
        <v>2387</v>
      </c>
      <c r="B2351" s="1">
        <v>44918</v>
      </c>
      <c r="C2351" t="s">
        <v>22</v>
      </c>
      <c r="D2351" t="s">
        <v>23</v>
      </c>
      <c r="E2351" t="s">
        <v>18</v>
      </c>
      <c r="F2351">
        <v>1620.17</v>
      </c>
      <c r="G2351">
        <v>471.43</v>
      </c>
      <c r="H2351" t="s">
        <v>19</v>
      </c>
      <c r="I2351" t="s">
        <v>14</v>
      </c>
    </row>
    <row r="2352" spans="1:9" x14ac:dyDescent="0.35">
      <c r="A2352" t="s">
        <v>2388</v>
      </c>
      <c r="B2352" s="1">
        <v>45047</v>
      </c>
      <c r="C2352" t="s">
        <v>16</v>
      </c>
      <c r="D2352" t="s">
        <v>73</v>
      </c>
      <c r="E2352" t="s">
        <v>27</v>
      </c>
      <c r="F2352">
        <v>1846.81</v>
      </c>
      <c r="G2352">
        <v>503.25</v>
      </c>
      <c r="H2352" t="s">
        <v>13</v>
      </c>
      <c r="I2352" t="s">
        <v>20</v>
      </c>
    </row>
    <row r="2353" spans="1:9" x14ac:dyDescent="0.35">
      <c r="A2353" t="s">
        <v>2389</v>
      </c>
      <c r="B2353" s="1">
        <v>45463</v>
      </c>
      <c r="C2353" t="s">
        <v>25</v>
      </c>
      <c r="D2353" t="s">
        <v>17</v>
      </c>
      <c r="E2353" t="s">
        <v>18</v>
      </c>
      <c r="F2353">
        <v>797.05</v>
      </c>
      <c r="G2353">
        <v>50.85</v>
      </c>
      <c r="H2353" t="s">
        <v>19</v>
      </c>
      <c r="I2353" t="s">
        <v>34</v>
      </c>
    </row>
    <row r="2354" spans="1:9" x14ac:dyDescent="0.35">
      <c r="A2354" t="s">
        <v>2390</v>
      </c>
      <c r="B2354" s="1">
        <v>45092</v>
      </c>
      <c r="C2354" t="s">
        <v>16</v>
      </c>
      <c r="D2354" t="s">
        <v>31</v>
      </c>
      <c r="E2354" t="s">
        <v>12</v>
      </c>
      <c r="F2354">
        <v>1876.65</v>
      </c>
      <c r="G2354">
        <v>269.25</v>
      </c>
      <c r="H2354" t="s">
        <v>13</v>
      </c>
      <c r="I2354" t="s">
        <v>14</v>
      </c>
    </row>
    <row r="2355" spans="1:9" x14ac:dyDescent="0.35">
      <c r="A2355" t="s">
        <v>2391</v>
      </c>
      <c r="B2355" s="1">
        <v>45115</v>
      </c>
      <c r="C2355" t="s">
        <v>22</v>
      </c>
      <c r="D2355" t="s">
        <v>33</v>
      </c>
      <c r="E2355" t="s">
        <v>18</v>
      </c>
      <c r="F2355">
        <v>1471.18</v>
      </c>
      <c r="G2355">
        <v>278.07</v>
      </c>
      <c r="H2355" t="s">
        <v>28</v>
      </c>
      <c r="I2355" t="s">
        <v>34</v>
      </c>
    </row>
    <row r="2356" spans="1:9" x14ac:dyDescent="0.35">
      <c r="A2356" t="s">
        <v>2392</v>
      </c>
      <c r="B2356" s="1">
        <v>44689</v>
      </c>
      <c r="C2356" t="s">
        <v>25</v>
      </c>
      <c r="D2356" t="s">
        <v>26</v>
      </c>
      <c r="E2356" t="s">
        <v>27</v>
      </c>
      <c r="F2356">
        <v>1067.4100000000001</v>
      </c>
      <c r="G2356">
        <v>124.48</v>
      </c>
      <c r="H2356" t="s">
        <v>19</v>
      </c>
      <c r="I2356" t="s">
        <v>14</v>
      </c>
    </row>
    <row r="2357" spans="1:9" x14ac:dyDescent="0.35">
      <c r="A2357" t="s">
        <v>2393</v>
      </c>
      <c r="B2357" s="1">
        <v>45605</v>
      </c>
      <c r="C2357" t="s">
        <v>10</v>
      </c>
      <c r="D2357" t="s">
        <v>73</v>
      </c>
      <c r="E2357" t="s">
        <v>27</v>
      </c>
      <c r="F2357">
        <v>1852.57</v>
      </c>
      <c r="G2357">
        <v>332.99</v>
      </c>
      <c r="H2357" t="s">
        <v>13</v>
      </c>
      <c r="I2357" t="s">
        <v>14</v>
      </c>
    </row>
    <row r="2358" spans="1:9" x14ac:dyDescent="0.35">
      <c r="A2358" t="s">
        <v>2394</v>
      </c>
      <c r="B2358" s="1">
        <v>44898</v>
      </c>
      <c r="C2358" t="s">
        <v>22</v>
      </c>
      <c r="D2358" t="s">
        <v>33</v>
      </c>
      <c r="E2358" t="s">
        <v>18</v>
      </c>
      <c r="F2358">
        <v>1224.68</v>
      </c>
      <c r="G2358">
        <v>260.48</v>
      </c>
      <c r="H2358" t="s">
        <v>19</v>
      </c>
      <c r="I2358" t="s">
        <v>14</v>
      </c>
    </row>
    <row r="2359" spans="1:9" x14ac:dyDescent="0.35">
      <c r="A2359" t="s">
        <v>2395</v>
      </c>
      <c r="B2359" s="1">
        <v>45468</v>
      </c>
      <c r="C2359" t="s">
        <v>22</v>
      </c>
      <c r="D2359" t="s">
        <v>62</v>
      </c>
      <c r="E2359" t="s">
        <v>27</v>
      </c>
      <c r="F2359">
        <v>653.58000000000004</v>
      </c>
      <c r="G2359">
        <v>165.6</v>
      </c>
      <c r="H2359" t="s">
        <v>13</v>
      </c>
      <c r="I2359" t="s">
        <v>20</v>
      </c>
    </row>
    <row r="2360" spans="1:9" x14ac:dyDescent="0.35">
      <c r="A2360" t="s">
        <v>2396</v>
      </c>
      <c r="B2360" s="1">
        <v>45181</v>
      </c>
      <c r="C2360" t="s">
        <v>25</v>
      </c>
      <c r="D2360" t="s">
        <v>57</v>
      </c>
      <c r="E2360" t="s">
        <v>27</v>
      </c>
      <c r="F2360">
        <v>916.16</v>
      </c>
      <c r="G2360">
        <v>63.42</v>
      </c>
      <c r="H2360" t="s">
        <v>28</v>
      </c>
      <c r="I2360" t="s">
        <v>34</v>
      </c>
    </row>
    <row r="2361" spans="1:9" x14ac:dyDescent="0.35">
      <c r="A2361" t="s">
        <v>2397</v>
      </c>
      <c r="B2361" s="1">
        <v>44935</v>
      </c>
      <c r="C2361" t="s">
        <v>10</v>
      </c>
      <c r="D2361" t="s">
        <v>17</v>
      </c>
      <c r="E2361" t="s">
        <v>18</v>
      </c>
      <c r="F2361">
        <v>1161.1199999999999</v>
      </c>
      <c r="G2361">
        <v>272.18</v>
      </c>
      <c r="H2361" t="s">
        <v>13</v>
      </c>
      <c r="I2361" t="s">
        <v>34</v>
      </c>
    </row>
    <row r="2362" spans="1:9" x14ac:dyDescent="0.35">
      <c r="A2362" t="s">
        <v>2398</v>
      </c>
      <c r="B2362" s="1">
        <v>45548</v>
      </c>
      <c r="C2362" t="s">
        <v>25</v>
      </c>
      <c r="D2362" t="s">
        <v>62</v>
      </c>
      <c r="E2362" t="s">
        <v>27</v>
      </c>
      <c r="F2362">
        <v>1616.7</v>
      </c>
      <c r="G2362">
        <v>427.54</v>
      </c>
      <c r="H2362" t="s">
        <v>28</v>
      </c>
      <c r="I2362" t="s">
        <v>14</v>
      </c>
    </row>
    <row r="2363" spans="1:9" x14ac:dyDescent="0.35">
      <c r="A2363" t="s">
        <v>2399</v>
      </c>
      <c r="B2363" s="1">
        <v>45544</v>
      </c>
      <c r="C2363" t="s">
        <v>16</v>
      </c>
      <c r="D2363" t="s">
        <v>26</v>
      </c>
      <c r="E2363" t="s">
        <v>27</v>
      </c>
      <c r="F2363">
        <v>1702.93</v>
      </c>
      <c r="G2363">
        <v>154.4</v>
      </c>
      <c r="H2363" t="s">
        <v>19</v>
      </c>
      <c r="I2363" t="s">
        <v>34</v>
      </c>
    </row>
    <row r="2364" spans="1:9" x14ac:dyDescent="0.35">
      <c r="A2364" t="s">
        <v>2400</v>
      </c>
      <c r="B2364" s="1">
        <v>45436</v>
      </c>
      <c r="C2364" t="s">
        <v>22</v>
      </c>
      <c r="D2364" t="s">
        <v>46</v>
      </c>
      <c r="E2364" t="s">
        <v>18</v>
      </c>
      <c r="F2364">
        <v>1807.86</v>
      </c>
      <c r="G2364">
        <v>362.6</v>
      </c>
      <c r="H2364" t="s">
        <v>13</v>
      </c>
      <c r="I2364" t="s">
        <v>20</v>
      </c>
    </row>
    <row r="2365" spans="1:9" x14ac:dyDescent="0.35">
      <c r="A2365" t="s">
        <v>2401</v>
      </c>
      <c r="B2365" s="1">
        <v>45115</v>
      </c>
      <c r="C2365" t="s">
        <v>16</v>
      </c>
      <c r="D2365" t="s">
        <v>23</v>
      </c>
      <c r="E2365" t="s">
        <v>18</v>
      </c>
      <c r="F2365">
        <v>1134.1600000000001</v>
      </c>
      <c r="G2365">
        <v>186.6</v>
      </c>
      <c r="H2365" t="s">
        <v>28</v>
      </c>
      <c r="I2365" t="s">
        <v>14</v>
      </c>
    </row>
    <row r="2366" spans="1:9" x14ac:dyDescent="0.35">
      <c r="A2366" t="s">
        <v>2402</v>
      </c>
      <c r="B2366" s="1">
        <v>44957</v>
      </c>
      <c r="C2366" t="s">
        <v>22</v>
      </c>
      <c r="D2366" t="s">
        <v>17</v>
      </c>
      <c r="E2366" t="s">
        <v>18</v>
      </c>
      <c r="F2366">
        <v>1367.44</v>
      </c>
      <c r="G2366">
        <v>251.84</v>
      </c>
      <c r="H2366" t="s">
        <v>19</v>
      </c>
      <c r="I2366" t="s">
        <v>14</v>
      </c>
    </row>
    <row r="2367" spans="1:9" x14ac:dyDescent="0.35">
      <c r="A2367" t="s">
        <v>2403</v>
      </c>
      <c r="B2367" s="1">
        <v>44768</v>
      </c>
      <c r="C2367" t="s">
        <v>25</v>
      </c>
      <c r="D2367" t="s">
        <v>33</v>
      </c>
      <c r="E2367" t="s">
        <v>18</v>
      </c>
      <c r="F2367">
        <v>1151.56</v>
      </c>
      <c r="G2367">
        <v>174.81</v>
      </c>
      <c r="H2367" t="s">
        <v>28</v>
      </c>
      <c r="I2367" t="s">
        <v>29</v>
      </c>
    </row>
    <row r="2368" spans="1:9" x14ac:dyDescent="0.35">
      <c r="A2368" t="s">
        <v>2404</v>
      </c>
      <c r="B2368" s="1">
        <v>45430</v>
      </c>
      <c r="C2368" t="s">
        <v>10</v>
      </c>
      <c r="D2368" t="s">
        <v>31</v>
      </c>
      <c r="E2368" t="s">
        <v>12</v>
      </c>
      <c r="F2368">
        <v>1526.84</v>
      </c>
      <c r="G2368">
        <v>410.74</v>
      </c>
      <c r="H2368" t="s">
        <v>19</v>
      </c>
      <c r="I2368" t="s">
        <v>29</v>
      </c>
    </row>
    <row r="2369" spans="1:9" x14ac:dyDescent="0.35">
      <c r="A2369" t="s">
        <v>2405</v>
      </c>
      <c r="B2369" s="1">
        <v>45460</v>
      </c>
      <c r="C2369" t="s">
        <v>10</v>
      </c>
      <c r="D2369" t="s">
        <v>73</v>
      </c>
      <c r="E2369" t="s">
        <v>27</v>
      </c>
      <c r="F2369">
        <v>1527.45</v>
      </c>
      <c r="G2369">
        <v>155.91</v>
      </c>
      <c r="H2369" t="s">
        <v>28</v>
      </c>
      <c r="I2369" t="s">
        <v>29</v>
      </c>
    </row>
    <row r="2370" spans="1:9" x14ac:dyDescent="0.35">
      <c r="A2370" t="s">
        <v>2406</v>
      </c>
      <c r="B2370" s="1">
        <v>44903</v>
      </c>
      <c r="C2370" t="s">
        <v>16</v>
      </c>
      <c r="D2370" t="s">
        <v>62</v>
      </c>
      <c r="E2370" t="s">
        <v>27</v>
      </c>
      <c r="F2370">
        <v>866.41</v>
      </c>
      <c r="G2370">
        <v>197.03</v>
      </c>
      <c r="H2370" t="s">
        <v>13</v>
      </c>
      <c r="I2370" t="s">
        <v>20</v>
      </c>
    </row>
    <row r="2371" spans="1:9" x14ac:dyDescent="0.35">
      <c r="A2371" t="s">
        <v>2407</v>
      </c>
      <c r="B2371" s="1">
        <v>44823</v>
      </c>
      <c r="C2371" t="s">
        <v>16</v>
      </c>
      <c r="D2371" t="s">
        <v>62</v>
      </c>
      <c r="E2371" t="s">
        <v>27</v>
      </c>
      <c r="F2371">
        <v>725.15</v>
      </c>
      <c r="G2371">
        <v>99.94</v>
      </c>
      <c r="H2371" t="s">
        <v>19</v>
      </c>
      <c r="I2371" t="s">
        <v>34</v>
      </c>
    </row>
    <row r="2372" spans="1:9" x14ac:dyDescent="0.35">
      <c r="A2372" t="s">
        <v>2408</v>
      </c>
      <c r="B2372" s="1">
        <v>44861</v>
      </c>
      <c r="C2372" t="s">
        <v>16</v>
      </c>
      <c r="D2372" t="s">
        <v>11</v>
      </c>
      <c r="E2372" t="s">
        <v>12</v>
      </c>
      <c r="F2372">
        <v>1118.46</v>
      </c>
      <c r="G2372">
        <v>198.85</v>
      </c>
      <c r="H2372" t="s">
        <v>13</v>
      </c>
      <c r="I2372" t="s">
        <v>29</v>
      </c>
    </row>
    <row r="2373" spans="1:9" x14ac:dyDescent="0.35">
      <c r="A2373" t="s">
        <v>2409</v>
      </c>
      <c r="B2373" s="1">
        <v>45537</v>
      </c>
      <c r="C2373" t="s">
        <v>25</v>
      </c>
      <c r="D2373" t="s">
        <v>97</v>
      </c>
      <c r="E2373" t="s">
        <v>27</v>
      </c>
      <c r="F2373">
        <v>400.87</v>
      </c>
      <c r="G2373">
        <v>25.75</v>
      </c>
      <c r="H2373" t="s">
        <v>13</v>
      </c>
      <c r="I2373" t="s">
        <v>29</v>
      </c>
    </row>
    <row r="2374" spans="1:9" x14ac:dyDescent="0.35">
      <c r="A2374" t="s">
        <v>2410</v>
      </c>
      <c r="B2374" s="1">
        <v>45554</v>
      </c>
      <c r="C2374" t="s">
        <v>16</v>
      </c>
      <c r="D2374" t="s">
        <v>38</v>
      </c>
      <c r="E2374" t="s">
        <v>12</v>
      </c>
      <c r="F2374">
        <v>165.48</v>
      </c>
      <c r="G2374">
        <v>24.71</v>
      </c>
      <c r="H2374" t="s">
        <v>28</v>
      </c>
      <c r="I2374" t="s">
        <v>14</v>
      </c>
    </row>
    <row r="2375" spans="1:9" x14ac:dyDescent="0.35">
      <c r="A2375" t="s">
        <v>2411</v>
      </c>
      <c r="B2375" s="1">
        <v>44755</v>
      </c>
      <c r="C2375" t="s">
        <v>16</v>
      </c>
      <c r="D2375" t="s">
        <v>41</v>
      </c>
      <c r="E2375" t="s">
        <v>12</v>
      </c>
      <c r="F2375">
        <v>1316.32</v>
      </c>
      <c r="G2375">
        <v>117.66</v>
      </c>
      <c r="H2375" t="s">
        <v>13</v>
      </c>
      <c r="I2375" t="s">
        <v>34</v>
      </c>
    </row>
    <row r="2376" spans="1:9" x14ac:dyDescent="0.35">
      <c r="A2376" t="s">
        <v>2412</v>
      </c>
      <c r="B2376" s="1">
        <v>45122</v>
      </c>
      <c r="C2376" t="s">
        <v>22</v>
      </c>
      <c r="D2376" t="s">
        <v>62</v>
      </c>
      <c r="E2376" t="s">
        <v>27</v>
      </c>
      <c r="F2376">
        <v>1482.96</v>
      </c>
      <c r="G2376">
        <v>227.15</v>
      </c>
      <c r="H2376" t="s">
        <v>28</v>
      </c>
      <c r="I2376" t="s">
        <v>20</v>
      </c>
    </row>
    <row r="2377" spans="1:9" x14ac:dyDescent="0.35">
      <c r="A2377" t="s">
        <v>2413</v>
      </c>
      <c r="B2377" s="1">
        <v>45150</v>
      </c>
      <c r="C2377" t="s">
        <v>22</v>
      </c>
      <c r="D2377" t="s">
        <v>73</v>
      </c>
      <c r="E2377" t="s">
        <v>27</v>
      </c>
      <c r="F2377">
        <v>1837.92</v>
      </c>
      <c r="G2377">
        <v>395.41</v>
      </c>
      <c r="H2377" t="s">
        <v>13</v>
      </c>
      <c r="I2377" t="s">
        <v>29</v>
      </c>
    </row>
    <row r="2378" spans="1:9" x14ac:dyDescent="0.35">
      <c r="A2378" t="s">
        <v>2414</v>
      </c>
      <c r="B2378" s="1">
        <v>44893</v>
      </c>
      <c r="C2378" t="s">
        <v>22</v>
      </c>
      <c r="D2378" t="s">
        <v>17</v>
      </c>
      <c r="E2378" t="s">
        <v>18</v>
      </c>
      <c r="F2378">
        <v>970.62</v>
      </c>
      <c r="G2378">
        <v>250.31</v>
      </c>
      <c r="H2378" t="s">
        <v>13</v>
      </c>
      <c r="I2378" t="s">
        <v>34</v>
      </c>
    </row>
    <row r="2379" spans="1:9" x14ac:dyDescent="0.35">
      <c r="A2379" t="s">
        <v>2415</v>
      </c>
      <c r="B2379" s="1">
        <v>44657</v>
      </c>
      <c r="C2379" t="s">
        <v>22</v>
      </c>
      <c r="D2379" t="s">
        <v>41</v>
      </c>
      <c r="E2379" t="s">
        <v>12</v>
      </c>
      <c r="F2379">
        <v>466.57</v>
      </c>
      <c r="G2379">
        <v>118.98</v>
      </c>
      <c r="H2379" t="s">
        <v>28</v>
      </c>
      <c r="I2379" t="s">
        <v>14</v>
      </c>
    </row>
    <row r="2380" spans="1:9" x14ac:dyDescent="0.35">
      <c r="A2380" t="s">
        <v>2416</v>
      </c>
      <c r="B2380" s="1">
        <v>44903</v>
      </c>
      <c r="C2380" t="s">
        <v>25</v>
      </c>
      <c r="D2380" t="s">
        <v>97</v>
      </c>
      <c r="E2380" t="s">
        <v>27</v>
      </c>
      <c r="F2380">
        <v>1075.82</v>
      </c>
      <c r="G2380">
        <v>215.09</v>
      </c>
      <c r="H2380" t="s">
        <v>19</v>
      </c>
      <c r="I2380" t="s">
        <v>34</v>
      </c>
    </row>
    <row r="2381" spans="1:9" x14ac:dyDescent="0.35">
      <c r="A2381" t="s">
        <v>2417</v>
      </c>
      <c r="B2381" s="1">
        <v>44747</v>
      </c>
      <c r="C2381" t="s">
        <v>10</v>
      </c>
      <c r="D2381" t="s">
        <v>31</v>
      </c>
      <c r="E2381" t="s">
        <v>12</v>
      </c>
      <c r="F2381">
        <v>1302.03</v>
      </c>
      <c r="G2381">
        <v>241.76</v>
      </c>
      <c r="H2381" t="s">
        <v>13</v>
      </c>
      <c r="I2381" t="s">
        <v>34</v>
      </c>
    </row>
    <row r="2382" spans="1:9" x14ac:dyDescent="0.35">
      <c r="A2382" t="s">
        <v>2418</v>
      </c>
      <c r="B2382" s="1">
        <v>44855</v>
      </c>
      <c r="C2382" t="s">
        <v>16</v>
      </c>
      <c r="D2382" t="s">
        <v>95</v>
      </c>
      <c r="E2382" t="s">
        <v>18</v>
      </c>
      <c r="F2382">
        <v>926.71</v>
      </c>
      <c r="G2382">
        <v>246.27</v>
      </c>
      <c r="H2382" t="s">
        <v>13</v>
      </c>
      <c r="I2382" t="s">
        <v>14</v>
      </c>
    </row>
    <row r="2383" spans="1:9" x14ac:dyDescent="0.35">
      <c r="A2383" t="s">
        <v>2419</v>
      </c>
      <c r="B2383" s="1">
        <v>44597</v>
      </c>
      <c r="C2383" t="s">
        <v>25</v>
      </c>
      <c r="D2383" t="s">
        <v>26</v>
      </c>
      <c r="E2383" t="s">
        <v>27</v>
      </c>
      <c r="F2383">
        <v>1062.25</v>
      </c>
      <c r="G2383">
        <v>297.63</v>
      </c>
      <c r="H2383" t="s">
        <v>13</v>
      </c>
      <c r="I2383" t="s">
        <v>20</v>
      </c>
    </row>
    <row r="2384" spans="1:9" x14ac:dyDescent="0.35">
      <c r="A2384" t="s">
        <v>2420</v>
      </c>
      <c r="B2384" s="1">
        <v>45649</v>
      </c>
      <c r="C2384" t="s">
        <v>16</v>
      </c>
      <c r="D2384" t="s">
        <v>57</v>
      </c>
      <c r="E2384" t="s">
        <v>27</v>
      </c>
      <c r="F2384">
        <v>1812.12</v>
      </c>
      <c r="G2384">
        <v>427.37</v>
      </c>
      <c r="H2384" t="s">
        <v>13</v>
      </c>
      <c r="I2384" t="s">
        <v>29</v>
      </c>
    </row>
    <row r="2385" spans="1:9" x14ac:dyDescent="0.35">
      <c r="A2385" t="s">
        <v>2421</v>
      </c>
      <c r="B2385" s="1">
        <v>45475</v>
      </c>
      <c r="C2385" t="s">
        <v>25</v>
      </c>
      <c r="D2385" t="s">
        <v>31</v>
      </c>
      <c r="E2385" t="s">
        <v>12</v>
      </c>
      <c r="F2385">
        <v>817.57</v>
      </c>
      <c r="G2385">
        <v>243.3</v>
      </c>
      <c r="H2385" t="s">
        <v>28</v>
      </c>
      <c r="I2385" t="s">
        <v>14</v>
      </c>
    </row>
    <row r="2386" spans="1:9" x14ac:dyDescent="0.35">
      <c r="A2386" t="s">
        <v>2422</v>
      </c>
      <c r="B2386" s="1">
        <v>45214</v>
      </c>
      <c r="C2386" t="s">
        <v>10</v>
      </c>
      <c r="D2386" t="s">
        <v>46</v>
      </c>
      <c r="E2386" t="s">
        <v>18</v>
      </c>
      <c r="F2386">
        <v>1181.1099999999999</v>
      </c>
      <c r="G2386">
        <v>118.65</v>
      </c>
      <c r="H2386" t="s">
        <v>19</v>
      </c>
      <c r="I2386" t="s">
        <v>29</v>
      </c>
    </row>
    <row r="2387" spans="1:9" x14ac:dyDescent="0.35">
      <c r="A2387" t="s">
        <v>2423</v>
      </c>
      <c r="B2387" s="1">
        <v>45212</v>
      </c>
      <c r="C2387" t="s">
        <v>25</v>
      </c>
      <c r="D2387" t="s">
        <v>23</v>
      </c>
      <c r="E2387" t="s">
        <v>18</v>
      </c>
      <c r="F2387">
        <v>533.19000000000005</v>
      </c>
      <c r="G2387">
        <v>90.89</v>
      </c>
      <c r="H2387" t="s">
        <v>19</v>
      </c>
      <c r="I2387" t="s">
        <v>20</v>
      </c>
    </row>
    <row r="2388" spans="1:9" x14ac:dyDescent="0.35">
      <c r="A2388" t="s">
        <v>2424</v>
      </c>
      <c r="B2388" s="1">
        <v>44872</v>
      </c>
      <c r="C2388" t="s">
        <v>22</v>
      </c>
      <c r="D2388" t="s">
        <v>33</v>
      </c>
      <c r="E2388" t="s">
        <v>18</v>
      </c>
      <c r="F2388">
        <v>1129.99</v>
      </c>
      <c r="G2388">
        <v>266.48</v>
      </c>
      <c r="H2388" t="s">
        <v>28</v>
      </c>
      <c r="I2388" t="s">
        <v>29</v>
      </c>
    </row>
    <row r="2389" spans="1:9" x14ac:dyDescent="0.35">
      <c r="A2389" t="s">
        <v>2425</v>
      </c>
      <c r="B2389" s="1">
        <v>44755</v>
      </c>
      <c r="C2389" t="s">
        <v>10</v>
      </c>
      <c r="D2389" t="s">
        <v>41</v>
      </c>
      <c r="E2389" t="s">
        <v>12</v>
      </c>
      <c r="F2389">
        <v>1518.68</v>
      </c>
      <c r="G2389">
        <v>370.61</v>
      </c>
      <c r="H2389" t="s">
        <v>19</v>
      </c>
      <c r="I2389" t="s">
        <v>29</v>
      </c>
    </row>
    <row r="2390" spans="1:9" x14ac:dyDescent="0.35">
      <c r="A2390" t="s">
        <v>2426</v>
      </c>
      <c r="B2390" s="1">
        <v>44935</v>
      </c>
      <c r="C2390" t="s">
        <v>10</v>
      </c>
      <c r="D2390" t="s">
        <v>33</v>
      </c>
      <c r="E2390" t="s">
        <v>18</v>
      </c>
      <c r="F2390">
        <v>597.94000000000005</v>
      </c>
      <c r="G2390">
        <v>142.68</v>
      </c>
      <c r="H2390" t="s">
        <v>19</v>
      </c>
      <c r="I2390" t="s">
        <v>14</v>
      </c>
    </row>
    <row r="2391" spans="1:9" x14ac:dyDescent="0.35">
      <c r="A2391" t="s">
        <v>2427</v>
      </c>
      <c r="B2391" s="1">
        <v>44979</v>
      </c>
      <c r="C2391" t="s">
        <v>25</v>
      </c>
      <c r="D2391" t="s">
        <v>38</v>
      </c>
      <c r="E2391" t="s">
        <v>12</v>
      </c>
      <c r="F2391">
        <v>391.61</v>
      </c>
      <c r="G2391">
        <v>31.38</v>
      </c>
      <c r="H2391" t="s">
        <v>28</v>
      </c>
      <c r="I2391" t="s">
        <v>34</v>
      </c>
    </row>
    <row r="2392" spans="1:9" x14ac:dyDescent="0.35">
      <c r="A2392" t="s">
        <v>2428</v>
      </c>
      <c r="B2392" s="1">
        <v>45043</v>
      </c>
      <c r="C2392" t="s">
        <v>22</v>
      </c>
      <c r="D2392" t="s">
        <v>62</v>
      </c>
      <c r="E2392" t="s">
        <v>27</v>
      </c>
      <c r="F2392">
        <v>446.94</v>
      </c>
      <c r="G2392">
        <v>133.56</v>
      </c>
      <c r="H2392" t="s">
        <v>13</v>
      </c>
      <c r="I2392" t="s">
        <v>20</v>
      </c>
    </row>
    <row r="2393" spans="1:9" x14ac:dyDescent="0.35">
      <c r="A2393" t="s">
        <v>2429</v>
      </c>
      <c r="B2393" s="1">
        <v>44852</v>
      </c>
      <c r="C2393" t="s">
        <v>25</v>
      </c>
      <c r="D2393" t="s">
        <v>46</v>
      </c>
      <c r="E2393" t="s">
        <v>18</v>
      </c>
      <c r="F2393">
        <v>799.78</v>
      </c>
      <c r="G2393">
        <v>103.08</v>
      </c>
      <c r="H2393" t="s">
        <v>19</v>
      </c>
      <c r="I2393" t="s">
        <v>34</v>
      </c>
    </row>
    <row r="2394" spans="1:9" x14ac:dyDescent="0.35">
      <c r="A2394" t="s">
        <v>2430</v>
      </c>
      <c r="B2394" s="1">
        <v>45018</v>
      </c>
      <c r="C2394" t="s">
        <v>16</v>
      </c>
      <c r="D2394" t="s">
        <v>73</v>
      </c>
      <c r="E2394" t="s">
        <v>27</v>
      </c>
      <c r="F2394">
        <v>1340.76</v>
      </c>
      <c r="G2394">
        <v>211.05</v>
      </c>
      <c r="H2394" t="s">
        <v>19</v>
      </c>
      <c r="I2394" t="s">
        <v>14</v>
      </c>
    </row>
    <row r="2395" spans="1:9" x14ac:dyDescent="0.35">
      <c r="A2395" t="s">
        <v>2431</v>
      </c>
      <c r="B2395" s="1">
        <v>45613</v>
      </c>
      <c r="C2395" t="s">
        <v>16</v>
      </c>
      <c r="D2395" t="s">
        <v>38</v>
      </c>
      <c r="E2395" t="s">
        <v>12</v>
      </c>
      <c r="F2395">
        <v>748.87</v>
      </c>
      <c r="G2395">
        <v>145.22999999999999</v>
      </c>
      <c r="H2395" t="s">
        <v>19</v>
      </c>
      <c r="I2395" t="s">
        <v>14</v>
      </c>
    </row>
    <row r="2396" spans="1:9" x14ac:dyDescent="0.35">
      <c r="A2396" t="s">
        <v>2432</v>
      </c>
      <c r="B2396" s="1">
        <v>45627</v>
      </c>
      <c r="C2396" t="s">
        <v>10</v>
      </c>
      <c r="D2396" t="s">
        <v>62</v>
      </c>
      <c r="E2396" t="s">
        <v>27</v>
      </c>
      <c r="F2396">
        <v>1762.85</v>
      </c>
      <c r="G2396">
        <v>166.57</v>
      </c>
      <c r="H2396" t="s">
        <v>19</v>
      </c>
      <c r="I2396" t="s">
        <v>34</v>
      </c>
    </row>
    <row r="2397" spans="1:9" x14ac:dyDescent="0.35">
      <c r="A2397" t="s">
        <v>2433</v>
      </c>
      <c r="B2397" s="1">
        <v>45198</v>
      </c>
      <c r="C2397" t="s">
        <v>10</v>
      </c>
      <c r="D2397" t="s">
        <v>57</v>
      </c>
      <c r="E2397" t="s">
        <v>27</v>
      </c>
      <c r="F2397">
        <v>1696.12</v>
      </c>
      <c r="G2397">
        <v>400.46</v>
      </c>
      <c r="H2397" t="s">
        <v>28</v>
      </c>
      <c r="I2397" t="s">
        <v>14</v>
      </c>
    </row>
    <row r="2398" spans="1:9" x14ac:dyDescent="0.35">
      <c r="A2398" t="s">
        <v>2434</v>
      </c>
      <c r="B2398" s="1">
        <v>44945</v>
      </c>
      <c r="C2398" t="s">
        <v>22</v>
      </c>
      <c r="D2398" t="s">
        <v>33</v>
      </c>
      <c r="E2398" t="s">
        <v>18</v>
      </c>
      <c r="F2398">
        <v>918.78</v>
      </c>
      <c r="G2398">
        <v>80.72</v>
      </c>
      <c r="H2398" t="s">
        <v>13</v>
      </c>
      <c r="I2398" t="s">
        <v>14</v>
      </c>
    </row>
    <row r="2399" spans="1:9" x14ac:dyDescent="0.35">
      <c r="A2399" t="s">
        <v>2435</v>
      </c>
      <c r="B2399" s="1">
        <v>44713</v>
      </c>
      <c r="C2399" t="s">
        <v>25</v>
      </c>
      <c r="D2399" t="s">
        <v>31</v>
      </c>
      <c r="E2399" t="s">
        <v>12</v>
      </c>
      <c r="F2399">
        <v>121.09</v>
      </c>
      <c r="G2399">
        <v>16.39</v>
      </c>
      <c r="H2399" t="s">
        <v>28</v>
      </c>
      <c r="I2399" t="s">
        <v>20</v>
      </c>
    </row>
    <row r="2400" spans="1:9" x14ac:dyDescent="0.35">
      <c r="A2400" t="s">
        <v>2436</v>
      </c>
      <c r="B2400" s="1">
        <v>45096</v>
      </c>
      <c r="C2400" t="s">
        <v>25</v>
      </c>
      <c r="D2400" t="s">
        <v>31</v>
      </c>
      <c r="E2400" t="s">
        <v>12</v>
      </c>
      <c r="F2400">
        <v>1110.21</v>
      </c>
      <c r="G2400">
        <v>315.91000000000003</v>
      </c>
      <c r="H2400" t="s">
        <v>28</v>
      </c>
      <c r="I2400" t="s">
        <v>20</v>
      </c>
    </row>
    <row r="2401" spans="1:9" x14ac:dyDescent="0.35">
      <c r="A2401" t="s">
        <v>2437</v>
      </c>
      <c r="B2401" s="1">
        <v>45060</v>
      </c>
      <c r="C2401" t="s">
        <v>10</v>
      </c>
      <c r="D2401" t="s">
        <v>11</v>
      </c>
      <c r="E2401" t="s">
        <v>12</v>
      </c>
      <c r="F2401">
        <v>1609.76</v>
      </c>
      <c r="G2401">
        <v>341.47</v>
      </c>
      <c r="H2401" t="s">
        <v>28</v>
      </c>
      <c r="I2401" t="s">
        <v>29</v>
      </c>
    </row>
    <row r="2402" spans="1:9" x14ac:dyDescent="0.35">
      <c r="A2402" t="s">
        <v>2438</v>
      </c>
      <c r="B2402" s="1">
        <v>45324</v>
      </c>
      <c r="C2402" t="s">
        <v>10</v>
      </c>
      <c r="D2402" t="s">
        <v>50</v>
      </c>
      <c r="E2402" t="s">
        <v>12</v>
      </c>
      <c r="F2402">
        <v>1274.69</v>
      </c>
      <c r="G2402">
        <v>110.07</v>
      </c>
      <c r="H2402" t="s">
        <v>28</v>
      </c>
      <c r="I2402" t="s">
        <v>20</v>
      </c>
    </row>
    <row r="2403" spans="1:9" x14ac:dyDescent="0.35">
      <c r="A2403" t="s">
        <v>2439</v>
      </c>
      <c r="B2403" s="1">
        <v>45145</v>
      </c>
      <c r="C2403" t="s">
        <v>10</v>
      </c>
      <c r="D2403" t="s">
        <v>26</v>
      </c>
      <c r="E2403" t="s">
        <v>27</v>
      </c>
      <c r="F2403">
        <v>908.32</v>
      </c>
      <c r="G2403">
        <v>167.43</v>
      </c>
      <c r="H2403" t="s">
        <v>13</v>
      </c>
      <c r="I2403" t="s">
        <v>14</v>
      </c>
    </row>
    <row r="2404" spans="1:9" x14ac:dyDescent="0.35">
      <c r="A2404" t="s">
        <v>2440</v>
      </c>
      <c r="B2404" s="1">
        <v>44710</v>
      </c>
      <c r="C2404" t="s">
        <v>10</v>
      </c>
      <c r="D2404" t="s">
        <v>17</v>
      </c>
      <c r="E2404" t="s">
        <v>18</v>
      </c>
      <c r="F2404">
        <v>1512.61</v>
      </c>
      <c r="G2404">
        <v>234.81</v>
      </c>
      <c r="H2404" t="s">
        <v>13</v>
      </c>
      <c r="I2404" t="s">
        <v>34</v>
      </c>
    </row>
    <row r="2405" spans="1:9" x14ac:dyDescent="0.35">
      <c r="A2405" t="s">
        <v>2441</v>
      </c>
      <c r="B2405" s="1">
        <v>44744</v>
      </c>
      <c r="C2405" t="s">
        <v>16</v>
      </c>
      <c r="D2405" t="s">
        <v>23</v>
      </c>
      <c r="E2405" t="s">
        <v>18</v>
      </c>
      <c r="F2405">
        <v>1357.47</v>
      </c>
      <c r="G2405">
        <v>342.88</v>
      </c>
      <c r="H2405" t="s">
        <v>28</v>
      </c>
      <c r="I2405" t="s">
        <v>34</v>
      </c>
    </row>
    <row r="2406" spans="1:9" x14ac:dyDescent="0.35">
      <c r="A2406" t="s">
        <v>2442</v>
      </c>
      <c r="B2406" s="1">
        <v>45428</v>
      </c>
      <c r="C2406" t="s">
        <v>10</v>
      </c>
      <c r="D2406" t="s">
        <v>31</v>
      </c>
      <c r="E2406" t="s">
        <v>12</v>
      </c>
      <c r="F2406">
        <v>1636.6</v>
      </c>
      <c r="G2406">
        <v>237.25</v>
      </c>
      <c r="H2406" t="s">
        <v>19</v>
      </c>
      <c r="I2406" t="s">
        <v>34</v>
      </c>
    </row>
    <row r="2407" spans="1:9" x14ac:dyDescent="0.35">
      <c r="A2407" t="s">
        <v>2443</v>
      </c>
      <c r="B2407" s="1">
        <v>45440</v>
      </c>
      <c r="C2407" t="s">
        <v>22</v>
      </c>
      <c r="D2407" t="s">
        <v>38</v>
      </c>
      <c r="E2407" t="s">
        <v>12</v>
      </c>
      <c r="F2407">
        <v>273.7</v>
      </c>
      <c r="G2407">
        <v>51.44</v>
      </c>
      <c r="H2407" t="s">
        <v>13</v>
      </c>
      <c r="I2407" t="s">
        <v>14</v>
      </c>
    </row>
    <row r="2408" spans="1:9" x14ac:dyDescent="0.35">
      <c r="A2408" t="s">
        <v>2444</v>
      </c>
      <c r="B2408" s="1">
        <v>45264</v>
      </c>
      <c r="C2408" t="s">
        <v>22</v>
      </c>
      <c r="D2408" t="s">
        <v>41</v>
      </c>
      <c r="E2408" t="s">
        <v>12</v>
      </c>
      <c r="F2408">
        <v>1497.94</v>
      </c>
      <c r="G2408">
        <v>263.72000000000003</v>
      </c>
      <c r="H2408" t="s">
        <v>28</v>
      </c>
      <c r="I2408" t="s">
        <v>29</v>
      </c>
    </row>
    <row r="2409" spans="1:9" x14ac:dyDescent="0.35">
      <c r="A2409" t="s">
        <v>2445</v>
      </c>
      <c r="B2409" s="1">
        <v>45470</v>
      </c>
      <c r="C2409" t="s">
        <v>25</v>
      </c>
      <c r="D2409" t="s">
        <v>50</v>
      </c>
      <c r="E2409" t="s">
        <v>12</v>
      </c>
      <c r="F2409">
        <v>917.11</v>
      </c>
      <c r="G2409">
        <v>237.53</v>
      </c>
      <c r="H2409" t="s">
        <v>19</v>
      </c>
      <c r="I2409" t="s">
        <v>34</v>
      </c>
    </row>
    <row r="2410" spans="1:9" x14ac:dyDescent="0.35">
      <c r="A2410" t="s">
        <v>2446</v>
      </c>
      <c r="B2410" s="1">
        <v>45411</v>
      </c>
      <c r="C2410" t="s">
        <v>10</v>
      </c>
      <c r="D2410" t="s">
        <v>26</v>
      </c>
      <c r="E2410" t="s">
        <v>27</v>
      </c>
      <c r="F2410">
        <v>1546.62</v>
      </c>
      <c r="G2410">
        <v>369.56</v>
      </c>
      <c r="H2410" t="s">
        <v>19</v>
      </c>
      <c r="I2410" t="s">
        <v>20</v>
      </c>
    </row>
    <row r="2411" spans="1:9" x14ac:dyDescent="0.35">
      <c r="A2411" t="s">
        <v>2447</v>
      </c>
      <c r="B2411" s="1">
        <v>45372</v>
      </c>
      <c r="C2411" t="s">
        <v>22</v>
      </c>
      <c r="D2411" t="s">
        <v>23</v>
      </c>
      <c r="E2411" t="s">
        <v>18</v>
      </c>
      <c r="F2411">
        <v>1170.2</v>
      </c>
      <c r="G2411">
        <v>105.56</v>
      </c>
      <c r="H2411" t="s">
        <v>13</v>
      </c>
      <c r="I2411" t="s">
        <v>34</v>
      </c>
    </row>
    <row r="2412" spans="1:9" x14ac:dyDescent="0.35">
      <c r="A2412" t="s">
        <v>2448</v>
      </c>
      <c r="B2412" s="1">
        <v>45000</v>
      </c>
      <c r="C2412" t="s">
        <v>22</v>
      </c>
      <c r="D2412" t="s">
        <v>62</v>
      </c>
      <c r="E2412" t="s">
        <v>27</v>
      </c>
      <c r="F2412">
        <v>1731.6</v>
      </c>
      <c r="G2412">
        <v>310.26</v>
      </c>
      <c r="H2412" t="s">
        <v>13</v>
      </c>
      <c r="I2412" t="s">
        <v>14</v>
      </c>
    </row>
    <row r="2413" spans="1:9" x14ac:dyDescent="0.35">
      <c r="A2413" t="s">
        <v>2449</v>
      </c>
      <c r="B2413" s="1">
        <v>45321</v>
      </c>
      <c r="C2413" t="s">
        <v>22</v>
      </c>
      <c r="D2413" t="s">
        <v>26</v>
      </c>
      <c r="E2413" t="s">
        <v>27</v>
      </c>
      <c r="F2413">
        <v>71.66</v>
      </c>
      <c r="G2413">
        <v>11.62</v>
      </c>
      <c r="H2413" t="s">
        <v>28</v>
      </c>
      <c r="I2413" t="s">
        <v>20</v>
      </c>
    </row>
    <row r="2414" spans="1:9" x14ac:dyDescent="0.35">
      <c r="A2414" t="s">
        <v>2450</v>
      </c>
      <c r="B2414" s="1">
        <v>44692</v>
      </c>
      <c r="C2414" t="s">
        <v>25</v>
      </c>
      <c r="D2414" t="s">
        <v>38</v>
      </c>
      <c r="E2414" t="s">
        <v>12</v>
      </c>
      <c r="F2414">
        <v>1449.77</v>
      </c>
      <c r="G2414">
        <v>226.4</v>
      </c>
      <c r="H2414" t="s">
        <v>19</v>
      </c>
      <c r="I2414" t="s">
        <v>29</v>
      </c>
    </row>
    <row r="2415" spans="1:9" x14ac:dyDescent="0.35">
      <c r="A2415" t="s">
        <v>2451</v>
      </c>
      <c r="B2415" s="1">
        <v>44580</v>
      </c>
      <c r="C2415" t="s">
        <v>16</v>
      </c>
      <c r="D2415" t="s">
        <v>62</v>
      </c>
      <c r="E2415" t="s">
        <v>27</v>
      </c>
      <c r="F2415">
        <v>1672.98</v>
      </c>
      <c r="G2415">
        <v>492.08</v>
      </c>
      <c r="H2415" t="s">
        <v>19</v>
      </c>
      <c r="I2415" t="s">
        <v>20</v>
      </c>
    </row>
    <row r="2416" spans="1:9" x14ac:dyDescent="0.35">
      <c r="A2416" t="s">
        <v>2452</v>
      </c>
      <c r="B2416" s="1">
        <v>45186</v>
      </c>
      <c r="C2416" t="s">
        <v>10</v>
      </c>
      <c r="D2416" t="s">
        <v>17</v>
      </c>
      <c r="E2416" t="s">
        <v>18</v>
      </c>
      <c r="F2416">
        <v>913.22</v>
      </c>
      <c r="G2416">
        <v>128.29</v>
      </c>
      <c r="H2416" t="s">
        <v>19</v>
      </c>
      <c r="I2416" t="s">
        <v>14</v>
      </c>
    </row>
    <row r="2417" spans="1:9" x14ac:dyDescent="0.35">
      <c r="A2417" t="s">
        <v>2453</v>
      </c>
      <c r="B2417" s="1">
        <v>45205</v>
      </c>
      <c r="C2417" t="s">
        <v>22</v>
      </c>
      <c r="D2417" t="s">
        <v>57</v>
      </c>
      <c r="E2417" t="s">
        <v>27</v>
      </c>
      <c r="F2417">
        <v>1064.69</v>
      </c>
      <c r="G2417">
        <v>107.45</v>
      </c>
      <c r="H2417" t="s">
        <v>28</v>
      </c>
      <c r="I2417" t="s">
        <v>34</v>
      </c>
    </row>
    <row r="2418" spans="1:9" x14ac:dyDescent="0.35">
      <c r="A2418" t="s">
        <v>2454</v>
      </c>
      <c r="B2418" s="1">
        <v>44696</v>
      </c>
      <c r="C2418" t="s">
        <v>16</v>
      </c>
      <c r="D2418" t="s">
        <v>50</v>
      </c>
      <c r="E2418" t="s">
        <v>12</v>
      </c>
      <c r="F2418">
        <v>1480.73</v>
      </c>
      <c r="G2418">
        <v>244.62</v>
      </c>
      <c r="H2418" t="s">
        <v>19</v>
      </c>
      <c r="I2418" t="s">
        <v>20</v>
      </c>
    </row>
    <row r="2419" spans="1:9" x14ac:dyDescent="0.35">
      <c r="A2419" t="s">
        <v>2455</v>
      </c>
      <c r="B2419" s="1">
        <v>45588</v>
      </c>
      <c r="C2419" t="s">
        <v>10</v>
      </c>
      <c r="D2419" t="s">
        <v>57</v>
      </c>
      <c r="E2419" t="s">
        <v>27</v>
      </c>
      <c r="F2419">
        <v>1595.72</v>
      </c>
      <c r="G2419">
        <v>382.72</v>
      </c>
      <c r="H2419" t="s">
        <v>28</v>
      </c>
      <c r="I2419" t="s">
        <v>14</v>
      </c>
    </row>
    <row r="2420" spans="1:9" x14ac:dyDescent="0.35">
      <c r="A2420" t="s">
        <v>2456</v>
      </c>
      <c r="B2420" s="1">
        <v>45408</v>
      </c>
      <c r="C2420" t="s">
        <v>22</v>
      </c>
      <c r="D2420" t="s">
        <v>23</v>
      </c>
      <c r="E2420" t="s">
        <v>18</v>
      </c>
      <c r="F2420">
        <v>558.64</v>
      </c>
      <c r="G2420">
        <v>123.46</v>
      </c>
      <c r="H2420" t="s">
        <v>28</v>
      </c>
      <c r="I2420" t="s">
        <v>29</v>
      </c>
    </row>
    <row r="2421" spans="1:9" x14ac:dyDescent="0.35">
      <c r="A2421" t="s">
        <v>2457</v>
      </c>
      <c r="B2421" s="1">
        <v>45313</v>
      </c>
      <c r="C2421" t="s">
        <v>10</v>
      </c>
      <c r="D2421" t="s">
        <v>57</v>
      </c>
      <c r="E2421" t="s">
        <v>27</v>
      </c>
      <c r="F2421">
        <v>1346.83</v>
      </c>
      <c r="G2421">
        <v>351.3</v>
      </c>
      <c r="H2421" t="s">
        <v>28</v>
      </c>
      <c r="I2421" t="s">
        <v>34</v>
      </c>
    </row>
    <row r="2422" spans="1:9" x14ac:dyDescent="0.35">
      <c r="A2422" t="s">
        <v>2458</v>
      </c>
      <c r="B2422" s="1">
        <v>44937</v>
      </c>
      <c r="C2422" t="s">
        <v>16</v>
      </c>
      <c r="D2422" t="s">
        <v>26</v>
      </c>
      <c r="E2422" t="s">
        <v>27</v>
      </c>
      <c r="F2422">
        <v>252.04</v>
      </c>
      <c r="G2422">
        <v>37.46</v>
      </c>
      <c r="H2422" t="s">
        <v>13</v>
      </c>
      <c r="I2422" t="s">
        <v>20</v>
      </c>
    </row>
    <row r="2423" spans="1:9" x14ac:dyDescent="0.35">
      <c r="A2423" t="s">
        <v>2459</v>
      </c>
      <c r="B2423" s="1">
        <v>45532</v>
      </c>
      <c r="C2423" t="s">
        <v>16</v>
      </c>
      <c r="D2423" t="s">
        <v>33</v>
      </c>
      <c r="E2423" t="s">
        <v>18</v>
      </c>
      <c r="F2423">
        <v>1088.8399999999999</v>
      </c>
      <c r="G2423">
        <v>256.58</v>
      </c>
      <c r="H2423" t="s">
        <v>19</v>
      </c>
      <c r="I2423" t="s">
        <v>14</v>
      </c>
    </row>
    <row r="2424" spans="1:9" x14ac:dyDescent="0.35">
      <c r="A2424" t="s">
        <v>2460</v>
      </c>
      <c r="B2424" s="1">
        <v>44647</v>
      </c>
      <c r="C2424" t="s">
        <v>25</v>
      </c>
      <c r="D2424" t="s">
        <v>26</v>
      </c>
      <c r="E2424" t="s">
        <v>27</v>
      </c>
      <c r="F2424">
        <v>552.08000000000004</v>
      </c>
      <c r="G2424">
        <v>60.89</v>
      </c>
      <c r="H2424" t="s">
        <v>28</v>
      </c>
      <c r="I2424" t="s">
        <v>14</v>
      </c>
    </row>
    <row r="2425" spans="1:9" x14ac:dyDescent="0.35">
      <c r="A2425" t="s">
        <v>2461</v>
      </c>
      <c r="B2425" s="1">
        <v>44830</v>
      </c>
      <c r="C2425" t="s">
        <v>22</v>
      </c>
      <c r="D2425" t="s">
        <v>23</v>
      </c>
      <c r="E2425" t="s">
        <v>18</v>
      </c>
      <c r="F2425">
        <v>1746.46</v>
      </c>
      <c r="G2425">
        <v>264.11</v>
      </c>
      <c r="H2425" t="s">
        <v>28</v>
      </c>
      <c r="I2425" t="s">
        <v>14</v>
      </c>
    </row>
    <row r="2426" spans="1:9" x14ac:dyDescent="0.35">
      <c r="A2426" t="s">
        <v>2462</v>
      </c>
      <c r="B2426" s="1">
        <v>44869</v>
      </c>
      <c r="C2426" t="s">
        <v>25</v>
      </c>
      <c r="D2426" t="s">
        <v>23</v>
      </c>
      <c r="E2426" t="s">
        <v>18</v>
      </c>
      <c r="F2426">
        <v>1543.94</v>
      </c>
      <c r="G2426">
        <v>138.24</v>
      </c>
      <c r="H2426" t="s">
        <v>19</v>
      </c>
      <c r="I2426" t="s">
        <v>29</v>
      </c>
    </row>
    <row r="2427" spans="1:9" x14ac:dyDescent="0.35">
      <c r="A2427" t="s">
        <v>2463</v>
      </c>
      <c r="B2427" s="1">
        <v>45473</v>
      </c>
      <c r="C2427" t="s">
        <v>22</v>
      </c>
      <c r="D2427" t="s">
        <v>17</v>
      </c>
      <c r="E2427" t="s">
        <v>18</v>
      </c>
      <c r="F2427">
        <v>1712.06</v>
      </c>
      <c r="G2427">
        <v>261.3</v>
      </c>
      <c r="H2427" t="s">
        <v>19</v>
      </c>
      <c r="I2427" t="s">
        <v>29</v>
      </c>
    </row>
    <row r="2428" spans="1:9" x14ac:dyDescent="0.35">
      <c r="A2428" t="s">
        <v>2464</v>
      </c>
      <c r="B2428" s="1">
        <v>45306</v>
      </c>
      <c r="C2428" t="s">
        <v>25</v>
      </c>
      <c r="D2428" t="s">
        <v>95</v>
      </c>
      <c r="E2428" t="s">
        <v>18</v>
      </c>
      <c r="F2428">
        <v>792.87</v>
      </c>
      <c r="G2428">
        <v>67.739999999999995</v>
      </c>
      <c r="H2428" t="s">
        <v>13</v>
      </c>
      <c r="I2428" t="s">
        <v>34</v>
      </c>
    </row>
    <row r="2429" spans="1:9" x14ac:dyDescent="0.35">
      <c r="A2429" t="s">
        <v>2465</v>
      </c>
      <c r="B2429" s="1">
        <v>45077</v>
      </c>
      <c r="C2429" t="s">
        <v>16</v>
      </c>
      <c r="D2429" t="s">
        <v>23</v>
      </c>
      <c r="E2429" t="s">
        <v>18</v>
      </c>
      <c r="F2429">
        <v>1691.39</v>
      </c>
      <c r="G2429">
        <v>367.84</v>
      </c>
      <c r="H2429" t="s">
        <v>28</v>
      </c>
      <c r="I2429" t="s">
        <v>20</v>
      </c>
    </row>
    <row r="2430" spans="1:9" x14ac:dyDescent="0.35">
      <c r="A2430" t="s">
        <v>2466</v>
      </c>
      <c r="B2430" s="1">
        <v>44878</v>
      </c>
      <c r="C2430" t="s">
        <v>22</v>
      </c>
      <c r="D2430" t="s">
        <v>31</v>
      </c>
      <c r="E2430" t="s">
        <v>12</v>
      </c>
      <c r="F2430">
        <v>370.93</v>
      </c>
      <c r="G2430">
        <v>105.04</v>
      </c>
      <c r="H2430" t="s">
        <v>13</v>
      </c>
      <c r="I2430" t="s">
        <v>14</v>
      </c>
    </row>
    <row r="2431" spans="1:9" x14ac:dyDescent="0.35">
      <c r="A2431" t="s">
        <v>2467</v>
      </c>
      <c r="B2431" s="1">
        <v>45372</v>
      </c>
      <c r="C2431" t="s">
        <v>10</v>
      </c>
      <c r="D2431" t="s">
        <v>62</v>
      </c>
      <c r="E2431" t="s">
        <v>27</v>
      </c>
      <c r="F2431">
        <v>126.91</v>
      </c>
      <c r="G2431">
        <v>33.68</v>
      </c>
      <c r="H2431" t="s">
        <v>13</v>
      </c>
      <c r="I2431" t="s">
        <v>34</v>
      </c>
    </row>
    <row r="2432" spans="1:9" x14ac:dyDescent="0.35">
      <c r="A2432" t="s">
        <v>2468</v>
      </c>
      <c r="B2432" s="1">
        <v>45359</v>
      </c>
      <c r="C2432" t="s">
        <v>25</v>
      </c>
      <c r="D2432" t="s">
        <v>97</v>
      </c>
      <c r="E2432" t="s">
        <v>27</v>
      </c>
      <c r="F2432">
        <v>272.60000000000002</v>
      </c>
      <c r="G2432">
        <v>32.1</v>
      </c>
      <c r="H2432" t="s">
        <v>13</v>
      </c>
      <c r="I2432" t="s">
        <v>14</v>
      </c>
    </row>
    <row r="2433" spans="1:9" x14ac:dyDescent="0.35">
      <c r="A2433" t="s">
        <v>2469</v>
      </c>
      <c r="B2433" s="1">
        <v>45265</v>
      </c>
      <c r="C2433" t="s">
        <v>22</v>
      </c>
      <c r="D2433" t="s">
        <v>73</v>
      </c>
      <c r="E2433" t="s">
        <v>27</v>
      </c>
      <c r="F2433">
        <v>1021.28</v>
      </c>
      <c r="G2433">
        <v>200.12</v>
      </c>
      <c r="H2433" t="s">
        <v>28</v>
      </c>
      <c r="I2433" t="s">
        <v>29</v>
      </c>
    </row>
    <row r="2434" spans="1:9" x14ac:dyDescent="0.35">
      <c r="A2434" t="s">
        <v>2470</v>
      </c>
      <c r="B2434" s="1">
        <v>45451</v>
      </c>
      <c r="C2434" t="s">
        <v>22</v>
      </c>
      <c r="D2434" t="s">
        <v>57</v>
      </c>
      <c r="E2434" t="s">
        <v>27</v>
      </c>
      <c r="F2434">
        <v>1351.28</v>
      </c>
      <c r="G2434">
        <v>172.56</v>
      </c>
      <c r="H2434" t="s">
        <v>28</v>
      </c>
      <c r="I2434" t="s">
        <v>20</v>
      </c>
    </row>
    <row r="2435" spans="1:9" x14ac:dyDescent="0.35">
      <c r="A2435" t="s">
        <v>2471</v>
      </c>
      <c r="B2435" s="1">
        <v>44938</v>
      </c>
      <c r="C2435" t="s">
        <v>10</v>
      </c>
      <c r="D2435" t="s">
        <v>73</v>
      </c>
      <c r="E2435" t="s">
        <v>27</v>
      </c>
      <c r="F2435">
        <v>390.34</v>
      </c>
      <c r="G2435">
        <v>105.22</v>
      </c>
      <c r="H2435" t="s">
        <v>13</v>
      </c>
      <c r="I2435" t="s">
        <v>34</v>
      </c>
    </row>
    <row r="2436" spans="1:9" x14ac:dyDescent="0.35">
      <c r="A2436" t="s">
        <v>2472</v>
      </c>
      <c r="B2436" s="1">
        <v>44970</v>
      </c>
      <c r="C2436" t="s">
        <v>22</v>
      </c>
      <c r="D2436" t="s">
        <v>31</v>
      </c>
      <c r="E2436" t="s">
        <v>12</v>
      </c>
      <c r="F2436">
        <v>77.67</v>
      </c>
      <c r="G2436">
        <v>10.45</v>
      </c>
      <c r="H2436" t="s">
        <v>19</v>
      </c>
      <c r="I2436" t="s">
        <v>14</v>
      </c>
    </row>
    <row r="2437" spans="1:9" x14ac:dyDescent="0.35">
      <c r="A2437" t="s">
        <v>2473</v>
      </c>
      <c r="B2437" s="1">
        <v>45482</v>
      </c>
      <c r="C2437" t="s">
        <v>10</v>
      </c>
      <c r="D2437" t="s">
        <v>97</v>
      </c>
      <c r="E2437" t="s">
        <v>27</v>
      </c>
      <c r="F2437">
        <v>695.48</v>
      </c>
      <c r="G2437">
        <v>56.13</v>
      </c>
      <c r="H2437" t="s">
        <v>19</v>
      </c>
      <c r="I2437" t="s">
        <v>20</v>
      </c>
    </row>
    <row r="2438" spans="1:9" x14ac:dyDescent="0.35">
      <c r="A2438" t="s">
        <v>2474</v>
      </c>
      <c r="B2438" s="1">
        <v>45180</v>
      </c>
      <c r="C2438" t="s">
        <v>10</v>
      </c>
      <c r="D2438" t="s">
        <v>17</v>
      </c>
      <c r="E2438" t="s">
        <v>18</v>
      </c>
      <c r="F2438">
        <v>958.2</v>
      </c>
      <c r="G2438">
        <v>253.3</v>
      </c>
      <c r="H2438" t="s">
        <v>13</v>
      </c>
      <c r="I2438" t="s">
        <v>34</v>
      </c>
    </row>
    <row r="2439" spans="1:9" x14ac:dyDescent="0.35">
      <c r="A2439" t="s">
        <v>2475</v>
      </c>
      <c r="B2439" s="1">
        <v>44686</v>
      </c>
      <c r="C2439" t="s">
        <v>10</v>
      </c>
      <c r="D2439" t="s">
        <v>97</v>
      </c>
      <c r="E2439" t="s">
        <v>27</v>
      </c>
      <c r="F2439">
        <v>528.20000000000005</v>
      </c>
      <c r="G2439">
        <v>53.91</v>
      </c>
      <c r="H2439" t="s">
        <v>13</v>
      </c>
      <c r="I2439" t="s">
        <v>29</v>
      </c>
    </row>
    <row r="2440" spans="1:9" x14ac:dyDescent="0.35">
      <c r="A2440" t="s">
        <v>2476</v>
      </c>
      <c r="B2440" s="1">
        <v>45399</v>
      </c>
      <c r="C2440" t="s">
        <v>25</v>
      </c>
      <c r="D2440" t="s">
        <v>17</v>
      </c>
      <c r="E2440" t="s">
        <v>18</v>
      </c>
      <c r="F2440">
        <v>463.98</v>
      </c>
      <c r="G2440">
        <v>42.67</v>
      </c>
      <c r="H2440" t="s">
        <v>19</v>
      </c>
      <c r="I2440" t="s">
        <v>34</v>
      </c>
    </row>
    <row r="2441" spans="1:9" x14ac:dyDescent="0.35">
      <c r="A2441" t="s">
        <v>2477</v>
      </c>
      <c r="B2441" s="1">
        <v>45116</v>
      </c>
      <c r="C2441" t="s">
        <v>25</v>
      </c>
      <c r="D2441" t="s">
        <v>31</v>
      </c>
      <c r="E2441" t="s">
        <v>12</v>
      </c>
      <c r="F2441">
        <v>155.69</v>
      </c>
      <c r="G2441">
        <v>20.68</v>
      </c>
      <c r="H2441" t="s">
        <v>28</v>
      </c>
      <c r="I2441" t="s">
        <v>34</v>
      </c>
    </row>
    <row r="2442" spans="1:9" x14ac:dyDescent="0.35">
      <c r="A2442" t="s">
        <v>2478</v>
      </c>
      <c r="B2442" s="1">
        <v>44670</v>
      </c>
      <c r="C2442" t="s">
        <v>10</v>
      </c>
      <c r="D2442" t="s">
        <v>26</v>
      </c>
      <c r="E2442" t="s">
        <v>27</v>
      </c>
      <c r="F2442">
        <v>369.01</v>
      </c>
      <c r="G2442">
        <v>81.97</v>
      </c>
      <c r="H2442" t="s">
        <v>19</v>
      </c>
      <c r="I2442" t="s">
        <v>14</v>
      </c>
    </row>
    <row r="2443" spans="1:9" x14ac:dyDescent="0.35">
      <c r="A2443" t="s">
        <v>2479</v>
      </c>
      <c r="B2443" s="1">
        <v>44807</v>
      </c>
      <c r="C2443" t="s">
        <v>22</v>
      </c>
      <c r="D2443" t="s">
        <v>11</v>
      </c>
      <c r="E2443" t="s">
        <v>12</v>
      </c>
      <c r="F2443">
        <v>977.55</v>
      </c>
      <c r="G2443">
        <v>71.62</v>
      </c>
      <c r="H2443" t="s">
        <v>13</v>
      </c>
      <c r="I2443" t="s">
        <v>29</v>
      </c>
    </row>
    <row r="2444" spans="1:9" x14ac:dyDescent="0.35">
      <c r="A2444" t="s">
        <v>2480</v>
      </c>
      <c r="B2444" s="1">
        <v>45304</v>
      </c>
      <c r="C2444" t="s">
        <v>22</v>
      </c>
      <c r="D2444" t="s">
        <v>50</v>
      </c>
      <c r="E2444" t="s">
        <v>12</v>
      </c>
      <c r="F2444">
        <v>288.17</v>
      </c>
      <c r="G2444">
        <v>15.34</v>
      </c>
      <c r="H2444" t="s">
        <v>28</v>
      </c>
      <c r="I2444" t="s">
        <v>20</v>
      </c>
    </row>
    <row r="2445" spans="1:9" x14ac:dyDescent="0.35">
      <c r="A2445" t="s">
        <v>2481</v>
      </c>
      <c r="B2445" s="1">
        <v>44652</v>
      </c>
      <c r="C2445" t="s">
        <v>22</v>
      </c>
      <c r="D2445" t="s">
        <v>17</v>
      </c>
      <c r="E2445" t="s">
        <v>18</v>
      </c>
      <c r="F2445">
        <v>1783.85</v>
      </c>
      <c r="G2445">
        <v>473.84</v>
      </c>
      <c r="H2445" t="s">
        <v>28</v>
      </c>
      <c r="I2445" t="s">
        <v>29</v>
      </c>
    </row>
    <row r="2446" spans="1:9" x14ac:dyDescent="0.35">
      <c r="A2446" t="s">
        <v>2482</v>
      </c>
      <c r="B2446" s="1">
        <v>45016</v>
      </c>
      <c r="C2446" t="s">
        <v>10</v>
      </c>
      <c r="D2446" t="s">
        <v>46</v>
      </c>
      <c r="E2446" t="s">
        <v>18</v>
      </c>
      <c r="F2446">
        <v>1146.77</v>
      </c>
      <c r="G2446">
        <v>235.57</v>
      </c>
      <c r="H2446" t="s">
        <v>13</v>
      </c>
      <c r="I2446" t="s">
        <v>29</v>
      </c>
    </row>
    <row r="2447" spans="1:9" x14ac:dyDescent="0.35">
      <c r="A2447" t="s">
        <v>2483</v>
      </c>
      <c r="B2447" s="1">
        <v>44665</v>
      </c>
      <c r="C2447" t="s">
        <v>22</v>
      </c>
      <c r="D2447" t="s">
        <v>97</v>
      </c>
      <c r="E2447" t="s">
        <v>27</v>
      </c>
      <c r="F2447">
        <v>401.54</v>
      </c>
      <c r="G2447">
        <v>61.56</v>
      </c>
      <c r="H2447" t="s">
        <v>13</v>
      </c>
      <c r="I2447" t="s">
        <v>20</v>
      </c>
    </row>
    <row r="2448" spans="1:9" x14ac:dyDescent="0.35">
      <c r="A2448" t="s">
        <v>2484</v>
      </c>
      <c r="B2448" s="1">
        <v>44981</v>
      </c>
      <c r="C2448" t="s">
        <v>16</v>
      </c>
      <c r="D2448" t="s">
        <v>57</v>
      </c>
      <c r="E2448" t="s">
        <v>27</v>
      </c>
      <c r="F2448">
        <v>695.66</v>
      </c>
      <c r="G2448">
        <v>200.94</v>
      </c>
      <c r="H2448" t="s">
        <v>28</v>
      </c>
      <c r="I2448" t="s">
        <v>14</v>
      </c>
    </row>
    <row r="2449" spans="1:9" x14ac:dyDescent="0.35">
      <c r="A2449" t="s">
        <v>2485</v>
      </c>
      <c r="B2449" s="1">
        <v>45186</v>
      </c>
      <c r="C2449" t="s">
        <v>10</v>
      </c>
      <c r="D2449" t="s">
        <v>50</v>
      </c>
      <c r="E2449" t="s">
        <v>12</v>
      </c>
      <c r="F2449">
        <v>1983.2</v>
      </c>
      <c r="G2449">
        <v>469.2</v>
      </c>
      <c r="H2449" t="s">
        <v>19</v>
      </c>
      <c r="I2449" t="s">
        <v>34</v>
      </c>
    </row>
    <row r="2450" spans="1:9" x14ac:dyDescent="0.35">
      <c r="A2450" t="s">
        <v>2486</v>
      </c>
      <c r="B2450" s="1">
        <v>45461</v>
      </c>
      <c r="C2450" t="s">
        <v>16</v>
      </c>
      <c r="D2450" t="s">
        <v>33</v>
      </c>
      <c r="E2450" t="s">
        <v>18</v>
      </c>
      <c r="F2450">
        <v>1678</v>
      </c>
      <c r="G2450">
        <v>417.29</v>
      </c>
      <c r="H2450" t="s">
        <v>28</v>
      </c>
      <c r="I2450" t="s">
        <v>14</v>
      </c>
    </row>
    <row r="2451" spans="1:9" x14ac:dyDescent="0.35">
      <c r="A2451" t="s">
        <v>2487</v>
      </c>
      <c r="B2451" s="1">
        <v>45034</v>
      </c>
      <c r="C2451" t="s">
        <v>25</v>
      </c>
      <c r="D2451" t="s">
        <v>57</v>
      </c>
      <c r="E2451" t="s">
        <v>27</v>
      </c>
      <c r="F2451">
        <v>321.47000000000003</v>
      </c>
      <c r="G2451">
        <v>77.06</v>
      </c>
      <c r="H2451" t="s">
        <v>28</v>
      </c>
      <c r="I2451" t="s">
        <v>20</v>
      </c>
    </row>
    <row r="2452" spans="1:9" x14ac:dyDescent="0.35">
      <c r="A2452" t="s">
        <v>2488</v>
      </c>
      <c r="B2452" s="1">
        <v>44748</v>
      </c>
      <c r="C2452" t="s">
        <v>10</v>
      </c>
      <c r="D2452" t="s">
        <v>46</v>
      </c>
      <c r="E2452" t="s">
        <v>18</v>
      </c>
      <c r="F2452">
        <v>159.81</v>
      </c>
      <c r="G2452">
        <v>40.479999999999997</v>
      </c>
      <c r="H2452" t="s">
        <v>19</v>
      </c>
      <c r="I2452" t="s">
        <v>34</v>
      </c>
    </row>
    <row r="2453" spans="1:9" x14ac:dyDescent="0.35">
      <c r="A2453" t="s">
        <v>2489</v>
      </c>
      <c r="B2453" s="1">
        <v>45387</v>
      </c>
      <c r="C2453" t="s">
        <v>16</v>
      </c>
      <c r="D2453" t="s">
        <v>97</v>
      </c>
      <c r="E2453" t="s">
        <v>27</v>
      </c>
      <c r="F2453">
        <v>533.53</v>
      </c>
      <c r="G2453">
        <v>145.62</v>
      </c>
      <c r="H2453" t="s">
        <v>13</v>
      </c>
      <c r="I2453" t="s">
        <v>29</v>
      </c>
    </row>
    <row r="2454" spans="1:9" x14ac:dyDescent="0.35">
      <c r="A2454" t="s">
        <v>2490</v>
      </c>
      <c r="B2454" s="1">
        <v>45139</v>
      </c>
      <c r="C2454" t="s">
        <v>16</v>
      </c>
      <c r="D2454" t="s">
        <v>23</v>
      </c>
      <c r="E2454" t="s">
        <v>18</v>
      </c>
      <c r="F2454">
        <v>1580.52</v>
      </c>
      <c r="G2454">
        <v>206.86</v>
      </c>
      <c r="H2454" t="s">
        <v>19</v>
      </c>
      <c r="I2454" t="s">
        <v>34</v>
      </c>
    </row>
    <row r="2455" spans="1:9" x14ac:dyDescent="0.35">
      <c r="A2455" t="s">
        <v>2491</v>
      </c>
      <c r="B2455" s="1">
        <v>45263</v>
      </c>
      <c r="C2455" t="s">
        <v>22</v>
      </c>
      <c r="D2455" t="s">
        <v>95</v>
      </c>
      <c r="E2455" t="s">
        <v>18</v>
      </c>
      <c r="F2455">
        <v>857.78</v>
      </c>
      <c r="G2455">
        <v>208.87</v>
      </c>
      <c r="H2455" t="s">
        <v>28</v>
      </c>
      <c r="I2455" t="s">
        <v>29</v>
      </c>
    </row>
    <row r="2456" spans="1:9" x14ac:dyDescent="0.35">
      <c r="A2456" t="s">
        <v>2492</v>
      </c>
      <c r="B2456" s="1">
        <v>45070</v>
      </c>
      <c r="C2456" t="s">
        <v>22</v>
      </c>
      <c r="D2456" t="s">
        <v>33</v>
      </c>
      <c r="E2456" t="s">
        <v>18</v>
      </c>
      <c r="F2456">
        <v>1501.97</v>
      </c>
      <c r="G2456">
        <v>290.47000000000003</v>
      </c>
      <c r="H2456" t="s">
        <v>13</v>
      </c>
      <c r="I2456" t="s">
        <v>14</v>
      </c>
    </row>
    <row r="2457" spans="1:9" x14ac:dyDescent="0.35">
      <c r="A2457" t="s">
        <v>2493</v>
      </c>
      <c r="B2457" s="1">
        <v>45119</v>
      </c>
      <c r="C2457" t="s">
        <v>22</v>
      </c>
      <c r="D2457" t="s">
        <v>38</v>
      </c>
      <c r="E2457" t="s">
        <v>12</v>
      </c>
      <c r="F2457">
        <v>1870.67</v>
      </c>
      <c r="G2457">
        <v>291</v>
      </c>
      <c r="H2457" t="s">
        <v>28</v>
      </c>
      <c r="I2457" t="s">
        <v>20</v>
      </c>
    </row>
    <row r="2458" spans="1:9" x14ac:dyDescent="0.35">
      <c r="A2458" t="s">
        <v>2494</v>
      </c>
      <c r="B2458" s="1">
        <v>44883</v>
      </c>
      <c r="C2458" t="s">
        <v>25</v>
      </c>
      <c r="D2458" t="s">
        <v>11</v>
      </c>
      <c r="E2458" t="s">
        <v>12</v>
      </c>
      <c r="F2458">
        <v>1566.79</v>
      </c>
      <c r="G2458">
        <v>432.8</v>
      </c>
      <c r="H2458" t="s">
        <v>13</v>
      </c>
      <c r="I2458" t="s">
        <v>20</v>
      </c>
    </row>
    <row r="2459" spans="1:9" x14ac:dyDescent="0.35">
      <c r="A2459" t="s">
        <v>2495</v>
      </c>
      <c r="B2459" s="1">
        <v>44603</v>
      </c>
      <c r="C2459" t="s">
        <v>22</v>
      </c>
      <c r="D2459" t="s">
        <v>38</v>
      </c>
      <c r="E2459" t="s">
        <v>12</v>
      </c>
      <c r="F2459">
        <v>1249.06</v>
      </c>
      <c r="G2459">
        <v>143.94999999999999</v>
      </c>
      <c r="H2459" t="s">
        <v>19</v>
      </c>
      <c r="I2459" t="s">
        <v>14</v>
      </c>
    </row>
    <row r="2460" spans="1:9" x14ac:dyDescent="0.35">
      <c r="A2460" t="s">
        <v>2496</v>
      </c>
      <c r="B2460" s="1">
        <v>45573</v>
      </c>
      <c r="C2460" t="s">
        <v>10</v>
      </c>
      <c r="D2460" t="s">
        <v>95</v>
      </c>
      <c r="E2460" t="s">
        <v>18</v>
      </c>
      <c r="F2460">
        <v>748.68</v>
      </c>
      <c r="G2460">
        <v>97.5</v>
      </c>
      <c r="H2460" t="s">
        <v>19</v>
      </c>
      <c r="I2460" t="s">
        <v>14</v>
      </c>
    </row>
    <row r="2461" spans="1:9" x14ac:dyDescent="0.35">
      <c r="A2461" t="s">
        <v>2497</v>
      </c>
      <c r="B2461" s="1">
        <v>45148</v>
      </c>
      <c r="C2461" t="s">
        <v>25</v>
      </c>
      <c r="D2461" t="s">
        <v>33</v>
      </c>
      <c r="E2461" t="s">
        <v>18</v>
      </c>
      <c r="F2461">
        <v>378.1</v>
      </c>
      <c r="G2461">
        <v>106.01</v>
      </c>
      <c r="H2461" t="s">
        <v>13</v>
      </c>
      <c r="I2461" t="s">
        <v>20</v>
      </c>
    </row>
    <row r="2462" spans="1:9" x14ac:dyDescent="0.35">
      <c r="A2462" t="s">
        <v>2498</v>
      </c>
      <c r="B2462" s="1">
        <v>44705</v>
      </c>
      <c r="C2462" t="s">
        <v>25</v>
      </c>
      <c r="D2462" t="s">
        <v>97</v>
      </c>
      <c r="E2462" t="s">
        <v>27</v>
      </c>
      <c r="F2462">
        <v>685.09</v>
      </c>
      <c r="G2462">
        <v>177.14</v>
      </c>
      <c r="H2462" t="s">
        <v>28</v>
      </c>
      <c r="I2462" t="s">
        <v>29</v>
      </c>
    </row>
    <row r="2463" spans="1:9" x14ac:dyDescent="0.35">
      <c r="A2463" t="s">
        <v>2499</v>
      </c>
      <c r="B2463" s="1">
        <v>44778</v>
      </c>
      <c r="C2463" t="s">
        <v>10</v>
      </c>
      <c r="D2463" t="s">
        <v>23</v>
      </c>
      <c r="E2463" t="s">
        <v>18</v>
      </c>
      <c r="F2463">
        <v>368.72</v>
      </c>
      <c r="G2463">
        <v>60.2</v>
      </c>
      <c r="H2463" t="s">
        <v>28</v>
      </c>
      <c r="I2463" t="s">
        <v>20</v>
      </c>
    </row>
    <row r="2464" spans="1:9" x14ac:dyDescent="0.35">
      <c r="A2464" t="s">
        <v>2500</v>
      </c>
      <c r="B2464" s="1">
        <v>45400</v>
      </c>
      <c r="C2464" t="s">
        <v>22</v>
      </c>
      <c r="D2464" t="s">
        <v>57</v>
      </c>
      <c r="E2464" t="s">
        <v>27</v>
      </c>
      <c r="F2464">
        <v>1133.33</v>
      </c>
      <c r="G2464">
        <v>171.49</v>
      </c>
      <c r="H2464" t="s">
        <v>19</v>
      </c>
      <c r="I2464" t="s">
        <v>14</v>
      </c>
    </row>
    <row r="2465" spans="1:9" x14ac:dyDescent="0.35">
      <c r="A2465" t="s">
        <v>2501</v>
      </c>
      <c r="B2465" s="1">
        <v>45318</v>
      </c>
      <c r="C2465" t="s">
        <v>25</v>
      </c>
      <c r="D2465" t="s">
        <v>31</v>
      </c>
      <c r="E2465" t="s">
        <v>12</v>
      </c>
      <c r="F2465">
        <v>1467.36</v>
      </c>
      <c r="G2465">
        <v>286.70999999999998</v>
      </c>
      <c r="H2465" t="s">
        <v>28</v>
      </c>
      <c r="I2465" t="s">
        <v>34</v>
      </c>
    </row>
    <row r="2466" spans="1:9" x14ac:dyDescent="0.35">
      <c r="A2466" t="s">
        <v>2502</v>
      </c>
      <c r="B2466" s="1">
        <v>45031</v>
      </c>
      <c r="C2466" t="s">
        <v>22</v>
      </c>
      <c r="D2466" t="s">
        <v>17</v>
      </c>
      <c r="E2466" t="s">
        <v>18</v>
      </c>
      <c r="F2466">
        <v>976.54</v>
      </c>
      <c r="G2466">
        <v>195.41</v>
      </c>
      <c r="H2466" t="s">
        <v>19</v>
      </c>
      <c r="I2466" t="s">
        <v>20</v>
      </c>
    </row>
    <row r="2467" spans="1:9" x14ac:dyDescent="0.35">
      <c r="A2467" t="s">
        <v>2503</v>
      </c>
      <c r="B2467" s="1">
        <v>44843</v>
      </c>
      <c r="C2467" t="s">
        <v>10</v>
      </c>
      <c r="D2467" t="s">
        <v>62</v>
      </c>
      <c r="E2467" t="s">
        <v>27</v>
      </c>
      <c r="F2467">
        <v>476.86</v>
      </c>
      <c r="G2467">
        <v>102.3</v>
      </c>
      <c r="H2467" t="s">
        <v>13</v>
      </c>
      <c r="I2467" t="s">
        <v>20</v>
      </c>
    </row>
    <row r="2468" spans="1:9" x14ac:dyDescent="0.35">
      <c r="A2468" t="s">
        <v>2504</v>
      </c>
      <c r="B2468" s="1">
        <v>45641</v>
      </c>
      <c r="C2468" t="s">
        <v>10</v>
      </c>
      <c r="D2468" t="s">
        <v>41</v>
      </c>
      <c r="E2468" t="s">
        <v>12</v>
      </c>
      <c r="F2468">
        <v>879.9</v>
      </c>
      <c r="G2468">
        <v>192.46</v>
      </c>
      <c r="H2468" t="s">
        <v>13</v>
      </c>
      <c r="I2468" t="s">
        <v>20</v>
      </c>
    </row>
    <row r="2469" spans="1:9" x14ac:dyDescent="0.35">
      <c r="A2469" t="s">
        <v>2505</v>
      </c>
      <c r="B2469" s="1">
        <v>44713</v>
      </c>
      <c r="C2469" t="s">
        <v>16</v>
      </c>
      <c r="D2469" t="s">
        <v>41</v>
      </c>
      <c r="E2469" t="s">
        <v>12</v>
      </c>
      <c r="F2469">
        <v>588.13</v>
      </c>
      <c r="G2469">
        <v>134.69999999999999</v>
      </c>
      <c r="H2469" t="s">
        <v>19</v>
      </c>
      <c r="I2469" t="s">
        <v>20</v>
      </c>
    </row>
    <row r="2470" spans="1:9" x14ac:dyDescent="0.35">
      <c r="A2470" t="s">
        <v>2506</v>
      </c>
      <c r="B2470" s="1">
        <v>44844</v>
      </c>
      <c r="C2470" t="s">
        <v>25</v>
      </c>
      <c r="D2470" t="s">
        <v>17</v>
      </c>
      <c r="E2470" t="s">
        <v>18</v>
      </c>
      <c r="F2470">
        <v>249.33</v>
      </c>
      <c r="G2470">
        <v>38.950000000000003</v>
      </c>
      <c r="H2470" t="s">
        <v>19</v>
      </c>
      <c r="I2470" t="s">
        <v>14</v>
      </c>
    </row>
    <row r="2471" spans="1:9" x14ac:dyDescent="0.35">
      <c r="A2471" t="s">
        <v>2507</v>
      </c>
      <c r="B2471" s="1">
        <v>45313</v>
      </c>
      <c r="C2471" t="s">
        <v>25</v>
      </c>
      <c r="D2471" t="s">
        <v>57</v>
      </c>
      <c r="E2471" t="s">
        <v>27</v>
      </c>
      <c r="F2471">
        <v>194.44</v>
      </c>
      <c r="G2471">
        <v>28.88</v>
      </c>
      <c r="H2471" t="s">
        <v>13</v>
      </c>
      <c r="I2471" t="s">
        <v>29</v>
      </c>
    </row>
    <row r="2472" spans="1:9" x14ac:dyDescent="0.35">
      <c r="A2472" t="s">
        <v>2508</v>
      </c>
      <c r="B2472" s="1">
        <v>44996</v>
      </c>
      <c r="C2472" t="s">
        <v>25</v>
      </c>
      <c r="D2472" t="s">
        <v>17</v>
      </c>
      <c r="E2472" t="s">
        <v>18</v>
      </c>
      <c r="F2472">
        <v>780.36</v>
      </c>
      <c r="G2472">
        <v>119.16</v>
      </c>
      <c r="H2472" t="s">
        <v>13</v>
      </c>
      <c r="I2472" t="s">
        <v>34</v>
      </c>
    </row>
    <row r="2473" spans="1:9" x14ac:dyDescent="0.35">
      <c r="A2473" t="s">
        <v>2509</v>
      </c>
      <c r="B2473" s="1">
        <v>45177</v>
      </c>
      <c r="C2473" t="s">
        <v>25</v>
      </c>
      <c r="D2473" t="s">
        <v>62</v>
      </c>
      <c r="E2473" t="s">
        <v>27</v>
      </c>
      <c r="F2473">
        <v>233.84</v>
      </c>
      <c r="G2473">
        <v>51.93</v>
      </c>
      <c r="H2473" t="s">
        <v>13</v>
      </c>
      <c r="I2473" t="s">
        <v>29</v>
      </c>
    </row>
    <row r="2474" spans="1:9" x14ac:dyDescent="0.35">
      <c r="A2474" t="s">
        <v>2510</v>
      </c>
      <c r="B2474" s="1">
        <v>44568</v>
      </c>
      <c r="C2474" t="s">
        <v>16</v>
      </c>
      <c r="D2474" t="s">
        <v>23</v>
      </c>
      <c r="E2474" t="s">
        <v>18</v>
      </c>
      <c r="F2474">
        <v>1869.9</v>
      </c>
      <c r="G2474">
        <v>187.17</v>
      </c>
      <c r="H2474" t="s">
        <v>13</v>
      </c>
      <c r="I2474" t="s">
        <v>34</v>
      </c>
    </row>
    <row r="2475" spans="1:9" x14ac:dyDescent="0.35">
      <c r="A2475" t="s">
        <v>2511</v>
      </c>
      <c r="B2475" s="1">
        <v>45264</v>
      </c>
      <c r="C2475" t="s">
        <v>16</v>
      </c>
      <c r="D2475" t="s">
        <v>46</v>
      </c>
      <c r="E2475" t="s">
        <v>18</v>
      </c>
      <c r="F2475">
        <v>902.39</v>
      </c>
      <c r="G2475">
        <v>140.91999999999999</v>
      </c>
      <c r="H2475" t="s">
        <v>28</v>
      </c>
      <c r="I2475" t="s">
        <v>34</v>
      </c>
    </row>
    <row r="2476" spans="1:9" x14ac:dyDescent="0.35">
      <c r="A2476" t="s">
        <v>2512</v>
      </c>
      <c r="B2476" s="1">
        <v>45080</v>
      </c>
      <c r="C2476" t="s">
        <v>22</v>
      </c>
      <c r="D2476" t="s">
        <v>97</v>
      </c>
      <c r="E2476" t="s">
        <v>27</v>
      </c>
      <c r="F2476">
        <v>1154.18</v>
      </c>
      <c r="G2476">
        <v>249.51</v>
      </c>
      <c r="H2476" t="s">
        <v>28</v>
      </c>
      <c r="I2476" t="s">
        <v>14</v>
      </c>
    </row>
    <row r="2477" spans="1:9" x14ac:dyDescent="0.35">
      <c r="A2477" t="s">
        <v>2513</v>
      </c>
      <c r="B2477" s="1">
        <v>44952</v>
      </c>
      <c r="C2477" t="s">
        <v>10</v>
      </c>
      <c r="D2477" t="s">
        <v>95</v>
      </c>
      <c r="E2477" t="s">
        <v>18</v>
      </c>
      <c r="F2477">
        <v>1157.4000000000001</v>
      </c>
      <c r="G2477">
        <v>291.02</v>
      </c>
      <c r="H2477" t="s">
        <v>28</v>
      </c>
      <c r="I2477" t="s">
        <v>29</v>
      </c>
    </row>
    <row r="2478" spans="1:9" x14ac:dyDescent="0.35">
      <c r="A2478" t="s">
        <v>2514</v>
      </c>
      <c r="B2478" s="1">
        <v>45408</v>
      </c>
      <c r="C2478" t="s">
        <v>10</v>
      </c>
      <c r="D2478" t="s">
        <v>23</v>
      </c>
      <c r="E2478" t="s">
        <v>18</v>
      </c>
      <c r="F2478">
        <v>874.73</v>
      </c>
      <c r="G2478">
        <v>258.8</v>
      </c>
      <c r="H2478" t="s">
        <v>19</v>
      </c>
      <c r="I2478" t="s">
        <v>34</v>
      </c>
    </row>
    <row r="2479" spans="1:9" x14ac:dyDescent="0.35">
      <c r="A2479" t="s">
        <v>2515</v>
      </c>
      <c r="B2479" s="1">
        <v>45326</v>
      </c>
      <c r="C2479" t="s">
        <v>25</v>
      </c>
      <c r="D2479" t="s">
        <v>38</v>
      </c>
      <c r="E2479" t="s">
        <v>12</v>
      </c>
      <c r="F2479">
        <v>1047.06</v>
      </c>
      <c r="G2479">
        <v>76.14</v>
      </c>
      <c r="H2479" t="s">
        <v>13</v>
      </c>
      <c r="I2479" t="s">
        <v>34</v>
      </c>
    </row>
    <row r="2480" spans="1:9" x14ac:dyDescent="0.35">
      <c r="A2480" t="s">
        <v>2516</v>
      </c>
      <c r="B2480" s="1">
        <v>45136</v>
      </c>
      <c r="C2480" t="s">
        <v>25</v>
      </c>
      <c r="D2480" t="s">
        <v>31</v>
      </c>
      <c r="E2480" t="s">
        <v>12</v>
      </c>
      <c r="F2480">
        <v>678.03</v>
      </c>
      <c r="G2480">
        <v>54.61</v>
      </c>
      <c r="H2480" t="s">
        <v>13</v>
      </c>
      <c r="I2480" t="s">
        <v>20</v>
      </c>
    </row>
    <row r="2481" spans="1:9" x14ac:dyDescent="0.35">
      <c r="A2481" t="s">
        <v>2517</v>
      </c>
      <c r="B2481" s="1">
        <v>45463</v>
      </c>
      <c r="C2481" t="s">
        <v>22</v>
      </c>
      <c r="D2481" t="s">
        <v>97</v>
      </c>
      <c r="E2481" t="s">
        <v>27</v>
      </c>
      <c r="F2481">
        <v>217.55</v>
      </c>
      <c r="G2481">
        <v>20.21</v>
      </c>
      <c r="H2481" t="s">
        <v>19</v>
      </c>
      <c r="I2481" t="s">
        <v>14</v>
      </c>
    </row>
    <row r="2482" spans="1:9" x14ac:dyDescent="0.35">
      <c r="A2482" t="s">
        <v>2518</v>
      </c>
      <c r="B2482" s="1">
        <v>45294</v>
      </c>
      <c r="C2482" t="s">
        <v>16</v>
      </c>
      <c r="D2482" t="s">
        <v>11</v>
      </c>
      <c r="E2482" t="s">
        <v>12</v>
      </c>
      <c r="F2482">
        <v>702.48</v>
      </c>
      <c r="G2482">
        <v>79.260000000000005</v>
      </c>
      <c r="H2482" t="s">
        <v>19</v>
      </c>
      <c r="I2482" t="s">
        <v>20</v>
      </c>
    </row>
    <row r="2483" spans="1:9" x14ac:dyDescent="0.35">
      <c r="A2483" t="s">
        <v>2519</v>
      </c>
      <c r="B2483" s="1">
        <v>45003</v>
      </c>
      <c r="C2483" t="s">
        <v>16</v>
      </c>
      <c r="D2483" t="s">
        <v>50</v>
      </c>
      <c r="E2483" t="s">
        <v>12</v>
      </c>
      <c r="F2483">
        <v>1036.53</v>
      </c>
      <c r="G2483">
        <v>198.56</v>
      </c>
      <c r="H2483" t="s">
        <v>28</v>
      </c>
      <c r="I2483" t="s">
        <v>34</v>
      </c>
    </row>
    <row r="2484" spans="1:9" x14ac:dyDescent="0.35">
      <c r="A2484" t="s">
        <v>2520</v>
      </c>
      <c r="B2484" s="1">
        <v>45645</v>
      </c>
      <c r="C2484" t="s">
        <v>22</v>
      </c>
      <c r="D2484" t="s">
        <v>62</v>
      </c>
      <c r="E2484" t="s">
        <v>27</v>
      </c>
      <c r="F2484">
        <v>1363.68</v>
      </c>
      <c r="G2484">
        <v>283.25</v>
      </c>
      <c r="H2484" t="s">
        <v>13</v>
      </c>
      <c r="I2484" t="s">
        <v>34</v>
      </c>
    </row>
    <row r="2485" spans="1:9" x14ac:dyDescent="0.35">
      <c r="A2485" t="s">
        <v>2521</v>
      </c>
      <c r="B2485" s="1">
        <v>45587</v>
      </c>
      <c r="C2485" t="s">
        <v>22</v>
      </c>
      <c r="D2485" t="s">
        <v>23</v>
      </c>
      <c r="E2485" t="s">
        <v>18</v>
      </c>
      <c r="F2485">
        <v>1538.64</v>
      </c>
      <c r="G2485">
        <v>183.23</v>
      </c>
      <c r="H2485" t="s">
        <v>28</v>
      </c>
      <c r="I2485" t="s">
        <v>34</v>
      </c>
    </row>
    <row r="2486" spans="1:9" x14ac:dyDescent="0.35">
      <c r="A2486" t="s">
        <v>2522</v>
      </c>
      <c r="B2486" s="1">
        <v>44760</v>
      </c>
      <c r="C2486" t="s">
        <v>25</v>
      </c>
      <c r="D2486" t="s">
        <v>62</v>
      </c>
      <c r="E2486" t="s">
        <v>27</v>
      </c>
      <c r="F2486">
        <v>357.26</v>
      </c>
      <c r="G2486">
        <v>36.700000000000003</v>
      </c>
      <c r="H2486" t="s">
        <v>13</v>
      </c>
      <c r="I2486" t="s">
        <v>14</v>
      </c>
    </row>
    <row r="2487" spans="1:9" x14ac:dyDescent="0.35">
      <c r="A2487" t="s">
        <v>2523</v>
      </c>
      <c r="B2487" s="1">
        <v>45380</v>
      </c>
      <c r="C2487" t="s">
        <v>10</v>
      </c>
      <c r="D2487" t="s">
        <v>26</v>
      </c>
      <c r="E2487" t="s">
        <v>27</v>
      </c>
      <c r="F2487">
        <v>316.83</v>
      </c>
      <c r="G2487">
        <v>88.27</v>
      </c>
      <c r="H2487" t="s">
        <v>13</v>
      </c>
      <c r="I2487" t="s">
        <v>34</v>
      </c>
    </row>
    <row r="2488" spans="1:9" x14ac:dyDescent="0.35">
      <c r="A2488" t="s">
        <v>2524</v>
      </c>
      <c r="B2488" s="1">
        <v>45139</v>
      </c>
      <c r="C2488" t="s">
        <v>10</v>
      </c>
      <c r="D2488" t="s">
        <v>23</v>
      </c>
      <c r="E2488" t="s">
        <v>18</v>
      </c>
      <c r="F2488">
        <v>478.79</v>
      </c>
      <c r="G2488">
        <v>87.04</v>
      </c>
      <c r="H2488" t="s">
        <v>13</v>
      </c>
      <c r="I2488" t="s">
        <v>34</v>
      </c>
    </row>
    <row r="2489" spans="1:9" x14ac:dyDescent="0.35">
      <c r="A2489" t="s">
        <v>2525</v>
      </c>
      <c r="B2489" s="1">
        <v>44731</v>
      </c>
      <c r="C2489" t="s">
        <v>16</v>
      </c>
      <c r="D2489" t="s">
        <v>33</v>
      </c>
      <c r="E2489" t="s">
        <v>18</v>
      </c>
      <c r="F2489">
        <v>1503.16</v>
      </c>
      <c r="G2489">
        <v>315.68</v>
      </c>
      <c r="H2489" t="s">
        <v>19</v>
      </c>
      <c r="I2489" t="s">
        <v>20</v>
      </c>
    </row>
    <row r="2490" spans="1:9" x14ac:dyDescent="0.35">
      <c r="A2490" t="s">
        <v>2526</v>
      </c>
      <c r="B2490" s="1">
        <v>44661</v>
      </c>
      <c r="C2490" t="s">
        <v>22</v>
      </c>
      <c r="D2490" t="s">
        <v>23</v>
      </c>
      <c r="E2490" t="s">
        <v>18</v>
      </c>
      <c r="F2490">
        <v>304.08</v>
      </c>
      <c r="G2490">
        <v>42.43</v>
      </c>
      <c r="H2490" t="s">
        <v>28</v>
      </c>
      <c r="I2490" t="s">
        <v>14</v>
      </c>
    </row>
    <row r="2491" spans="1:9" x14ac:dyDescent="0.35">
      <c r="A2491" t="s">
        <v>2527</v>
      </c>
      <c r="B2491" s="1">
        <v>45640</v>
      </c>
      <c r="C2491" t="s">
        <v>16</v>
      </c>
      <c r="D2491" t="s">
        <v>38</v>
      </c>
      <c r="E2491" t="s">
        <v>12</v>
      </c>
      <c r="F2491">
        <v>633.85</v>
      </c>
      <c r="G2491">
        <v>43.22</v>
      </c>
      <c r="H2491" t="s">
        <v>28</v>
      </c>
      <c r="I2491" t="s">
        <v>20</v>
      </c>
    </row>
    <row r="2492" spans="1:9" x14ac:dyDescent="0.35">
      <c r="A2492" t="s">
        <v>2528</v>
      </c>
      <c r="B2492" s="1">
        <v>45149</v>
      </c>
      <c r="C2492" t="s">
        <v>16</v>
      </c>
      <c r="D2492" t="s">
        <v>33</v>
      </c>
      <c r="E2492" t="s">
        <v>18</v>
      </c>
      <c r="F2492">
        <v>981.06</v>
      </c>
      <c r="G2492">
        <v>252.23</v>
      </c>
      <c r="H2492" t="s">
        <v>13</v>
      </c>
      <c r="I2492" t="s">
        <v>34</v>
      </c>
    </row>
    <row r="2493" spans="1:9" x14ac:dyDescent="0.35">
      <c r="A2493" t="s">
        <v>2529</v>
      </c>
      <c r="B2493" s="1">
        <v>44586</v>
      </c>
      <c r="C2493" t="s">
        <v>25</v>
      </c>
      <c r="D2493" t="s">
        <v>62</v>
      </c>
      <c r="E2493" t="s">
        <v>27</v>
      </c>
      <c r="F2493">
        <v>1828.38</v>
      </c>
      <c r="G2493">
        <v>223.52</v>
      </c>
      <c r="H2493" t="s">
        <v>19</v>
      </c>
      <c r="I2493" t="s">
        <v>29</v>
      </c>
    </row>
    <row r="2494" spans="1:9" x14ac:dyDescent="0.35">
      <c r="A2494" t="s">
        <v>2530</v>
      </c>
      <c r="B2494" s="1">
        <v>45195</v>
      </c>
      <c r="C2494" t="s">
        <v>22</v>
      </c>
      <c r="D2494" t="s">
        <v>62</v>
      </c>
      <c r="E2494" t="s">
        <v>27</v>
      </c>
      <c r="F2494">
        <v>1171.6400000000001</v>
      </c>
      <c r="G2494">
        <v>297.08999999999997</v>
      </c>
      <c r="H2494" t="s">
        <v>28</v>
      </c>
      <c r="I2494" t="s">
        <v>29</v>
      </c>
    </row>
    <row r="2495" spans="1:9" x14ac:dyDescent="0.35">
      <c r="A2495" t="s">
        <v>2531</v>
      </c>
      <c r="B2495" s="1">
        <v>45260</v>
      </c>
      <c r="C2495" t="s">
        <v>25</v>
      </c>
      <c r="D2495" t="s">
        <v>97</v>
      </c>
      <c r="E2495" t="s">
        <v>27</v>
      </c>
      <c r="F2495">
        <v>589.98</v>
      </c>
      <c r="G2495">
        <v>159.72</v>
      </c>
      <c r="H2495" t="s">
        <v>13</v>
      </c>
      <c r="I2495" t="s">
        <v>20</v>
      </c>
    </row>
    <row r="2496" spans="1:9" x14ac:dyDescent="0.35">
      <c r="A2496" t="s">
        <v>2532</v>
      </c>
      <c r="B2496" s="1">
        <v>44608</v>
      </c>
      <c r="C2496" t="s">
        <v>25</v>
      </c>
      <c r="D2496" t="s">
        <v>62</v>
      </c>
      <c r="E2496" t="s">
        <v>27</v>
      </c>
      <c r="F2496">
        <v>1719.96</v>
      </c>
      <c r="G2496">
        <v>135.30000000000001</v>
      </c>
      <c r="H2496" t="s">
        <v>19</v>
      </c>
      <c r="I2496" t="s">
        <v>34</v>
      </c>
    </row>
    <row r="2497" spans="1:9" x14ac:dyDescent="0.35">
      <c r="A2497" t="s">
        <v>2533</v>
      </c>
      <c r="B2497" s="1">
        <v>45603</v>
      </c>
      <c r="C2497" t="s">
        <v>25</v>
      </c>
      <c r="D2497" t="s">
        <v>38</v>
      </c>
      <c r="E2497" t="s">
        <v>12</v>
      </c>
      <c r="F2497">
        <v>1273.3599999999999</v>
      </c>
      <c r="G2497">
        <v>151.38999999999999</v>
      </c>
      <c r="H2497" t="s">
        <v>28</v>
      </c>
      <c r="I2497" t="s">
        <v>20</v>
      </c>
    </row>
    <row r="2498" spans="1:9" x14ac:dyDescent="0.35">
      <c r="A2498" t="s">
        <v>2534</v>
      </c>
      <c r="B2498" s="1">
        <v>44811</v>
      </c>
      <c r="C2498" t="s">
        <v>22</v>
      </c>
      <c r="D2498" t="s">
        <v>73</v>
      </c>
      <c r="E2498" t="s">
        <v>27</v>
      </c>
      <c r="F2498">
        <v>1453.92</v>
      </c>
      <c r="G2498">
        <v>179.36</v>
      </c>
      <c r="H2498" t="s">
        <v>28</v>
      </c>
      <c r="I2498" t="s">
        <v>14</v>
      </c>
    </row>
    <row r="2499" spans="1:9" x14ac:dyDescent="0.35">
      <c r="A2499" t="s">
        <v>2535</v>
      </c>
      <c r="B2499" s="1">
        <v>45148</v>
      </c>
      <c r="C2499" t="s">
        <v>16</v>
      </c>
      <c r="D2499" t="s">
        <v>38</v>
      </c>
      <c r="E2499" t="s">
        <v>12</v>
      </c>
      <c r="F2499">
        <v>286.45999999999998</v>
      </c>
      <c r="G2499">
        <v>44.72</v>
      </c>
      <c r="H2499" t="s">
        <v>13</v>
      </c>
      <c r="I2499" t="s">
        <v>34</v>
      </c>
    </row>
    <row r="2500" spans="1:9" x14ac:dyDescent="0.35">
      <c r="A2500" t="s">
        <v>2536</v>
      </c>
      <c r="B2500" s="1">
        <v>45586</v>
      </c>
      <c r="C2500" t="s">
        <v>16</v>
      </c>
      <c r="D2500" t="s">
        <v>41</v>
      </c>
      <c r="E2500" t="s">
        <v>12</v>
      </c>
      <c r="F2500">
        <v>699.9</v>
      </c>
      <c r="G2500">
        <v>86.99</v>
      </c>
      <c r="H2500" t="s">
        <v>19</v>
      </c>
      <c r="I2500" t="s">
        <v>29</v>
      </c>
    </row>
    <row r="2501" spans="1:9" x14ac:dyDescent="0.35">
      <c r="A2501" t="s">
        <v>2537</v>
      </c>
      <c r="B2501" s="1">
        <v>44665</v>
      </c>
      <c r="C2501" t="s">
        <v>16</v>
      </c>
      <c r="D2501" t="s">
        <v>31</v>
      </c>
      <c r="E2501" t="s">
        <v>12</v>
      </c>
      <c r="F2501">
        <v>1861.24</v>
      </c>
      <c r="G2501">
        <v>455.05</v>
      </c>
      <c r="H2501" t="s">
        <v>13</v>
      </c>
      <c r="I2501" t="s">
        <v>34</v>
      </c>
    </row>
    <row r="2502" spans="1:9" x14ac:dyDescent="0.35">
      <c r="A2502" t="s">
        <v>2538</v>
      </c>
      <c r="B2502" s="1">
        <v>44644</v>
      </c>
      <c r="C2502" t="s">
        <v>22</v>
      </c>
      <c r="D2502" t="s">
        <v>33</v>
      </c>
      <c r="E2502" t="s">
        <v>18</v>
      </c>
      <c r="F2502">
        <v>422.82</v>
      </c>
      <c r="G2502">
        <v>94.36</v>
      </c>
      <c r="H2502" t="s">
        <v>28</v>
      </c>
      <c r="I2502" t="s">
        <v>14</v>
      </c>
    </row>
    <row r="2503" spans="1:9" x14ac:dyDescent="0.35">
      <c r="A2503" t="s">
        <v>2539</v>
      </c>
      <c r="B2503" s="1">
        <v>44619</v>
      </c>
      <c r="C2503" t="s">
        <v>16</v>
      </c>
      <c r="D2503" t="s">
        <v>26</v>
      </c>
      <c r="E2503" t="s">
        <v>27</v>
      </c>
      <c r="F2503">
        <v>815.87</v>
      </c>
      <c r="G2503">
        <v>124.37</v>
      </c>
      <c r="H2503" t="s">
        <v>13</v>
      </c>
      <c r="I2503" t="s">
        <v>14</v>
      </c>
    </row>
    <row r="2504" spans="1:9" x14ac:dyDescent="0.35">
      <c r="A2504" t="s">
        <v>2540</v>
      </c>
      <c r="B2504" s="1">
        <v>44693</v>
      </c>
      <c r="C2504" t="s">
        <v>22</v>
      </c>
      <c r="D2504" t="s">
        <v>50</v>
      </c>
      <c r="E2504" t="s">
        <v>12</v>
      </c>
      <c r="F2504">
        <v>1260.54</v>
      </c>
      <c r="G2504">
        <v>84.89</v>
      </c>
      <c r="H2504" t="s">
        <v>19</v>
      </c>
      <c r="I2504" t="s">
        <v>29</v>
      </c>
    </row>
    <row r="2505" spans="1:9" x14ac:dyDescent="0.35">
      <c r="A2505" t="s">
        <v>2541</v>
      </c>
      <c r="B2505" s="1">
        <v>45050</v>
      </c>
      <c r="C2505" t="s">
        <v>25</v>
      </c>
      <c r="D2505" t="s">
        <v>97</v>
      </c>
      <c r="E2505" t="s">
        <v>27</v>
      </c>
      <c r="F2505">
        <v>979.16</v>
      </c>
      <c r="G2505">
        <v>98.8</v>
      </c>
      <c r="H2505" t="s">
        <v>13</v>
      </c>
      <c r="I2505" t="s">
        <v>20</v>
      </c>
    </row>
    <row r="2506" spans="1:9" x14ac:dyDescent="0.35">
      <c r="A2506" t="s">
        <v>2542</v>
      </c>
      <c r="B2506" s="1">
        <v>44839</v>
      </c>
      <c r="C2506" t="s">
        <v>22</v>
      </c>
      <c r="D2506" t="s">
        <v>97</v>
      </c>
      <c r="E2506" t="s">
        <v>27</v>
      </c>
      <c r="F2506">
        <v>498.07</v>
      </c>
      <c r="G2506">
        <v>70.59</v>
      </c>
      <c r="H2506" t="s">
        <v>19</v>
      </c>
      <c r="I2506" t="s">
        <v>20</v>
      </c>
    </row>
    <row r="2507" spans="1:9" x14ac:dyDescent="0.35">
      <c r="A2507" t="s">
        <v>2543</v>
      </c>
      <c r="B2507" s="1">
        <v>45171</v>
      </c>
      <c r="C2507" t="s">
        <v>25</v>
      </c>
      <c r="D2507" t="s">
        <v>46</v>
      </c>
      <c r="E2507" t="s">
        <v>18</v>
      </c>
      <c r="F2507">
        <v>1606.48</v>
      </c>
      <c r="G2507">
        <v>241</v>
      </c>
      <c r="H2507" t="s">
        <v>28</v>
      </c>
      <c r="I2507" t="s">
        <v>34</v>
      </c>
    </row>
    <row r="2508" spans="1:9" x14ac:dyDescent="0.35">
      <c r="A2508" t="s">
        <v>2544</v>
      </c>
      <c r="B2508" s="1">
        <v>44581</v>
      </c>
      <c r="C2508" t="s">
        <v>10</v>
      </c>
      <c r="D2508" t="s">
        <v>95</v>
      </c>
      <c r="E2508" t="s">
        <v>18</v>
      </c>
      <c r="F2508">
        <v>1838.16</v>
      </c>
      <c r="G2508">
        <v>540.96</v>
      </c>
      <c r="H2508" t="s">
        <v>28</v>
      </c>
      <c r="I2508" t="s">
        <v>20</v>
      </c>
    </row>
    <row r="2509" spans="1:9" x14ac:dyDescent="0.35">
      <c r="A2509" t="s">
        <v>2545</v>
      </c>
      <c r="B2509" s="1">
        <v>45032</v>
      </c>
      <c r="C2509" t="s">
        <v>16</v>
      </c>
      <c r="D2509" t="s">
        <v>41</v>
      </c>
      <c r="E2509" t="s">
        <v>12</v>
      </c>
      <c r="F2509">
        <v>1011.99</v>
      </c>
      <c r="G2509">
        <v>198.76</v>
      </c>
      <c r="H2509" t="s">
        <v>13</v>
      </c>
      <c r="I2509" t="s">
        <v>29</v>
      </c>
    </row>
    <row r="2510" spans="1:9" x14ac:dyDescent="0.35">
      <c r="A2510" t="s">
        <v>2546</v>
      </c>
      <c r="B2510" s="1">
        <v>44850</v>
      </c>
      <c r="C2510" t="s">
        <v>10</v>
      </c>
      <c r="D2510" t="s">
        <v>95</v>
      </c>
      <c r="E2510" t="s">
        <v>18</v>
      </c>
      <c r="F2510">
        <v>484.86</v>
      </c>
      <c r="G2510">
        <v>97.7</v>
      </c>
      <c r="H2510" t="s">
        <v>13</v>
      </c>
      <c r="I2510" t="s">
        <v>20</v>
      </c>
    </row>
    <row r="2511" spans="1:9" x14ac:dyDescent="0.35">
      <c r="A2511" t="s">
        <v>2547</v>
      </c>
      <c r="B2511" s="1">
        <v>44693</v>
      </c>
      <c r="C2511" t="s">
        <v>10</v>
      </c>
      <c r="D2511" t="s">
        <v>50</v>
      </c>
      <c r="E2511" t="s">
        <v>12</v>
      </c>
      <c r="F2511">
        <v>1708.82</v>
      </c>
      <c r="G2511">
        <v>329.52</v>
      </c>
      <c r="H2511" t="s">
        <v>19</v>
      </c>
      <c r="I2511" t="s">
        <v>29</v>
      </c>
    </row>
    <row r="2512" spans="1:9" x14ac:dyDescent="0.35">
      <c r="A2512" t="s">
        <v>2548</v>
      </c>
      <c r="B2512" s="1">
        <v>44580</v>
      </c>
      <c r="C2512" t="s">
        <v>10</v>
      </c>
      <c r="D2512" t="s">
        <v>31</v>
      </c>
      <c r="E2512" t="s">
        <v>12</v>
      </c>
      <c r="F2512">
        <v>627.16</v>
      </c>
      <c r="G2512">
        <v>108.56</v>
      </c>
      <c r="H2512" t="s">
        <v>28</v>
      </c>
      <c r="I2512" t="s">
        <v>29</v>
      </c>
    </row>
    <row r="2513" spans="1:9" x14ac:dyDescent="0.35">
      <c r="A2513" t="s">
        <v>2549</v>
      </c>
      <c r="B2513" s="1">
        <v>44918</v>
      </c>
      <c r="C2513" t="s">
        <v>22</v>
      </c>
      <c r="D2513" t="s">
        <v>26</v>
      </c>
      <c r="E2513" t="s">
        <v>27</v>
      </c>
      <c r="F2513">
        <v>1698.25</v>
      </c>
      <c r="G2513">
        <v>432.59</v>
      </c>
      <c r="H2513" t="s">
        <v>19</v>
      </c>
      <c r="I2513" t="s">
        <v>34</v>
      </c>
    </row>
    <row r="2514" spans="1:9" x14ac:dyDescent="0.35">
      <c r="A2514" t="s">
        <v>2550</v>
      </c>
      <c r="B2514" s="1">
        <v>44709</v>
      </c>
      <c r="C2514" t="s">
        <v>10</v>
      </c>
      <c r="D2514" t="s">
        <v>46</v>
      </c>
      <c r="E2514" t="s">
        <v>18</v>
      </c>
      <c r="F2514">
        <v>1305.45</v>
      </c>
      <c r="G2514">
        <v>179.34</v>
      </c>
      <c r="H2514" t="s">
        <v>13</v>
      </c>
      <c r="I2514" t="s">
        <v>34</v>
      </c>
    </row>
    <row r="2515" spans="1:9" x14ac:dyDescent="0.35">
      <c r="A2515" t="s">
        <v>2551</v>
      </c>
      <c r="B2515" s="1">
        <v>45182</v>
      </c>
      <c r="C2515" t="s">
        <v>10</v>
      </c>
      <c r="D2515" t="s">
        <v>50</v>
      </c>
      <c r="E2515" t="s">
        <v>12</v>
      </c>
      <c r="F2515">
        <v>1982.84</v>
      </c>
      <c r="G2515">
        <v>384.82</v>
      </c>
      <c r="H2515" t="s">
        <v>28</v>
      </c>
      <c r="I2515" t="s">
        <v>34</v>
      </c>
    </row>
    <row r="2516" spans="1:9" x14ac:dyDescent="0.35">
      <c r="A2516" t="s">
        <v>2552</v>
      </c>
      <c r="B2516" s="1">
        <v>45238</v>
      </c>
      <c r="C2516" t="s">
        <v>22</v>
      </c>
      <c r="D2516" t="s">
        <v>95</v>
      </c>
      <c r="E2516" t="s">
        <v>18</v>
      </c>
      <c r="F2516">
        <v>1553.52</v>
      </c>
      <c r="G2516">
        <v>109.41</v>
      </c>
      <c r="H2516" t="s">
        <v>19</v>
      </c>
      <c r="I2516" t="s">
        <v>20</v>
      </c>
    </row>
    <row r="2517" spans="1:9" x14ac:dyDescent="0.35">
      <c r="A2517" t="s">
        <v>2553</v>
      </c>
      <c r="B2517" s="1">
        <v>44897</v>
      </c>
      <c r="C2517" t="s">
        <v>16</v>
      </c>
      <c r="D2517" t="s">
        <v>11</v>
      </c>
      <c r="E2517" t="s">
        <v>12</v>
      </c>
      <c r="F2517">
        <v>494.44</v>
      </c>
      <c r="G2517">
        <v>63.5</v>
      </c>
      <c r="H2517" t="s">
        <v>28</v>
      </c>
      <c r="I2517" t="s">
        <v>29</v>
      </c>
    </row>
    <row r="2518" spans="1:9" x14ac:dyDescent="0.35">
      <c r="A2518" t="s">
        <v>2554</v>
      </c>
      <c r="B2518" s="1">
        <v>45381</v>
      </c>
      <c r="C2518" t="s">
        <v>16</v>
      </c>
      <c r="D2518" t="s">
        <v>23</v>
      </c>
      <c r="E2518" t="s">
        <v>18</v>
      </c>
      <c r="F2518">
        <v>317.27</v>
      </c>
      <c r="G2518">
        <v>80.33</v>
      </c>
      <c r="H2518" t="s">
        <v>13</v>
      </c>
      <c r="I2518" t="s">
        <v>20</v>
      </c>
    </row>
    <row r="2519" spans="1:9" x14ac:dyDescent="0.35">
      <c r="A2519" t="s">
        <v>2555</v>
      </c>
      <c r="B2519" s="1">
        <v>45608</v>
      </c>
      <c r="C2519" t="s">
        <v>25</v>
      </c>
      <c r="D2519" t="s">
        <v>41</v>
      </c>
      <c r="E2519" t="s">
        <v>12</v>
      </c>
      <c r="F2519">
        <v>1607.2</v>
      </c>
      <c r="G2519">
        <v>443.88</v>
      </c>
      <c r="H2519" t="s">
        <v>28</v>
      </c>
      <c r="I2519" t="s">
        <v>29</v>
      </c>
    </row>
    <row r="2520" spans="1:9" x14ac:dyDescent="0.35">
      <c r="A2520" t="s">
        <v>2556</v>
      </c>
      <c r="B2520" s="1">
        <v>45315</v>
      </c>
      <c r="C2520" t="s">
        <v>16</v>
      </c>
      <c r="D2520" t="s">
        <v>57</v>
      </c>
      <c r="E2520" t="s">
        <v>27</v>
      </c>
      <c r="F2520">
        <v>1770.52</v>
      </c>
      <c r="G2520">
        <v>389.5</v>
      </c>
      <c r="H2520" t="s">
        <v>19</v>
      </c>
      <c r="I2520" t="s">
        <v>20</v>
      </c>
    </row>
    <row r="2521" spans="1:9" x14ac:dyDescent="0.35">
      <c r="A2521" t="s">
        <v>2557</v>
      </c>
      <c r="B2521" s="1">
        <v>45381</v>
      </c>
      <c r="C2521" t="s">
        <v>16</v>
      </c>
      <c r="D2521" t="s">
        <v>11</v>
      </c>
      <c r="E2521" t="s">
        <v>12</v>
      </c>
      <c r="F2521">
        <v>505.21</v>
      </c>
      <c r="G2521">
        <v>149.41</v>
      </c>
      <c r="H2521" t="s">
        <v>19</v>
      </c>
      <c r="I2521" t="s">
        <v>20</v>
      </c>
    </row>
    <row r="2522" spans="1:9" x14ac:dyDescent="0.35">
      <c r="A2522" t="s">
        <v>2558</v>
      </c>
      <c r="B2522" s="1">
        <v>44702</v>
      </c>
      <c r="C2522" t="s">
        <v>25</v>
      </c>
      <c r="D2522" t="s">
        <v>57</v>
      </c>
      <c r="E2522" t="s">
        <v>27</v>
      </c>
      <c r="F2522">
        <v>1398.85</v>
      </c>
      <c r="G2522">
        <v>310.94</v>
      </c>
      <c r="H2522" t="s">
        <v>19</v>
      </c>
      <c r="I2522" t="s">
        <v>34</v>
      </c>
    </row>
    <row r="2523" spans="1:9" x14ac:dyDescent="0.35">
      <c r="A2523" t="s">
        <v>2559</v>
      </c>
      <c r="B2523" s="1">
        <v>44676</v>
      </c>
      <c r="C2523" t="s">
        <v>22</v>
      </c>
      <c r="D2523" t="s">
        <v>46</v>
      </c>
      <c r="E2523" t="s">
        <v>18</v>
      </c>
      <c r="F2523">
        <v>418.73</v>
      </c>
      <c r="G2523">
        <v>51.46</v>
      </c>
      <c r="H2523" t="s">
        <v>19</v>
      </c>
      <c r="I2523" t="s">
        <v>14</v>
      </c>
    </row>
    <row r="2524" spans="1:9" x14ac:dyDescent="0.35">
      <c r="A2524" t="s">
        <v>2560</v>
      </c>
      <c r="B2524" s="1">
        <v>45539</v>
      </c>
      <c r="C2524" t="s">
        <v>22</v>
      </c>
      <c r="D2524" t="s">
        <v>57</v>
      </c>
      <c r="E2524" t="s">
        <v>27</v>
      </c>
      <c r="F2524">
        <v>1027.6500000000001</v>
      </c>
      <c r="G2524">
        <v>253.58</v>
      </c>
      <c r="H2524" t="s">
        <v>19</v>
      </c>
      <c r="I2524" t="s">
        <v>14</v>
      </c>
    </row>
    <row r="2525" spans="1:9" x14ac:dyDescent="0.35">
      <c r="A2525" t="s">
        <v>2561</v>
      </c>
      <c r="B2525" s="1">
        <v>45522</v>
      </c>
      <c r="C2525" t="s">
        <v>10</v>
      </c>
      <c r="D2525" t="s">
        <v>62</v>
      </c>
      <c r="E2525" t="s">
        <v>27</v>
      </c>
      <c r="F2525">
        <v>1016.14</v>
      </c>
      <c r="G2525">
        <v>216.28</v>
      </c>
      <c r="H2525" t="s">
        <v>19</v>
      </c>
      <c r="I2525" t="s">
        <v>29</v>
      </c>
    </row>
    <row r="2526" spans="1:9" x14ac:dyDescent="0.35">
      <c r="A2526" t="s">
        <v>2562</v>
      </c>
      <c r="B2526" s="1">
        <v>45007</v>
      </c>
      <c r="C2526" t="s">
        <v>16</v>
      </c>
      <c r="D2526" t="s">
        <v>31</v>
      </c>
      <c r="E2526" t="s">
        <v>12</v>
      </c>
      <c r="F2526">
        <v>415.36</v>
      </c>
      <c r="G2526">
        <v>49.46</v>
      </c>
      <c r="H2526" t="s">
        <v>19</v>
      </c>
      <c r="I2526" t="s">
        <v>34</v>
      </c>
    </row>
    <row r="2527" spans="1:9" x14ac:dyDescent="0.35">
      <c r="A2527" t="s">
        <v>2563</v>
      </c>
      <c r="B2527" s="1">
        <v>44998</v>
      </c>
      <c r="C2527" t="s">
        <v>25</v>
      </c>
      <c r="D2527" t="s">
        <v>23</v>
      </c>
      <c r="E2527" t="s">
        <v>18</v>
      </c>
      <c r="F2527">
        <v>433.88</v>
      </c>
      <c r="G2527">
        <v>38.85</v>
      </c>
      <c r="H2527" t="s">
        <v>19</v>
      </c>
      <c r="I2527" t="s">
        <v>20</v>
      </c>
    </row>
    <row r="2528" spans="1:9" x14ac:dyDescent="0.35">
      <c r="A2528" t="s">
        <v>2564</v>
      </c>
      <c r="B2528" s="1">
        <v>44895</v>
      </c>
      <c r="C2528" t="s">
        <v>16</v>
      </c>
      <c r="D2528" t="s">
        <v>31</v>
      </c>
      <c r="E2528" t="s">
        <v>12</v>
      </c>
      <c r="F2528">
        <v>661.4</v>
      </c>
      <c r="G2528">
        <v>93.98</v>
      </c>
      <c r="H2528" t="s">
        <v>13</v>
      </c>
      <c r="I2528" t="s">
        <v>20</v>
      </c>
    </row>
    <row r="2529" spans="1:9" x14ac:dyDescent="0.35">
      <c r="A2529" t="s">
        <v>2565</v>
      </c>
      <c r="B2529" s="1">
        <v>44736</v>
      </c>
      <c r="C2529" t="s">
        <v>16</v>
      </c>
      <c r="D2529" t="s">
        <v>95</v>
      </c>
      <c r="E2529" t="s">
        <v>18</v>
      </c>
      <c r="F2529">
        <v>917.74</v>
      </c>
      <c r="G2529">
        <v>220.89</v>
      </c>
      <c r="H2529" t="s">
        <v>28</v>
      </c>
      <c r="I2529" t="s">
        <v>20</v>
      </c>
    </row>
    <row r="2530" spans="1:9" x14ac:dyDescent="0.35">
      <c r="A2530" t="s">
        <v>2566</v>
      </c>
      <c r="B2530" s="1">
        <v>44690</v>
      </c>
      <c r="C2530" t="s">
        <v>16</v>
      </c>
      <c r="D2530" t="s">
        <v>38</v>
      </c>
      <c r="E2530" t="s">
        <v>12</v>
      </c>
      <c r="F2530">
        <v>561.49</v>
      </c>
      <c r="G2530">
        <v>120.68</v>
      </c>
      <c r="H2530" t="s">
        <v>28</v>
      </c>
      <c r="I2530" t="s">
        <v>20</v>
      </c>
    </row>
    <row r="2531" spans="1:9" x14ac:dyDescent="0.35">
      <c r="A2531" t="s">
        <v>2567</v>
      </c>
      <c r="B2531" s="1">
        <v>45463</v>
      </c>
      <c r="C2531" t="s">
        <v>10</v>
      </c>
      <c r="D2531" t="s">
        <v>50</v>
      </c>
      <c r="E2531" t="s">
        <v>12</v>
      </c>
      <c r="F2531">
        <v>1970.25</v>
      </c>
      <c r="G2531">
        <v>277.35000000000002</v>
      </c>
      <c r="H2531" t="s">
        <v>28</v>
      </c>
      <c r="I2531" t="s">
        <v>29</v>
      </c>
    </row>
    <row r="2532" spans="1:9" x14ac:dyDescent="0.35">
      <c r="A2532" t="s">
        <v>2568</v>
      </c>
      <c r="B2532" s="1">
        <v>45642</v>
      </c>
      <c r="C2532" t="s">
        <v>16</v>
      </c>
      <c r="D2532" t="s">
        <v>33</v>
      </c>
      <c r="E2532" t="s">
        <v>18</v>
      </c>
      <c r="F2532">
        <v>159.55000000000001</v>
      </c>
      <c r="G2532">
        <v>45.65</v>
      </c>
      <c r="H2532" t="s">
        <v>19</v>
      </c>
      <c r="I2532" t="s">
        <v>14</v>
      </c>
    </row>
    <row r="2533" spans="1:9" x14ac:dyDescent="0.35">
      <c r="A2533" t="s">
        <v>2569</v>
      </c>
      <c r="B2533" s="1">
        <v>45067</v>
      </c>
      <c r="C2533" t="s">
        <v>25</v>
      </c>
      <c r="D2533" t="s">
        <v>31</v>
      </c>
      <c r="E2533" t="s">
        <v>12</v>
      </c>
      <c r="F2533">
        <v>683.58</v>
      </c>
      <c r="G2533">
        <v>90.92</v>
      </c>
      <c r="H2533" t="s">
        <v>13</v>
      </c>
      <c r="I2533" t="s">
        <v>20</v>
      </c>
    </row>
    <row r="2534" spans="1:9" x14ac:dyDescent="0.35">
      <c r="A2534" t="s">
        <v>2570</v>
      </c>
      <c r="B2534" s="1">
        <v>44762</v>
      </c>
      <c r="C2534" t="s">
        <v>22</v>
      </c>
      <c r="D2534" t="s">
        <v>38</v>
      </c>
      <c r="E2534" t="s">
        <v>12</v>
      </c>
      <c r="F2534">
        <v>1801.63</v>
      </c>
      <c r="G2534">
        <v>234.97</v>
      </c>
      <c r="H2534" t="s">
        <v>13</v>
      </c>
      <c r="I2534" t="s">
        <v>20</v>
      </c>
    </row>
    <row r="2535" spans="1:9" x14ac:dyDescent="0.35">
      <c r="A2535" t="s">
        <v>2571</v>
      </c>
      <c r="B2535" s="1">
        <v>45537</v>
      </c>
      <c r="C2535" t="s">
        <v>10</v>
      </c>
      <c r="D2535" t="s">
        <v>73</v>
      </c>
      <c r="E2535" t="s">
        <v>27</v>
      </c>
      <c r="F2535">
        <v>1823.62</v>
      </c>
      <c r="G2535">
        <v>127.64</v>
      </c>
      <c r="H2535" t="s">
        <v>19</v>
      </c>
      <c r="I2535" t="s">
        <v>20</v>
      </c>
    </row>
    <row r="2536" spans="1:9" x14ac:dyDescent="0.35">
      <c r="A2536" t="s">
        <v>2572</v>
      </c>
      <c r="B2536" s="1">
        <v>45567</v>
      </c>
      <c r="C2536" t="s">
        <v>22</v>
      </c>
      <c r="D2536" t="s">
        <v>26</v>
      </c>
      <c r="E2536" t="s">
        <v>27</v>
      </c>
      <c r="F2536">
        <v>149.81</v>
      </c>
      <c r="G2536">
        <v>20.04</v>
      </c>
      <c r="H2536" t="s">
        <v>19</v>
      </c>
      <c r="I2536" t="s">
        <v>29</v>
      </c>
    </row>
    <row r="2537" spans="1:9" x14ac:dyDescent="0.35">
      <c r="A2537" t="s">
        <v>2573</v>
      </c>
      <c r="B2537" s="1">
        <v>44958</v>
      </c>
      <c r="C2537" t="s">
        <v>16</v>
      </c>
      <c r="D2537" t="s">
        <v>57</v>
      </c>
      <c r="E2537" t="s">
        <v>27</v>
      </c>
      <c r="F2537">
        <v>1270.8</v>
      </c>
      <c r="G2537">
        <v>320.41000000000003</v>
      </c>
      <c r="H2537" t="s">
        <v>13</v>
      </c>
      <c r="I2537" t="s">
        <v>34</v>
      </c>
    </row>
    <row r="2538" spans="1:9" x14ac:dyDescent="0.35">
      <c r="A2538" t="s">
        <v>2574</v>
      </c>
      <c r="B2538" s="1">
        <v>44739</v>
      </c>
      <c r="C2538" t="s">
        <v>10</v>
      </c>
      <c r="D2538" t="s">
        <v>31</v>
      </c>
      <c r="E2538" t="s">
        <v>12</v>
      </c>
      <c r="F2538">
        <v>892.47</v>
      </c>
      <c r="G2538">
        <v>133.38999999999999</v>
      </c>
      <c r="H2538" t="s">
        <v>13</v>
      </c>
      <c r="I2538" t="s">
        <v>29</v>
      </c>
    </row>
    <row r="2539" spans="1:9" x14ac:dyDescent="0.35">
      <c r="A2539" t="s">
        <v>2575</v>
      </c>
      <c r="B2539" s="1">
        <v>44833</v>
      </c>
      <c r="C2539" t="s">
        <v>10</v>
      </c>
      <c r="D2539" t="s">
        <v>17</v>
      </c>
      <c r="E2539" t="s">
        <v>18</v>
      </c>
      <c r="F2539">
        <v>1379.43</v>
      </c>
      <c r="G2539">
        <v>152.02000000000001</v>
      </c>
      <c r="H2539" t="s">
        <v>13</v>
      </c>
      <c r="I2539" t="s">
        <v>20</v>
      </c>
    </row>
    <row r="2540" spans="1:9" x14ac:dyDescent="0.35">
      <c r="A2540" t="s">
        <v>2576</v>
      </c>
      <c r="B2540" s="1">
        <v>44809</v>
      </c>
      <c r="C2540" t="s">
        <v>10</v>
      </c>
      <c r="D2540" t="s">
        <v>57</v>
      </c>
      <c r="E2540" t="s">
        <v>27</v>
      </c>
      <c r="F2540">
        <v>998.81</v>
      </c>
      <c r="G2540">
        <v>206.28</v>
      </c>
      <c r="H2540" t="s">
        <v>13</v>
      </c>
      <c r="I2540" t="s">
        <v>34</v>
      </c>
    </row>
    <row r="2541" spans="1:9" x14ac:dyDescent="0.35">
      <c r="A2541" t="s">
        <v>2577</v>
      </c>
      <c r="B2541" s="1">
        <v>45473</v>
      </c>
      <c r="C2541" t="s">
        <v>22</v>
      </c>
      <c r="D2541" t="s">
        <v>11</v>
      </c>
      <c r="E2541" t="s">
        <v>12</v>
      </c>
      <c r="F2541">
        <v>1389.78</v>
      </c>
      <c r="G2541">
        <v>143.9</v>
      </c>
      <c r="H2541" t="s">
        <v>13</v>
      </c>
      <c r="I2541" t="s">
        <v>29</v>
      </c>
    </row>
    <row r="2542" spans="1:9" x14ac:dyDescent="0.35">
      <c r="A2542" t="s">
        <v>2578</v>
      </c>
      <c r="B2542" s="1">
        <v>45525</v>
      </c>
      <c r="C2542" t="s">
        <v>16</v>
      </c>
      <c r="D2542" t="s">
        <v>38</v>
      </c>
      <c r="E2542" t="s">
        <v>12</v>
      </c>
      <c r="F2542">
        <v>901.7</v>
      </c>
      <c r="G2542">
        <v>149.83000000000001</v>
      </c>
      <c r="H2542" t="s">
        <v>28</v>
      </c>
      <c r="I2542" t="s">
        <v>20</v>
      </c>
    </row>
    <row r="2543" spans="1:9" x14ac:dyDescent="0.35">
      <c r="A2543" t="s">
        <v>2579</v>
      </c>
      <c r="B2543" s="1">
        <v>44841</v>
      </c>
      <c r="C2543" t="s">
        <v>16</v>
      </c>
      <c r="D2543" t="s">
        <v>17</v>
      </c>
      <c r="E2543" t="s">
        <v>18</v>
      </c>
      <c r="F2543">
        <v>1149.48</v>
      </c>
      <c r="G2543">
        <v>306.62</v>
      </c>
      <c r="H2543" t="s">
        <v>13</v>
      </c>
      <c r="I2543" t="s">
        <v>34</v>
      </c>
    </row>
    <row r="2544" spans="1:9" x14ac:dyDescent="0.35">
      <c r="A2544" t="s">
        <v>2580</v>
      </c>
      <c r="B2544" s="1">
        <v>45150</v>
      </c>
      <c r="C2544" t="s">
        <v>25</v>
      </c>
      <c r="D2544" t="s">
        <v>57</v>
      </c>
      <c r="E2544" t="s">
        <v>27</v>
      </c>
      <c r="F2544">
        <v>962.92</v>
      </c>
      <c r="G2544">
        <v>48.85</v>
      </c>
      <c r="H2544" t="s">
        <v>13</v>
      </c>
      <c r="I2544" t="s">
        <v>14</v>
      </c>
    </row>
    <row r="2545" spans="1:9" x14ac:dyDescent="0.35">
      <c r="A2545" t="s">
        <v>2581</v>
      </c>
      <c r="B2545" s="1">
        <v>44868</v>
      </c>
      <c r="C2545" t="s">
        <v>22</v>
      </c>
      <c r="D2545" t="s">
        <v>11</v>
      </c>
      <c r="E2545" t="s">
        <v>12</v>
      </c>
      <c r="F2545">
        <v>53.31</v>
      </c>
      <c r="G2545">
        <v>6.78</v>
      </c>
      <c r="H2545" t="s">
        <v>19</v>
      </c>
      <c r="I2545" t="s">
        <v>20</v>
      </c>
    </row>
    <row r="2546" spans="1:9" x14ac:dyDescent="0.35">
      <c r="A2546" t="s">
        <v>2582</v>
      </c>
      <c r="B2546" s="1">
        <v>44865</v>
      </c>
      <c r="C2546" t="s">
        <v>22</v>
      </c>
      <c r="D2546" t="s">
        <v>17</v>
      </c>
      <c r="E2546" t="s">
        <v>18</v>
      </c>
      <c r="F2546">
        <v>851.83</v>
      </c>
      <c r="G2546">
        <v>170.41</v>
      </c>
      <c r="H2546" t="s">
        <v>13</v>
      </c>
      <c r="I2546" t="s">
        <v>29</v>
      </c>
    </row>
    <row r="2547" spans="1:9" x14ac:dyDescent="0.35">
      <c r="A2547" t="s">
        <v>2583</v>
      </c>
      <c r="B2547" s="1">
        <v>45052</v>
      </c>
      <c r="C2547" t="s">
        <v>25</v>
      </c>
      <c r="D2547" t="s">
        <v>17</v>
      </c>
      <c r="E2547" t="s">
        <v>18</v>
      </c>
      <c r="F2547">
        <v>1643.23</v>
      </c>
      <c r="G2547">
        <v>116.88</v>
      </c>
      <c r="H2547" t="s">
        <v>28</v>
      </c>
      <c r="I2547" t="s">
        <v>20</v>
      </c>
    </row>
    <row r="2548" spans="1:9" x14ac:dyDescent="0.35">
      <c r="A2548" t="s">
        <v>2584</v>
      </c>
      <c r="B2548" s="1">
        <v>45262</v>
      </c>
      <c r="C2548" t="s">
        <v>25</v>
      </c>
      <c r="D2548" t="s">
        <v>38</v>
      </c>
      <c r="E2548" t="s">
        <v>12</v>
      </c>
      <c r="F2548">
        <v>1910.67</v>
      </c>
      <c r="G2548">
        <v>343.17</v>
      </c>
      <c r="H2548" t="s">
        <v>13</v>
      </c>
      <c r="I2548" t="s">
        <v>20</v>
      </c>
    </row>
    <row r="2549" spans="1:9" x14ac:dyDescent="0.35">
      <c r="A2549" t="s">
        <v>2585</v>
      </c>
      <c r="B2549" s="1">
        <v>44633</v>
      </c>
      <c r="C2549" t="s">
        <v>22</v>
      </c>
      <c r="D2549" t="s">
        <v>33</v>
      </c>
      <c r="E2549" t="s">
        <v>18</v>
      </c>
      <c r="F2549">
        <v>1089.69</v>
      </c>
      <c r="G2549">
        <v>316.2</v>
      </c>
      <c r="H2549" t="s">
        <v>19</v>
      </c>
      <c r="I2549" t="s">
        <v>14</v>
      </c>
    </row>
    <row r="2550" spans="1:9" x14ac:dyDescent="0.35">
      <c r="A2550" t="s">
        <v>2586</v>
      </c>
      <c r="B2550" s="1">
        <v>44725</v>
      </c>
      <c r="C2550" t="s">
        <v>10</v>
      </c>
      <c r="D2550" t="s">
        <v>73</v>
      </c>
      <c r="E2550" t="s">
        <v>27</v>
      </c>
      <c r="F2550">
        <v>1701.87</v>
      </c>
      <c r="G2550">
        <v>101.46</v>
      </c>
      <c r="H2550" t="s">
        <v>13</v>
      </c>
      <c r="I2550" t="s">
        <v>29</v>
      </c>
    </row>
    <row r="2551" spans="1:9" x14ac:dyDescent="0.35">
      <c r="A2551" t="s">
        <v>2587</v>
      </c>
      <c r="B2551" s="1">
        <v>44852</v>
      </c>
      <c r="C2551" t="s">
        <v>22</v>
      </c>
      <c r="D2551" t="s">
        <v>95</v>
      </c>
      <c r="E2551" t="s">
        <v>18</v>
      </c>
      <c r="F2551">
        <v>475.01</v>
      </c>
      <c r="G2551">
        <v>140.66</v>
      </c>
      <c r="H2551" t="s">
        <v>13</v>
      </c>
      <c r="I2551" t="s">
        <v>14</v>
      </c>
    </row>
    <row r="2552" spans="1:9" x14ac:dyDescent="0.35">
      <c r="A2552" t="s">
        <v>2588</v>
      </c>
      <c r="B2552" s="1">
        <v>45218</v>
      </c>
      <c r="C2552" t="s">
        <v>22</v>
      </c>
      <c r="D2552" t="s">
        <v>62</v>
      </c>
      <c r="E2552" t="s">
        <v>27</v>
      </c>
      <c r="F2552">
        <v>1835.27</v>
      </c>
      <c r="G2552">
        <v>512.86</v>
      </c>
      <c r="H2552" t="s">
        <v>19</v>
      </c>
      <c r="I2552" t="s">
        <v>14</v>
      </c>
    </row>
    <row r="2553" spans="1:9" x14ac:dyDescent="0.35">
      <c r="A2553" t="s">
        <v>2589</v>
      </c>
      <c r="B2553" s="1">
        <v>44639</v>
      </c>
      <c r="C2553" t="s">
        <v>10</v>
      </c>
      <c r="D2553" t="s">
        <v>50</v>
      </c>
      <c r="E2553" t="s">
        <v>12</v>
      </c>
      <c r="F2553">
        <v>680</v>
      </c>
      <c r="G2553">
        <v>183.16</v>
      </c>
      <c r="H2553" t="s">
        <v>19</v>
      </c>
      <c r="I2553" t="s">
        <v>29</v>
      </c>
    </row>
    <row r="2554" spans="1:9" x14ac:dyDescent="0.35">
      <c r="A2554" t="s">
        <v>2590</v>
      </c>
      <c r="B2554" s="1">
        <v>44567</v>
      </c>
      <c r="C2554" t="s">
        <v>25</v>
      </c>
      <c r="D2554" t="s">
        <v>17</v>
      </c>
      <c r="E2554" t="s">
        <v>18</v>
      </c>
      <c r="F2554">
        <v>1709.54</v>
      </c>
      <c r="G2554">
        <v>440.03</v>
      </c>
      <c r="H2554" t="s">
        <v>19</v>
      </c>
      <c r="I2554" t="s">
        <v>20</v>
      </c>
    </row>
    <row r="2555" spans="1:9" x14ac:dyDescent="0.35">
      <c r="A2555" t="s">
        <v>2591</v>
      </c>
      <c r="B2555" s="1">
        <v>45415</v>
      </c>
      <c r="C2555" t="s">
        <v>10</v>
      </c>
      <c r="D2555" t="s">
        <v>26</v>
      </c>
      <c r="E2555" t="s">
        <v>27</v>
      </c>
      <c r="F2555">
        <v>1710.2</v>
      </c>
      <c r="G2555">
        <v>316.14999999999998</v>
      </c>
      <c r="H2555" t="s">
        <v>13</v>
      </c>
      <c r="I2555" t="s">
        <v>29</v>
      </c>
    </row>
    <row r="2556" spans="1:9" x14ac:dyDescent="0.35">
      <c r="A2556" t="s">
        <v>2592</v>
      </c>
      <c r="B2556" s="1">
        <v>45614</v>
      </c>
      <c r="C2556" t="s">
        <v>10</v>
      </c>
      <c r="D2556" t="s">
        <v>26</v>
      </c>
      <c r="E2556" t="s">
        <v>27</v>
      </c>
      <c r="F2556">
        <v>1965.78</v>
      </c>
      <c r="G2556">
        <v>567.62</v>
      </c>
      <c r="H2556" t="s">
        <v>19</v>
      </c>
      <c r="I2556" t="s">
        <v>29</v>
      </c>
    </row>
    <row r="2557" spans="1:9" x14ac:dyDescent="0.35">
      <c r="A2557" t="s">
        <v>2593</v>
      </c>
      <c r="B2557" s="1">
        <v>44990</v>
      </c>
      <c r="C2557" t="s">
        <v>16</v>
      </c>
      <c r="D2557" t="s">
        <v>26</v>
      </c>
      <c r="E2557" t="s">
        <v>27</v>
      </c>
      <c r="F2557">
        <v>1605.3</v>
      </c>
      <c r="G2557">
        <v>367.71</v>
      </c>
      <c r="H2557" t="s">
        <v>19</v>
      </c>
      <c r="I2557" t="s">
        <v>34</v>
      </c>
    </row>
    <row r="2558" spans="1:9" x14ac:dyDescent="0.35">
      <c r="A2558" t="s">
        <v>2594</v>
      </c>
      <c r="B2558" s="1">
        <v>44672</v>
      </c>
      <c r="C2558" t="s">
        <v>22</v>
      </c>
      <c r="D2558" t="s">
        <v>17</v>
      </c>
      <c r="E2558" t="s">
        <v>18</v>
      </c>
      <c r="F2558">
        <v>283.99</v>
      </c>
      <c r="G2558">
        <v>48.06</v>
      </c>
      <c r="H2558" t="s">
        <v>13</v>
      </c>
      <c r="I2558" t="s">
        <v>14</v>
      </c>
    </row>
    <row r="2559" spans="1:9" x14ac:dyDescent="0.35">
      <c r="A2559" t="s">
        <v>2595</v>
      </c>
      <c r="B2559" s="1">
        <v>45330</v>
      </c>
      <c r="C2559" t="s">
        <v>16</v>
      </c>
      <c r="D2559" t="s">
        <v>62</v>
      </c>
      <c r="E2559" t="s">
        <v>27</v>
      </c>
      <c r="F2559">
        <v>366.45</v>
      </c>
      <c r="G2559">
        <v>72.72</v>
      </c>
      <c r="H2559" t="s">
        <v>28</v>
      </c>
      <c r="I2559" t="s">
        <v>34</v>
      </c>
    </row>
    <row r="2560" spans="1:9" x14ac:dyDescent="0.35">
      <c r="A2560" t="s">
        <v>2596</v>
      </c>
      <c r="B2560" s="1">
        <v>44857</v>
      </c>
      <c r="C2560" t="s">
        <v>25</v>
      </c>
      <c r="D2560" t="s">
        <v>38</v>
      </c>
      <c r="E2560" t="s">
        <v>12</v>
      </c>
      <c r="F2560">
        <v>1627</v>
      </c>
      <c r="G2560">
        <v>421.7</v>
      </c>
      <c r="H2560" t="s">
        <v>13</v>
      </c>
      <c r="I2560" t="s">
        <v>20</v>
      </c>
    </row>
    <row r="2561" spans="1:9" x14ac:dyDescent="0.35">
      <c r="A2561" t="s">
        <v>2597</v>
      </c>
      <c r="B2561" s="1">
        <v>44715</v>
      </c>
      <c r="C2561" t="s">
        <v>10</v>
      </c>
      <c r="D2561" t="s">
        <v>41</v>
      </c>
      <c r="E2561" t="s">
        <v>12</v>
      </c>
      <c r="F2561">
        <v>226.06</v>
      </c>
      <c r="G2561">
        <v>12.75</v>
      </c>
      <c r="H2561" t="s">
        <v>28</v>
      </c>
      <c r="I2561" t="s">
        <v>34</v>
      </c>
    </row>
    <row r="2562" spans="1:9" x14ac:dyDescent="0.35">
      <c r="A2562" t="s">
        <v>2598</v>
      </c>
      <c r="B2562" s="1">
        <v>45646</v>
      </c>
      <c r="C2562" t="s">
        <v>16</v>
      </c>
      <c r="D2562" t="s">
        <v>73</v>
      </c>
      <c r="E2562" t="s">
        <v>27</v>
      </c>
      <c r="F2562">
        <v>250.2</v>
      </c>
      <c r="G2562">
        <v>39.36</v>
      </c>
      <c r="H2562" t="s">
        <v>19</v>
      </c>
      <c r="I2562" t="s">
        <v>29</v>
      </c>
    </row>
    <row r="2563" spans="1:9" x14ac:dyDescent="0.35">
      <c r="A2563" t="s">
        <v>2599</v>
      </c>
      <c r="B2563" s="1">
        <v>44890</v>
      </c>
      <c r="C2563" t="s">
        <v>25</v>
      </c>
      <c r="D2563" t="s">
        <v>31</v>
      </c>
      <c r="E2563" t="s">
        <v>12</v>
      </c>
      <c r="F2563">
        <v>705.79</v>
      </c>
      <c r="G2563">
        <v>74.05</v>
      </c>
      <c r="H2563" t="s">
        <v>19</v>
      </c>
      <c r="I2563" t="s">
        <v>34</v>
      </c>
    </row>
    <row r="2564" spans="1:9" x14ac:dyDescent="0.35">
      <c r="A2564" t="s">
        <v>2600</v>
      </c>
      <c r="B2564" s="1">
        <v>45502</v>
      </c>
      <c r="C2564" t="s">
        <v>25</v>
      </c>
      <c r="D2564" t="s">
        <v>17</v>
      </c>
      <c r="E2564" t="s">
        <v>18</v>
      </c>
      <c r="F2564">
        <v>806.43</v>
      </c>
      <c r="G2564">
        <v>214.63</v>
      </c>
      <c r="H2564" t="s">
        <v>13</v>
      </c>
      <c r="I2564" t="s">
        <v>29</v>
      </c>
    </row>
    <row r="2565" spans="1:9" x14ac:dyDescent="0.35">
      <c r="A2565" t="s">
        <v>2601</v>
      </c>
      <c r="B2565" s="1">
        <v>45428</v>
      </c>
      <c r="C2565" t="s">
        <v>25</v>
      </c>
      <c r="D2565" t="s">
        <v>97</v>
      </c>
      <c r="E2565" t="s">
        <v>27</v>
      </c>
      <c r="F2565">
        <v>1902.11</v>
      </c>
      <c r="G2565">
        <v>308.11</v>
      </c>
      <c r="H2565" t="s">
        <v>13</v>
      </c>
      <c r="I2565" t="s">
        <v>34</v>
      </c>
    </row>
    <row r="2566" spans="1:9" x14ac:dyDescent="0.35">
      <c r="A2566" t="s">
        <v>2602</v>
      </c>
      <c r="B2566" s="1">
        <v>44586</v>
      </c>
      <c r="C2566" t="s">
        <v>25</v>
      </c>
      <c r="D2566" t="s">
        <v>73</v>
      </c>
      <c r="E2566" t="s">
        <v>27</v>
      </c>
      <c r="F2566">
        <v>1458.51</v>
      </c>
      <c r="G2566">
        <v>146.12</v>
      </c>
      <c r="H2566" t="s">
        <v>19</v>
      </c>
      <c r="I2566" t="s">
        <v>34</v>
      </c>
    </row>
    <row r="2567" spans="1:9" x14ac:dyDescent="0.35">
      <c r="A2567" t="s">
        <v>2603</v>
      </c>
      <c r="B2567" s="1">
        <v>45185</v>
      </c>
      <c r="C2567" t="s">
        <v>10</v>
      </c>
      <c r="D2567" t="s">
        <v>41</v>
      </c>
      <c r="E2567" t="s">
        <v>12</v>
      </c>
      <c r="F2567">
        <v>780.11</v>
      </c>
      <c r="G2567">
        <v>92.03</v>
      </c>
      <c r="H2567" t="s">
        <v>19</v>
      </c>
      <c r="I2567" t="s">
        <v>34</v>
      </c>
    </row>
    <row r="2568" spans="1:9" x14ac:dyDescent="0.35">
      <c r="A2568" t="s">
        <v>2604</v>
      </c>
      <c r="B2568" s="1">
        <v>44652</v>
      </c>
      <c r="C2568" t="s">
        <v>10</v>
      </c>
      <c r="D2568" t="s">
        <v>17</v>
      </c>
      <c r="E2568" t="s">
        <v>18</v>
      </c>
      <c r="F2568">
        <v>835.58</v>
      </c>
      <c r="G2568">
        <v>181.4</v>
      </c>
      <c r="H2568" t="s">
        <v>28</v>
      </c>
      <c r="I2568" t="s">
        <v>20</v>
      </c>
    </row>
    <row r="2569" spans="1:9" x14ac:dyDescent="0.35">
      <c r="A2569" t="s">
        <v>2605</v>
      </c>
      <c r="B2569" s="1">
        <v>44640</v>
      </c>
      <c r="C2569" t="s">
        <v>10</v>
      </c>
      <c r="D2569" t="s">
        <v>23</v>
      </c>
      <c r="E2569" t="s">
        <v>18</v>
      </c>
      <c r="F2569">
        <v>745.79</v>
      </c>
      <c r="G2569">
        <v>101.01</v>
      </c>
      <c r="H2569" t="s">
        <v>13</v>
      </c>
      <c r="I2569" t="s">
        <v>29</v>
      </c>
    </row>
    <row r="2570" spans="1:9" x14ac:dyDescent="0.35">
      <c r="A2570" t="s">
        <v>2606</v>
      </c>
      <c r="B2570" s="1">
        <v>45132</v>
      </c>
      <c r="C2570" t="s">
        <v>10</v>
      </c>
      <c r="D2570" t="s">
        <v>17</v>
      </c>
      <c r="E2570" t="s">
        <v>18</v>
      </c>
      <c r="F2570">
        <v>1117.25</v>
      </c>
      <c r="G2570">
        <v>214.29</v>
      </c>
      <c r="H2570" t="s">
        <v>28</v>
      </c>
      <c r="I2570" t="s">
        <v>29</v>
      </c>
    </row>
    <row r="2571" spans="1:9" x14ac:dyDescent="0.35">
      <c r="A2571" t="s">
        <v>2607</v>
      </c>
      <c r="B2571" s="1">
        <v>44896</v>
      </c>
      <c r="C2571" t="s">
        <v>22</v>
      </c>
      <c r="D2571" t="s">
        <v>62</v>
      </c>
      <c r="E2571" t="s">
        <v>27</v>
      </c>
      <c r="F2571">
        <v>246.76</v>
      </c>
      <c r="G2571">
        <v>60.38</v>
      </c>
      <c r="H2571" t="s">
        <v>13</v>
      </c>
      <c r="I2571" t="s">
        <v>34</v>
      </c>
    </row>
    <row r="2572" spans="1:9" x14ac:dyDescent="0.35">
      <c r="A2572" t="s">
        <v>2608</v>
      </c>
      <c r="B2572" s="1">
        <v>44851</v>
      </c>
      <c r="C2572" t="s">
        <v>22</v>
      </c>
      <c r="D2572" t="s">
        <v>11</v>
      </c>
      <c r="E2572" t="s">
        <v>12</v>
      </c>
      <c r="F2572">
        <v>1622.26</v>
      </c>
      <c r="G2572">
        <v>311.16000000000003</v>
      </c>
      <c r="H2572" t="s">
        <v>28</v>
      </c>
      <c r="I2572" t="s">
        <v>20</v>
      </c>
    </row>
    <row r="2573" spans="1:9" x14ac:dyDescent="0.35">
      <c r="A2573" t="s">
        <v>2609</v>
      </c>
      <c r="B2573" s="1">
        <v>45174</v>
      </c>
      <c r="C2573" t="s">
        <v>16</v>
      </c>
      <c r="D2573" t="s">
        <v>26</v>
      </c>
      <c r="E2573" t="s">
        <v>27</v>
      </c>
      <c r="F2573">
        <v>639.41999999999996</v>
      </c>
      <c r="G2573">
        <v>143</v>
      </c>
      <c r="H2573" t="s">
        <v>28</v>
      </c>
      <c r="I2573" t="s">
        <v>14</v>
      </c>
    </row>
    <row r="2574" spans="1:9" x14ac:dyDescent="0.35">
      <c r="A2574" t="s">
        <v>2610</v>
      </c>
      <c r="B2574" s="1">
        <v>44909</v>
      </c>
      <c r="C2574" t="s">
        <v>10</v>
      </c>
      <c r="D2574" t="s">
        <v>26</v>
      </c>
      <c r="E2574" t="s">
        <v>27</v>
      </c>
      <c r="F2574">
        <v>817.96</v>
      </c>
      <c r="G2574">
        <v>189.76</v>
      </c>
      <c r="H2574" t="s">
        <v>13</v>
      </c>
      <c r="I2574" t="s">
        <v>14</v>
      </c>
    </row>
    <row r="2575" spans="1:9" x14ac:dyDescent="0.35">
      <c r="A2575" t="s">
        <v>2611</v>
      </c>
      <c r="B2575" s="1">
        <v>44932</v>
      </c>
      <c r="C2575" t="s">
        <v>16</v>
      </c>
      <c r="D2575" t="s">
        <v>50</v>
      </c>
      <c r="E2575" t="s">
        <v>12</v>
      </c>
      <c r="F2575">
        <v>811.14</v>
      </c>
      <c r="G2575">
        <v>85.42</v>
      </c>
      <c r="H2575" t="s">
        <v>19</v>
      </c>
      <c r="I2575" t="s">
        <v>34</v>
      </c>
    </row>
    <row r="2576" spans="1:9" x14ac:dyDescent="0.35">
      <c r="A2576" t="s">
        <v>2612</v>
      </c>
      <c r="B2576" s="1">
        <v>45610</v>
      </c>
      <c r="C2576" t="s">
        <v>25</v>
      </c>
      <c r="D2576" t="s">
        <v>46</v>
      </c>
      <c r="E2576" t="s">
        <v>18</v>
      </c>
      <c r="F2576">
        <v>613.75</v>
      </c>
      <c r="G2576">
        <v>174.46</v>
      </c>
      <c r="H2576" t="s">
        <v>19</v>
      </c>
      <c r="I2576" t="s">
        <v>34</v>
      </c>
    </row>
    <row r="2577" spans="1:9" x14ac:dyDescent="0.35">
      <c r="A2577" t="s">
        <v>2613</v>
      </c>
      <c r="B2577" s="1">
        <v>44673</v>
      </c>
      <c r="C2577" t="s">
        <v>16</v>
      </c>
      <c r="D2577" t="s">
        <v>26</v>
      </c>
      <c r="E2577" t="s">
        <v>27</v>
      </c>
      <c r="F2577">
        <v>1508.21</v>
      </c>
      <c r="G2577">
        <v>165.83</v>
      </c>
      <c r="H2577" t="s">
        <v>19</v>
      </c>
      <c r="I2577" t="s">
        <v>34</v>
      </c>
    </row>
    <row r="2578" spans="1:9" x14ac:dyDescent="0.35">
      <c r="A2578" t="s">
        <v>2614</v>
      </c>
      <c r="B2578" s="1">
        <v>45513</v>
      </c>
      <c r="C2578" t="s">
        <v>10</v>
      </c>
      <c r="D2578" t="s">
        <v>31</v>
      </c>
      <c r="E2578" t="s">
        <v>12</v>
      </c>
      <c r="F2578">
        <v>1207.71</v>
      </c>
      <c r="G2578">
        <v>209.3</v>
      </c>
      <c r="H2578" t="s">
        <v>19</v>
      </c>
      <c r="I2578" t="s">
        <v>34</v>
      </c>
    </row>
    <row r="2579" spans="1:9" x14ac:dyDescent="0.35">
      <c r="A2579" t="s">
        <v>2615</v>
      </c>
      <c r="B2579" s="1">
        <v>45150</v>
      </c>
      <c r="C2579" t="s">
        <v>10</v>
      </c>
      <c r="D2579" t="s">
        <v>26</v>
      </c>
      <c r="E2579" t="s">
        <v>27</v>
      </c>
      <c r="F2579">
        <v>507.24</v>
      </c>
      <c r="G2579">
        <v>40.19</v>
      </c>
      <c r="H2579" t="s">
        <v>19</v>
      </c>
      <c r="I2579" t="s">
        <v>34</v>
      </c>
    </row>
    <row r="2580" spans="1:9" x14ac:dyDescent="0.35">
      <c r="A2580" t="s">
        <v>2616</v>
      </c>
      <c r="B2580" s="1">
        <v>45394</v>
      </c>
      <c r="C2580" t="s">
        <v>16</v>
      </c>
      <c r="D2580" t="s">
        <v>95</v>
      </c>
      <c r="E2580" t="s">
        <v>18</v>
      </c>
      <c r="F2580">
        <v>1189.48</v>
      </c>
      <c r="G2580">
        <v>144.79</v>
      </c>
      <c r="H2580" t="s">
        <v>28</v>
      </c>
      <c r="I2580" t="s">
        <v>14</v>
      </c>
    </row>
    <row r="2581" spans="1:9" x14ac:dyDescent="0.35">
      <c r="A2581" t="s">
        <v>2617</v>
      </c>
      <c r="B2581" s="1">
        <v>44913</v>
      </c>
      <c r="C2581" t="s">
        <v>16</v>
      </c>
      <c r="D2581" t="s">
        <v>31</v>
      </c>
      <c r="E2581" t="s">
        <v>12</v>
      </c>
      <c r="F2581">
        <v>1790.35</v>
      </c>
      <c r="G2581">
        <v>402.68</v>
      </c>
      <c r="H2581" t="s">
        <v>28</v>
      </c>
      <c r="I2581" t="s">
        <v>29</v>
      </c>
    </row>
    <row r="2582" spans="1:9" x14ac:dyDescent="0.35">
      <c r="A2582" t="s">
        <v>2618</v>
      </c>
      <c r="B2582" s="1">
        <v>45021</v>
      </c>
      <c r="C2582" t="s">
        <v>25</v>
      </c>
      <c r="D2582" t="s">
        <v>26</v>
      </c>
      <c r="E2582" t="s">
        <v>27</v>
      </c>
      <c r="F2582">
        <v>79.680000000000007</v>
      </c>
      <c r="G2582">
        <v>23.36</v>
      </c>
      <c r="H2582" t="s">
        <v>19</v>
      </c>
      <c r="I2582" t="s">
        <v>20</v>
      </c>
    </row>
    <row r="2583" spans="1:9" x14ac:dyDescent="0.35">
      <c r="A2583" t="s">
        <v>2619</v>
      </c>
      <c r="B2583" s="1">
        <v>44780</v>
      </c>
      <c r="C2583" t="s">
        <v>10</v>
      </c>
      <c r="D2583" t="s">
        <v>97</v>
      </c>
      <c r="E2583" t="s">
        <v>27</v>
      </c>
      <c r="F2583">
        <v>1093.69</v>
      </c>
      <c r="G2583">
        <v>67.83</v>
      </c>
      <c r="H2583" t="s">
        <v>19</v>
      </c>
      <c r="I2583" t="s">
        <v>14</v>
      </c>
    </row>
    <row r="2584" spans="1:9" x14ac:dyDescent="0.35">
      <c r="A2584" t="s">
        <v>2620</v>
      </c>
      <c r="B2584" s="1">
        <v>44689</v>
      </c>
      <c r="C2584" t="s">
        <v>25</v>
      </c>
      <c r="D2584" t="s">
        <v>26</v>
      </c>
      <c r="E2584" t="s">
        <v>27</v>
      </c>
      <c r="F2584">
        <v>783.21</v>
      </c>
      <c r="G2584">
        <v>76.42</v>
      </c>
      <c r="H2584" t="s">
        <v>28</v>
      </c>
      <c r="I2584" t="s">
        <v>34</v>
      </c>
    </row>
    <row r="2585" spans="1:9" x14ac:dyDescent="0.35">
      <c r="A2585" t="s">
        <v>2621</v>
      </c>
      <c r="B2585" s="1">
        <v>44788</v>
      </c>
      <c r="C2585" t="s">
        <v>16</v>
      </c>
      <c r="D2585" t="s">
        <v>46</v>
      </c>
      <c r="E2585" t="s">
        <v>18</v>
      </c>
      <c r="F2585">
        <v>756.12</v>
      </c>
      <c r="G2585">
        <v>88.86</v>
      </c>
      <c r="H2585" t="s">
        <v>13</v>
      </c>
      <c r="I2585" t="s">
        <v>20</v>
      </c>
    </row>
    <row r="2586" spans="1:9" x14ac:dyDescent="0.35">
      <c r="A2586" t="s">
        <v>2622</v>
      </c>
      <c r="B2586" s="1">
        <v>45520</v>
      </c>
      <c r="C2586" t="s">
        <v>16</v>
      </c>
      <c r="D2586" t="s">
        <v>62</v>
      </c>
      <c r="E2586" t="s">
        <v>27</v>
      </c>
      <c r="F2586">
        <v>664.06</v>
      </c>
      <c r="G2586">
        <v>77.180000000000007</v>
      </c>
      <c r="H2586" t="s">
        <v>28</v>
      </c>
      <c r="I2586" t="s">
        <v>14</v>
      </c>
    </row>
    <row r="2587" spans="1:9" x14ac:dyDescent="0.35">
      <c r="A2587" t="s">
        <v>2623</v>
      </c>
      <c r="B2587" s="1">
        <v>45649</v>
      </c>
      <c r="C2587" t="s">
        <v>25</v>
      </c>
      <c r="D2587" t="s">
        <v>23</v>
      </c>
      <c r="E2587" t="s">
        <v>18</v>
      </c>
      <c r="F2587">
        <v>597.59</v>
      </c>
      <c r="G2587">
        <v>134.85</v>
      </c>
      <c r="H2587" t="s">
        <v>19</v>
      </c>
      <c r="I2587" t="s">
        <v>34</v>
      </c>
    </row>
    <row r="2588" spans="1:9" x14ac:dyDescent="0.35">
      <c r="A2588" t="s">
        <v>2624</v>
      </c>
      <c r="B2588" s="1">
        <v>44592</v>
      </c>
      <c r="C2588" t="s">
        <v>25</v>
      </c>
      <c r="D2588" t="s">
        <v>73</v>
      </c>
      <c r="E2588" t="s">
        <v>27</v>
      </c>
      <c r="F2588">
        <v>741.01</v>
      </c>
      <c r="G2588">
        <v>76.959999999999994</v>
      </c>
      <c r="H2588" t="s">
        <v>13</v>
      </c>
      <c r="I2588" t="s">
        <v>20</v>
      </c>
    </row>
    <row r="2589" spans="1:9" x14ac:dyDescent="0.35">
      <c r="A2589" t="s">
        <v>2625</v>
      </c>
      <c r="B2589" s="1">
        <v>44878</v>
      </c>
      <c r="C2589" t="s">
        <v>22</v>
      </c>
      <c r="D2589" t="s">
        <v>31</v>
      </c>
      <c r="E2589" t="s">
        <v>12</v>
      </c>
      <c r="F2589">
        <v>1975.77</v>
      </c>
      <c r="G2589">
        <v>550.88</v>
      </c>
      <c r="H2589" t="s">
        <v>28</v>
      </c>
      <c r="I2589" t="s">
        <v>20</v>
      </c>
    </row>
    <row r="2590" spans="1:9" x14ac:dyDescent="0.35">
      <c r="A2590" t="s">
        <v>2626</v>
      </c>
      <c r="B2590" s="1">
        <v>45129</v>
      </c>
      <c r="C2590" t="s">
        <v>16</v>
      </c>
      <c r="D2590" t="s">
        <v>57</v>
      </c>
      <c r="E2590" t="s">
        <v>27</v>
      </c>
      <c r="F2590">
        <v>1477.66</v>
      </c>
      <c r="G2590">
        <v>204.26</v>
      </c>
      <c r="H2590" t="s">
        <v>28</v>
      </c>
      <c r="I2590" t="s">
        <v>34</v>
      </c>
    </row>
    <row r="2591" spans="1:9" x14ac:dyDescent="0.35">
      <c r="A2591" t="s">
        <v>2627</v>
      </c>
      <c r="B2591" s="1">
        <v>44990</v>
      </c>
      <c r="C2591" t="s">
        <v>25</v>
      </c>
      <c r="D2591" t="s">
        <v>31</v>
      </c>
      <c r="E2591" t="s">
        <v>12</v>
      </c>
      <c r="F2591">
        <v>1180.17</v>
      </c>
      <c r="G2591">
        <v>343.24</v>
      </c>
      <c r="H2591" t="s">
        <v>19</v>
      </c>
      <c r="I2591" t="s">
        <v>29</v>
      </c>
    </row>
    <row r="2592" spans="1:9" x14ac:dyDescent="0.35">
      <c r="A2592" t="s">
        <v>2628</v>
      </c>
      <c r="B2592" s="1">
        <v>45579</v>
      </c>
      <c r="C2592" t="s">
        <v>16</v>
      </c>
      <c r="D2592" t="s">
        <v>38</v>
      </c>
      <c r="E2592" t="s">
        <v>12</v>
      </c>
      <c r="F2592">
        <v>266.66000000000003</v>
      </c>
      <c r="G2592">
        <v>57.6</v>
      </c>
      <c r="H2592" t="s">
        <v>19</v>
      </c>
      <c r="I2592" t="s">
        <v>14</v>
      </c>
    </row>
    <row r="2593" spans="1:9" x14ac:dyDescent="0.35">
      <c r="A2593" t="s">
        <v>2629</v>
      </c>
      <c r="B2593" s="1">
        <v>45102</v>
      </c>
      <c r="C2593" t="s">
        <v>22</v>
      </c>
      <c r="D2593" t="s">
        <v>38</v>
      </c>
      <c r="E2593" t="s">
        <v>12</v>
      </c>
      <c r="F2593">
        <v>1997.19</v>
      </c>
      <c r="G2593">
        <v>237.5</v>
      </c>
      <c r="H2593" t="s">
        <v>19</v>
      </c>
      <c r="I2593" t="s">
        <v>20</v>
      </c>
    </row>
    <row r="2594" spans="1:9" x14ac:dyDescent="0.35">
      <c r="A2594" t="s">
        <v>2630</v>
      </c>
      <c r="B2594" s="1">
        <v>44864</v>
      </c>
      <c r="C2594" t="s">
        <v>25</v>
      </c>
      <c r="D2594" t="s">
        <v>11</v>
      </c>
      <c r="E2594" t="s">
        <v>12</v>
      </c>
      <c r="F2594">
        <v>477.5</v>
      </c>
      <c r="G2594">
        <v>35.99</v>
      </c>
      <c r="H2594" t="s">
        <v>19</v>
      </c>
      <c r="I2594" t="s">
        <v>14</v>
      </c>
    </row>
    <row r="2595" spans="1:9" x14ac:dyDescent="0.35">
      <c r="A2595" t="s">
        <v>2631</v>
      </c>
      <c r="B2595" s="1">
        <v>44725</v>
      </c>
      <c r="C2595" t="s">
        <v>16</v>
      </c>
      <c r="D2595" t="s">
        <v>95</v>
      </c>
      <c r="E2595" t="s">
        <v>18</v>
      </c>
      <c r="F2595">
        <v>676.47</v>
      </c>
      <c r="G2595">
        <v>138.94</v>
      </c>
      <c r="H2595" t="s">
        <v>28</v>
      </c>
      <c r="I2595" t="s">
        <v>14</v>
      </c>
    </row>
    <row r="2596" spans="1:9" x14ac:dyDescent="0.35">
      <c r="A2596" t="s">
        <v>2632</v>
      </c>
      <c r="B2596" s="1">
        <v>45228</v>
      </c>
      <c r="C2596" t="s">
        <v>25</v>
      </c>
      <c r="D2596" t="s">
        <v>31</v>
      </c>
      <c r="E2596" t="s">
        <v>12</v>
      </c>
      <c r="F2596">
        <v>1771.99</v>
      </c>
      <c r="G2596">
        <v>388.42</v>
      </c>
      <c r="H2596" t="s">
        <v>19</v>
      </c>
      <c r="I2596" t="s">
        <v>29</v>
      </c>
    </row>
    <row r="2597" spans="1:9" x14ac:dyDescent="0.35">
      <c r="A2597" t="s">
        <v>2633</v>
      </c>
      <c r="B2597" s="1">
        <v>45643</v>
      </c>
      <c r="C2597" t="s">
        <v>16</v>
      </c>
      <c r="D2597" t="s">
        <v>17</v>
      </c>
      <c r="E2597" t="s">
        <v>18</v>
      </c>
      <c r="F2597">
        <v>1338.75</v>
      </c>
      <c r="G2597">
        <v>160.09</v>
      </c>
      <c r="H2597" t="s">
        <v>13</v>
      </c>
      <c r="I2597" t="s">
        <v>29</v>
      </c>
    </row>
    <row r="2598" spans="1:9" x14ac:dyDescent="0.35">
      <c r="A2598" t="s">
        <v>2634</v>
      </c>
      <c r="B2598" s="1">
        <v>45575</v>
      </c>
      <c r="C2598" t="s">
        <v>16</v>
      </c>
      <c r="D2598" t="s">
        <v>31</v>
      </c>
      <c r="E2598" t="s">
        <v>12</v>
      </c>
      <c r="F2598">
        <v>1727.33</v>
      </c>
      <c r="G2598">
        <v>330.66</v>
      </c>
      <c r="H2598" t="s">
        <v>28</v>
      </c>
      <c r="I2598" t="s">
        <v>29</v>
      </c>
    </row>
    <row r="2599" spans="1:9" x14ac:dyDescent="0.35">
      <c r="A2599" t="s">
        <v>2635</v>
      </c>
      <c r="B2599" s="1">
        <v>45579</v>
      </c>
      <c r="C2599" t="s">
        <v>25</v>
      </c>
      <c r="D2599" t="s">
        <v>38</v>
      </c>
      <c r="E2599" t="s">
        <v>12</v>
      </c>
      <c r="F2599">
        <v>1259.5999999999999</v>
      </c>
      <c r="G2599">
        <v>204.62</v>
      </c>
      <c r="H2599" t="s">
        <v>13</v>
      </c>
      <c r="I2599" t="s">
        <v>29</v>
      </c>
    </row>
    <row r="2600" spans="1:9" x14ac:dyDescent="0.35">
      <c r="A2600" t="s">
        <v>2636</v>
      </c>
      <c r="B2600" s="1">
        <v>45141</v>
      </c>
      <c r="C2600" t="s">
        <v>16</v>
      </c>
      <c r="D2600" t="s">
        <v>38</v>
      </c>
      <c r="E2600" t="s">
        <v>12</v>
      </c>
      <c r="F2600">
        <v>544.72</v>
      </c>
      <c r="G2600">
        <v>90.2</v>
      </c>
      <c r="H2600" t="s">
        <v>13</v>
      </c>
      <c r="I2600" t="s">
        <v>14</v>
      </c>
    </row>
    <row r="2601" spans="1:9" x14ac:dyDescent="0.35">
      <c r="A2601" t="s">
        <v>2637</v>
      </c>
      <c r="B2601" s="1">
        <v>45526</v>
      </c>
      <c r="C2601" t="s">
        <v>10</v>
      </c>
      <c r="D2601" t="s">
        <v>50</v>
      </c>
      <c r="E2601" t="s">
        <v>12</v>
      </c>
      <c r="F2601">
        <v>490.59</v>
      </c>
      <c r="G2601">
        <v>92.81</v>
      </c>
      <c r="H2601" t="s">
        <v>19</v>
      </c>
      <c r="I2601" t="s">
        <v>29</v>
      </c>
    </row>
    <row r="2602" spans="1:9" x14ac:dyDescent="0.35">
      <c r="A2602" t="s">
        <v>2638</v>
      </c>
      <c r="B2602" s="1">
        <v>45287</v>
      </c>
      <c r="C2602" t="s">
        <v>22</v>
      </c>
      <c r="D2602" t="s">
        <v>46</v>
      </c>
      <c r="E2602" t="s">
        <v>18</v>
      </c>
      <c r="F2602">
        <v>1905.08</v>
      </c>
      <c r="G2602">
        <v>495.99</v>
      </c>
      <c r="H2602" t="s">
        <v>19</v>
      </c>
      <c r="I2602" t="s">
        <v>20</v>
      </c>
    </row>
    <row r="2603" spans="1:9" x14ac:dyDescent="0.35">
      <c r="A2603" t="s">
        <v>2639</v>
      </c>
      <c r="B2603" s="1">
        <v>44900</v>
      </c>
      <c r="C2603" t="s">
        <v>10</v>
      </c>
      <c r="D2603" t="s">
        <v>57</v>
      </c>
      <c r="E2603" t="s">
        <v>27</v>
      </c>
      <c r="F2603">
        <v>347.42</v>
      </c>
      <c r="G2603">
        <v>74.430000000000007</v>
      </c>
      <c r="H2603" t="s">
        <v>19</v>
      </c>
      <c r="I2603" t="s">
        <v>14</v>
      </c>
    </row>
    <row r="2604" spans="1:9" x14ac:dyDescent="0.35">
      <c r="A2604" t="s">
        <v>2640</v>
      </c>
      <c r="B2604" s="1">
        <v>45243</v>
      </c>
      <c r="C2604" t="s">
        <v>10</v>
      </c>
      <c r="D2604" t="s">
        <v>38</v>
      </c>
      <c r="E2604" t="s">
        <v>12</v>
      </c>
      <c r="F2604">
        <v>308.12</v>
      </c>
      <c r="G2604">
        <v>47.96</v>
      </c>
      <c r="H2604" t="s">
        <v>28</v>
      </c>
      <c r="I2604" t="s">
        <v>29</v>
      </c>
    </row>
    <row r="2605" spans="1:9" x14ac:dyDescent="0.35">
      <c r="A2605" t="s">
        <v>2641</v>
      </c>
      <c r="B2605" s="1">
        <v>44633</v>
      </c>
      <c r="C2605" t="s">
        <v>16</v>
      </c>
      <c r="D2605" t="s">
        <v>41</v>
      </c>
      <c r="E2605" t="s">
        <v>12</v>
      </c>
      <c r="F2605">
        <v>1406.14</v>
      </c>
      <c r="G2605">
        <v>286.3</v>
      </c>
      <c r="H2605" t="s">
        <v>19</v>
      </c>
      <c r="I2605" t="s">
        <v>14</v>
      </c>
    </row>
    <row r="2606" spans="1:9" x14ac:dyDescent="0.35">
      <c r="A2606" t="s">
        <v>2642</v>
      </c>
      <c r="B2606" s="1">
        <v>44809</v>
      </c>
      <c r="C2606" t="s">
        <v>10</v>
      </c>
      <c r="D2606" t="s">
        <v>73</v>
      </c>
      <c r="E2606" t="s">
        <v>27</v>
      </c>
      <c r="F2606">
        <v>544.77</v>
      </c>
      <c r="G2606">
        <v>81.819999999999993</v>
      </c>
      <c r="H2606" t="s">
        <v>13</v>
      </c>
      <c r="I2606" t="s">
        <v>20</v>
      </c>
    </row>
    <row r="2607" spans="1:9" x14ac:dyDescent="0.35">
      <c r="A2607" t="s">
        <v>2643</v>
      </c>
      <c r="B2607" s="1">
        <v>44744</v>
      </c>
      <c r="C2607" t="s">
        <v>25</v>
      </c>
      <c r="D2607" t="s">
        <v>33</v>
      </c>
      <c r="E2607" t="s">
        <v>18</v>
      </c>
      <c r="F2607">
        <v>1629.79</v>
      </c>
      <c r="G2607">
        <v>84.58</v>
      </c>
      <c r="H2607" t="s">
        <v>19</v>
      </c>
      <c r="I2607" t="s">
        <v>29</v>
      </c>
    </row>
    <row r="2608" spans="1:9" x14ac:dyDescent="0.35">
      <c r="A2608" t="s">
        <v>2644</v>
      </c>
      <c r="B2608" s="1">
        <v>45057</v>
      </c>
      <c r="C2608" t="s">
        <v>22</v>
      </c>
      <c r="D2608" t="s">
        <v>50</v>
      </c>
      <c r="E2608" t="s">
        <v>12</v>
      </c>
      <c r="F2608">
        <v>1604.11</v>
      </c>
      <c r="G2608">
        <v>292.37</v>
      </c>
      <c r="H2608" t="s">
        <v>13</v>
      </c>
      <c r="I2608" t="s">
        <v>34</v>
      </c>
    </row>
    <row r="2609" spans="1:9" x14ac:dyDescent="0.35">
      <c r="A2609" t="s">
        <v>2645</v>
      </c>
      <c r="B2609" s="1">
        <v>45007</v>
      </c>
      <c r="C2609" t="s">
        <v>16</v>
      </c>
      <c r="D2609" t="s">
        <v>57</v>
      </c>
      <c r="E2609" t="s">
        <v>27</v>
      </c>
      <c r="F2609">
        <v>1801.86</v>
      </c>
      <c r="G2609">
        <v>125.81</v>
      </c>
      <c r="H2609" t="s">
        <v>19</v>
      </c>
      <c r="I2609" t="s">
        <v>29</v>
      </c>
    </row>
    <row r="2610" spans="1:9" x14ac:dyDescent="0.35">
      <c r="A2610" t="s">
        <v>2646</v>
      </c>
      <c r="B2610" s="1">
        <v>45048</v>
      </c>
      <c r="C2610" t="s">
        <v>16</v>
      </c>
      <c r="D2610" t="s">
        <v>97</v>
      </c>
      <c r="E2610" t="s">
        <v>27</v>
      </c>
      <c r="F2610">
        <v>1822.61</v>
      </c>
      <c r="G2610">
        <v>266.79000000000002</v>
      </c>
      <c r="H2610" t="s">
        <v>19</v>
      </c>
      <c r="I2610" t="s">
        <v>29</v>
      </c>
    </row>
    <row r="2611" spans="1:9" x14ac:dyDescent="0.35">
      <c r="A2611" t="s">
        <v>2647</v>
      </c>
      <c r="B2611" s="1">
        <v>45121</v>
      </c>
      <c r="C2611" t="s">
        <v>22</v>
      </c>
      <c r="D2611" t="s">
        <v>73</v>
      </c>
      <c r="E2611" t="s">
        <v>27</v>
      </c>
      <c r="F2611">
        <v>1744.8</v>
      </c>
      <c r="G2611">
        <v>133.6</v>
      </c>
      <c r="H2611" t="s">
        <v>28</v>
      </c>
      <c r="I2611" t="s">
        <v>14</v>
      </c>
    </row>
    <row r="2612" spans="1:9" x14ac:dyDescent="0.35">
      <c r="A2612" t="s">
        <v>2648</v>
      </c>
      <c r="B2612" s="1">
        <v>44682</v>
      </c>
      <c r="C2612" t="s">
        <v>16</v>
      </c>
      <c r="D2612" t="s">
        <v>17</v>
      </c>
      <c r="E2612" t="s">
        <v>18</v>
      </c>
      <c r="F2612">
        <v>1432.26</v>
      </c>
      <c r="G2612">
        <v>386.52</v>
      </c>
      <c r="H2612" t="s">
        <v>19</v>
      </c>
      <c r="I2612" t="s">
        <v>34</v>
      </c>
    </row>
    <row r="2613" spans="1:9" x14ac:dyDescent="0.35">
      <c r="A2613" t="s">
        <v>2649</v>
      </c>
      <c r="B2613" s="1">
        <v>44948</v>
      </c>
      <c r="C2613" t="s">
        <v>16</v>
      </c>
      <c r="D2613" t="s">
        <v>17</v>
      </c>
      <c r="E2613" t="s">
        <v>18</v>
      </c>
      <c r="F2613">
        <v>785.76</v>
      </c>
      <c r="G2613">
        <v>130.41999999999999</v>
      </c>
      <c r="H2613" t="s">
        <v>28</v>
      </c>
      <c r="I2613" t="s">
        <v>29</v>
      </c>
    </row>
    <row r="2614" spans="1:9" x14ac:dyDescent="0.35">
      <c r="A2614" t="s">
        <v>2650</v>
      </c>
      <c r="B2614" s="1">
        <v>45593</v>
      </c>
      <c r="C2614" t="s">
        <v>22</v>
      </c>
      <c r="D2614" t="s">
        <v>97</v>
      </c>
      <c r="E2614" t="s">
        <v>27</v>
      </c>
      <c r="F2614">
        <v>1783.94</v>
      </c>
      <c r="G2614">
        <v>229.44</v>
      </c>
      <c r="H2614" t="s">
        <v>28</v>
      </c>
      <c r="I2614" t="s">
        <v>34</v>
      </c>
    </row>
    <row r="2615" spans="1:9" x14ac:dyDescent="0.35">
      <c r="A2615" t="s">
        <v>2651</v>
      </c>
      <c r="B2615" s="1">
        <v>44955</v>
      </c>
      <c r="C2615" t="s">
        <v>16</v>
      </c>
      <c r="D2615" t="s">
        <v>41</v>
      </c>
      <c r="E2615" t="s">
        <v>12</v>
      </c>
      <c r="F2615">
        <v>548.74</v>
      </c>
      <c r="G2615">
        <v>143.83000000000001</v>
      </c>
      <c r="H2615" t="s">
        <v>28</v>
      </c>
      <c r="I2615" t="s">
        <v>20</v>
      </c>
    </row>
    <row r="2616" spans="1:9" x14ac:dyDescent="0.35">
      <c r="A2616" t="s">
        <v>2652</v>
      </c>
      <c r="B2616" s="1">
        <v>44762</v>
      </c>
      <c r="C2616" t="s">
        <v>25</v>
      </c>
      <c r="D2616" t="s">
        <v>46</v>
      </c>
      <c r="E2616" t="s">
        <v>18</v>
      </c>
      <c r="F2616">
        <v>535.96</v>
      </c>
      <c r="G2616">
        <v>39.979999999999997</v>
      </c>
      <c r="H2616" t="s">
        <v>19</v>
      </c>
      <c r="I2616" t="s">
        <v>29</v>
      </c>
    </row>
    <row r="2617" spans="1:9" x14ac:dyDescent="0.35">
      <c r="A2617" t="s">
        <v>2653</v>
      </c>
      <c r="B2617" s="1">
        <v>45029</v>
      </c>
      <c r="C2617" t="s">
        <v>10</v>
      </c>
      <c r="D2617" t="s">
        <v>38</v>
      </c>
      <c r="E2617" t="s">
        <v>12</v>
      </c>
      <c r="F2617">
        <v>1623.18</v>
      </c>
      <c r="G2617">
        <v>191.5</v>
      </c>
      <c r="H2617" t="s">
        <v>13</v>
      </c>
      <c r="I2617" t="s">
        <v>34</v>
      </c>
    </row>
    <row r="2618" spans="1:9" x14ac:dyDescent="0.35">
      <c r="A2618" t="s">
        <v>2654</v>
      </c>
      <c r="B2618" s="1">
        <v>45099</v>
      </c>
      <c r="C2618" t="s">
        <v>16</v>
      </c>
      <c r="D2618" t="s">
        <v>62</v>
      </c>
      <c r="E2618" t="s">
        <v>27</v>
      </c>
      <c r="F2618">
        <v>1615.21</v>
      </c>
      <c r="G2618">
        <v>198.72</v>
      </c>
      <c r="H2618" t="s">
        <v>28</v>
      </c>
      <c r="I2618" t="s">
        <v>34</v>
      </c>
    </row>
    <row r="2619" spans="1:9" x14ac:dyDescent="0.35">
      <c r="A2619" t="s">
        <v>2655</v>
      </c>
      <c r="B2619" s="1">
        <v>44855</v>
      </c>
      <c r="C2619" t="s">
        <v>25</v>
      </c>
      <c r="D2619" t="s">
        <v>17</v>
      </c>
      <c r="E2619" t="s">
        <v>18</v>
      </c>
      <c r="F2619">
        <v>1490.66</v>
      </c>
      <c r="G2619">
        <v>109.98</v>
      </c>
      <c r="H2619" t="s">
        <v>13</v>
      </c>
      <c r="I2619" t="s">
        <v>20</v>
      </c>
    </row>
    <row r="2620" spans="1:9" x14ac:dyDescent="0.35">
      <c r="A2620" t="s">
        <v>2656</v>
      </c>
      <c r="B2620" s="1">
        <v>44884</v>
      </c>
      <c r="C2620" t="s">
        <v>25</v>
      </c>
      <c r="D2620" t="s">
        <v>38</v>
      </c>
      <c r="E2620" t="s">
        <v>12</v>
      </c>
      <c r="F2620">
        <v>138.69999999999999</v>
      </c>
      <c r="G2620">
        <v>21.34</v>
      </c>
      <c r="H2620" t="s">
        <v>13</v>
      </c>
      <c r="I2620" t="s">
        <v>34</v>
      </c>
    </row>
    <row r="2621" spans="1:9" x14ac:dyDescent="0.35">
      <c r="A2621" t="s">
        <v>2657</v>
      </c>
      <c r="B2621" s="1">
        <v>44784</v>
      </c>
      <c r="C2621" t="s">
        <v>22</v>
      </c>
      <c r="D2621" t="s">
        <v>26</v>
      </c>
      <c r="E2621" t="s">
        <v>27</v>
      </c>
      <c r="F2621">
        <v>1339.21</v>
      </c>
      <c r="G2621">
        <v>95.36</v>
      </c>
      <c r="H2621" t="s">
        <v>19</v>
      </c>
      <c r="I2621" t="s">
        <v>14</v>
      </c>
    </row>
    <row r="2622" spans="1:9" x14ac:dyDescent="0.35">
      <c r="A2622" t="s">
        <v>2658</v>
      </c>
      <c r="B2622" s="1">
        <v>45228</v>
      </c>
      <c r="C2622" t="s">
        <v>22</v>
      </c>
      <c r="D2622" t="s">
        <v>41</v>
      </c>
      <c r="E2622" t="s">
        <v>12</v>
      </c>
      <c r="F2622">
        <v>1728.21</v>
      </c>
      <c r="G2622">
        <v>87.85</v>
      </c>
      <c r="H2622" t="s">
        <v>19</v>
      </c>
      <c r="I2622" t="s">
        <v>14</v>
      </c>
    </row>
    <row r="2623" spans="1:9" x14ac:dyDescent="0.35">
      <c r="A2623" t="s">
        <v>2659</v>
      </c>
      <c r="B2623" s="1">
        <v>44987</v>
      </c>
      <c r="C2623" t="s">
        <v>22</v>
      </c>
      <c r="D2623" t="s">
        <v>50</v>
      </c>
      <c r="E2623" t="s">
        <v>12</v>
      </c>
      <c r="F2623">
        <v>1408.81</v>
      </c>
      <c r="G2623">
        <v>183.4</v>
      </c>
      <c r="H2623" t="s">
        <v>13</v>
      </c>
      <c r="I2623" t="s">
        <v>20</v>
      </c>
    </row>
    <row r="2624" spans="1:9" x14ac:dyDescent="0.35">
      <c r="A2624" t="s">
        <v>2660</v>
      </c>
      <c r="B2624" s="1">
        <v>45140</v>
      </c>
      <c r="C2624" t="s">
        <v>25</v>
      </c>
      <c r="D2624" t="s">
        <v>95</v>
      </c>
      <c r="E2624" t="s">
        <v>18</v>
      </c>
      <c r="F2624">
        <v>747.87</v>
      </c>
      <c r="G2624">
        <v>145.94999999999999</v>
      </c>
      <c r="H2624" t="s">
        <v>19</v>
      </c>
      <c r="I2624" t="s">
        <v>20</v>
      </c>
    </row>
    <row r="2625" spans="1:9" x14ac:dyDescent="0.35">
      <c r="A2625" t="s">
        <v>2661</v>
      </c>
      <c r="B2625" s="1">
        <v>45001</v>
      </c>
      <c r="C2625" t="s">
        <v>25</v>
      </c>
      <c r="D2625" t="s">
        <v>95</v>
      </c>
      <c r="E2625" t="s">
        <v>18</v>
      </c>
      <c r="F2625">
        <v>1937.61</v>
      </c>
      <c r="G2625">
        <v>244.17</v>
      </c>
      <c r="H2625" t="s">
        <v>19</v>
      </c>
      <c r="I2625" t="s">
        <v>14</v>
      </c>
    </row>
    <row r="2626" spans="1:9" x14ac:dyDescent="0.35">
      <c r="A2626" t="s">
        <v>2662</v>
      </c>
      <c r="B2626" s="1">
        <v>45300</v>
      </c>
      <c r="C2626" t="s">
        <v>25</v>
      </c>
      <c r="D2626" t="s">
        <v>62</v>
      </c>
      <c r="E2626" t="s">
        <v>27</v>
      </c>
      <c r="F2626">
        <v>82.22</v>
      </c>
      <c r="G2626">
        <v>12.34</v>
      </c>
      <c r="H2626" t="s">
        <v>13</v>
      </c>
      <c r="I2626" t="s">
        <v>29</v>
      </c>
    </row>
    <row r="2627" spans="1:9" x14ac:dyDescent="0.35">
      <c r="A2627" t="s">
        <v>2663</v>
      </c>
      <c r="B2627" s="1">
        <v>44815</v>
      </c>
      <c r="C2627" t="s">
        <v>16</v>
      </c>
      <c r="D2627" t="s">
        <v>33</v>
      </c>
      <c r="E2627" t="s">
        <v>18</v>
      </c>
      <c r="F2627">
        <v>1188.4000000000001</v>
      </c>
      <c r="G2627">
        <v>221.8</v>
      </c>
      <c r="H2627" t="s">
        <v>19</v>
      </c>
      <c r="I2627" t="s">
        <v>29</v>
      </c>
    </row>
    <row r="2628" spans="1:9" x14ac:dyDescent="0.35">
      <c r="A2628" t="s">
        <v>2664</v>
      </c>
      <c r="B2628" s="1">
        <v>45326</v>
      </c>
      <c r="C2628" t="s">
        <v>10</v>
      </c>
      <c r="D2628" t="s">
        <v>62</v>
      </c>
      <c r="E2628" t="s">
        <v>27</v>
      </c>
      <c r="F2628">
        <v>1947.95</v>
      </c>
      <c r="G2628">
        <v>445.12</v>
      </c>
      <c r="H2628" t="s">
        <v>28</v>
      </c>
      <c r="I2628" t="s">
        <v>29</v>
      </c>
    </row>
    <row r="2629" spans="1:9" x14ac:dyDescent="0.35">
      <c r="A2629" t="s">
        <v>2665</v>
      </c>
      <c r="B2629" s="1">
        <v>44979</v>
      </c>
      <c r="C2629" t="s">
        <v>16</v>
      </c>
      <c r="D2629" t="s">
        <v>95</v>
      </c>
      <c r="E2629" t="s">
        <v>18</v>
      </c>
      <c r="F2629">
        <v>1644.43</v>
      </c>
      <c r="G2629">
        <v>341.08</v>
      </c>
      <c r="H2629" t="s">
        <v>19</v>
      </c>
      <c r="I2629" t="s">
        <v>34</v>
      </c>
    </row>
    <row r="2630" spans="1:9" x14ac:dyDescent="0.35">
      <c r="A2630" t="s">
        <v>2666</v>
      </c>
      <c r="B2630" s="1">
        <v>45339</v>
      </c>
      <c r="C2630" t="s">
        <v>16</v>
      </c>
      <c r="D2630" t="s">
        <v>11</v>
      </c>
      <c r="E2630" t="s">
        <v>12</v>
      </c>
      <c r="F2630">
        <v>1816.03</v>
      </c>
      <c r="G2630">
        <v>223.63</v>
      </c>
      <c r="H2630" t="s">
        <v>13</v>
      </c>
      <c r="I2630" t="s">
        <v>34</v>
      </c>
    </row>
    <row r="2631" spans="1:9" x14ac:dyDescent="0.35">
      <c r="A2631" t="s">
        <v>2667</v>
      </c>
      <c r="B2631" s="1">
        <v>44990</v>
      </c>
      <c r="C2631" t="s">
        <v>16</v>
      </c>
      <c r="D2631" t="s">
        <v>31</v>
      </c>
      <c r="E2631" t="s">
        <v>12</v>
      </c>
      <c r="F2631">
        <v>203.51</v>
      </c>
      <c r="G2631">
        <v>30.09</v>
      </c>
      <c r="H2631" t="s">
        <v>13</v>
      </c>
      <c r="I2631" t="s">
        <v>14</v>
      </c>
    </row>
    <row r="2632" spans="1:9" x14ac:dyDescent="0.35">
      <c r="A2632" t="s">
        <v>2668</v>
      </c>
      <c r="B2632" s="1">
        <v>45083</v>
      </c>
      <c r="C2632" t="s">
        <v>10</v>
      </c>
      <c r="D2632" t="s">
        <v>97</v>
      </c>
      <c r="E2632" t="s">
        <v>27</v>
      </c>
      <c r="F2632">
        <v>982.8</v>
      </c>
      <c r="G2632">
        <v>142.51</v>
      </c>
      <c r="H2632" t="s">
        <v>13</v>
      </c>
      <c r="I2632" t="s">
        <v>20</v>
      </c>
    </row>
    <row r="2633" spans="1:9" x14ac:dyDescent="0.35">
      <c r="A2633" t="s">
        <v>2669</v>
      </c>
      <c r="B2633" s="1">
        <v>45258</v>
      </c>
      <c r="C2633" t="s">
        <v>10</v>
      </c>
      <c r="D2633" t="s">
        <v>57</v>
      </c>
      <c r="E2633" t="s">
        <v>27</v>
      </c>
      <c r="F2633">
        <v>478.84</v>
      </c>
      <c r="G2633">
        <v>99.27</v>
      </c>
      <c r="H2633" t="s">
        <v>13</v>
      </c>
      <c r="I2633" t="s">
        <v>14</v>
      </c>
    </row>
    <row r="2634" spans="1:9" x14ac:dyDescent="0.35">
      <c r="A2634" t="s">
        <v>2670</v>
      </c>
      <c r="B2634" s="1">
        <v>45540</v>
      </c>
      <c r="C2634" t="s">
        <v>16</v>
      </c>
      <c r="D2634" t="s">
        <v>23</v>
      </c>
      <c r="E2634" t="s">
        <v>18</v>
      </c>
      <c r="F2634">
        <v>1259.75</v>
      </c>
      <c r="G2634">
        <v>246.23</v>
      </c>
      <c r="H2634" t="s">
        <v>19</v>
      </c>
      <c r="I2634" t="s">
        <v>34</v>
      </c>
    </row>
    <row r="2635" spans="1:9" x14ac:dyDescent="0.35">
      <c r="A2635" t="s">
        <v>2671</v>
      </c>
      <c r="B2635" s="1">
        <v>44789</v>
      </c>
      <c r="C2635" t="s">
        <v>25</v>
      </c>
      <c r="D2635" t="s">
        <v>38</v>
      </c>
      <c r="E2635" t="s">
        <v>12</v>
      </c>
      <c r="F2635">
        <v>1217.54</v>
      </c>
      <c r="G2635">
        <v>173.65</v>
      </c>
      <c r="H2635" t="s">
        <v>19</v>
      </c>
      <c r="I2635" t="s">
        <v>20</v>
      </c>
    </row>
    <row r="2636" spans="1:9" x14ac:dyDescent="0.35">
      <c r="A2636" t="s">
        <v>2672</v>
      </c>
      <c r="B2636" s="1">
        <v>45622</v>
      </c>
      <c r="C2636" t="s">
        <v>10</v>
      </c>
      <c r="D2636" t="s">
        <v>97</v>
      </c>
      <c r="E2636" t="s">
        <v>27</v>
      </c>
      <c r="F2636">
        <v>1177.83</v>
      </c>
      <c r="G2636">
        <v>283.66000000000003</v>
      </c>
      <c r="H2636" t="s">
        <v>19</v>
      </c>
      <c r="I2636" t="s">
        <v>34</v>
      </c>
    </row>
    <row r="2637" spans="1:9" x14ac:dyDescent="0.35">
      <c r="A2637" t="s">
        <v>2673</v>
      </c>
      <c r="B2637" s="1">
        <v>44683</v>
      </c>
      <c r="C2637" t="s">
        <v>16</v>
      </c>
      <c r="D2637" t="s">
        <v>38</v>
      </c>
      <c r="E2637" t="s">
        <v>12</v>
      </c>
      <c r="F2637">
        <v>373.1</v>
      </c>
      <c r="G2637">
        <v>88.6</v>
      </c>
      <c r="H2637" t="s">
        <v>13</v>
      </c>
      <c r="I2637" t="s">
        <v>20</v>
      </c>
    </row>
    <row r="2638" spans="1:9" x14ac:dyDescent="0.35">
      <c r="A2638" t="s">
        <v>2674</v>
      </c>
      <c r="B2638" s="1">
        <v>45606</v>
      </c>
      <c r="C2638" t="s">
        <v>10</v>
      </c>
      <c r="D2638" t="s">
        <v>11</v>
      </c>
      <c r="E2638" t="s">
        <v>12</v>
      </c>
      <c r="F2638">
        <v>1606.68</v>
      </c>
      <c r="G2638">
        <v>92.27</v>
      </c>
      <c r="H2638" t="s">
        <v>13</v>
      </c>
      <c r="I2638" t="s">
        <v>14</v>
      </c>
    </row>
    <row r="2639" spans="1:9" x14ac:dyDescent="0.35">
      <c r="A2639" t="s">
        <v>2675</v>
      </c>
      <c r="B2639" s="1">
        <v>45629</v>
      </c>
      <c r="C2639" t="s">
        <v>16</v>
      </c>
      <c r="D2639" t="s">
        <v>41</v>
      </c>
      <c r="E2639" t="s">
        <v>12</v>
      </c>
      <c r="F2639">
        <v>1780.4</v>
      </c>
      <c r="G2639">
        <v>230.24</v>
      </c>
      <c r="H2639" t="s">
        <v>28</v>
      </c>
      <c r="I2639" t="s">
        <v>34</v>
      </c>
    </row>
    <row r="2640" spans="1:9" x14ac:dyDescent="0.35">
      <c r="A2640" t="s">
        <v>2676</v>
      </c>
      <c r="B2640" s="1">
        <v>45366</v>
      </c>
      <c r="C2640" t="s">
        <v>16</v>
      </c>
      <c r="D2640" t="s">
        <v>23</v>
      </c>
      <c r="E2640" t="s">
        <v>18</v>
      </c>
      <c r="F2640">
        <v>170.04</v>
      </c>
      <c r="G2640">
        <v>46.13</v>
      </c>
      <c r="H2640" t="s">
        <v>13</v>
      </c>
      <c r="I2640" t="s">
        <v>20</v>
      </c>
    </row>
    <row r="2641" spans="1:9" x14ac:dyDescent="0.35">
      <c r="A2641" t="s">
        <v>2677</v>
      </c>
      <c r="B2641" s="1">
        <v>45335</v>
      </c>
      <c r="C2641" t="s">
        <v>25</v>
      </c>
      <c r="D2641" t="s">
        <v>38</v>
      </c>
      <c r="E2641" t="s">
        <v>12</v>
      </c>
      <c r="F2641">
        <v>927.5</v>
      </c>
      <c r="G2641">
        <v>272.77</v>
      </c>
      <c r="H2641" t="s">
        <v>13</v>
      </c>
      <c r="I2641" t="s">
        <v>34</v>
      </c>
    </row>
    <row r="2642" spans="1:9" x14ac:dyDescent="0.35">
      <c r="A2642" t="s">
        <v>2678</v>
      </c>
      <c r="B2642" s="1">
        <v>45065</v>
      </c>
      <c r="C2642" t="s">
        <v>22</v>
      </c>
      <c r="D2642" t="s">
        <v>23</v>
      </c>
      <c r="E2642" t="s">
        <v>18</v>
      </c>
      <c r="F2642">
        <v>1815.2</v>
      </c>
      <c r="G2642">
        <v>278.36</v>
      </c>
      <c r="H2642" t="s">
        <v>28</v>
      </c>
      <c r="I2642" t="s">
        <v>29</v>
      </c>
    </row>
    <row r="2643" spans="1:9" x14ac:dyDescent="0.35">
      <c r="A2643" t="s">
        <v>2679</v>
      </c>
      <c r="B2643" s="1">
        <v>45222</v>
      </c>
      <c r="C2643" t="s">
        <v>10</v>
      </c>
      <c r="D2643" t="s">
        <v>31</v>
      </c>
      <c r="E2643" t="s">
        <v>12</v>
      </c>
      <c r="F2643">
        <v>484.24</v>
      </c>
      <c r="G2643">
        <v>99.66</v>
      </c>
      <c r="H2643" t="s">
        <v>13</v>
      </c>
      <c r="I2643" t="s">
        <v>20</v>
      </c>
    </row>
    <row r="2644" spans="1:9" x14ac:dyDescent="0.35">
      <c r="A2644" t="s">
        <v>2680</v>
      </c>
      <c r="B2644" s="1">
        <v>45173</v>
      </c>
      <c r="C2644" t="s">
        <v>16</v>
      </c>
      <c r="D2644" t="s">
        <v>31</v>
      </c>
      <c r="E2644" t="s">
        <v>12</v>
      </c>
      <c r="F2644">
        <v>1621.96</v>
      </c>
      <c r="G2644">
        <v>119.96</v>
      </c>
      <c r="H2644" t="s">
        <v>13</v>
      </c>
      <c r="I2644" t="s">
        <v>20</v>
      </c>
    </row>
    <row r="2645" spans="1:9" x14ac:dyDescent="0.35">
      <c r="A2645" t="s">
        <v>2681</v>
      </c>
      <c r="B2645" s="1">
        <v>44756</v>
      </c>
      <c r="C2645" t="s">
        <v>22</v>
      </c>
      <c r="D2645" t="s">
        <v>73</v>
      </c>
      <c r="E2645" t="s">
        <v>27</v>
      </c>
      <c r="F2645">
        <v>320.06</v>
      </c>
      <c r="G2645">
        <v>66.95</v>
      </c>
      <c r="H2645" t="s">
        <v>19</v>
      </c>
      <c r="I2645" t="s">
        <v>14</v>
      </c>
    </row>
    <row r="2646" spans="1:9" x14ac:dyDescent="0.35">
      <c r="A2646" t="s">
        <v>2682</v>
      </c>
      <c r="B2646" s="1">
        <v>45324</v>
      </c>
      <c r="C2646" t="s">
        <v>10</v>
      </c>
      <c r="D2646" t="s">
        <v>38</v>
      </c>
      <c r="E2646" t="s">
        <v>12</v>
      </c>
      <c r="F2646">
        <v>980.69</v>
      </c>
      <c r="G2646">
        <v>190.48</v>
      </c>
      <c r="H2646" t="s">
        <v>19</v>
      </c>
      <c r="I2646" t="s">
        <v>29</v>
      </c>
    </row>
    <row r="2647" spans="1:9" x14ac:dyDescent="0.35">
      <c r="A2647" t="s">
        <v>2683</v>
      </c>
      <c r="B2647" s="1">
        <v>45366</v>
      </c>
      <c r="C2647" t="s">
        <v>10</v>
      </c>
      <c r="D2647" t="s">
        <v>33</v>
      </c>
      <c r="E2647" t="s">
        <v>18</v>
      </c>
      <c r="F2647">
        <v>1276.5999999999999</v>
      </c>
      <c r="G2647">
        <v>208.9</v>
      </c>
      <c r="H2647" t="s">
        <v>28</v>
      </c>
      <c r="I2647" t="s">
        <v>29</v>
      </c>
    </row>
    <row r="2648" spans="1:9" x14ac:dyDescent="0.35">
      <c r="A2648" t="s">
        <v>2684</v>
      </c>
      <c r="B2648" s="1">
        <v>45475</v>
      </c>
      <c r="C2648" t="s">
        <v>10</v>
      </c>
      <c r="D2648" t="s">
        <v>26</v>
      </c>
      <c r="E2648" t="s">
        <v>27</v>
      </c>
      <c r="F2648">
        <v>1086.3699999999999</v>
      </c>
      <c r="G2648">
        <v>204.6</v>
      </c>
      <c r="H2648" t="s">
        <v>19</v>
      </c>
      <c r="I2648" t="s">
        <v>34</v>
      </c>
    </row>
    <row r="2649" spans="1:9" x14ac:dyDescent="0.35">
      <c r="A2649" t="s">
        <v>2685</v>
      </c>
      <c r="B2649" s="1">
        <v>45001</v>
      </c>
      <c r="C2649" t="s">
        <v>10</v>
      </c>
      <c r="D2649" t="s">
        <v>38</v>
      </c>
      <c r="E2649" t="s">
        <v>12</v>
      </c>
      <c r="F2649">
        <v>193</v>
      </c>
      <c r="G2649">
        <v>46.32</v>
      </c>
      <c r="H2649" t="s">
        <v>13</v>
      </c>
      <c r="I2649" t="s">
        <v>34</v>
      </c>
    </row>
    <row r="2650" spans="1:9" x14ac:dyDescent="0.35">
      <c r="A2650" t="s">
        <v>2686</v>
      </c>
      <c r="B2650" s="1">
        <v>44994</v>
      </c>
      <c r="C2650" t="s">
        <v>16</v>
      </c>
      <c r="D2650" t="s">
        <v>26</v>
      </c>
      <c r="E2650" t="s">
        <v>27</v>
      </c>
      <c r="F2650">
        <v>1779.06</v>
      </c>
      <c r="G2650">
        <v>492.16</v>
      </c>
      <c r="H2650" t="s">
        <v>28</v>
      </c>
      <c r="I2650" t="s">
        <v>29</v>
      </c>
    </row>
    <row r="2651" spans="1:9" x14ac:dyDescent="0.35">
      <c r="A2651" t="s">
        <v>2687</v>
      </c>
      <c r="B2651" s="1">
        <v>45108</v>
      </c>
      <c r="C2651" t="s">
        <v>25</v>
      </c>
      <c r="D2651" t="s">
        <v>41</v>
      </c>
      <c r="E2651" t="s">
        <v>12</v>
      </c>
      <c r="F2651">
        <v>706.5</v>
      </c>
      <c r="G2651">
        <v>94.33</v>
      </c>
      <c r="H2651" t="s">
        <v>13</v>
      </c>
      <c r="I2651" t="s">
        <v>20</v>
      </c>
    </row>
    <row r="2652" spans="1:9" x14ac:dyDescent="0.35">
      <c r="A2652" t="s">
        <v>2688</v>
      </c>
      <c r="B2652" s="1">
        <v>44838</v>
      </c>
      <c r="C2652" t="s">
        <v>22</v>
      </c>
      <c r="D2652" t="s">
        <v>23</v>
      </c>
      <c r="E2652" t="s">
        <v>18</v>
      </c>
      <c r="F2652">
        <v>888.6</v>
      </c>
      <c r="G2652">
        <v>243.39</v>
      </c>
      <c r="H2652" t="s">
        <v>13</v>
      </c>
      <c r="I2652" t="s">
        <v>34</v>
      </c>
    </row>
    <row r="2653" spans="1:9" x14ac:dyDescent="0.35">
      <c r="A2653" t="s">
        <v>2689</v>
      </c>
      <c r="B2653" s="1">
        <v>44774</v>
      </c>
      <c r="C2653" t="s">
        <v>16</v>
      </c>
      <c r="D2653" t="s">
        <v>73</v>
      </c>
      <c r="E2653" t="s">
        <v>27</v>
      </c>
      <c r="F2653">
        <v>1746.3</v>
      </c>
      <c r="G2653">
        <v>169.48</v>
      </c>
      <c r="H2653" t="s">
        <v>28</v>
      </c>
      <c r="I2653" t="s">
        <v>14</v>
      </c>
    </row>
    <row r="2654" spans="1:9" x14ac:dyDescent="0.35">
      <c r="A2654" t="s">
        <v>2690</v>
      </c>
      <c r="B2654" s="1">
        <v>44951</v>
      </c>
      <c r="C2654" t="s">
        <v>16</v>
      </c>
      <c r="D2654" t="s">
        <v>57</v>
      </c>
      <c r="E2654" t="s">
        <v>27</v>
      </c>
      <c r="F2654">
        <v>302.35000000000002</v>
      </c>
      <c r="G2654">
        <v>15.99</v>
      </c>
      <c r="H2654" t="s">
        <v>19</v>
      </c>
      <c r="I2654" t="s">
        <v>34</v>
      </c>
    </row>
    <row r="2655" spans="1:9" x14ac:dyDescent="0.35">
      <c r="A2655" t="s">
        <v>2691</v>
      </c>
      <c r="B2655" s="1">
        <v>44943</v>
      </c>
      <c r="C2655" t="s">
        <v>16</v>
      </c>
      <c r="D2655" t="s">
        <v>57</v>
      </c>
      <c r="E2655" t="s">
        <v>27</v>
      </c>
      <c r="F2655">
        <v>942.32</v>
      </c>
      <c r="G2655">
        <v>152.34</v>
      </c>
      <c r="H2655" t="s">
        <v>28</v>
      </c>
      <c r="I2655" t="s">
        <v>34</v>
      </c>
    </row>
    <row r="2656" spans="1:9" x14ac:dyDescent="0.35">
      <c r="A2656" t="s">
        <v>2692</v>
      </c>
      <c r="B2656" s="1">
        <v>45636</v>
      </c>
      <c r="C2656" t="s">
        <v>16</v>
      </c>
      <c r="D2656" t="s">
        <v>41</v>
      </c>
      <c r="E2656" t="s">
        <v>12</v>
      </c>
      <c r="F2656">
        <v>1111.04</v>
      </c>
      <c r="G2656">
        <v>106.79</v>
      </c>
      <c r="H2656" t="s">
        <v>28</v>
      </c>
      <c r="I2656" t="s">
        <v>14</v>
      </c>
    </row>
    <row r="2657" spans="1:9" x14ac:dyDescent="0.35">
      <c r="A2657" t="s">
        <v>2693</v>
      </c>
      <c r="B2657" s="1">
        <v>45213</v>
      </c>
      <c r="C2657" t="s">
        <v>25</v>
      </c>
      <c r="D2657" t="s">
        <v>41</v>
      </c>
      <c r="E2657" t="s">
        <v>12</v>
      </c>
      <c r="F2657">
        <v>466.1</v>
      </c>
      <c r="G2657">
        <v>123.25</v>
      </c>
      <c r="H2657" t="s">
        <v>28</v>
      </c>
      <c r="I2657" t="s">
        <v>34</v>
      </c>
    </row>
    <row r="2658" spans="1:9" x14ac:dyDescent="0.35">
      <c r="A2658" t="s">
        <v>2694</v>
      </c>
      <c r="B2658" s="1">
        <v>45484</v>
      </c>
      <c r="C2658" t="s">
        <v>10</v>
      </c>
      <c r="D2658" t="s">
        <v>97</v>
      </c>
      <c r="E2658" t="s">
        <v>27</v>
      </c>
      <c r="F2658">
        <v>738.1</v>
      </c>
      <c r="G2658">
        <v>60.86</v>
      </c>
      <c r="H2658" t="s">
        <v>28</v>
      </c>
      <c r="I2658" t="s">
        <v>20</v>
      </c>
    </row>
    <row r="2659" spans="1:9" x14ac:dyDescent="0.35">
      <c r="A2659" t="s">
        <v>2695</v>
      </c>
      <c r="B2659" s="1">
        <v>44974</v>
      </c>
      <c r="C2659" t="s">
        <v>25</v>
      </c>
      <c r="D2659" t="s">
        <v>46</v>
      </c>
      <c r="E2659" t="s">
        <v>18</v>
      </c>
      <c r="F2659">
        <v>101.83</v>
      </c>
      <c r="G2659">
        <v>8.75</v>
      </c>
      <c r="H2659" t="s">
        <v>13</v>
      </c>
      <c r="I2659" t="s">
        <v>14</v>
      </c>
    </row>
    <row r="2660" spans="1:9" x14ac:dyDescent="0.35">
      <c r="A2660" t="s">
        <v>2696</v>
      </c>
      <c r="B2660" s="1">
        <v>45267</v>
      </c>
      <c r="C2660" t="s">
        <v>25</v>
      </c>
      <c r="D2660" t="s">
        <v>97</v>
      </c>
      <c r="E2660" t="s">
        <v>27</v>
      </c>
      <c r="F2660">
        <v>1192.8599999999999</v>
      </c>
      <c r="G2660">
        <v>175.96</v>
      </c>
      <c r="H2660" t="s">
        <v>19</v>
      </c>
      <c r="I2660" t="s">
        <v>29</v>
      </c>
    </row>
    <row r="2661" spans="1:9" x14ac:dyDescent="0.35">
      <c r="A2661" t="s">
        <v>2697</v>
      </c>
      <c r="B2661" s="1">
        <v>44731</v>
      </c>
      <c r="C2661" t="s">
        <v>22</v>
      </c>
      <c r="D2661" t="s">
        <v>38</v>
      </c>
      <c r="E2661" t="s">
        <v>12</v>
      </c>
      <c r="F2661">
        <v>772.94</v>
      </c>
      <c r="G2661">
        <v>83.54</v>
      </c>
      <c r="H2661" t="s">
        <v>28</v>
      </c>
      <c r="I2661" t="s">
        <v>34</v>
      </c>
    </row>
    <row r="2662" spans="1:9" x14ac:dyDescent="0.35">
      <c r="A2662" t="s">
        <v>2698</v>
      </c>
      <c r="B2662" s="1">
        <v>44682</v>
      </c>
      <c r="C2662" t="s">
        <v>22</v>
      </c>
      <c r="D2662" t="s">
        <v>11</v>
      </c>
      <c r="E2662" t="s">
        <v>12</v>
      </c>
      <c r="F2662">
        <v>146.22</v>
      </c>
      <c r="G2662">
        <v>20.05</v>
      </c>
      <c r="H2662" t="s">
        <v>13</v>
      </c>
      <c r="I2662" t="s">
        <v>29</v>
      </c>
    </row>
    <row r="2663" spans="1:9" x14ac:dyDescent="0.35">
      <c r="A2663" t="s">
        <v>2699</v>
      </c>
      <c r="B2663" s="1">
        <v>45479</v>
      </c>
      <c r="C2663" t="s">
        <v>25</v>
      </c>
      <c r="D2663" t="s">
        <v>41</v>
      </c>
      <c r="E2663" t="s">
        <v>12</v>
      </c>
      <c r="F2663">
        <v>648.23</v>
      </c>
      <c r="G2663">
        <v>56.57</v>
      </c>
      <c r="H2663" t="s">
        <v>19</v>
      </c>
      <c r="I2663" t="s">
        <v>14</v>
      </c>
    </row>
    <row r="2664" spans="1:9" x14ac:dyDescent="0.35">
      <c r="A2664" t="s">
        <v>2700</v>
      </c>
      <c r="B2664" s="1">
        <v>44790</v>
      </c>
      <c r="C2664" t="s">
        <v>10</v>
      </c>
      <c r="D2664" t="s">
        <v>73</v>
      </c>
      <c r="E2664" t="s">
        <v>27</v>
      </c>
      <c r="F2664">
        <v>990.88</v>
      </c>
      <c r="G2664">
        <v>215.35</v>
      </c>
      <c r="H2664" t="s">
        <v>28</v>
      </c>
      <c r="I2664" t="s">
        <v>20</v>
      </c>
    </row>
    <row r="2665" spans="1:9" x14ac:dyDescent="0.35">
      <c r="A2665" t="s">
        <v>2701</v>
      </c>
      <c r="B2665" s="1">
        <v>45151</v>
      </c>
      <c r="C2665" t="s">
        <v>16</v>
      </c>
      <c r="D2665" t="s">
        <v>33</v>
      </c>
      <c r="E2665" t="s">
        <v>18</v>
      </c>
      <c r="F2665">
        <v>1642.76</v>
      </c>
      <c r="G2665">
        <v>283.19</v>
      </c>
      <c r="H2665" t="s">
        <v>13</v>
      </c>
      <c r="I2665" t="s">
        <v>20</v>
      </c>
    </row>
    <row r="2666" spans="1:9" x14ac:dyDescent="0.35">
      <c r="A2666" t="s">
        <v>2702</v>
      </c>
      <c r="B2666" s="1">
        <v>45068</v>
      </c>
      <c r="C2666" t="s">
        <v>10</v>
      </c>
      <c r="D2666" t="s">
        <v>95</v>
      </c>
      <c r="E2666" t="s">
        <v>18</v>
      </c>
      <c r="F2666">
        <v>216.94</v>
      </c>
      <c r="G2666">
        <v>34.03</v>
      </c>
      <c r="H2666" t="s">
        <v>13</v>
      </c>
      <c r="I2666" t="s">
        <v>29</v>
      </c>
    </row>
    <row r="2667" spans="1:9" x14ac:dyDescent="0.35">
      <c r="A2667" t="s">
        <v>2703</v>
      </c>
      <c r="B2667" s="1">
        <v>45528</v>
      </c>
      <c r="C2667" t="s">
        <v>10</v>
      </c>
      <c r="D2667" t="s">
        <v>73</v>
      </c>
      <c r="E2667" t="s">
        <v>27</v>
      </c>
      <c r="F2667">
        <v>1642.74</v>
      </c>
      <c r="G2667">
        <v>332.64</v>
      </c>
      <c r="H2667" t="s">
        <v>13</v>
      </c>
      <c r="I2667" t="s">
        <v>29</v>
      </c>
    </row>
    <row r="2668" spans="1:9" x14ac:dyDescent="0.35">
      <c r="A2668" t="s">
        <v>2704</v>
      </c>
      <c r="B2668" s="1">
        <v>44730</v>
      </c>
      <c r="C2668" t="s">
        <v>22</v>
      </c>
      <c r="D2668" t="s">
        <v>33</v>
      </c>
      <c r="E2668" t="s">
        <v>18</v>
      </c>
      <c r="F2668">
        <v>224.88</v>
      </c>
      <c r="G2668">
        <v>16</v>
      </c>
      <c r="H2668" t="s">
        <v>19</v>
      </c>
      <c r="I2668" t="s">
        <v>34</v>
      </c>
    </row>
    <row r="2669" spans="1:9" x14ac:dyDescent="0.35">
      <c r="A2669" t="s">
        <v>2705</v>
      </c>
      <c r="B2669" s="1">
        <v>44892</v>
      </c>
      <c r="C2669" t="s">
        <v>25</v>
      </c>
      <c r="D2669" t="s">
        <v>33</v>
      </c>
      <c r="E2669" t="s">
        <v>18</v>
      </c>
      <c r="F2669">
        <v>1299.54</v>
      </c>
      <c r="G2669">
        <v>356.9</v>
      </c>
      <c r="H2669" t="s">
        <v>13</v>
      </c>
      <c r="I2669" t="s">
        <v>29</v>
      </c>
    </row>
    <row r="2670" spans="1:9" x14ac:dyDescent="0.35">
      <c r="A2670" t="s">
        <v>2706</v>
      </c>
      <c r="B2670" s="1">
        <v>44570</v>
      </c>
      <c r="C2670" t="s">
        <v>25</v>
      </c>
      <c r="D2670" t="s">
        <v>41</v>
      </c>
      <c r="E2670" t="s">
        <v>12</v>
      </c>
      <c r="F2670">
        <v>1059.9100000000001</v>
      </c>
      <c r="G2670">
        <v>223.42</v>
      </c>
      <c r="H2670" t="s">
        <v>28</v>
      </c>
      <c r="I2670" t="s">
        <v>14</v>
      </c>
    </row>
    <row r="2671" spans="1:9" x14ac:dyDescent="0.35">
      <c r="A2671" t="s">
        <v>2707</v>
      </c>
      <c r="B2671" s="1">
        <v>44687</v>
      </c>
      <c r="C2671" t="s">
        <v>16</v>
      </c>
      <c r="D2671" t="s">
        <v>17</v>
      </c>
      <c r="E2671" t="s">
        <v>18</v>
      </c>
      <c r="F2671">
        <v>1255.3900000000001</v>
      </c>
      <c r="G2671">
        <v>122.13</v>
      </c>
      <c r="H2671" t="s">
        <v>13</v>
      </c>
      <c r="I2671" t="s">
        <v>14</v>
      </c>
    </row>
    <row r="2672" spans="1:9" x14ac:dyDescent="0.35">
      <c r="A2672" t="s">
        <v>2708</v>
      </c>
      <c r="B2672" s="1">
        <v>45158</v>
      </c>
      <c r="C2672" t="s">
        <v>25</v>
      </c>
      <c r="D2672" t="s">
        <v>95</v>
      </c>
      <c r="E2672" t="s">
        <v>18</v>
      </c>
      <c r="F2672">
        <v>251.85</v>
      </c>
      <c r="G2672">
        <v>56.2</v>
      </c>
      <c r="H2672" t="s">
        <v>13</v>
      </c>
      <c r="I2672" t="s">
        <v>14</v>
      </c>
    </row>
    <row r="2673" spans="1:9" x14ac:dyDescent="0.35">
      <c r="A2673" t="s">
        <v>2709</v>
      </c>
      <c r="B2673" s="1">
        <v>44675</v>
      </c>
      <c r="C2673" t="s">
        <v>10</v>
      </c>
      <c r="D2673" t="s">
        <v>62</v>
      </c>
      <c r="E2673" t="s">
        <v>27</v>
      </c>
      <c r="F2673">
        <v>1626.37</v>
      </c>
      <c r="G2673">
        <v>445.66</v>
      </c>
      <c r="H2673" t="s">
        <v>19</v>
      </c>
      <c r="I2673" t="s">
        <v>14</v>
      </c>
    </row>
    <row r="2674" spans="1:9" x14ac:dyDescent="0.35">
      <c r="A2674" t="s">
        <v>2710</v>
      </c>
      <c r="B2674" s="1">
        <v>45568</v>
      </c>
      <c r="C2674" t="s">
        <v>25</v>
      </c>
      <c r="D2674" t="s">
        <v>38</v>
      </c>
      <c r="E2674" t="s">
        <v>12</v>
      </c>
      <c r="F2674">
        <v>256.79000000000002</v>
      </c>
      <c r="G2674">
        <v>18.52</v>
      </c>
      <c r="H2674" t="s">
        <v>19</v>
      </c>
      <c r="I2674" t="s">
        <v>14</v>
      </c>
    </row>
    <row r="2675" spans="1:9" x14ac:dyDescent="0.35">
      <c r="A2675" t="s">
        <v>2711</v>
      </c>
      <c r="B2675" s="1">
        <v>45218</v>
      </c>
      <c r="C2675" t="s">
        <v>25</v>
      </c>
      <c r="D2675" t="s">
        <v>41</v>
      </c>
      <c r="E2675" t="s">
        <v>12</v>
      </c>
      <c r="F2675">
        <v>1703.03</v>
      </c>
      <c r="G2675">
        <v>85.58</v>
      </c>
      <c r="H2675" t="s">
        <v>28</v>
      </c>
      <c r="I2675" t="s">
        <v>20</v>
      </c>
    </row>
    <row r="2676" spans="1:9" x14ac:dyDescent="0.35">
      <c r="A2676" t="s">
        <v>2712</v>
      </c>
      <c r="B2676" s="1">
        <v>44593</v>
      </c>
      <c r="C2676" t="s">
        <v>16</v>
      </c>
      <c r="D2676" t="s">
        <v>26</v>
      </c>
      <c r="E2676" t="s">
        <v>27</v>
      </c>
      <c r="F2676">
        <v>147.49</v>
      </c>
      <c r="G2676">
        <v>43.23</v>
      </c>
      <c r="H2676" t="s">
        <v>28</v>
      </c>
      <c r="I2676" t="s">
        <v>20</v>
      </c>
    </row>
    <row r="2677" spans="1:9" x14ac:dyDescent="0.35">
      <c r="A2677" t="s">
        <v>2713</v>
      </c>
      <c r="B2677" s="1">
        <v>45352</v>
      </c>
      <c r="C2677" t="s">
        <v>10</v>
      </c>
      <c r="D2677" t="s">
        <v>41</v>
      </c>
      <c r="E2677" t="s">
        <v>12</v>
      </c>
      <c r="F2677">
        <v>1088.22</v>
      </c>
      <c r="G2677">
        <v>67.290000000000006</v>
      </c>
      <c r="H2677" t="s">
        <v>28</v>
      </c>
      <c r="I2677" t="s">
        <v>29</v>
      </c>
    </row>
    <row r="2678" spans="1:9" x14ac:dyDescent="0.35">
      <c r="A2678" t="s">
        <v>2714</v>
      </c>
      <c r="B2678" s="1">
        <v>44605</v>
      </c>
      <c r="C2678" t="s">
        <v>25</v>
      </c>
      <c r="D2678" t="s">
        <v>17</v>
      </c>
      <c r="E2678" t="s">
        <v>18</v>
      </c>
      <c r="F2678">
        <v>884</v>
      </c>
      <c r="G2678">
        <v>170.3</v>
      </c>
      <c r="H2678" t="s">
        <v>13</v>
      </c>
      <c r="I2678" t="s">
        <v>34</v>
      </c>
    </row>
    <row r="2679" spans="1:9" x14ac:dyDescent="0.35">
      <c r="A2679" t="s">
        <v>2715</v>
      </c>
      <c r="B2679" s="1">
        <v>45645</v>
      </c>
      <c r="C2679" t="s">
        <v>22</v>
      </c>
      <c r="D2679" t="s">
        <v>57</v>
      </c>
      <c r="E2679" t="s">
        <v>27</v>
      </c>
      <c r="F2679">
        <v>211.68</v>
      </c>
      <c r="G2679">
        <v>50.73</v>
      </c>
      <c r="H2679" t="s">
        <v>19</v>
      </c>
      <c r="I2679" t="s">
        <v>14</v>
      </c>
    </row>
    <row r="2680" spans="1:9" x14ac:dyDescent="0.35">
      <c r="A2680" t="s">
        <v>2716</v>
      </c>
      <c r="B2680" s="1">
        <v>44950</v>
      </c>
      <c r="C2680" t="s">
        <v>16</v>
      </c>
      <c r="D2680" t="s">
        <v>38</v>
      </c>
      <c r="E2680" t="s">
        <v>12</v>
      </c>
      <c r="F2680">
        <v>1375.74</v>
      </c>
      <c r="G2680">
        <v>101.31</v>
      </c>
      <c r="H2680" t="s">
        <v>19</v>
      </c>
      <c r="I2680" t="s">
        <v>29</v>
      </c>
    </row>
    <row r="2681" spans="1:9" x14ac:dyDescent="0.35">
      <c r="A2681" t="s">
        <v>2717</v>
      </c>
      <c r="B2681" s="1">
        <v>44977</v>
      </c>
      <c r="C2681" t="s">
        <v>16</v>
      </c>
      <c r="D2681" t="s">
        <v>95</v>
      </c>
      <c r="E2681" t="s">
        <v>18</v>
      </c>
      <c r="F2681">
        <v>918.5</v>
      </c>
      <c r="G2681">
        <v>110.44</v>
      </c>
      <c r="H2681" t="s">
        <v>28</v>
      </c>
      <c r="I2681" t="s">
        <v>34</v>
      </c>
    </row>
    <row r="2682" spans="1:9" x14ac:dyDescent="0.35">
      <c r="A2682" t="s">
        <v>2718</v>
      </c>
      <c r="B2682" s="1">
        <v>45136</v>
      </c>
      <c r="C2682" t="s">
        <v>16</v>
      </c>
      <c r="D2682" t="s">
        <v>17</v>
      </c>
      <c r="E2682" t="s">
        <v>18</v>
      </c>
      <c r="F2682">
        <v>1239.94</v>
      </c>
      <c r="G2682">
        <v>239.08</v>
      </c>
      <c r="H2682" t="s">
        <v>28</v>
      </c>
      <c r="I2682" t="s">
        <v>29</v>
      </c>
    </row>
    <row r="2683" spans="1:9" x14ac:dyDescent="0.35">
      <c r="A2683" t="s">
        <v>2719</v>
      </c>
      <c r="B2683" s="1">
        <v>45340</v>
      </c>
      <c r="C2683" t="s">
        <v>10</v>
      </c>
      <c r="D2683" t="s">
        <v>11</v>
      </c>
      <c r="E2683" t="s">
        <v>12</v>
      </c>
      <c r="F2683">
        <v>278.89</v>
      </c>
      <c r="G2683">
        <v>20.6</v>
      </c>
      <c r="H2683" t="s">
        <v>28</v>
      </c>
      <c r="I2683" t="s">
        <v>34</v>
      </c>
    </row>
    <row r="2684" spans="1:9" x14ac:dyDescent="0.35">
      <c r="A2684" t="s">
        <v>2720</v>
      </c>
      <c r="B2684" s="1">
        <v>45210</v>
      </c>
      <c r="C2684" t="s">
        <v>16</v>
      </c>
      <c r="D2684" t="s">
        <v>11</v>
      </c>
      <c r="E2684" t="s">
        <v>12</v>
      </c>
      <c r="F2684">
        <v>756.66</v>
      </c>
      <c r="G2684">
        <v>150.6</v>
      </c>
      <c r="H2684" t="s">
        <v>28</v>
      </c>
      <c r="I2684" t="s">
        <v>20</v>
      </c>
    </row>
    <row r="2685" spans="1:9" x14ac:dyDescent="0.35">
      <c r="A2685" t="s">
        <v>2721</v>
      </c>
      <c r="B2685" s="1">
        <v>44685</v>
      </c>
      <c r="C2685" t="s">
        <v>25</v>
      </c>
      <c r="D2685" t="s">
        <v>11</v>
      </c>
      <c r="E2685" t="s">
        <v>12</v>
      </c>
      <c r="F2685">
        <v>1306.05</v>
      </c>
      <c r="G2685">
        <v>223.14</v>
      </c>
      <c r="H2685" t="s">
        <v>13</v>
      </c>
      <c r="I2685" t="s">
        <v>20</v>
      </c>
    </row>
    <row r="2686" spans="1:9" x14ac:dyDescent="0.35">
      <c r="A2686" t="s">
        <v>2722</v>
      </c>
      <c r="B2686" s="1">
        <v>44678</v>
      </c>
      <c r="C2686" t="s">
        <v>10</v>
      </c>
      <c r="D2686" t="s">
        <v>17</v>
      </c>
      <c r="E2686" t="s">
        <v>18</v>
      </c>
      <c r="F2686">
        <v>1631.27</v>
      </c>
      <c r="G2686">
        <v>90.95</v>
      </c>
      <c r="H2686" t="s">
        <v>13</v>
      </c>
      <c r="I2686" t="s">
        <v>20</v>
      </c>
    </row>
    <row r="2687" spans="1:9" x14ac:dyDescent="0.35">
      <c r="A2687" t="s">
        <v>2723</v>
      </c>
      <c r="B2687" s="1">
        <v>44597</v>
      </c>
      <c r="C2687" t="s">
        <v>22</v>
      </c>
      <c r="D2687" t="s">
        <v>46</v>
      </c>
      <c r="E2687" t="s">
        <v>18</v>
      </c>
      <c r="F2687">
        <v>407.29</v>
      </c>
      <c r="G2687">
        <v>32.21</v>
      </c>
      <c r="H2687" t="s">
        <v>13</v>
      </c>
      <c r="I2687" t="s">
        <v>20</v>
      </c>
    </row>
    <row r="2688" spans="1:9" x14ac:dyDescent="0.35">
      <c r="A2688" t="s">
        <v>2724</v>
      </c>
      <c r="B2688" s="1">
        <v>44674</v>
      </c>
      <c r="C2688" t="s">
        <v>25</v>
      </c>
      <c r="D2688" t="s">
        <v>50</v>
      </c>
      <c r="E2688" t="s">
        <v>12</v>
      </c>
      <c r="F2688">
        <v>547.75</v>
      </c>
      <c r="G2688">
        <v>76.53</v>
      </c>
      <c r="H2688" t="s">
        <v>28</v>
      </c>
      <c r="I2688" t="s">
        <v>20</v>
      </c>
    </row>
    <row r="2689" spans="1:9" x14ac:dyDescent="0.35">
      <c r="A2689" t="s">
        <v>2725</v>
      </c>
      <c r="B2689" s="1">
        <v>45119</v>
      </c>
      <c r="C2689" t="s">
        <v>22</v>
      </c>
      <c r="D2689" t="s">
        <v>38</v>
      </c>
      <c r="E2689" t="s">
        <v>12</v>
      </c>
      <c r="F2689">
        <v>451.06</v>
      </c>
      <c r="G2689">
        <v>112.15</v>
      </c>
      <c r="H2689" t="s">
        <v>19</v>
      </c>
      <c r="I2689" t="s">
        <v>29</v>
      </c>
    </row>
    <row r="2690" spans="1:9" x14ac:dyDescent="0.35">
      <c r="A2690" t="s">
        <v>2726</v>
      </c>
      <c r="B2690" s="1">
        <v>45008</v>
      </c>
      <c r="C2690" t="s">
        <v>22</v>
      </c>
      <c r="D2690" t="s">
        <v>50</v>
      </c>
      <c r="E2690" t="s">
        <v>12</v>
      </c>
      <c r="F2690">
        <v>1767.58</v>
      </c>
      <c r="G2690">
        <v>205.7</v>
      </c>
      <c r="H2690" t="s">
        <v>28</v>
      </c>
      <c r="I2690" t="s">
        <v>29</v>
      </c>
    </row>
    <row r="2691" spans="1:9" x14ac:dyDescent="0.35">
      <c r="A2691" t="s">
        <v>2727</v>
      </c>
      <c r="B2691" s="1">
        <v>44701</v>
      </c>
      <c r="C2691" t="s">
        <v>16</v>
      </c>
      <c r="D2691" t="s">
        <v>17</v>
      </c>
      <c r="E2691" t="s">
        <v>18</v>
      </c>
      <c r="F2691">
        <v>1903</v>
      </c>
      <c r="G2691">
        <v>255.12</v>
      </c>
      <c r="H2691" t="s">
        <v>19</v>
      </c>
      <c r="I2691" t="s">
        <v>34</v>
      </c>
    </row>
    <row r="2692" spans="1:9" x14ac:dyDescent="0.35">
      <c r="A2692" t="s">
        <v>2728</v>
      </c>
      <c r="B2692" s="1">
        <v>45101</v>
      </c>
      <c r="C2692" t="s">
        <v>25</v>
      </c>
      <c r="D2692" t="s">
        <v>62</v>
      </c>
      <c r="E2692" t="s">
        <v>27</v>
      </c>
      <c r="F2692">
        <v>1977.44</v>
      </c>
      <c r="G2692">
        <v>550.64</v>
      </c>
      <c r="H2692" t="s">
        <v>28</v>
      </c>
      <c r="I2692" t="s">
        <v>14</v>
      </c>
    </row>
    <row r="2693" spans="1:9" x14ac:dyDescent="0.35">
      <c r="A2693" t="s">
        <v>2729</v>
      </c>
      <c r="B2693" s="1">
        <v>45524</v>
      </c>
      <c r="C2693" t="s">
        <v>22</v>
      </c>
      <c r="D2693" t="s">
        <v>33</v>
      </c>
      <c r="E2693" t="s">
        <v>18</v>
      </c>
      <c r="F2693">
        <v>704.19</v>
      </c>
      <c r="G2693">
        <v>90.12</v>
      </c>
      <c r="H2693" t="s">
        <v>19</v>
      </c>
      <c r="I2693" t="s">
        <v>20</v>
      </c>
    </row>
    <row r="2694" spans="1:9" x14ac:dyDescent="0.35">
      <c r="A2694" t="s">
        <v>2730</v>
      </c>
      <c r="B2694" s="1">
        <v>45183</v>
      </c>
      <c r="C2694" t="s">
        <v>16</v>
      </c>
      <c r="D2694" t="s">
        <v>31</v>
      </c>
      <c r="E2694" t="s">
        <v>12</v>
      </c>
      <c r="F2694">
        <v>1964.66</v>
      </c>
      <c r="G2694">
        <v>243.6</v>
      </c>
      <c r="H2694" t="s">
        <v>13</v>
      </c>
      <c r="I2694" t="s">
        <v>14</v>
      </c>
    </row>
    <row r="2695" spans="1:9" x14ac:dyDescent="0.35">
      <c r="A2695" t="s">
        <v>2731</v>
      </c>
      <c r="B2695" s="1">
        <v>44685</v>
      </c>
      <c r="C2695" t="s">
        <v>25</v>
      </c>
      <c r="D2695" t="s">
        <v>23</v>
      </c>
      <c r="E2695" t="s">
        <v>18</v>
      </c>
      <c r="F2695">
        <v>1631.63</v>
      </c>
      <c r="G2695">
        <v>209.95</v>
      </c>
      <c r="H2695" t="s">
        <v>19</v>
      </c>
      <c r="I2695" t="s">
        <v>20</v>
      </c>
    </row>
    <row r="2696" spans="1:9" x14ac:dyDescent="0.35">
      <c r="A2696" t="s">
        <v>2732</v>
      </c>
      <c r="B2696" s="1">
        <v>44696</v>
      </c>
      <c r="C2696" t="s">
        <v>10</v>
      </c>
      <c r="D2696" t="s">
        <v>50</v>
      </c>
      <c r="E2696" t="s">
        <v>12</v>
      </c>
      <c r="F2696">
        <v>460.92</v>
      </c>
      <c r="G2696">
        <v>103.99</v>
      </c>
      <c r="H2696" t="s">
        <v>28</v>
      </c>
      <c r="I2696" t="s">
        <v>29</v>
      </c>
    </row>
    <row r="2697" spans="1:9" x14ac:dyDescent="0.35">
      <c r="A2697" t="s">
        <v>2733</v>
      </c>
      <c r="B2697" s="1">
        <v>44958</v>
      </c>
      <c r="C2697" t="s">
        <v>25</v>
      </c>
      <c r="D2697" t="s">
        <v>11</v>
      </c>
      <c r="E2697" t="s">
        <v>12</v>
      </c>
      <c r="F2697">
        <v>256.08</v>
      </c>
      <c r="G2697">
        <v>43.58</v>
      </c>
      <c r="H2697" t="s">
        <v>28</v>
      </c>
      <c r="I2697" t="s">
        <v>20</v>
      </c>
    </row>
    <row r="2698" spans="1:9" x14ac:dyDescent="0.35">
      <c r="A2698" t="s">
        <v>2734</v>
      </c>
      <c r="B2698" s="1">
        <v>44814</v>
      </c>
      <c r="C2698" t="s">
        <v>16</v>
      </c>
      <c r="D2698" t="s">
        <v>33</v>
      </c>
      <c r="E2698" t="s">
        <v>18</v>
      </c>
      <c r="F2698">
        <v>493.3</v>
      </c>
      <c r="G2698">
        <v>85.17</v>
      </c>
      <c r="H2698" t="s">
        <v>19</v>
      </c>
      <c r="I2698" t="s">
        <v>20</v>
      </c>
    </row>
    <row r="2699" spans="1:9" x14ac:dyDescent="0.35">
      <c r="A2699" t="s">
        <v>2735</v>
      </c>
      <c r="B2699" s="1">
        <v>45626</v>
      </c>
      <c r="C2699" t="s">
        <v>16</v>
      </c>
      <c r="D2699" t="s">
        <v>38</v>
      </c>
      <c r="E2699" t="s">
        <v>12</v>
      </c>
      <c r="F2699">
        <v>555.37</v>
      </c>
      <c r="G2699">
        <v>145.32</v>
      </c>
      <c r="H2699" t="s">
        <v>28</v>
      </c>
      <c r="I2699" t="s">
        <v>20</v>
      </c>
    </row>
    <row r="2700" spans="1:9" x14ac:dyDescent="0.35">
      <c r="A2700" t="s">
        <v>2736</v>
      </c>
      <c r="B2700" s="1">
        <v>45287</v>
      </c>
      <c r="C2700" t="s">
        <v>10</v>
      </c>
      <c r="D2700" t="s">
        <v>57</v>
      </c>
      <c r="E2700" t="s">
        <v>27</v>
      </c>
      <c r="F2700">
        <v>494.15</v>
      </c>
      <c r="G2700">
        <v>108.98</v>
      </c>
      <c r="H2700" t="s">
        <v>19</v>
      </c>
      <c r="I2700" t="s">
        <v>29</v>
      </c>
    </row>
    <row r="2701" spans="1:9" x14ac:dyDescent="0.35">
      <c r="A2701" t="s">
        <v>2737</v>
      </c>
      <c r="B2701" s="1">
        <v>44607</v>
      </c>
      <c r="C2701" t="s">
        <v>10</v>
      </c>
      <c r="D2701" t="s">
        <v>11</v>
      </c>
      <c r="E2701" t="s">
        <v>12</v>
      </c>
      <c r="F2701">
        <v>1438.34</v>
      </c>
      <c r="G2701">
        <v>214.07</v>
      </c>
      <c r="H2701" t="s">
        <v>13</v>
      </c>
      <c r="I2701" t="s">
        <v>34</v>
      </c>
    </row>
    <row r="2702" spans="1:9" x14ac:dyDescent="0.35">
      <c r="A2702" t="s">
        <v>2738</v>
      </c>
      <c r="B2702" s="1">
        <v>44616</v>
      </c>
      <c r="C2702" t="s">
        <v>22</v>
      </c>
      <c r="D2702" t="s">
        <v>50</v>
      </c>
      <c r="E2702" t="s">
        <v>12</v>
      </c>
      <c r="F2702">
        <v>1928.11</v>
      </c>
      <c r="G2702">
        <v>331.76</v>
      </c>
      <c r="H2702" t="s">
        <v>28</v>
      </c>
      <c r="I2702" t="s">
        <v>29</v>
      </c>
    </row>
    <row r="2703" spans="1:9" x14ac:dyDescent="0.35">
      <c r="A2703" t="s">
        <v>2739</v>
      </c>
      <c r="B2703" s="1">
        <v>45285</v>
      </c>
      <c r="C2703" t="s">
        <v>22</v>
      </c>
      <c r="D2703" t="s">
        <v>73</v>
      </c>
      <c r="E2703" t="s">
        <v>27</v>
      </c>
      <c r="F2703">
        <v>1348.63</v>
      </c>
      <c r="G2703">
        <v>78.56</v>
      </c>
      <c r="H2703" t="s">
        <v>13</v>
      </c>
      <c r="I2703" t="s">
        <v>14</v>
      </c>
    </row>
    <row r="2704" spans="1:9" x14ac:dyDescent="0.35">
      <c r="A2704" t="s">
        <v>2740</v>
      </c>
      <c r="B2704" s="1">
        <v>45264</v>
      </c>
      <c r="C2704" t="s">
        <v>25</v>
      </c>
      <c r="D2704" t="s">
        <v>33</v>
      </c>
      <c r="E2704" t="s">
        <v>18</v>
      </c>
      <c r="F2704">
        <v>744.12</v>
      </c>
      <c r="G2704">
        <v>179.4</v>
      </c>
      <c r="H2704" t="s">
        <v>28</v>
      </c>
      <c r="I2704" t="s">
        <v>20</v>
      </c>
    </row>
    <row r="2705" spans="1:9" x14ac:dyDescent="0.35">
      <c r="A2705" t="s">
        <v>2741</v>
      </c>
      <c r="B2705" s="1">
        <v>45326</v>
      </c>
      <c r="C2705" t="s">
        <v>16</v>
      </c>
      <c r="D2705" t="s">
        <v>26</v>
      </c>
      <c r="E2705" t="s">
        <v>27</v>
      </c>
      <c r="F2705">
        <v>1789.64</v>
      </c>
      <c r="G2705">
        <v>348.63</v>
      </c>
      <c r="H2705" t="s">
        <v>19</v>
      </c>
      <c r="I2705" t="s">
        <v>20</v>
      </c>
    </row>
    <row r="2706" spans="1:9" x14ac:dyDescent="0.35">
      <c r="A2706" t="s">
        <v>2742</v>
      </c>
      <c r="B2706" s="1">
        <v>45505</v>
      </c>
      <c r="C2706" t="s">
        <v>22</v>
      </c>
      <c r="D2706" t="s">
        <v>17</v>
      </c>
      <c r="E2706" t="s">
        <v>18</v>
      </c>
      <c r="F2706">
        <v>1688.54</v>
      </c>
      <c r="G2706">
        <v>433.37</v>
      </c>
      <c r="H2706" t="s">
        <v>13</v>
      </c>
      <c r="I2706" t="s">
        <v>20</v>
      </c>
    </row>
    <row r="2707" spans="1:9" x14ac:dyDescent="0.35">
      <c r="A2707" t="s">
        <v>2743</v>
      </c>
      <c r="B2707" s="1">
        <v>45083</v>
      </c>
      <c r="C2707" t="s">
        <v>22</v>
      </c>
      <c r="D2707" t="s">
        <v>97</v>
      </c>
      <c r="E2707" t="s">
        <v>27</v>
      </c>
      <c r="F2707">
        <v>575.15</v>
      </c>
      <c r="G2707">
        <v>50.97</v>
      </c>
      <c r="H2707" t="s">
        <v>19</v>
      </c>
      <c r="I2707" t="s">
        <v>29</v>
      </c>
    </row>
    <row r="2708" spans="1:9" x14ac:dyDescent="0.35">
      <c r="A2708" t="s">
        <v>2744</v>
      </c>
      <c r="B2708" s="1">
        <v>45245</v>
      </c>
      <c r="C2708" t="s">
        <v>16</v>
      </c>
      <c r="D2708" t="s">
        <v>46</v>
      </c>
      <c r="E2708" t="s">
        <v>18</v>
      </c>
      <c r="F2708">
        <v>363.66</v>
      </c>
      <c r="G2708">
        <v>51.72</v>
      </c>
      <c r="H2708" t="s">
        <v>28</v>
      </c>
      <c r="I2708" t="s">
        <v>34</v>
      </c>
    </row>
    <row r="2709" spans="1:9" x14ac:dyDescent="0.35">
      <c r="A2709" t="s">
        <v>2745</v>
      </c>
      <c r="B2709" s="1">
        <v>44599</v>
      </c>
      <c r="C2709" t="s">
        <v>22</v>
      </c>
      <c r="D2709" t="s">
        <v>11</v>
      </c>
      <c r="E2709" t="s">
        <v>12</v>
      </c>
      <c r="F2709">
        <v>622.16999999999996</v>
      </c>
      <c r="G2709">
        <v>164.5</v>
      </c>
      <c r="H2709" t="s">
        <v>13</v>
      </c>
      <c r="I2709" t="s">
        <v>20</v>
      </c>
    </row>
    <row r="2710" spans="1:9" x14ac:dyDescent="0.35">
      <c r="A2710" t="s">
        <v>2746</v>
      </c>
      <c r="B2710" s="1">
        <v>45157</v>
      </c>
      <c r="C2710" t="s">
        <v>25</v>
      </c>
      <c r="D2710" t="s">
        <v>33</v>
      </c>
      <c r="E2710" t="s">
        <v>18</v>
      </c>
      <c r="F2710">
        <v>637.98</v>
      </c>
      <c r="G2710">
        <v>39</v>
      </c>
      <c r="H2710" t="s">
        <v>19</v>
      </c>
      <c r="I2710" t="s">
        <v>20</v>
      </c>
    </row>
    <row r="2711" spans="1:9" x14ac:dyDescent="0.35">
      <c r="A2711" t="s">
        <v>2747</v>
      </c>
      <c r="B2711" s="1">
        <v>44572</v>
      </c>
      <c r="C2711" t="s">
        <v>10</v>
      </c>
      <c r="D2711" t="s">
        <v>11</v>
      </c>
      <c r="E2711" t="s">
        <v>12</v>
      </c>
      <c r="F2711">
        <v>680.32</v>
      </c>
      <c r="G2711">
        <v>203.88</v>
      </c>
      <c r="H2711" t="s">
        <v>19</v>
      </c>
      <c r="I2711" t="s">
        <v>29</v>
      </c>
    </row>
    <row r="2712" spans="1:9" x14ac:dyDescent="0.35">
      <c r="A2712" t="s">
        <v>2748</v>
      </c>
      <c r="B2712" s="1">
        <v>44572</v>
      </c>
      <c r="C2712" t="s">
        <v>16</v>
      </c>
      <c r="D2712" t="s">
        <v>17</v>
      </c>
      <c r="E2712" t="s">
        <v>18</v>
      </c>
      <c r="F2712">
        <v>1917.77</v>
      </c>
      <c r="G2712">
        <v>391.58</v>
      </c>
      <c r="H2712" t="s">
        <v>19</v>
      </c>
      <c r="I2712" t="s">
        <v>34</v>
      </c>
    </row>
    <row r="2713" spans="1:9" x14ac:dyDescent="0.35">
      <c r="A2713" t="s">
        <v>2749</v>
      </c>
      <c r="B2713" s="1">
        <v>44898</v>
      </c>
      <c r="C2713" t="s">
        <v>16</v>
      </c>
      <c r="D2713" t="s">
        <v>73</v>
      </c>
      <c r="E2713" t="s">
        <v>27</v>
      </c>
      <c r="F2713">
        <v>1997.06</v>
      </c>
      <c r="G2713">
        <v>331.07</v>
      </c>
      <c r="H2713" t="s">
        <v>28</v>
      </c>
      <c r="I2713" t="s">
        <v>20</v>
      </c>
    </row>
    <row r="2714" spans="1:9" x14ac:dyDescent="0.35">
      <c r="A2714" t="s">
        <v>2750</v>
      </c>
      <c r="B2714" s="1">
        <v>45305</v>
      </c>
      <c r="C2714" t="s">
        <v>10</v>
      </c>
      <c r="D2714" t="s">
        <v>41</v>
      </c>
      <c r="E2714" t="s">
        <v>12</v>
      </c>
      <c r="F2714">
        <v>1750.55</v>
      </c>
      <c r="G2714">
        <v>193.55</v>
      </c>
      <c r="H2714" t="s">
        <v>28</v>
      </c>
      <c r="I2714" t="s">
        <v>29</v>
      </c>
    </row>
    <row r="2715" spans="1:9" x14ac:dyDescent="0.35">
      <c r="A2715" t="s">
        <v>2751</v>
      </c>
      <c r="B2715" s="1">
        <v>45265</v>
      </c>
      <c r="C2715" t="s">
        <v>16</v>
      </c>
      <c r="D2715" t="s">
        <v>26</v>
      </c>
      <c r="E2715" t="s">
        <v>27</v>
      </c>
      <c r="F2715">
        <v>1867.36</v>
      </c>
      <c r="G2715">
        <v>386.17</v>
      </c>
      <c r="H2715" t="s">
        <v>28</v>
      </c>
      <c r="I2715" t="s">
        <v>34</v>
      </c>
    </row>
    <row r="2716" spans="1:9" x14ac:dyDescent="0.35">
      <c r="A2716" t="s">
        <v>2752</v>
      </c>
      <c r="B2716" s="1">
        <v>44894</v>
      </c>
      <c r="C2716" t="s">
        <v>22</v>
      </c>
      <c r="D2716" t="s">
        <v>97</v>
      </c>
      <c r="E2716" t="s">
        <v>27</v>
      </c>
      <c r="F2716">
        <v>266.58999999999997</v>
      </c>
      <c r="G2716">
        <v>25.7</v>
      </c>
      <c r="H2716" t="s">
        <v>19</v>
      </c>
      <c r="I2716" t="s">
        <v>20</v>
      </c>
    </row>
    <row r="2717" spans="1:9" x14ac:dyDescent="0.35">
      <c r="A2717" t="s">
        <v>2753</v>
      </c>
      <c r="B2717" s="1">
        <v>45205</v>
      </c>
      <c r="C2717" t="s">
        <v>16</v>
      </c>
      <c r="D2717" t="s">
        <v>31</v>
      </c>
      <c r="E2717" t="s">
        <v>12</v>
      </c>
      <c r="F2717">
        <v>1651.17</v>
      </c>
      <c r="G2717">
        <v>234.85</v>
      </c>
      <c r="H2717" t="s">
        <v>13</v>
      </c>
      <c r="I2717" t="s">
        <v>14</v>
      </c>
    </row>
    <row r="2718" spans="1:9" x14ac:dyDescent="0.35">
      <c r="A2718" t="s">
        <v>2754</v>
      </c>
      <c r="B2718" s="1">
        <v>44696</v>
      </c>
      <c r="C2718" t="s">
        <v>10</v>
      </c>
      <c r="D2718" t="s">
        <v>23</v>
      </c>
      <c r="E2718" t="s">
        <v>18</v>
      </c>
      <c r="F2718">
        <v>1836.53</v>
      </c>
      <c r="G2718">
        <v>531.70000000000005</v>
      </c>
      <c r="H2718" t="s">
        <v>19</v>
      </c>
      <c r="I2718" t="s">
        <v>14</v>
      </c>
    </row>
    <row r="2719" spans="1:9" x14ac:dyDescent="0.35">
      <c r="A2719" t="s">
        <v>2755</v>
      </c>
      <c r="B2719" s="1">
        <v>45312</v>
      </c>
      <c r="C2719" t="s">
        <v>16</v>
      </c>
      <c r="D2719" t="s">
        <v>46</v>
      </c>
      <c r="E2719" t="s">
        <v>18</v>
      </c>
      <c r="F2719">
        <v>848.36</v>
      </c>
      <c r="G2719">
        <v>193.55</v>
      </c>
      <c r="H2719" t="s">
        <v>28</v>
      </c>
      <c r="I2719" t="s">
        <v>20</v>
      </c>
    </row>
    <row r="2720" spans="1:9" x14ac:dyDescent="0.35">
      <c r="A2720" t="s">
        <v>2756</v>
      </c>
      <c r="B2720" s="1">
        <v>45077</v>
      </c>
      <c r="C2720" t="s">
        <v>25</v>
      </c>
      <c r="D2720" t="s">
        <v>11</v>
      </c>
      <c r="E2720" t="s">
        <v>12</v>
      </c>
      <c r="F2720">
        <v>641.77</v>
      </c>
      <c r="G2720">
        <v>131.05000000000001</v>
      </c>
      <c r="H2720" t="s">
        <v>13</v>
      </c>
      <c r="I2720" t="s">
        <v>34</v>
      </c>
    </row>
    <row r="2721" spans="1:9" x14ac:dyDescent="0.35">
      <c r="A2721" t="s">
        <v>2757</v>
      </c>
      <c r="B2721" s="1">
        <v>44804</v>
      </c>
      <c r="C2721" t="s">
        <v>22</v>
      </c>
      <c r="D2721" t="s">
        <v>57</v>
      </c>
      <c r="E2721" t="s">
        <v>27</v>
      </c>
      <c r="F2721">
        <v>933.87</v>
      </c>
      <c r="G2721">
        <v>259.86</v>
      </c>
      <c r="H2721" t="s">
        <v>28</v>
      </c>
      <c r="I2721" t="s">
        <v>34</v>
      </c>
    </row>
    <row r="2722" spans="1:9" x14ac:dyDescent="0.35">
      <c r="A2722" t="s">
        <v>2758</v>
      </c>
      <c r="B2722" s="1">
        <v>45005</v>
      </c>
      <c r="C2722" t="s">
        <v>16</v>
      </c>
      <c r="D2722" t="s">
        <v>17</v>
      </c>
      <c r="E2722" t="s">
        <v>18</v>
      </c>
      <c r="F2722">
        <v>359.98</v>
      </c>
      <c r="G2722">
        <v>86.83</v>
      </c>
      <c r="H2722" t="s">
        <v>13</v>
      </c>
      <c r="I2722" t="s">
        <v>14</v>
      </c>
    </row>
    <row r="2723" spans="1:9" x14ac:dyDescent="0.35">
      <c r="A2723" t="s">
        <v>2759</v>
      </c>
      <c r="B2723" s="1">
        <v>45130</v>
      </c>
      <c r="C2723" t="s">
        <v>10</v>
      </c>
      <c r="D2723" t="s">
        <v>38</v>
      </c>
      <c r="E2723" t="s">
        <v>12</v>
      </c>
      <c r="F2723">
        <v>1492</v>
      </c>
      <c r="G2723">
        <v>186.6</v>
      </c>
      <c r="H2723" t="s">
        <v>19</v>
      </c>
      <c r="I2723" t="s">
        <v>20</v>
      </c>
    </row>
    <row r="2724" spans="1:9" x14ac:dyDescent="0.35">
      <c r="A2724" t="s">
        <v>2760</v>
      </c>
      <c r="B2724" s="1">
        <v>44747</v>
      </c>
      <c r="C2724" t="s">
        <v>10</v>
      </c>
      <c r="D2724" t="s">
        <v>11</v>
      </c>
      <c r="E2724" t="s">
        <v>12</v>
      </c>
      <c r="F2724">
        <v>974.5</v>
      </c>
      <c r="G2724">
        <v>152.35</v>
      </c>
      <c r="H2724" t="s">
        <v>13</v>
      </c>
      <c r="I2724" t="s">
        <v>14</v>
      </c>
    </row>
    <row r="2725" spans="1:9" x14ac:dyDescent="0.35">
      <c r="A2725" t="s">
        <v>2761</v>
      </c>
      <c r="B2725" s="1">
        <v>45526</v>
      </c>
      <c r="C2725" t="s">
        <v>16</v>
      </c>
      <c r="D2725" t="s">
        <v>95</v>
      </c>
      <c r="E2725" t="s">
        <v>18</v>
      </c>
      <c r="F2725">
        <v>741.33</v>
      </c>
      <c r="G2725">
        <v>176.24</v>
      </c>
      <c r="H2725" t="s">
        <v>13</v>
      </c>
      <c r="I2725" t="s">
        <v>34</v>
      </c>
    </row>
    <row r="2726" spans="1:9" x14ac:dyDescent="0.35">
      <c r="A2726" t="s">
        <v>2762</v>
      </c>
      <c r="B2726" s="1">
        <v>45232</v>
      </c>
      <c r="C2726" t="s">
        <v>22</v>
      </c>
      <c r="D2726" t="s">
        <v>57</v>
      </c>
      <c r="E2726" t="s">
        <v>27</v>
      </c>
      <c r="F2726">
        <v>306.04000000000002</v>
      </c>
      <c r="G2726">
        <v>23.85</v>
      </c>
      <c r="H2726" t="s">
        <v>13</v>
      </c>
      <c r="I2726" t="s">
        <v>34</v>
      </c>
    </row>
    <row r="2727" spans="1:9" x14ac:dyDescent="0.35">
      <c r="A2727" t="s">
        <v>2763</v>
      </c>
      <c r="B2727" s="1">
        <v>44920</v>
      </c>
      <c r="C2727" t="s">
        <v>10</v>
      </c>
      <c r="D2727" t="s">
        <v>26</v>
      </c>
      <c r="E2727" t="s">
        <v>27</v>
      </c>
      <c r="F2727">
        <v>1383.36</v>
      </c>
      <c r="G2727">
        <v>92.23</v>
      </c>
      <c r="H2727" t="s">
        <v>13</v>
      </c>
      <c r="I2727" t="s">
        <v>29</v>
      </c>
    </row>
    <row r="2728" spans="1:9" x14ac:dyDescent="0.35">
      <c r="A2728" t="s">
        <v>2764</v>
      </c>
      <c r="B2728" s="1">
        <v>44902</v>
      </c>
      <c r="C2728" t="s">
        <v>10</v>
      </c>
      <c r="D2728" t="s">
        <v>33</v>
      </c>
      <c r="E2728" t="s">
        <v>18</v>
      </c>
      <c r="F2728">
        <v>734.6</v>
      </c>
      <c r="G2728">
        <v>81.569999999999993</v>
      </c>
      <c r="H2728" t="s">
        <v>13</v>
      </c>
      <c r="I2728" t="s">
        <v>29</v>
      </c>
    </row>
    <row r="2729" spans="1:9" x14ac:dyDescent="0.35">
      <c r="A2729" t="s">
        <v>2765</v>
      </c>
      <c r="B2729" s="1">
        <v>45277</v>
      </c>
      <c r="C2729" t="s">
        <v>16</v>
      </c>
      <c r="D2729" t="s">
        <v>57</v>
      </c>
      <c r="E2729" t="s">
        <v>27</v>
      </c>
      <c r="F2729">
        <v>1557.4</v>
      </c>
      <c r="G2729">
        <v>221.36</v>
      </c>
      <c r="H2729" t="s">
        <v>13</v>
      </c>
      <c r="I2729" t="s">
        <v>14</v>
      </c>
    </row>
    <row r="2730" spans="1:9" x14ac:dyDescent="0.35">
      <c r="A2730" t="s">
        <v>2766</v>
      </c>
      <c r="B2730" s="1">
        <v>45357</v>
      </c>
      <c r="C2730" t="s">
        <v>16</v>
      </c>
      <c r="D2730" t="s">
        <v>41</v>
      </c>
      <c r="E2730" t="s">
        <v>12</v>
      </c>
      <c r="F2730">
        <v>1829</v>
      </c>
      <c r="G2730">
        <v>143.68</v>
      </c>
      <c r="H2730" t="s">
        <v>19</v>
      </c>
      <c r="I2730" t="s">
        <v>34</v>
      </c>
    </row>
    <row r="2731" spans="1:9" x14ac:dyDescent="0.35">
      <c r="A2731" t="s">
        <v>2767</v>
      </c>
      <c r="B2731" s="1">
        <v>44928</v>
      </c>
      <c r="C2731" t="s">
        <v>25</v>
      </c>
      <c r="D2731" t="s">
        <v>38</v>
      </c>
      <c r="E2731" t="s">
        <v>12</v>
      </c>
      <c r="F2731">
        <v>1718.31</v>
      </c>
      <c r="G2731">
        <v>312.68</v>
      </c>
      <c r="H2731" t="s">
        <v>28</v>
      </c>
      <c r="I2731" t="s">
        <v>34</v>
      </c>
    </row>
    <row r="2732" spans="1:9" x14ac:dyDescent="0.35">
      <c r="A2732" t="s">
        <v>2768</v>
      </c>
      <c r="B2732" s="1">
        <v>44615</v>
      </c>
      <c r="C2732" t="s">
        <v>10</v>
      </c>
      <c r="D2732" t="s">
        <v>46</v>
      </c>
      <c r="E2732" t="s">
        <v>18</v>
      </c>
      <c r="F2732">
        <v>1179.3399999999999</v>
      </c>
      <c r="G2732">
        <v>181.97</v>
      </c>
      <c r="H2732" t="s">
        <v>19</v>
      </c>
      <c r="I2732" t="s">
        <v>14</v>
      </c>
    </row>
    <row r="2733" spans="1:9" x14ac:dyDescent="0.35">
      <c r="A2733" t="s">
        <v>2769</v>
      </c>
      <c r="B2733" s="1">
        <v>44936</v>
      </c>
      <c r="C2733" t="s">
        <v>10</v>
      </c>
      <c r="D2733" t="s">
        <v>73</v>
      </c>
      <c r="E2733" t="s">
        <v>27</v>
      </c>
      <c r="F2733">
        <v>741.83</v>
      </c>
      <c r="G2733">
        <v>171.48</v>
      </c>
      <c r="H2733" t="s">
        <v>13</v>
      </c>
      <c r="I2733" t="s">
        <v>34</v>
      </c>
    </row>
    <row r="2734" spans="1:9" x14ac:dyDescent="0.35">
      <c r="A2734" t="s">
        <v>2770</v>
      </c>
      <c r="B2734" s="1">
        <v>45270</v>
      </c>
      <c r="C2734" t="s">
        <v>10</v>
      </c>
      <c r="D2734" t="s">
        <v>17</v>
      </c>
      <c r="E2734" t="s">
        <v>18</v>
      </c>
      <c r="F2734">
        <v>1358.29</v>
      </c>
      <c r="G2734">
        <v>387.86</v>
      </c>
      <c r="H2734" t="s">
        <v>28</v>
      </c>
      <c r="I2734" t="s">
        <v>14</v>
      </c>
    </row>
    <row r="2735" spans="1:9" x14ac:dyDescent="0.35">
      <c r="A2735" t="s">
        <v>2771</v>
      </c>
      <c r="B2735" s="1">
        <v>45425</v>
      </c>
      <c r="C2735" t="s">
        <v>16</v>
      </c>
      <c r="D2735" t="s">
        <v>38</v>
      </c>
      <c r="E2735" t="s">
        <v>12</v>
      </c>
      <c r="F2735">
        <v>117.1</v>
      </c>
      <c r="G2735">
        <v>7.96</v>
      </c>
      <c r="H2735" t="s">
        <v>19</v>
      </c>
      <c r="I2735" t="s">
        <v>34</v>
      </c>
    </row>
    <row r="2736" spans="1:9" x14ac:dyDescent="0.35">
      <c r="A2736" t="s">
        <v>2772</v>
      </c>
      <c r="B2736" s="1">
        <v>45093</v>
      </c>
      <c r="C2736" t="s">
        <v>22</v>
      </c>
      <c r="D2736" t="s">
        <v>95</v>
      </c>
      <c r="E2736" t="s">
        <v>18</v>
      </c>
      <c r="F2736">
        <v>1110.6600000000001</v>
      </c>
      <c r="G2736">
        <v>301.22000000000003</v>
      </c>
      <c r="H2736" t="s">
        <v>13</v>
      </c>
      <c r="I2736" t="s">
        <v>29</v>
      </c>
    </row>
    <row r="2737" spans="1:9" x14ac:dyDescent="0.35">
      <c r="A2737" t="s">
        <v>2773</v>
      </c>
      <c r="B2737" s="1">
        <v>45324</v>
      </c>
      <c r="C2737" t="s">
        <v>10</v>
      </c>
      <c r="D2737" t="s">
        <v>26</v>
      </c>
      <c r="E2737" t="s">
        <v>27</v>
      </c>
      <c r="F2737">
        <v>1863.71</v>
      </c>
      <c r="G2737">
        <v>478.36</v>
      </c>
      <c r="H2737" t="s">
        <v>13</v>
      </c>
      <c r="I2737" t="s">
        <v>29</v>
      </c>
    </row>
    <row r="2738" spans="1:9" x14ac:dyDescent="0.35">
      <c r="A2738" t="s">
        <v>2774</v>
      </c>
      <c r="B2738" s="1">
        <v>44611</v>
      </c>
      <c r="C2738" t="s">
        <v>10</v>
      </c>
      <c r="D2738" t="s">
        <v>62</v>
      </c>
      <c r="E2738" t="s">
        <v>27</v>
      </c>
      <c r="F2738">
        <v>1304.82</v>
      </c>
      <c r="G2738">
        <v>309.57</v>
      </c>
      <c r="H2738" t="s">
        <v>13</v>
      </c>
      <c r="I2738" t="s">
        <v>14</v>
      </c>
    </row>
    <row r="2739" spans="1:9" x14ac:dyDescent="0.35">
      <c r="A2739" t="s">
        <v>2775</v>
      </c>
      <c r="B2739" s="1">
        <v>45076</v>
      </c>
      <c r="C2739" t="s">
        <v>22</v>
      </c>
      <c r="D2739" t="s">
        <v>11</v>
      </c>
      <c r="E2739" t="s">
        <v>12</v>
      </c>
      <c r="F2739">
        <v>1376.16</v>
      </c>
      <c r="G2739">
        <v>303.55</v>
      </c>
      <c r="H2739" t="s">
        <v>13</v>
      </c>
      <c r="I2739" t="s">
        <v>29</v>
      </c>
    </row>
    <row r="2740" spans="1:9" x14ac:dyDescent="0.35">
      <c r="A2740" t="s">
        <v>2776</v>
      </c>
      <c r="B2740" s="1">
        <v>44697</v>
      </c>
      <c r="C2740" t="s">
        <v>16</v>
      </c>
      <c r="D2740" t="s">
        <v>97</v>
      </c>
      <c r="E2740" t="s">
        <v>27</v>
      </c>
      <c r="F2740">
        <v>1223.51</v>
      </c>
      <c r="G2740">
        <v>149.69</v>
      </c>
      <c r="H2740" t="s">
        <v>13</v>
      </c>
      <c r="I2740" t="s">
        <v>34</v>
      </c>
    </row>
    <row r="2741" spans="1:9" x14ac:dyDescent="0.35">
      <c r="A2741" t="s">
        <v>2777</v>
      </c>
      <c r="B2741" s="1">
        <v>44873</v>
      </c>
      <c r="C2741" t="s">
        <v>16</v>
      </c>
      <c r="D2741" t="s">
        <v>73</v>
      </c>
      <c r="E2741" t="s">
        <v>27</v>
      </c>
      <c r="F2741">
        <v>531.23</v>
      </c>
      <c r="G2741">
        <v>125.3</v>
      </c>
      <c r="H2741" t="s">
        <v>13</v>
      </c>
      <c r="I2741" t="s">
        <v>14</v>
      </c>
    </row>
    <row r="2742" spans="1:9" x14ac:dyDescent="0.35">
      <c r="A2742" t="s">
        <v>2778</v>
      </c>
      <c r="B2742" s="1">
        <v>45654</v>
      </c>
      <c r="C2742" t="s">
        <v>10</v>
      </c>
      <c r="D2742" t="s">
        <v>26</v>
      </c>
      <c r="E2742" t="s">
        <v>27</v>
      </c>
      <c r="F2742">
        <v>1132.92</v>
      </c>
      <c r="G2742">
        <v>70.23</v>
      </c>
      <c r="H2742" t="s">
        <v>19</v>
      </c>
      <c r="I2742" t="s">
        <v>29</v>
      </c>
    </row>
    <row r="2743" spans="1:9" x14ac:dyDescent="0.35">
      <c r="A2743" t="s">
        <v>2779</v>
      </c>
      <c r="B2743" s="1">
        <v>45147</v>
      </c>
      <c r="C2743" t="s">
        <v>10</v>
      </c>
      <c r="D2743" t="s">
        <v>57</v>
      </c>
      <c r="E2743" t="s">
        <v>27</v>
      </c>
      <c r="F2743">
        <v>1173.6500000000001</v>
      </c>
      <c r="G2743">
        <v>94.55</v>
      </c>
      <c r="H2743" t="s">
        <v>19</v>
      </c>
      <c r="I2743" t="s">
        <v>14</v>
      </c>
    </row>
    <row r="2744" spans="1:9" x14ac:dyDescent="0.35">
      <c r="A2744" t="s">
        <v>2780</v>
      </c>
      <c r="B2744" s="1">
        <v>44933</v>
      </c>
      <c r="C2744" t="s">
        <v>16</v>
      </c>
      <c r="D2744" t="s">
        <v>95</v>
      </c>
      <c r="E2744" t="s">
        <v>18</v>
      </c>
      <c r="F2744">
        <v>109.3</v>
      </c>
      <c r="G2744">
        <v>6.46</v>
      </c>
      <c r="H2744" t="s">
        <v>19</v>
      </c>
      <c r="I2744" t="s">
        <v>14</v>
      </c>
    </row>
    <row r="2745" spans="1:9" x14ac:dyDescent="0.35">
      <c r="A2745" t="s">
        <v>2781</v>
      </c>
      <c r="B2745" s="1">
        <v>44827</v>
      </c>
      <c r="C2745" t="s">
        <v>16</v>
      </c>
      <c r="D2745" t="s">
        <v>38</v>
      </c>
      <c r="E2745" t="s">
        <v>12</v>
      </c>
      <c r="F2745">
        <v>349.84</v>
      </c>
      <c r="G2745">
        <v>57.24</v>
      </c>
      <c r="H2745" t="s">
        <v>13</v>
      </c>
      <c r="I2745" t="s">
        <v>29</v>
      </c>
    </row>
    <row r="2746" spans="1:9" x14ac:dyDescent="0.35">
      <c r="A2746" t="s">
        <v>2782</v>
      </c>
      <c r="B2746" s="1">
        <v>45523</v>
      </c>
      <c r="C2746" t="s">
        <v>16</v>
      </c>
      <c r="D2746" t="s">
        <v>26</v>
      </c>
      <c r="E2746" t="s">
        <v>27</v>
      </c>
      <c r="F2746">
        <v>289.55</v>
      </c>
      <c r="G2746">
        <v>53</v>
      </c>
      <c r="H2746" t="s">
        <v>28</v>
      </c>
      <c r="I2746" t="s">
        <v>20</v>
      </c>
    </row>
    <row r="2747" spans="1:9" x14ac:dyDescent="0.35">
      <c r="A2747" t="s">
        <v>2783</v>
      </c>
      <c r="B2747" s="1">
        <v>45460</v>
      </c>
      <c r="C2747" t="s">
        <v>10</v>
      </c>
      <c r="D2747" t="s">
        <v>26</v>
      </c>
      <c r="E2747" t="s">
        <v>27</v>
      </c>
      <c r="F2747">
        <v>950.13</v>
      </c>
      <c r="G2747">
        <v>107.06</v>
      </c>
      <c r="H2747" t="s">
        <v>13</v>
      </c>
      <c r="I2747" t="s">
        <v>29</v>
      </c>
    </row>
    <row r="2748" spans="1:9" x14ac:dyDescent="0.35">
      <c r="A2748" t="s">
        <v>2784</v>
      </c>
      <c r="B2748" s="1">
        <v>45113</v>
      </c>
      <c r="C2748" t="s">
        <v>10</v>
      </c>
      <c r="D2748" t="s">
        <v>95</v>
      </c>
      <c r="E2748" t="s">
        <v>18</v>
      </c>
      <c r="F2748">
        <v>1256.17</v>
      </c>
      <c r="G2748">
        <v>168.67</v>
      </c>
      <c r="H2748" t="s">
        <v>13</v>
      </c>
      <c r="I2748" t="s">
        <v>29</v>
      </c>
    </row>
    <row r="2749" spans="1:9" x14ac:dyDescent="0.35">
      <c r="A2749" t="s">
        <v>2785</v>
      </c>
      <c r="B2749" s="1">
        <v>45053</v>
      </c>
      <c r="C2749" t="s">
        <v>16</v>
      </c>
      <c r="D2749" t="s">
        <v>46</v>
      </c>
      <c r="E2749" t="s">
        <v>18</v>
      </c>
      <c r="F2749">
        <v>461.7</v>
      </c>
      <c r="G2749">
        <v>31.58</v>
      </c>
      <c r="H2749" t="s">
        <v>28</v>
      </c>
      <c r="I2749" t="s">
        <v>29</v>
      </c>
    </row>
    <row r="2750" spans="1:9" x14ac:dyDescent="0.35">
      <c r="A2750" t="s">
        <v>2786</v>
      </c>
      <c r="B2750" s="1">
        <v>44817</v>
      </c>
      <c r="C2750" t="s">
        <v>10</v>
      </c>
      <c r="D2750" t="s">
        <v>23</v>
      </c>
      <c r="E2750" t="s">
        <v>18</v>
      </c>
      <c r="F2750">
        <v>641.65</v>
      </c>
      <c r="G2750">
        <v>156.05000000000001</v>
      </c>
      <c r="H2750" t="s">
        <v>13</v>
      </c>
      <c r="I2750" t="s">
        <v>14</v>
      </c>
    </row>
    <row r="2751" spans="1:9" x14ac:dyDescent="0.35">
      <c r="A2751" t="s">
        <v>2787</v>
      </c>
      <c r="B2751" s="1">
        <v>45534</v>
      </c>
      <c r="C2751" t="s">
        <v>16</v>
      </c>
      <c r="D2751" t="s">
        <v>41</v>
      </c>
      <c r="E2751" t="s">
        <v>12</v>
      </c>
      <c r="F2751">
        <v>773.28</v>
      </c>
      <c r="G2751">
        <v>161.25</v>
      </c>
      <c r="H2751" t="s">
        <v>13</v>
      </c>
      <c r="I2751" t="s">
        <v>20</v>
      </c>
    </row>
    <row r="2752" spans="1:9" x14ac:dyDescent="0.35">
      <c r="A2752" t="s">
        <v>2788</v>
      </c>
      <c r="B2752" s="1">
        <v>45231</v>
      </c>
      <c r="C2752" t="s">
        <v>25</v>
      </c>
      <c r="D2752" t="s">
        <v>11</v>
      </c>
      <c r="E2752" t="s">
        <v>12</v>
      </c>
      <c r="F2752">
        <v>1908.39</v>
      </c>
      <c r="G2752">
        <v>493.03</v>
      </c>
      <c r="H2752" t="s">
        <v>19</v>
      </c>
      <c r="I2752" t="s">
        <v>20</v>
      </c>
    </row>
    <row r="2753" spans="1:9" x14ac:dyDescent="0.35">
      <c r="A2753" t="s">
        <v>2789</v>
      </c>
      <c r="B2753" s="1">
        <v>45169</v>
      </c>
      <c r="C2753" t="s">
        <v>25</v>
      </c>
      <c r="D2753" t="s">
        <v>73</v>
      </c>
      <c r="E2753" t="s">
        <v>27</v>
      </c>
      <c r="F2753">
        <v>310.60000000000002</v>
      </c>
      <c r="G2753">
        <v>67.540000000000006</v>
      </c>
      <c r="H2753" t="s">
        <v>28</v>
      </c>
      <c r="I2753" t="s">
        <v>14</v>
      </c>
    </row>
    <row r="2754" spans="1:9" x14ac:dyDescent="0.35">
      <c r="A2754" t="s">
        <v>2790</v>
      </c>
      <c r="B2754" s="1">
        <v>44887</v>
      </c>
      <c r="C2754" t="s">
        <v>22</v>
      </c>
      <c r="D2754" t="s">
        <v>97</v>
      </c>
      <c r="E2754" t="s">
        <v>27</v>
      </c>
      <c r="F2754">
        <v>150.26</v>
      </c>
      <c r="G2754">
        <v>25.91</v>
      </c>
      <c r="H2754" t="s">
        <v>13</v>
      </c>
      <c r="I2754" t="s">
        <v>29</v>
      </c>
    </row>
    <row r="2755" spans="1:9" x14ac:dyDescent="0.35">
      <c r="A2755" t="s">
        <v>2791</v>
      </c>
      <c r="B2755" s="1">
        <v>45338</v>
      </c>
      <c r="C2755" t="s">
        <v>25</v>
      </c>
      <c r="D2755" t="s">
        <v>38</v>
      </c>
      <c r="E2755" t="s">
        <v>12</v>
      </c>
      <c r="F2755">
        <v>553.67999999999995</v>
      </c>
      <c r="G2755">
        <v>162.13</v>
      </c>
      <c r="H2755" t="s">
        <v>28</v>
      </c>
      <c r="I2755" t="s">
        <v>20</v>
      </c>
    </row>
    <row r="2756" spans="1:9" x14ac:dyDescent="0.35">
      <c r="A2756" t="s">
        <v>2792</v>
      </c>
      <c r="B2756" s="1">
        <v>44987</v>
      </c>
      <c r="C2756" t="s">
        <v>10</v>
      </c>
      <c r="D2756" t="s">
        <v>26</v>
      </c>
      <c r="E2756" t="s">
        <v>27</v>
      </c>
      <c r="F2756">
        <v>138.19</v>
      </c>
      <c r="G2756">
        <v>21.96</v>
      </c>
      <c r="H2756" t="s">
        <v>13</v>
      </c>
      <c r="I2756" t="s">
        <v>20</v>
      </c>
    </row>
    <row r="2757" spans="1:9" x14ac:dyDescent="0.35">
      <c r="A2757" t="s">
        <v>2793</v>
      </c>
      <c r="B2757" s="1">
        <v>44954</v>
      </c>
      <c r="C2757" t="s">
        <v>25</v>
      </c>
      <c r="D2757" t="s">
        <v>26</v>
      </c>
      <c r="E2757" t="s">
        <v>27</v>
      </c>
      <c r="F2757">
        <v>1741.31</v>
      </c>
      <c r="G2757">
        <v>500.1</v>
      </c>
      <c r="H2757" t="s">
        <v>13</v>
      </c>
      <c r="I2757" t="s">
        <v>29</v>
      </c>
    </row>
    <row r="2758" spans="1:9" x14ac:dyDescent="0.35">
      <c r="A2758" t="s">
        <v>2794</v>
      </c>
      <c r="B2758" s="1">
        <v>44736</v>
      </c>
      <c r="C2758" t="s">
        <v>25</v>
      </c>
      <c r="D2758" t="s">
        <v>73</v>
      </c>
      <c r="E2758" t="s">
        <v>27</v>
      </c>
      <c r="F2758">
        <v>409</v>
      </c>
      <c r="G2758">
        <v>96.67</v>
      </c>
      <c r="H2758" t="s">
        <v>13</v>
      </c>
      <c r="I2758" t="s">
        <v>14</v>
      </c>
    </row>
    <row r="2759" spans="1:9" x14ac:dyDescent="0.35">
      <c r="A2759" t="s">
        <v>2795</v>
      </c>
      <c r="B2759" s="1">
        <v>45006</v>
      </c>
      <c r="C2759" t="s">
        <v>25</v>
      </c>
      <c r="D2759" t="s">
        <v>73</v>
      </c>
      <c r="E2759" t="s">
        <v>27</v>
      </c>
      <c r="F2759">
        <v>1953.7</v>
      </c>
      <c r="G2759">
        <v>212.53</v>
      </c>
      <c r="H2759" t="s">
        <v>28</v>
      </c>
      <c r="I2759" t="s">
        <v>14</v>
      </c>
    </row>
    <row r="2760" spans="1:9" x14ac:dyDescent="0.35">
      <c r="A2760" t="s">
        <v>2796</v>
      </c>
      <c r="B2760" s="1">
        <v>44732</v>
      </c>
      <c r="C2760" t="s">
        <v>10</v>
      </c>
      <c r="D2760" t="s">
        <v>31</v>
      </c>
      <c r="E2760" t="s">
        <v>12</v>
      </c>
      <c r="F2760">
        <v>1469.16</v>
      </c>
      <c r="G2760">
        <v>415.61</v>
      </c>
      <c r="H2760" t="s">
        <v>28</v>
      </c>
      <c r="I2760" t="s">
        <v>20</v>
      </c>
    </row>
    <row r="2761" spans="1:9" x14ac:dyDescent="0.35">
      <c r="A2761" t="s">
        <v>2797</v>
      </c>
      <c r="B2761" s="1">
        <v>44908</v>
      </c>
      <c r="C2761" t="s">
        <v>25</v>
      </c>
      <c r="D2761" t="s">
        <v>46</v>
      </c>
      <c r="E2761" t="s">
        <v>18</v>
      </c>
      <c r="F2761">
        <v>114.69</v>
      </c>
      <c r="G2761">
        <v>12.34</v>
      </c>
      <c r="H2761" t="s">
        <v>13</v>
      </c>
      <c r="I2761" t="s">
        <v>14</v>
      </c>
    </row>
    <row r="2762" spans="1:9" x14ac:dyDescent="0.35">
      <c r="A2762" t="s">
        <v>2798</v>
      </c>
      <c r="B2762" s="1">
        <v>45321</v>
      </c>
      <c r="C2762" t="s">
        <v>10</v>
      </c>
      <c r="D2762" t="s">
        <v>38</v>
      </c>
      <c r="E2762" t="s">
        <v>12</v>
      </c>
      <c r="F2762">
        <v>233.18</v>
      </c>
      <c r="G2762">
        <v>26.52</v>
      </c>
      <c r="H2762" t="s">
        <v>13</v>
      </c>
      <c r="I2762" t="s">
        <v>14</v>
      </c>
    </row>
    <row r="2763" spans="1:9" x14ac:dyDescent="0.35">
      <c r="A2763" t="s">
        <v>2799</v>
      </c>
      <c r="B2763" s="1">
        <v>45194</v>
      </c>
      <c r="C2763" t="s">
        <v>25</v>
      </c>
      <c r="D2763" t="s">
        <v>17</v>
      </c>
      <c r="E2763" t="s">
        <v>18</v>
      </c>
      <c r="F2763">
        <v>194.4</v>
      </c>
      <c r="G2763">
        <v>27.14</v>
      </c>
      <c r="H2763" t="s">
        <v>13</v>
      </c>
      <c r="I2763" t="s">
        <v>34</v>
      </c>
    </row>
    <row r="2764" spans="1:9" x14ac:dyDescent="0.35">
      <c r="A2764" t="s">
        <v>2800</v>
      </c>
      <c r="B2764" s="1">
        <v>44736</v>
      </c>
      <c r="C2764" t="s">
        <v>25</v>
      </c>
      <c r="D2764" t="s">
        <v>73</v>
      </c>
      <c r="E2764" t="s">
        <v>27</v>
      </c>
      <c r="F2764">
        <v>703.02</v>
      </c>
      <c r="G2764">
        <v>88.28</v>
      </c>
      <c r="H2764" t="s">
        <v>13</v>
      </c>
      <c r="I2764" t="s">
        <v>14</v>
      </c>
    </row>
    <row r="2765" spans="1:9" x14ac:dyDescent="0.35">
      <c r="A2765" t="s">
        <v>2801</v>
      </c>
      <c r="B2765" s="1">
        <v>45259</v>
      </c>
      <c r="C2765" t="s">
        <v>22</v>
      </c>
      <c r="D2765" t="s">
        <v>50</v>
      </c>
      <c r="E2765" t="s">
        <v>12</v>
      </c>
      <c r="F2765">
        <v>558.53</v>
      </c>
      <c r="G2765">
        <v>163.44999999999999</v>
      </c>
      <c r="H2765" t="s">
        <v>28</v>
      </c>
      <c r="I2765" t="s">
        <v>29</v>
      </c>
    </row>
    <row r="2766" spans="1:9" x14ac:dyDescent="0.35">
      <c r="A2766" t="s">
        <v>2802</v>
      </c>
      <c r="B2766" s="1">
        <v>45174</v>
      </c>
      <c r="C2766" t="s">
        <v>25</v>
      </c>
      <c r="D2766" t="s">
        <v>41</v>
      </c>
      <c r="E2766" t="s">
        <v>12</v>
      </c>
      <c r="F2766">
        <v>768.49</v>
      </c>
      <c r="G2766">
        <v>100.79</v>
      </c>
      <c r="H2766" t="s">
        <v>19</v>
      </c>
      <c r="I2766" t="s">
        <v>34</v>
      </c>
    </row>
    <row r="2767" spans="1:9" x14ac:dyDescent="0.35">
      <c r="A2767" t="s">
        <v>2803</v>
      </c>
      <c r="B2767" s="1">
        <v>44829</v>
      </c>
      <c r="C2767" t="s">
        <v>25</v>
      </c>
      <c r="D2767" t="s">
        <v>95</v>
      </c>
      <c r="E2767" t="s">
        <v>18</v>
      </c>
      <c r="F2767">
        <v>1651.22</v>
      </c>
      <c r="G2767">
        <v>92.3</v>
      </c>
      <c r="H2767" t="s">
        <v>19</v>
      </c>
      <c r="I2767" t="s">
        <v>29</v>
      </c>
    </row>
    <row r="2768" spans="1:9" x14ac:dyDescent="0.35">
      <c r="A2768" t="s">
        <v>2804</v>
      </c>
      <c r="B2768" s="1">
        <v>44583</v>
      </c>
      <c r="C2768" t="s">
        <v>16</v>
      </c>
      <c r="D2768" t="s">
        <v>97</v>
      </c>
      <c r="E2768" t="s">
        <v>27</v>
      </c>
      <c r="F2768">
        <v>1073.33</v>
      </c>
      <c r="G2768">
        <v>145.32</v>
      </c>
      <c r="H2768" t="s">
        <v>13</v>
      </c>
      <c r="I2768" t="s">
        <v>20</v>
      </c>
    </row>
    <row r="2769" spans="1:9" x14ac:dyDescent="0.35">
      <c r="A2769" t="s">
        <v>2805</v>
      </c>
      <c r="B2769" s="1">
        <v>45403</v>
      </c>
      <c r="C2769" t="s">
        <v>16</v>
      </c>
      <c r="D2769" t="s">
        <v>73</v>
      </c>
      <c r="E2769" t="s">
        <v>27</v>
      </c>
      <c r="F2769">
        <v>601.55999999999995</v>
      </c>
      <c r="G2769">
        <v>46.71</v>
      </c>
      <c r="H2769" t="s">
        <v>28</v>
      </c>
      <c r="I2769" t="s">
        <v>14</v>
      </c>
    </row>
    <row r="2770" spans="1:9" x14ac:dyDescent="0.35">
      <c r="A2770" t="s">
        <v>2806</v>
      </c>
      <c r="B2770" s="1">
        <v>45027</v>
      </c>
      <c r="C2770" t="s">
        <v>25</v>
      </c>
      <c r="D2770" t="s">
        <v>46</v>
      </c>
      <c r="E2770" t="s">
        <v>18</v>
      </c>
      <c r="F2770">
        <v>1398.63</v>
      </c>
      <c r="G2770">
        <v>83.97</v>
      </c>
      <c r="H2770" t="s">
        <v>28</v>
      </c>
      <c r="I2770" t="s">
        <v>14</v>
      </c>
    </row>
    <row r="2771" spans="1:9" x14ac:dyDescent="0.35">
      <c r="A2771" t="s">
        <v>2807</v>
      </c>
      <c r="B2771" s="1">
        <v>45267</v>
      </c>
      <c r="C2771" t="s">
        <v>25</v>
      </c>
      <c r="D2771" t="s">
        <v>31</v>
      </c>
      <c r="E2771" t="s">
        <v>12</v>
      </c>
      <c r="F2771">
        <v>52.68</v>
      </c>
      <c r="G2771">
        <v>10.19</v>
      </c>
      <c r="H2771" t="s">
        <v>19</v>
      </c>
      <c r="I2771" t="s">
        <v>34</v>
      </c>
    </row>
    <row r="2772" spans="1:9" x14ac:dyDescent="0.35">
      <c r="A2772" t="s">
        <v>2808</v>
      </c>
      <c r="B2772" s="1">
        <v>45041</v>
      </c>
      <c r="C2772" t="s">
        <v>10</v>
      </c>
      <c r="D2772" t="s">
        <v>31</v>
      </c>
      <c r="E2772" t="s">
        <v>12</v>
      </c>
      <c r="F2772">
        <v>762.4</v>
      </c>
      <c r="G2772">
        <v>142.91</v>
      </c>
      <c r="H2772" t="s">
        <v>19</v>
      </c>
      <c r="I2772" t="s">
        <v>34</v>
      </c>
    </row>
    <row r="2773" spans="1:9" x14ac:dyDescent="0.35">
      <c r="A2773" t="s">
        <v>2809</v>
      </c>
      <c r="B2773" s="1">
        <v>45616</v>
      </c>
      <c r="C2773" t="s">
        <v>25</v>
      </c>
      <c r="D2773" t="s">
        <v>33</v>
      </c>
      <c r="E2773" t="s">
        <v>18</v>
      </c>
      <c r="F2773">
        <v>1606</v>
      </c>
      <c r="G2773">
        <v>119.59</v>
      </c>
      <c r="H2773" t="s">
        <v>28</v>
      </c>
      <c r="I2773" t="s">
        <v>14</v>
      </c>
    </row>
    <row r="2774" spans="1:9" x14ac:dyDescent="0.35">
      <c r="A2774" t="s">
        <v>2810</v>
      </c>
      <c r="B2774" s="1">
        <v>45534</v>
      </c>
      <c r="C2774" t="s">
        <v>16</v>
      </c>
      <c r="D2774" t="s">
        <v>41</v>
      </c>
      <c r="E2774" t="s">
        <v>12</v>
      </c>
      <c r="F2774">
        <v>332.97</v>
      </c>
      <c r="G2774">
        <v>19.25</v>
      </c>
      <c r="H2774" t="s">
        <v>13</v>
      </c>
      <c r="I2774" t="s">
        <v>29</v>
      </c>
    </row>
    <row r="2775" spans="1:9" x14ac:dyDescent="0.35">
      <c r="A2775" t="s">
        <v>2811</v>
      </c>
      <c r="B2775" s="1">
        <v>45409</v>
      </c>
      <c r="C2775" t="s">
        <v>16</v>
      </c>
      <c r="D2775" t="s">
        <v>57</v>
      </c>
      <c r="E2775" t="s">
        <v>27</v>
      </c>
      <c r="F2775">
        <v>778.96</v>
      </c>
      <c r="G2775">
        <v>60.04</v>
      </c>
      <c r="H2775" t="s">
        <v>19</v>
      </c>
      <c r="I2775" t="s">
        <v>34</v>
      </c>
    </row>
    <row r="2776" spans="1:9" x14ac:dyDescent="0.35">
      <c r="A2776" t="s">
        <v>2812</v>
      </c>
      <c r="B2776" s="1">
        <v>45122</v>
      </c>
      <c r="C2776" t="s">
        <v>25</v>
      </c>
      <c r="D2776" t="s">
        <v>46</v>
      </c>
      <c r="E2776" t="s">
        <v>18</v>
      </c>
      <c r="F2776">
        <v>1382.15</v>
      </c>
      <c r="G2776">
        <v>139.1</v>
      </c>
      <c r="H2776" t="s">
        <v>13</v>
      </c>
      <c r="I2776" t="s">
        <v>20</v>
      </c>
    </row>
    <row r="2777" spans="1:9" x14ac:dyDescent="0.35">
      <c r="A2777" t="s">
        <v>2813</v>
      </c>
      <c r="B2777" s="1">
        <v>44823</v>
      </c>
      <c r="C2777" t="s">
        <v>16</v>
      </c>
      <c r="D2777" t="s">
        <v>38</v>
      </c>
      <c r="E2777" t="s">
        <v>12</v>
      </c>
      <c r="F2777">
        <v>391.23</v>
      </c>
      <c r="G2777">
        <v>109.81</v>
      </c>
      <c r="H2777" t="s">
        <v>28</v>
      </c>
      <c r="I2777" t="s">
        <v>34</v>
      </c>
    </row>
    <row r="2778" spans="1:9" x14ac:dyDescent="0.35">
      <c r="A2778" t="s">
        <v>2814</v>
      </c>
      <c r="B2778" s="1">
        <v>45295</v>
      </c>
      <c r="C2778" t="s">
        <v>22</v>
      </c>
      <c r="D2778" t="s">
        <v>26</v>
      </c>
      <c r="E2778" t="s">
        <v>27</v>
      </c>
      <c r="F2778">
        <v>498.89</v>
      </c>
      <c r="G2778">
        <v>49.76</v>
      </c>
      <c r="H2778" t="s">
        <v>19</v>
      </c>
      <c r="I2778" t="s">
        <v>34</v>
      </c>
    </row>
    <row r="2779" spans="1:9" x14ac:dyDescent="0.35">
      <c r="A2779" t="s">
        <v>2815</v>
      </c>
      <c r="B2779" s="1">
        <v>45514</v>
      </c>
      <c r="C2779" t="s">
        <v>22</v>
      </c>
      <c r="D2779" t="s">
        <v>23</v>
      </c>
      <c r="E2779" t="s">
        <v>18</v>
      </c>
      <c r="F2779">
        <v>1844.18</v>
      </c>
      <c r="G2779">
        <v>464.01</v>
      </c>
      <c r="H2779" t="s">
        <v>13</v>
      </c>
      <c r="I2779" t="s">
        <v>29</v>
      </c>
    </row>
    <row r="2780" spans="1:9" x14ac:dyDescent="0.35">
      <c r="A2780" t="s">
        <v>2816</v>
      </c>
      <c r="B2780" s="1">
        <v>44665</v>
      </c>
      <c r="C2780" t="s">
        <v>25</v>
      </c>
      <c r="D2780" t="s">
        <v>97</v>
      </c>
      <c r="E2780" t="s">
        <v>27</v>
      </c>
      <c r="F2780">
        <v>1440.18</v>
      </c>
      <c r="G2780">
        <v>361.77</v>
      </c>
      <c r="H2780" t="s">
        <v>28</v>
      </c>
      <c r="I2780" t="s">
        <v>14</v>
      </c>
    </row>
    <row r="2781" spans="1:9" x14ac:dyDescent="0.35">
      <c r="A2781" t="s">
        <v>2817</v>
      </c>
      <c r="B2781" s="1">
        <v>45331</v>
      </c>
      <c r="C2781" t="s">
        <v>10</v>
      </c>
      <c r="D2781" t="s">
        <v>97</v>
      </c>
      <c r="E2781" t="s">
        <v>27</v>
      </c>
      <c r="F2781">
        <v>1520.43</v>
      </c>
      <c r="G2781">
        <v>233.11</v>
      </c>
      <c r="H2781" t="s">
        <v>28</v>
      </c>
      <c r="I2781" t="s">
        <v>29</v>
      </c>
    </row>
    <row r="2782" spans="1:9" x14ac:dyDescent="0.35">
      <c r="A2782" t="s">
        <v>2818</v>
      </c>
      <c r="B2782" s="1">
        <v>45282</v>
      </c>
      <c r="C2782" t="s">
        <v>25</v>
      </c>
      <c r="D2782" t="s">
        <v>23</v>
      </c>
      <c r="E2782" t="s">
        <v>18</v>
      </c>
      <c r="F2782">
        <v>752.97</v>
      </c>
      <c r="G2782">
        <v>220.52</v>
      </c>
      <c r="H2782" t="s">
        <v>28</v>
      </c>
      <c r="I2782" t="s">
        <v>29</v>
      </c>
    </row>
    <row r="2783" spans="1:9" x14ac:dyDescent="0.35">
      <c r="A2783" t="s">
        <v>2819</v>
      </c>
      <c r="B2783" s="1">
        <v>45526</v>
      </c>
      <c r="C2783" t="s">
        <v>16</v>
      </c>
      <c r="D2783" t="s">
        <v>33</v>
      </c>
      <c r="E2783" t="s">
        <v>18</v>
      </c>
      <c r="F2783">
        <v>1496.73</v>
      </c>
      <c r="G2783">
        <v>95.02</v>
      </c>
      <c r="H2783" t="s">
        <v>28</v>
      </c>
      <c r="I2783" t="s">
        <v>14</v>
      </c>
    </row>
    <row r="2784" spans="1:9" x14ac:dyDescent="0.35">
      <c r="A2784" t="s">
        <v>2820</v>
      </c>
      <c r="B2784" s="1">
        <v>45363</v>
      </c>
      <c r="C2784" t="s">
        <v>22</v>
      </c>
      <c r="D2784" t="s">
        <v>97</v>
      </c>
      <c r="E2784" t="s">
        <v>27</v>
      </c>
      <c r="F2784">
        <v>1386.11</v>
      </c>
      <c r="G2784">
        <v>240.81</v>
      </c>
      <c r="H2784" t="s">
        <v>19</v>
      </c>
      <c r="I2784" t="s">
        <v>14</v>
      </c>
    </row>
    <row r="2785" spans="1:9" x14ac:dyDescent="0.35">
      <c r="A2785" t="s">
        <v>2821</v>
      </c>
      <c r="B2785" s="1">
        <v>45278</v>
      </c>
      <c r="C2785" t="s">
        <v>16</v>
      </c>
      <c r="D2785" t="s">
        <v>33</v>
      </c>
      <c r="E2785" t="s">
        <v>18</v>
      </c>
      <c r="F2785">
        <v>575.94000000000005</v>
      </c>
      <c r="G2785">
        <v>62.26</v>
      </c>
      <c r="H2785" t="s">
        <v>28</v>
      </c>
      <c r="I2785" t="s">
        <v>29</v>
      </c>
    </row>
    <row r="2786" spans="1:9" x14ac:dyDescent="0.35">
      <c r="A2786" t="s">
        <v>2822</v>
      </c>
      <c r="B2786" s="1">
        <v>45576</v>
      </c>
      <c r="C2786" t="s">
        <v>10</v>
      </c>
      <c r="D2786" t="s">
        <v>95</v>
      </c>
      <c r="E2786" t="s">
        <v>18</v>
      </c>
      <c r="F2786">
        <v>1168.25</v>
      </c>
      <c r="G2786">
        <v>320.25</v>
      </c>
      <c r="H2786" t="s">
        <v>13</v>
      </c>
      <c r="I2786" t="s">
        <v>29</v>
      </c>
    </row>
    <row r="2787" spans="1:9" x14ac:dyDescent="0.35">
      <c r="A2787" t="s">
        <v>2823</v>
      </c>
      <c r="B2787" s="1">
        <v>45330</v>
      </c>
      <c r="C2787" t="s">
        <v>25</v>
      </c>
      <c r="D2787" t="s">
        <v>73</v>
      </c>
      <c r="E2787" t="s">
        <v>27</v>
      </c>
      <c r="F2787">
        <v>1494.43</v>
      </c>
      <c r="G2787">
        <v>322.52</v>
      </c>
      <c r="H2787" t="s">
        <v>28</v>
      </c>
      <c r="I2787" t="s">
        <v>20</v>
      </c>
    </row>
    <row r="2788" spans="1:9" x14ac:dyDescent="0.35">
      <c r="A2788" t="s">
        <v>2824</v>
      </c>
      <c r="B2788" s="1">
        <v>45368</v>
      </c>
      <c r="C2788" t="s">
        <v>25</v>
      </c>
      <c r="D2788" t="s">
        <v>33</v>
      </c>
      <c r="E2788" t="s">
        <v>18</v>
      </c>
      <c r="F2788">
        <v>1293.0999999999999</v>
      </c>
      <c r="G2788">
        <v>317.23</v>
      </c>
      <c r="H2788" t="s">
        <v>19</v>
      </c>
      <c r="I2788" t="s">
        <v>20</v>
      </c>
    </row>
    <row r="2789" spans="1:9" x14ac:dyDescent="0.35">
      <c r="A2789" t="s">
        <v>2825</v>
      </c>
      <c r="B2789" s="1">
        <v>45411</v>
      </c>
      <c r="C2789" t="s">
        <v>10</v>
      </c>
      <c r="D2789" t="s">
        <v>57</v>
      </c>
      <c r="E2789" t="s">
        <v>27</v>
      </c>
      <c r="F2789">
        <v>527.16</v>
      </c>
      <c r="G2789">
        <v>103.11</v>
      </c>
      <c r="H2789" t="s">
        <v>28</v>
      </c>
      <c r="I2789" t="s">
        <v>29</v>
      </c>
    </row>
    <row r="2790" spans="1:9" x14ac:dyDescent="0.35">
      <c r="A2790" t="s">
        <v>2826</v>
      </c>
      <c r="B2790" s="1">
        <v>44655</v>
      </c>
      <c r="C2790" t="s">
        <v>16</v>
      </c>
      <c r="D2790" t="s">
        <v>26</v>
      </c>
      <c r="E2790" t="s">
        <v>27</v>
      </c>
      <c r="F2790">
        <v>342.92</v>
      </c>
      <c r="G2790">
        <v>80.55</v>
      </c>
      <c r="H2790" t="s">
        <v>13</v>
      </c>
      <c r="I2790" t="s">
        <v>20</v>
      </c>
    </row>
    <row r="2791" spans="1:9" x14ac:dyDescent="0.35">
      <c r="A2791" t="s">
        <v>2827</v>
      </c>
      <c r="B2791" s="1">
        <v>45505</v>
      </c>
      <c r="C2791" t="s">
        <v>22</v>
      </c>
      <c r="D2791" t="s">
        <v>50</v>
      </c>
      <c r="E2791" t="s">
        <v>12</v>
      </c>
      <c r="F2791">
        <v>386.88</v>
      </c>
      <c r="G2791">
        <v>26.98</v>
      </c>
      <c r="H2791" t="s">
        <v>28</v>
      </c>
      <c r="I2791" t="s">
        <v>14</v>
      </c>
    </row>
    <row r="2792" spans="1:9" x14ac:dyDescent="0.35">
      <c r="A2792" t="s">
        <v>2828</v>
      </c>
      <c r="B2792" s="1">
        <v>45351</v>
      </c>
      <c r="C2792" t="s">
        <v>25</v>
      </c>
      <c r="D2792" t="s">
        <v>38</v>
      </c>
      <c r="E2792" t="s">
        <v>12</v>
      </c>
      <c r="F2792">
        <v>1623.67</v>
      </c>
      <c r="G2792">
        <v>180.09</v>
      </c>
      <c r="H2792" t="s">
        <v>19</v>
      </c>
      <c r="I2792" t="s">
        <v>14</v>
      </c>
    </row>
    <row r="2793" spans="1:9" x14ac:dyDescent="0.35">
      <c r="A2793" t="s">
        <v>2829</v>
      </c>
      <c r="B2793" s="1">
        <v>45401</v>
      </c>
      <c r="C2793" t="s">
        <v>25</v>
      </c>
      <c r="D2793" t="s">
        <v>50</v>
      </c>
      <c r="E2793" t="s">
        <v>12</v>
      </c>
      <c r="F2793">
        <v>1208.1099999999999</v>
      </c>
      <c r="G2793">
        <v>118.04</v>
      </c>
      <c r="H2793" t="s">
        <v>28</v>
      </c>
      <c r="I2793" t="s">
        <v>14</v>
      </c>
    </row>
    <row r="2794" spans="1:9" x14ac:dyDescent="0.35">
      <c r="A2794" t="s">
        <v>2830</v>
      </c>
      <c r="B2794" s="1">
        <v>45582</v>
      </c>
      <c r="C2794" t="s">
        <v>22</v>
      </c>
      <c r="D2794" t="s">
        <v>41</v>
      </c>
      <c r="E2794" t="s">
        <v>12</v>
      </c>
      <c r="F2794">
        <v>714.51</v>
      </c>
      <c r="G2794">
        <v>76.599999999999994</v>
      </c>
      <c r="H2794" t="s">
        <v>28</v>
      </c>
      <c r="I2794" t="s">
        <v>14</v>
      </c>
    </row>
    <row r="2795" spans="1:9" x14ac:dyDescent="0.35">
      <c r="A2795" t="s">
        <v>2831</v>
      </c>
      <c r="B2795" s="1">
        <v>44987</v>
      </c>
      <c r="C2795" t="s">
        <v>25</v>
      </c>
      <c r="D2795" t="s">
        <v>97</v>
      </c>
      <c r="E2795" t="s">
        <v>27</v>
      </c>
      <c r="F2795">
        <v>206.04</v>
      </c>
      <c r="G2795">
        <v>44.75</v>
      </c>
      <c r="H2795" t="s">
        <v>13</v>
      </c>
      <c r="I2795" t="s">
        <v>14</v>
      </c>
    </row>
    <row r="2796" spans="1:9" x14ac:dyDescent="0.35">
      <c r="A2796" t="s">
        <v>2832</v>
      </c>
      <c r="B2796" s="1">
        <v>45073</v>
      </c>
      <c r="C2796" t="s">
        <v>25</v>
      </c>
      <c r="D2796" t="s">
        <v>62</v>
      </c>
      <c r="E2796" t="s">
        <v>27</v>
      </c>
      <c r="F2796">
        <v>1464.56</v>
      </c>
      <c r="G2796">
        <v>123.24</v>
      </c>
      <c r="H2796" t="s">
        <v>13</v>
      </c>
      <c r="I2796" t="s">
        <v>20</v>
      </c>
    </row>
    <row r="2797" spans="1:9" x14ac:dyDescent="0.35">
      <c r="A2797" t="s">
        <v>2833</v>
      </c>
      <c r="B2797" s="1">
        <v>45206</v>
      </c>
      <c r="C2797" t="s">
        <v>10</v>
      </c>
      <c r="D2797" t="s">
        <v>31</v>
      </c>
      <c r="E2797" t="s">
        <v>12</v>
      </c>
      <c r="F2797">
        <v>1697.48</v>
      </c>
      <c r="G2797">
        <v>211.82</v>
      </c>
      <c r="H2797" t="s">
        <v>13</v>
      </c>
      <c r="I2797" t="s">
        <v>34</v>
      </c>
    </row>
    <row r="2798" spans="1:9" x14ac:dyDescent="0.35">
      <c r="A2798" t="s">
        <v>2834</v>
      </c>
      <c r="B2798" s="1">
        <v>45609</v>
      </c>
      <c r="C2798" t="s">
        <v>22</v>
      </c>
      <c r="D2798" t="s">
        <v>17</v>
      </c>
      <c r="E2798" t="s">
        <v>18</v>
      </c>
      <c r="F2798">
        <v>790.72</v>
      </c>
      <c r="G2798">
        <v>192.35</v>
      </c>
      <c r="H2798" t="s">
        <v>28</v>
      </c>
      <c r="I2798" t="s">
        <v>20</v>
      </c>
    </row>
    <row r="2799" spans="1:9" x14ac:dyDescent="0.35">
      <c r="A2799" t="s">
        <v>2835</v>
      </c>
      <c r="B2799" s="1">
        <v>45244</v>
      </c>
      <c r="C2799" t="s">
        <v>22</v>
      </c>
      <c r="D2799" t="s">
        <v>57</v>
      </c>
      <c r="E2799" t="s">
        <v>27</v>
      </c>
      <c r="F2799">
        <v>1477.57</v>
      </c>
      <c r="G2799">
        <v>190.07</v>
      </c>
      <c r="H2799" t="s">
        <v>28</v>
      </c>
      <c r="I2799" t="s">
        <v>14</v>
      </c>
    </row>
    <row r="2800" spans="1:9" x14ac:dyDescent="0.35">
      <c r="A2800" t="s">
        <v>2836</v>
      </c>
      <c r="B2800" s="1">
        <v>44709</v>
      </c>
      <c r="C2800" t="s">
        <v>22</v>
      </c>
      <c r="D2800" t="s">
        <v>33</v>
      </c>
      <c r="E2800" t="s">
        <v>18</v>
      </c>
      <c r="F2800">
        <v>1866.62</v>
      </c>
      <c r="G2800">
        <v>150.13999999999999</v>
      </c>
      <c r="H2800" t="s">
        <v>28</v>
      </c>
      <c r="I2800" t="s">
        <v>14</v>
      </c>
    </row>
    <row r="2801" spans="1:9" x14ac:dyDescent="0.35">
      <c r="A2801" t="s">
        <v>2837</v>
      </c>
      <c r="B2801" s="1">
        <v>45624</v>
      </c>
      <c r="C2801" t="s">
        <v>10</v>
      </c>
      <c r="D2801" t="s">
        <v>95</v>
      </c>
      <c r="E2801" t="s">
        <v>18</v>
      </c>
      <c r="F2801">
        <v>1807.76</v>
      </c>
      <c r="G2801">
        <v>208.54</v>
      </c>
      <c r="H2801" t="s">
        <v>28</v>
      </c>
      <c r="I2801" t="s">
        <v>20</v>
      </c>
    </row>
    <row r="2802" spans="1:9" x14ac:dyDescent="0.35">
      <c r="A2802" t="s">
        <v>2838</v>
      </c>
      <c r="B2802" s="1">
        <v>45239</v>
      </c>
      <c r="C2802" t="s">
        <v>10</v>
      </c>
      <c r="D2802" t="s">
        <v>11</v>
      </c>
      <c r="E2802" t="s">
        <v>12</v>
      </c>
      <c r="F2802">
        <v>1983.42</v>
      </c>
      <c r="G2802">
        <v>456.39</v>
      </c>
      <c r="H2802" t="s">
        <v>28</v>
      </c>
      <c r="I2802" t="s">
        <v>14</v>
      </c>
    </row>
    <row r="2803" spans="1:9" x14ac:dyDescent="0.35">
      <c r="A2803" t="s">
        <v>2839</v>
      </c>
      <c r="B2803" s="1">
        <v>45376</v>
      </c>
      <c r="C2803" t="s">
        <v>10</v>
      </c>
      <c r="D2803" t="s">
        <v>26</v>
      </c>
      <c r="E2803" t="s">
        <v>27</v>
      </c>
      <c r="F2803">
        <v>1543.55</v>
      </c>
      <c r="G2803">
        <v>414.73</v>
      </c>
      <c r="H2803" t="s">
        <v>13</v>
      </c>
      <c r="I2803" t="s">
        <v>34</v>
      </c>
    </row>
    <row r="2804" spans="1:9" x14ac:dyDescent="0.35">
      <c r="A2804" t="s">
        <v>2840</v>
      </c>
      <c r="B2804" s="1">
        <v>44827</v>
      </c>
      <c r="C2804" t="s">
        <v>22</v>
      </c>
      <c r="D2804" t="s">
        <v>33</v>
      </c>
      <c r="E2804" t="s">
        <v>18</v>
      </c>
      <c r="F2804">
        <v>1336.47</v>
      </c>
      <c r="G2804">
        <v>400.57</v>
      </c>
      <c r="H2804" t="s">
        <v>28</v>
      </c>
      <c r="I2804" t="s">
        <v>34</v>
      </c>
    </row>
    <row r="2805" spans="1:9" x14ac:dyDescent="0.35">
      <c r="A2805" t="s">
        <v>2841</v>
      </c>
      <c r="B2805" s="1">
        <v>45275</v>
      </c>
      <c r="C2805" t="s">
        <v>16</v>
      </c>
      <c r="D2805" t="s">
        <v>62</v>
      </c>
      <c r="E2805" t="s">
        <v>27</v>
      </c>
      <c r="F2805">
        <v>1702.59</v>
      </c>
      <c r="G2805">
        <v>355.26</v>
      </c>
      <c r="H2805" t="s">
        <v>19</v>
      </c>
      <c r="I2805" t="s">
        <v>34</v>
      </c>
    </row>
    <row r="2806" spans="1:9" x14ac:dyDescent="0.35">
      <c r="A2806" t="s">
        <v>2842</v>
      </c>
      <c r="B2806" s="1">
        <v>44606</v>
      </c>
      <c r="C2806" t="s">
        <v>25</v>
      </c>
      <c r="D2806" t="s">
        <v>73</v>
      </c>
      <c r="E2806" t="s">
        <v>27</v>
      </c>
      <c r="F2806">
        <v>1994.23</v>
      </c>
      <c r="G2806">
        <v>317.43</v>
      </c>
      <c r="H2806" t="s">
        <v>13</v>
      </c>
      <c r="I2806" t="s">
        <v>14</v>
      </c>
    </row>
    <row r="2807" spans="1:9" x14ac:dyDescent="0.35">
      <c r="A2807" t="s">
        <v>2843</v>
      </c>
      <c r="B2807" s="1">
        <v>45076</v>
      </c>
      <c r="C2807" t="s">
        <v>22</v>
      </c>
      <c r="D2807" t="s">
        <v>97</v>
      </c>
      <c r="E2807" t="s">
        <v>27</v>
      </c>
      <c r="F2807">
        <v>692.1</v>
      </c>
      <c r="G2807">
        <v>37.74</v>
      </c>
      <c r="H2807" t="s">
        <v>28</v>
      </c>
      <c r="I2807" t="s">
        <v>29</v>
      </c>
    </row>
    <row r="2808" spans="1:9" x14ac:dyDescent="0.35">
      <c r="A2808" t="s">
        <v>2844</v>
      </c>
      <c r="B2808" s="1">
        <v>45568</v>
      </c>
      <c r="C2808" t="s">
        <v>16</v>
      </c>
      <c r="D2808" t="s">
        <v>97</v>
      </c>
      <c r="E2808" t="s">
        <v>27</v>
      </c>
      <c r="F2808">
        <v>1385.19</v>
      </c>
      <c r="G2808">
        <v>97.28</v>
      </c>
      <c r="H2808" t="s">
        <v>13</v>
      </c>
      <c r="I2808" t="s">
        <v>20</v>
      </c>
    </row>
    <row r="2809" spans="1:9" x14ac:dyDescent="0.35">
      <c r="A2809" t="s">
        <v>2845</v>
      </c>
      <c r="B2809" s="1">
        <v>45526</v>
      </c>
      <c r="C2809" t="s">
        <v>10</v>
      </c>
      <c r="D2809" t="s">
        <v>62</v>
      </c>
      <c r="E2809" t="s">
        <v>27</v>
      </c>
      <c r="F2809">
        <v>89.44</v>
      </c>
      <c r="G2809">
        <v>12.17</v>
      </c>
      <c r="H2809" t="s">
        <v>19</v>
      </c>
      <c r="I2809" t="s">
        <v>20</v>
      </c>
    </row>
    <row r="2810" spans="1:9" x14ac:dyDescent="0.35">
      <c r="A2810" t="s">
        <v>2846</v>
      </c>
      <c r="B2810" s="1">
        <v>45284</v>
      </c>
      <c r="C2810" t="s">
        <v>22</v>
      </c>
      <c r="D2810" t="s">
        <v>95</v>
      </c>
      <c r="E2810" t="s">
        <v>18</v>
      </c>
      <c r="F2810">
        <v>1850.87</v>
      </c>
      <c r="G2810">
        <v>387.15</v>
      </c>
      <c r="H2810" t="s">
        <v>19</v>
      </c>
      <c r="I2810" t="s">
        <v>20</v>
      </c>
    </row>
    <row r="2811" spans="1:9" x14ac:dyDescent="0.35">
      <c r="A2811" t="s">
        <v>2847</v>
      </c>
      <c r="B2811" s="1">
        <v>44874</v>
      </c>
      <c r="C2811" t="s">
        <v>22</v>
      </c>
      <c r="D2811" t="s">
        <v>50</v>
      </c>
      <c r="E2811" t="s">
        <v>12</v>
      </c>
      <c r="F2811">
        <v>901.31</v>
      </c>
      <c r="G2811">
        <v>60.98</v>
      </c>
      <c r="H2811" t="s">
        <v>28</v>
      </c>
      <c r="I2811" t="s">
        <v>29</v>
      </c>
    </row>
    <row r="2812" spans="1:9" x14ac:dyDescent="0.35">
      <c r="A2812" t="s">
        <v>2848</v>
      </c>
      <c r="B2812" s="1">
        <v>45299</v>
      </c>
      <c r="C2812" t="s">
        <v>16</v>
      </c>
      <c r="D2812" t="s">
        <v>31</v>
      </c>
      <c r="E2812" t="s">
        <v>12</v>
      </c>
      <c r="F2812">
        <v>584.42999999999995</v>
      </c>
      <c r="G2812">
        <v>90.07</v>
      </c>
      <c r="H2812" t="s">
        <v>13</v>
      </c>
      <c r="I2812" t="s">
        <v>14</v>
      </c>
    </row>
    <row r="2813" spans="1:9" x14ac:dyDescent="0.35">
      <c r="A2813" t="s">
        <v>2849</v>
      </c>
      <c r="B2813" s="1">
        <v>45073</v>
      </c>
      <c r="C2813" t="s">
        <v>25</v>
      </c>
      <c r="D2813" t="s">
        <v>31</v>
      </c>
      <c r="E2813" t="s">
        <v>12</v>
      </c>
      <c r="F2813">
        <v>1558.89</v>
      </c>
      <c r="G2813">
        <v>201.85</v>
      </c>
      <c r="H2813" t="s">
        <v>19</v>
      </c>
      <c r="I2813" t="s">
        <v>34</v>
      </c>
    </row>
    <row r="2814" spans="1:9" x14ac:dyDescent="0.35">
      <c r="A2814" t="s">
        <v>2850</v>
      </c>
      <c r="B2814" s="1">
        <v>45441</v>
      </c>
      <c r="C2814" t="s">
        <v>22</v>
      </c>
      <c r="D2814" t="s">
        <v>31</v>
      </c>
      <c r="E2814" t="s">
        <v>12</v>
      </c>
      <c r="F2814">
        <v>1623.53</v>
      </c>
      <c r="G2814">
        <v>295.74</v>
      </c>
      <c r="H2814" t="s">
        <v>13</v>
      </c>
      <c r="I2814" t="s">
        <v>29</v>
      </c>
    </row>
    <row r="2815" spans="1:9" x14ac:dyDescent="0.35">
      <c r="A2815" t="s">
        <v>2851</v>
      </c>
      <c r="B2815" s="1">
        <v>45154</v>
      </c>
      <c r="C2815" t="s">
        <v>22</v>
      </c>
      <c r="D2815" t="s">
        <v>17</v>
      </c>
      <c r="E2815" t="s">
        <v>18</v>
      </c>
      <c r="F2815">
        <v>1086.18</v>
      </c>
      <c r="G2815">
        <v>291.23</v>
      </c>
      <c r="H2815" t="s">
        <v>19</v>
      </c>
      <c r="I2815" t="s">
        <v>34</v>
      </c>
    </row>
    <row r="2816" spans="1:9" x14ac:dyDescent="0.35">
      <c r="A2816" t="s">
        <v>2852</v>
      </c>
      <c r="B2816" s="1">
        <v>44727</v>
      </c>
      <c r="C2816" t="s">
        <v>22</v>
      </c>
      <c r="D2816" t="s">
        <v>31</v>
      </c>
      <c r="E2816" t="s">
        <v>12</v>
      </c>
      <c r="F2816">
        <v>1160.72</v>
      </c>
      <c r="G2816">
        <v>278.86</v>
      </c>
      <c r="H2816" t="s">
        <v>13</v>
      </c>
      <c r="I2816" t="s">
        <v>14</v>
      </c>
    </row>
    <row r="2817" spans="1:9" x14ac:dyDescent="0.35">
      <c r="A2817" t="s">
        <v>2853</v>
      </c>
      <c r="B2817" s="1">
        <v>45649</v>
      </c>
      <c r="C2817" t="s">
        <v>25</v>
      </c>
      <c r="D2817" t="s">
        <v>97</v>
      </c>
      <c r="E2817" t="s">
        <v>27</v>
      </c>
      <c r="F2817">
        <v>1045.53</v>
      </c>
      <c r="G2817">
        <v>246.2</v>
      </c>
      <c r="H2817" t="s">
        <v>19</v>
      </c>
      <c r="I2817" t="s">
        <v>29</v>
      </c>
    </row>
    <row r="2818" spans="1:9" x14ac:dyDescent="0.35">
      <c r="A2818" t="s">
        <v>2854</v>
      </c>
      <c r="B2818" s="1">
        <v>44683</v>
      </c>
      <c r="C2818" t="s">
        <v>22</v>
      </c>
      <c r="D2818" t="s">
        <v>31</v>
      </c>
      <c r="E2818" t="s">
        <v>12</v>
      </c>
      <c r="F2818">
        <v>821.86</v>
      </c>
      <c r="G2818">
        <v>159.06</v>
      </c>
      <c r="H2818" t="s">
        <v>19</v>
      </c>
      <c r="I2818" t="s">
        <v>29</v>
      </c>
    </row>
    <row r="2819" spans="1:9" x14ac:dyDescent="0.35">
      <c r="A2819" t="s">
        <v>2855</v>
      </c>
      <c r="B2819" s="1">
        <v>45315</v>
      </c>
      <c r="C2819" t="s">
        <v>22</v>
      </c>
      <c r="D2819" t="s">
        <v>95</v>
      </c>
      <c r="E2819" t="s">
        <v>18</v>
      </c>
      <c r="F2819">
        <v>617.73</v>
      </c>
      <c r="G2819">
        <v>66.680000000000007</v>
      </c>
      <c r="H2819" t="s">
        <v>28</v>
      </c>
      <c r="I2819" t="s">
        <v>20</v>
      </c>
    </row>
    <row r="2820" spans="1:9" x14ac:dyDescent="0.35">
      <c r="A2820" t="s">
        <v>2856</v>
      </c>
      <c r="B2820" s="1">
        <v>44806</v>
      </c>
      <c r="C2820" t="s">
        <v>25</v>
      </c>
      <c r="D2820" t="s">
        <v>57</v>
      </c>
      <c r="E2820" t="s">
        <v>27</v>
      </c>
      <c r="F2820">
        <v>1898.69</v>
      </c>
      <c r="G2820">
        <v>370.23</v>
      </c>
      <c r="H2820" t="s">
        <v>28</v>
      </c>
      <c r="I2820" t="s">
        <v>14</v>
      </c>
    </row>
    <row r="2821" spans="1:9" x14ac:dyDescent="0.35">
      <c r="A2821" t="s">
        <v>2857</v>
      </c>
      <c r="B2821" s="1">
        <v>44720</v>
      </c>
      <c r="C2821" t="s">
        <v>16</v>
      </c>
      <c r="D2821" t="s">
        <v>33</v>
      </c>
      <c r="E2821" t="s">
        <v>18</v>
      </c>
      <c r="F2821">
        <v>1304.1500000000001</v>
      </c>
      <c r="G2821">
        <v>73.010000000000005</v>
      </c>
      <c r="H2821" t="s">
        <v>19</v>
      </c>
      <c r="I2821" t="s">
        <v>20</v>
      </c>
    </row>
    <row r="2822" spans="1:9" x14ac:dyDescent="0.35">
      <c r="A2822" t="s">
        <v>2858</v>
      </c>
      <c r="B2822" s="1">
        <v>44856</v>
      </c>
      <c r="C2822" t="s">
        <v>25</v>
      </c>
      <c r="D2822" t="s">
        <v>26</v>
      </c>
      <c r="E2822" t="s">
        <v>27</v>
      </c>
      <c r="F2822">
        <v>1210.56</v>
      </c>
      <c r="G2822">
        <v>290.75</v>
      </c>
      <c r="H2822" t="s">
        <v>13</v>
      </c>
      <c r="I2822" t="s">
        <v>14</v>
      </c>
    </row>
    <row r="2823" spans="1:9" x14ac:dyDescent="0.35">
      <c r="A2823" t="s">
        <v>2859</v>
      </c>
      <c r="B2823" s="1">
        <v>45410</v>
      </c>
      <c r="C2823" t="s">
        <v>22</v>
      </c>
      <c r="D2823" t="s">
        <v>23</v>
      </c>
      <c r="E2823" t="s">
        <v>18</v>
      </c>
      <c r="F2823">
        <v>1222.0999999999999</v>
      </c>
      <c r="G2823">
        <v>269.57</v>
      </c>
      <c r="H2823" t="s">
        <v>19</v>
      </c>
      <c r="I2823" t="s">
        <v>34</v>
      </c>
    </row>
    <row r="2824" spans="1:9" x14ac:dyDescent="0.35">
      <c r="A2824" t="s">
        <v>2860</v>
      </c>
      <c r="B2824" s="1">
        <v>44597</v>
      </c>
      <c r="C2824" t="s">
        <v>10</v>
      </c>
      <c r="D2824" t="s">
        <v>95</v>
      </c>
      <c r="E2824" t="s">
        <v>18</v>
      </c>
      <c r="F2824">
        <v>498.93</v>
      </c>
      <c r="G2824">
        <v>123.38</v>
      </c>
      <c r="H2824" t="s">
        <v>13</v>
      </c>
      <c r="I2824" t="s">
        <v>14</v>
      </c>
    </row>
    <row r="2825" spans="1:9" x14ac:dyDescent="0.35">
      <c r="A2825" t="s">
        <v>2861</v>
      </c>
      <c r="B2825" s="1">
        <v>44711</v>
      </c>
      <c r="C2825" t="s">
        <v>25</v>
      </c>
      <c r="D2825" t="s">
        <v>17</v>
      </c>
      <c r="E2825" t="s">
        <v>18</v>
      </c>
      <c r="F2825">
        <v>1734.99</v>
      </c>
      <c r="G2825">
        <v>466.8</v>
      </c>
      <c r="H2825" t="s">
        <v>13</v>
      </c>
      <c r="I2825" t="s">
        <v>34</v>
      </c>
    </row>
    <row r="2826" spans="1:9" x14ac:dyDescent="0.35">
      <c r="A2826" t="s">
        <v>2862</v>
      </c>
      <c r="B2826" s="1">
        <v>44625</v>
      </c>
      <c r="C2826" t="s">
        <v>16</v>
      </c>
      <c r="D2826" t="s">
        <v>62</v>
      </c>
      <c r="E2826" t="s">
        <v>27</v>
      </c>
      <c r="F2826">
        <v>1831.8</v>
      </c>
      <c r="G2826">
        <v>462.89</v>
      </c>
      <c r="H2826" t="s">
        <v>19</v>
      </c>
      <c r="I2826" t="s">
        <v>14</v>
      </c>
    </row>
    <row r="2827" spans="1:9" x14ac:dyDescent="0.35">
      <c r="A2827" t="s">
        <v>2863</v>
      </c>
      <c r="B2827" s="1">
        <v>45072</v>
      </c>
      <c r="C2827" t="s">
        <v>10</v>
      </c>
      <c r="D2827" t="s">
        <v>50</v>
      </c>
      <c r="E2827" t="s">
        <v>12</v>
      </c>
      <c r="F2827">
        <v>368.71</v>
      </c>
      <c r="G2827">
        <v>48.59</v>
      </c>
      <c r="H2827" t="s">
        <v>13</v>
      </c>
      <c r="I2827" t="s">
        <v>20</v>
      </c>
    </row>
    <row r="2828" spans="1:9" x14ac:dyDescent="0.35">
      <c r="A2828" t="s">
        <v>2864</v>
      </c>
      <c r="B2828" s="1">
        <v>45496</v>
      </c>
      <c r="C2828" t="s">
        <v>25</v>
      </c>
      <c r="D2828" t="s">
        <v>11</v>
      </c>
      <c r="E2828" t="s">
        <v>12</v>
      </c>
      <c r="F2828">
        <v>1897.99</v>
      </c>
      <c r="G2828">
        <v>114.58</v>
      </c>
      <c r="H2828" t="s">
        <v>13</v>
      </c>
      <c r="I2828" t="s">
        <v>29</v>
      </c>
    </row>
    <row r="2829" spans="1:9" x14ac:dyDescent="0.35">
      <c r="A2829" t="s">
        <v>2865</v>
      </c>
      <c r="B2829" s="1">
        <v>44713</v>
      </c>
      <c r="C2829" t="s">
        <v>10</v>
      </c>
      <c r="D2829" t="s">
        <v>11</v>
      </c>
      <c r="E2829" t="s">
        <v>12</v>
      </c>
      <c r="F2829">
        <v>657.63</v>
      </c>
      <c r="G2829">
        <v>191.3</v>
      </c>
      <c r="H2829" t="s">
        <v>28</v>
      </c>
      <c r="I2829" t="s">
        <v>29</v>
      </c>
    </row>
    <row r="2830" spans="1:9" x14ac:dyDescent="0.35">
      <c r="A2830" t="s">
        <v>2866</v>
      </c>
      <c r="B2830" s="1">
        <v>45189</v>
      </c>
      <c r="C2830" t="s">
        <v>22</v>
      </c>
      <c r="D2830" t="s">
        <v>38</v>
      </c>
      <c r="E2830" t="s">
        <v>12</v>
      </c>
      <c r="F2830">
        <v>379.12</v>
      </c>
      <c r="G2830">
        <v>19.989999999999998</v>
      </c>
      <c r="H2830" t="s">
        <v>13</v>
      </c>
      <c r="I2830" t="s">
        <v>34</v>
      </c>
    </row>
    <row r="2831" spans="1:9" x14ac:dyDescent="0.35">
      <c r="A2831" t="s">
        <v>2867</v>
      </c>
      <c r="B2831" s="1">
        <v>45206</v>
      </c>
      <c r="C2831" t="s">
        <v>10</v>
      </c>
      <c r="D2831" t="s">
        <v>46</v>
      </c>
      <c r="E2831" t="s">
        <v>18</v>
      </c>
      <c r="F2831">
        <v>1515.73</v>
      </c>
      <c r="G2831">
        <v>286.48</v>
      </c>
      <c r="H2831" t="s">
        <v>19</v>
      </c>
      <c r="I2831" t="s">
        <v>20</v>
      </c>
    </row>
    <row r="2832" spans="1:9" x14ac:dyDescent="0.35">
      <c r="A2832" t="s">
        <v>2868</v>
      </c>
      <c r="B2832" s="1">
        <v>45354</v>
      </c>
      <c r="C2832" t="s">
        <v>22</v>
      </c>
      <c r="D2832" t="s">
        <v>97</v>
      </c>
      <c r="E2832" t="s">
        <v>27</v>
      </c>
      <c r="F2832">
        <v>175.09</v>
      </c>
      <c r="G2832">
        <v>39.270000000000003</v>
      </c>
      <c r="H2832" t="s">
        <v>28</v>
      </c>
      <c r="I2832" t="s">
        <v>20</v>
      </c>
    </row>
    <row r="2833" spans="1:9" x14ac:dyDescent="0.35">
      <c r="A2833" t="s">
        <v>2869</v>
      </c>
      <c r="B2833" s="1">
        <v>45318</v>
      </c>
      <c r="C2833" t="s">
        <v>25</v>
      </c>
      <c r="D2833" t="s">
        <v>95</v>
      </c>
      <c r="E2833" t="s">
        <v>18</v>
      </c>
      <c r="F2833">
        <v>1468.76</v>
      </c>
      <c r="G2833">
        <v>233.01</v>
      </c>
      <c r="H2833" t="s">
        <v>19</v>
      </c>
      <c r="I2833" t="s">
        <v>20</v>
      </c>
    </row>
    <row r="2834" spans="1:9" x14ac:dyDescent="0.35">
      <c r="A2834" t="s">
        <v>2870</v>
      </c>
      <c r="B2834" s="1">
        <v>45265</v>
      </c>
      <c r="C2834" t="s">
        <v>16</v>
      </c>
      <c r="D2834" t="s">
        <v>33</v>
      </c>
      <c r="E2834" t="s">
        <v>18</v>
      </c>
      <c r="F2834">
        <v>63.17</v>
      </c>
      <c r="G2834">
        <v>14.28</v>
      </c>
      <c r="H2834" t="s">
        <v>28</v>
      </c>
      <c r="I2834" t="s">
        <v>29</v>
      </c>
    </row>
    <row r="2835" spans="1:9" x14ac:dyDescent="0.35">
      <c r="A2835" t="s">
        <v>2871</v>
      </c>
      <c r="B2835" s="1">
        <v>44828</v>
      </c>
      <c r="C2835" t="s">
        <v>22</v>
      </c>
      <c r="D2835" t="s">
        <v>38</v>
      </c>
      <c r="E2835" t="s">
        <v>12</v>
      </c>
      <c r="F2835">
        <v>922.75</v>
      </c>
      <c r="G2835">
        <v>135.44</v>
      </c>
      <c r="H2835" t="s">
        <v>13</v>
      </c>
      <c r="I2835" t="s">
        <v>34</v>
      </c>
    </row>
    <row r="2836" spans="1:9" x14ac:dyDescent="0.35">
      <c r="A2836" t="s">
        <v>2872</v>
      </c>
      <c r="B2836" s="1">
        <v>45446</v>
      </c>
      <c r="C2836" t="s">
        <v>22</v>
      </c>
      <c r="D2836" t="s">
        <v>33</v>
      </c>
      <c r="E2836" t="s">
        <v>18</v>
      </c>
      <c r="F2836">
        <v>160.87</v>
      </c>
      <c r="G2836">
        <v>16.899999999999999</v>
      </c>
      <c r="H2836" t="s">
        <v>19</v>
      </c>
      <c r="I2836" t="s">
        <v>29</v>
      </c>
    </row>
    <row r="2837" spans="1:9" x14ac:dyDescent="0.35">
      <c r="A2837" t="s">
        <v>2873</v>
      </c>
      <c r="B2837" s="1">
        <v>44831</v>
      </c>
      <c r="C2837" t="s">
        <v>25</v>
      </c>
      <c r="D2837" t="s">
        <v>17</v>
      </c>
      <c r="E2837" t="s">
        <v>18</v>
      </c>
      <c r="F2837">
        <v>1993.54</v>
      </c>
      <c r="G2837">
        <v>464.89</v>
      </c>
      <c r="H2837" t="s">
        <v>13</v>
      </c>
      <c r="I2837" t="s">
        <v>20</v>
      </c>
    </row>
    <row r="2838" spans="1:9" x14ac:dyDescent="0.35">
      <c r="A2838" t="s">
        <v>2874</v>
      </c>
      <c r="B2838" s="1">
        <v>45331</v>
      </c>
      <c r="C2838" t="s">
        <v>16</v>
      </c>
      <c r="D2838" t="s">
        <v>41</v>
      </c>
      <c r="E2838" t="s">
        <v>12</v>
      </c>
      <c r="F2838">
        <v>1846.08</v>
      </c>
      <c r="G2838">
        <v>404.56</v>
      </c>
      <c r="H2838" t="s">
        <v>28</v>
      </c>
      <c r="I2838" t="s">
        <v>29</v>
      </c>
    </row>
    <row r="2839" spans="1:9" x14ac:dyDescent="0.35">
      <c r="A2839" t="s">
        <v>2875</v>
      </c>
      <c r="B2839" s="1">
        <v>45231</v>
      </c>
      <c r="C2839" t="s">
        <v>22</v>
      </c>
      <c r="D2839" t="s">
        <v>26</v>
      </c>
      <c r="E2839" t="s">
        <v>27</v>
      </c>
      <c r="F2839">
        <v>1643.85</v>
      </c>
      <c r="G2839">
        <v>483.47</v>
      </c>
      <c r="H2839" t="s">
        <v>19</v>
      </c>
      <c r="I2839" t="s">
        <v>34</v>
      </c>
    </row>
    <row r="2840" spans="1:9" x14ac:dyDescent="0.35">
      <c r="A2840" t="s">
        <v>2876</v>
      </c>
      <c r="B2840" s="1">
        <v>45080</v>
      </c>
      <c r="C2840" t="s">
        <v>10</v>
      </c>
      <c r="D2840" t="s">
        <v>95</v>
      </c>
      <c r="E2840" t="s">
        <v>18</v>
      </c>
      <c r="F2840">
        <v>818.57</v>
      </c>
      <c r="G2840">
        <v>210.61</v>
      </c>
      <c r="H2840" t="s">
        <v>28</v>
      </c>
      <c r="I2840" t="s">
        <v>20</v>
      </c>
    </row>
    <row r="2841" spans="1:9" x14ac:dyDescent="0.35">
      <c r="A2841" t="s">
        <v>2877</v>
      </c>
      <c r="B2841" s="1">
        <v>45130</v>
      </c>
      <c r="C2841" t="s">
        <v>22</v>
      </c>
      <c r="D2841" t="s">
        <v>97</v>
      </c>
      <c r="E2841" t="s">
        <v>27</v>
      </c>
      <c r="F2841">
        <v>1253.53</v>
      </c>
      <c r="G2841">
        <v>306.76</v>
      </c>
      <c r="H2841" t="s">
        <v>13</v>
      </c>
      <c r="I2841" t="s">
        <v>14</v>
      </c>
    </row>
    <row r="2842" spans="1:9" x14ac:dyDescent="0.35">
      <c r="A2842" t="s">
        <v>2878</v>
      </c>
      <c r="B2842" s="1">
        <v>44929</v>
      </c>
      <c r="C2842" t="s">
        <v>10</v>
      </c>
      <c r="D2842" t="s">
        <v>11</v>
      </c>
      <c r="E2842" t="s">
        <v>12</v>
      </c>
      <c r="F2842">
        <v>883.04</v>
      </c>
      <c r="G2842">
        <v>136.22</v>
      </c>
      <c r="H2842" t="s">
        <v>19</v>
      </c>
      <c r="I2842" t="s">
        <v>14</v>
      </c>
    </row>
    <row r="2843" spans="1:9" x14ac:dyDescent="0.35">
      <c r="A2843" t="s">
        <v>2879</v>
      </c>
      <c r="B2843" s="1">
        <v>45368</v>
      </c>
      <c r="C2843" t="s">
        <v>16</v>
      </c>
      <c r="D2843" t="s">
        <v>97</v>
      </c>
      <c r="E2843" t="s">
        <v>27</v>
      </c>
      <c r="F2843">
        <v>1571.16</v>
      </c>
      <c r="G2843">
        <v>470.06</v>
      </c>
      <c r="H2843" t="s">
        <v>19</v>
      </c>
      <c r="I2843" t="s">
        <v>34</v>
      </c>
    </row>
    <row r="2844" spans="1:9" x14ac:dyDescent="0.35">
      <c r="A2844" t="s">
        <v>2880</v>
      </c>
      <c r="B2844" s="1">
        <v>45381</v>
      </c>
      <c r="C2844" t="s">
        <v>10</v>
      </c>
      <c r="D2844" t="s">
        <v>50</v>
      </c>
      <c r="E2844" t="s">
        <v>12</v>
      </c>
      <c r="F2844">
        <v>583.01</v>
      </c>
      <c r="G2844">
        <v>108.38</v>
      </c>
      <c r="H2844" t="s">
        <v>13</v>
      </c>
      <c r="I2844" t="s">
        <v>29</v>
      </c>
    </row>
    <row r="2845" spans="1:9" x14ac:dyDescent="0.35">
      <c r="A2845" t="s">
        <v>2881</v>
      </c>
      <c r="B2845" s="1">
        <v>45223</v>
      </c>
      <c r="C2845" t="s">
        <v>25</v>
      </c>
      <c r="D2845" t="s">
        <v>62</v>
      </c>
      <c r="E2845" t="s">
        <v>27</v>
      </c>
      <c r="F2845">
        <v>116.26</v>
      </c>
      <c r="G2845">
        <v>10.5</v>
      </c>
      <c r="H2845" t="s">
        <v>19</v>
      </c>
      <c r="I2845" t="s">
        <v>29</v>
      </c>
    </row>
    <row r="2846" spans="1:9" x14ac:dyDescent="0.35">
      <c r="A2846" t="s">
        <v>2882</v>
      </c>
      <c r="B2846" s="1">
        <v>45186</v>
      </c>
      <c r="C2846" t="s">
        <v>22</v>
      </c>
      <c r="D2846" t="s">
        <v>11</v>
      </c>
      <c r="E2846" t="s">
        <v>12</v>
      </c>
      <c r="F2846">
        <v>657.79</v>
      </c>
      <c r="G2846">
        <v>53.43</v>
      </c>
      <c r="H2846" t="s">
        <v>19</v>
      </c>
      <c r="I2846" t="s">
        <v>20</v>
      </c>
    </row>
    <row r="2847" spans="1:9" x14ac:dyDescent="0.35">
      <c r="A2847" t="s">
        <v>2883</v>
      </c>
      <c r="B2847" s="1">
        <v>45330</v>
      </c>
      <c r="C2847" t="s">
        <v>16</v>
      </c>
      <c r="D2847" t="s">
        <v>97</v>
      </c>
      <c r="E2847" t="s">
        <v>27</v>
      </c>
      <c r="F2847">
        <v>308.70999999999998</v>
      </c>
      <c r="G2847">
        <v>18.71</v>
      </c>
      <c r="H2847" t="s">
        <v>28</v>
      </c>
      <c r="I2847" t="s">
        <v>29</v>
      </c>
    </row>
    <row r="2848" spans="1:9" x14ac:dyDescent="0.35">
      <c r="A2848" t="s">
        <v>2884</v>
      </c>
      <c r="B2848" s="1">
        <v>44904</v>
      </c>
      <c r="C2848" t="s">
        <v>25</v>
      </c>
      <c r="D2848" t="s">
        <v>57</v>
      </c>
      <c r="E2848" t="s">
        <v>27</v>
      </c>
      <c r="F2848">
        <v>1874.36</v>
      </c>
      <c r="G2848">
        <v>446.71</v>
      </c>
      <c r="H2848" t="s">
        <v>19</v>
      </c>
      <c r="I2848" t="s">
        <v>20</v>
      </c>
    </row>
    <row r="2849" spans="1:9" x14ac:dyDescent="0.35">
      <c r="A2849" t="s">
        <v>2885</v>
      </c>
      <c r="B2849" s="1">
        <v>45043</v>
      </c>
      <c r="C2849" t="s">
        <v>16</v>
      </c>
      <c r="D2849" t="s">
        <v>33</v>
      </c>
      <c r="E2849" t="s">
        <v>18</v>
      </c>
      <c r="F2849">
        <v>375.75</v>
      </c>
      <c r="G2849">
        <v>58.66</v>
      </c>
      <c r="H2849" t="s">
        <v>28</v>
      </c>
      <c r="I2849" t="s">
        <v>14</v>
      </c>
    </row>
    <row r="2850" spans="1:9" x14ac:dyDescent="0.35">
      <c r="A2850" t="s">
        <v>2886</v>
      </c>
      <c r="B2850" s="1">
        <v>45011</v>
      </c>
      <c r="C2850" t="s">
        <v>16</v>
      </c>
      <c r="D2850" t="s">
        <v>38</v>
      </c>
      <c r="E2850" t="s">
        <v>12</v>
      </c>
      <c r="F2850">
        <v>594.94000000000005</v>
      </c>
      <c r="G2850">
        <v>142.01</v>
      </c>
      <c r="H2850" t="s">
        <v>13</v>
      </c>
      <c r="I2850" t="s">
        <v>29</v>
      </c>
    </row>
    <row r="2851" spans="1:9" x14ac:dyDescent="0.35">
      <c r="A2851" t="s">
        <v>2887</v>
      </c>
      <c r="B2851" s="1">
        <v>45217</v>
      </c>
      <c r="C2851" t="s">
        <v>22</v>
      </c>
      <c r="D2851" t="s">
        <v>31</v>
      </c>
      <c r="E2851" t="s">
        <v>12</v>
      </c>
      <c r="F2851">
        <v>91.88</v>
      </c>
      <c r="G2851">
        <v>13.87</v>
      </c>
      <c r="H2851" t="s">
        <v>28</v>
      </c>
      <c r="I2851" t="s">
        <v>20</v>
      </c>
    </row>
    <row r="2852" spans="1:9" x14ac:dyDescent="0.35">
      <c r="A2852" t="s">
        <v>2888</v>
      </c>
      <c r="B2852" s="1">
        <v>44891</v>
      </c>
      <c r="C2852" t="s">
        <v>25</v>
      </c>
      <c r="D2852" t="s">
        <v>31</v>
      </c>
      <c r="E2852" t="s">
        <v>12</v>
      </c>
      <c r="F2852">
        <v>207.27</v>
      </c>
      <c r="G2852">
        <v>58.73</v>
      </c>
      <c r="H2852" t="s">
        <v>28</v>
      </c>
      <c r="I2852" t="s">
        <v>20</v>
      </c>
    </row>
    <row r="2853" spans="1:9" x14ac:dyDescent="0.35">
      <c r="A2853" t="s">
        <v>2889</v>
      </c>
      <c r="B2853" s="1">
        <v>44883</v>
      </c>
      <c r="C2853" t="s">
        <v>10</v>
      </c>
      <c r="D2853" t="s">
        <v>95</v>
      </c>
      <c r="E2853" t="s">
        <v>18</v>
      </c>
      <c r="F2853">
        <v>1426.55</v>
      </c>
      <c r="G2853">
        <v>345.82</v>
      </c>
      <c r="H2853" t="s">
        <v>28</v>
      </c>
      <c r="I2853" t="s">
        <v>20</v>
      </c>
    </row>
    <row r="2854" spans="1:9" x14ac:dyDescent="0.35">
      <c r="A2854" t="s">
        <v>2890</v>
      </c>
      <c r="B2854" s="1">
        <v>44904</v>
      </c>
      <c r="C2854" t="s">
        <v>25</v>
      </c>
      <c r="D2854" t="s">
        <v>41</v>
      </c>
      <c r="E2854" t="s">
        <v>12</v>
      </c>
      <c r="F2854">
        <v>1839.87</v>
      </c>
      <c r="G2854">
        <v>426.47</v>
      </c>
      <c r="H2854" t="s">
        <v>19</v>
      </c>
      <c r="I2854" t="s">
        <v>20</v>
      </c>
    </row>
    <row r="2855" spans="1:9" x14ac:dyDescent="0.35">
      <c r="A2855" t="s">
        <v>2891</v>
      </c>
      <c r="B2855" s="1">
        <v>44871</v>
      </c>
      <c r="C2855" t="s">
        <v>22</v>
      </c>
      <c r="D2855" t="s">
        <v>33</v>
      </c>
      <c r="E2855" t="s">
        <v>18</v>
      </c>
      <c r="F2855">
        <v>180.57</v>
      </c>
      <c r="G2855">
        <v>25.79</v>
      </c>
      <c r="H2855" t="s">
        <v>13</v>
      </c>
      <c r="I2855" t="s">
        <v>14</v>
      </c>
    </row>
    <row r="2856" spans="1:9" x14ac:dyDescent="0.35">
      <c r="A2856" t="s">
        <v>2892</v>
      </c>
      <c r="B2856" s="1">
        <v>45627</v>
      </c>
      <c r="C2856" t="s">
        <v>25</v>
      </c>
      <c r="D2856" t="s">
        <v>11</v>
      </c>
      <c r="E2856" t="s">
        <v>12</v>
      </c>
      <c r="F2856">
        <v>787.25</v>
      </c>
      <c r="G2856">
        <v>174.04</v>
      </c>
      <c r="H2856" t="s">
        <v>19</v>
      </c>
      <c r="I2856" t="s">
        <v>20</v>
      </c>
    </row>
    <row r="2857" spans="1:9" x14ac:dyDescent="0.35">
      <c r="A2857" t="s">
        <v>2893</v>
      </c>
      <c r="B2857" s="1">
        <v>44932</v>
      </c>
      <c r="C2857" t="s">
        <v>16</v>
      </c>
      <c r="D2857" t="s">
        <v>31</v>
      </c>
      <c r="E2857" t="s">
        <v>12</v>
      </c>
      <c r="F2857">
        <v>801.8</v>
      </c>
      <c r="G2857">
        <v>140.94</v>
      </c>
      <c r="H2857" t="s">
        <v>19</v>
      </c>
      <c r="I2857" t="s">
        <v>34</v>
      </c>
    </row>
    <row r="2858" spans="1:9" x14ac:dyDescent="0.35">
      <c r="A2858" t="s">
        <v>2894</v>
      </c>
      <c r="B2858" s="1">
        <v>44959</v>
      </c>
      <c r="C2858" t="s">
        <v>25</v>
      </c>
      <c r="D2858" t="s">
        <v>95</v>
      </c>
      <c r="E2858" t="s">
        <v>18</v>
      </c>
      <c r="F2858">
        <v>1671.26</v>
      </c>
      <c r="G2858">
        <v>114</v>
      </c>
      <c r="H2858" t="s">
        <v>28</v>
      </c>
      <c r="I2858" t="s">
        <v>20</v>
      </c>
    </row>
    <row r="2859" spans="1:9" x14ac:dyDescent="0.35">
      <c r="A2859" t="s">
        <v>2895</v>
      </c>
      <c r="B2859" s="1">
        <v>45642</v>
      </c>
      <c r="C2859" t="s">
        <v>25</v>
      </c>
      <c r="D2859" t="s">
        <v>97</v>
      </c>
      <c r="E2859" t="s">
        <v>27</v>
      </c>
      <c r="F2859">
        <v>1226.92</v>
      </c>
      <c r="G2859">
        <v>105.22</v>
      </c>
      <c r="H2859" t="s">
        <v>19</v>
      </c>
      <c r="I2859" t="s">
        <v>20</v>
      </c>
    </row>
    <row r="2860" spans="1:9" x14ac:dyDescent="0.35">
      <c r="A2860" t="s">
        <v>2896</v>
      </c>
      <c r="B2860" s="1">
        <v>45549</v>
      </c>
      <c r="C2860" t="s">
        <v>16</v>
      </c>
      <c r="D2860" t="s">
        <v>26</v>
      </c>
      <c r="E2860" t="s">
        <v>27</v>
      </c>
      <c r="F2860">
        <v>646.72</v>
      </c>
      <c r="G2860">
        <v>166.24</v>
      </c>
      <c r="H2860" t="s">
        <v>19</v>
      </c>
      <c r="I2860" t="s">
        <v>29</v>
      </c>
    </row>
    <row r="2861" spans="1:9" x14ac:dyDescent="0.35">
      <c r="A2861" t="s">
        <v>2897</v>
      </c>
      <c r="B2861" s="1">
        <v>45287</v>
      </c>
      <c r="C2861" t="s">
        <v>10</v>
      </c>
      <c r="D2861" t="s">
        <v>17</v>
      </c>
      <c r="E2861" t="s">
        <v>18</v>
      </c>
      <c r="F2861">
        <v>692.88</v>
      </c>
      <c r="G2861">
        <v>56.71</v>
      </c>
      <c r="H2861" t="s">
        <v>13</v>
      </c>
      <c r="I2861" t="s">
        <v>14</v>
      </c>
    </row>
    <row r="2862" spans="1:9" x14ac:dyDescent="0.35">
      <c r="A2862" t="s">
        <v>2898</v>
      </c>
      <c r="B2862" s="1">
        <v>44694</v>
      </c>
      <c r="C2862" t="s">
        <v>16</v>
      </c>
      <c r="D2862" t="s">
        <v>46</v>
      </c>
      <c r="E2862" t="s">
        <v>18</v>
      </c>
      <c r="F2862">
        <v>727.63</v>
      </c>
      <c r="G2862">
        <v>161.91</v>
      </c>
      <c r="H2862" t="s">
        <v>28</v>
      </c>
      <c r="I2862" t="s">
        <v>14</v>
      </c>
    </row>
    <row r="2863" spans="1:9" x14ac:dyDescent="0.35">
      <c r="A2863" t="s">
        <v>2899</v>
      </c>
      <c r="B2863" s="1">
        <v>44706</v>
      </c>
      <c r="C2863" t="s">
        <v>22</v>
      </c>
      <c r="D2863" t="s">
        <v>41</v>
      </c>
      <c r="E2863" t="s">
        <v>12</v>
      </c>
      <c r="F2863">
        <v>1105.6400000000001</v>
      </c>
      <c r="G2863">
        <v>79.02</v>
      </c>
      <c r="H2863" t="s">
        <v>28</v>
      </c>
      <c r="I2863" t="s">
        <v>29</v>
      </c>
    </row>
    <row r="2864" spans="1:9" x14ac:dyDescent="0.35">
      <c r="A2864" t="s">
        <v>2900</v>
      </c>
      <c r="B2864" s="1">
        <v>45622</v>
      </c>
      <c r="C2864" t="s">
        <v>16</v>
      </c>
      <c r="D2864" t="s">
        <v>62</v>
      </c>
      <c r="E2864" t="s">
        <v>27</v>
      </c>
      <c r="F2864">
        <v>1682.83</v>
      </c>
      <c r="G2864">
        <v>197.07</v>
      </c>
      <c r="H2864" t="s">
        <v>19</v>
      </c>
      <c r="I2864" t="s">
        <v>29</v>
      </c>
    </row>
    <row r="2865" spans="1:9" x14ac:dyDescent="0.35">
      <c r="A2865" t="s">
        <v>2901</v>
      </c>
      <c r="B2865" s="1">
        <v>45187</v>
      </c>
      <c r="C2865" t="s">
        <v>22</v>
      </c>
      <c r="D2865" t="s">
        <v>95</v>
      </c>
      <c r="E2865" t="s">
        <v>18</v>
      </c>
      <c r="F2865">
        <v>831.78</v>
      </c>
      <c r="G2865">
        <v>200.35</v>
      </c>
      <c r="H2865" t="s">
        <v>19</v>
      </c>
      <c r="I2865" t="s">
        <v>20</v>
      </c>
    </row>
    <row r="2866" spans="1:9" x14ac:dyDescent="0.35">
      <c r="A2866" t="s">
        <v>2902</v>
      </c>
      <c r="B2866" s="1">
        <v>44964</v>
      </c>
      <c r="C2866" t="s">
        <v>25</v>
      </c>
      <c r="D2866" t="s">
        <v>11</v>
      </c>
      <c r="E2866" t="s">
        <v>12</v>
      </c>
      <c r="F2866">
        <v>1123.42</v>
      </c>
      <c r="G2866">
        <v>289.07</v>
      </c>
      <c r="H2866" t="s">
        <v>28</v>
      </c>
      <c r="I2866" t="s">
        <v>29</v>
      </c>
    </row>
    <row r="2867" spans="1:9" x14ac:dyDescent="0.35">
      <c r="A2867" t="s">
        <v>2903</v>
      </c>
      <c r="B2867" s="1">
        <v>45465</v>
      </c>
      <c r="C2867" t="s">
        <v>10</v>
      </c>
      <c r="D2867" t="s">
        <v>41</v>
      </c>
      <c r="E2867" t="s">
        <v>12</v>
      </c>
      <c r="F2867">
        <v>1863.43</v>
      </c>
      <c r="G2867">
        <v>499.2</v>
      </c>
      <c r="H2867" t="s">
        <v>19</v>
      </c>
      <c r="I2867" t="s">
        <v>34</v>
      </c>
    </row>
    <row r="2868" spans="1:9" x14ac:dyDescent="0.35">
      <c r="A2868" t="s">
        <v>2904</v>
      </c>
      <c r="B2868" s="1">
        <v>45059</v>
      </c>
      <c r="C2868" t="s">
        <v>22</v>
      </c>
      <c r="D2868" t="s">
        <v>95</v>
      </c>
      <c r="E2868" t="s">
        <v>18</v>
      </c>
      <c r="F2868">
        <v>1556.65</v>
      </c>
      <c r="G2868">
        <v>454.31</v>
      </c>
      <c r="H2868" t="s">
        <v>28</v>
      </c>
      <c r="I2868" t="s">
        <v>14</v>
      </c>
    </row>
    <row r="2869" spans="1:9" x14ac:dyDescent="0.35">
      <c r="A2869" t="s">
        <v>2905</v>
      </c>
      <c r="B2869" s="1">
        <v>44584</v>
      </c>
      <c r="C2869" t="s">
        <v>22</v>
      </c>
      <c r="D2869" t="s">
        <v>97</v>
      </c>
      <c r="E2869" t="s">
        <v>27</v>
      </c>
      <c r="F2869">
        <v>1156.53</v>
      </c>
      <c r="G2869">
        <v>68.489999999999995</v>
      </c>
      <c r="H2869" t="s">
        <v>28</v>
      </c>
      <c r="I2869" t="s">
        <v>34</v>
      </c>
    </row>
    <row r="2870" spans="1:9" x14ac:dyDescent="0.35">
      <c r="A2870" t="s">
        <v>2906</v>
      </c>
      <c r="B2870" s="1">
        <v>44604</v>
      </c>
      <c r="C2870" t="s">
        <v>22</v>
      </c>
      <c r="D2870" t="s">
        <v>41</v>
      </c>
      <c r="E2870" t="s">
        <v>12</v>
      </c>
      <c r="F2870">
        <v>1817</v>
      </c>
      <c r="G2870">
        <v>407.95</v>
      </c>
      <c r="H2870" t="s">
        <v>19</v>
      </c>
      <c r="I2870" t="s">
        <v>14</v>
      </c>
    </row>
    <row r="2871" spans="1:9" x14ac:dyDescent="0.35">
      <c r="A2871" t="s">
        <v>2907</v>
      </c>
      <c r="B2871" s="1">
        <v>45143</v>
      </c>
      <c r="C2871" t="s">
        <v>25</v>
      </c>
      <c r="D2871" t="s">
        <v>17</v>
      </c>
      <c r="E2871" t="s">
        <v>18</v>
      </c>
      <c r="F2871">
        <v>1928.44</v>
      </c>
      <c r="G2871">
        <v>548.58000000000004</v>
      </c>
      <c r="H2871" t="s">
        <v>19</v>
      </c>
      <c r="I2871" t="s">
        <v>14</v>
      </c>
    </row>
    <row r="2872" spans="1:9" x14ac:dyDescent="0.35">
      <c r="A2872" t="s">
        <v>2908</v>
      </c>
      <c r="B2872" s="1">
        <v>45117</v>
      </c>
      <c r="C2872" t="s">
        <v>25</v>
      </c>
      <c r="D2872" t="s">
        <v>26</v>
      </c>
      <c r="E2872" t="s">
        <v>27</v>
      </c>
      <c r="F2872">
        <v>62.57</v>
      </c>
      <c r="G2872">
        <v>15.04</v>
      </c>
      <c r="H2872" t="s">
        <v>13</v>
      </c>
      <c r="I2872" t="s">
        <v>20</v>
      </c>
    </row>
    <row r="2873" spans="1:9" x14ac:dyDescent="0.35">
      <c r="A2873" t="s">
        <v>2909</v>
      </c>
      <c r="B2873" s="1">
        <v>45348</v>
      </c>
      <c r="C2873" t="s">
        <v>22</v>
      </c>
      <c r="D2873" t="s">
        <v>50</v>
      </c>
      <c r="E2873" t="s">
        <v>12</v>
      </c>
      <c r="F2873">
        <v>1482.15</v>
      </c>
      <c r="G2873">
        <v>155.62</v>
      </c>
      <c r="H2873" t="s">
        <v>13</v>
      </c>
      <c r="I2873" t="s">
        <v>29</v>
      </c>
    </row>
    <row r="2874" spans="1:9" x14ac:dyDescent="0.35">
      <c r="A2874" t="s">
        <v>2910</v>
      </c>
      <c r="B2874" s="1">
        <v>44633</v>
      </c>
      <c r="C2874" t="s">
        <v>22</v>
      </c>
      <c r="D2874" t="s">
        <v>41</v>
      </c>
      <c r="E2874" t="s">
        <v>12</v>
      </c>
      <c r="F2874">
        <v>1633.1</v>
      </c>
      <c r="G2874">
        <v>87.24</v>
      </c>
      <c r="H2874" t="s">
        <v>19</v>
      </c>
      <c r="I2874" t="s">
        <v>20</v>
      </c>
    </row>
    <row r="2875" spans="1:9" x14ac:dyDescent="0.35">
      <c r="A2875" t="s">
        <v>2911</v>
      </c>
      <c r="B2875" s="1">
        <v>45591</v>
      </c>
      <c r="C2875" t="s">
        <v>16</v>
      </c>
      <c r="D2875" t="s">
        <v>26</v>
      </c>
      <c r="E2875" t="s">
        <v>27</v>
      </c>
      <c r="F2875">
        <v>252.55</v>
      </c>
      <c r="G2875">
        <v>58.49</v>
      </c>
      <c r="H2875" t="s">
        <v>28</v>
      </c>
      <c r="I2875" t="s">
        <v>34</v>
      </c>
    </row>
    <row r="2876" spans="1:9" x14ac:dyDescent="0.35">
      <c r="A2876" t="s">
        <v>2912</v>
      </c>
      <c r="B2876" s="1">
        <v>44932</v>
      </c>
      <c r="C2876" t="s">
        <v>25</v>
      </c>
      <c r="D2876" t="s">
        <v>38</v>
      </c>
      <c r="E2876" t="s">
        <v>12</v>
      </c>
      <c r="F2876">
        <v>1960.22</v>
      </c>
      <c r="G2876">
        <v>101.16</v>
      </c>
      <c r="H2876" t="s">
        <v>28</v>
      </c>
      <c r="I2876" t="s">
        <v>20</v>
      </c>
    </row>
    <row r="2877" spans="1:9" x14ac:dyDescent="0.35">
      <c r="A2877" t="s">
        <v>2913</v>
      </c>
      <c r="B2877" s="1">
        <v>45601</v>
      </c>
      <c r="C2877" t="s">
        <v>25</v>
      </c>
      <c r="D2877" t="s">
        <v>26</v>
      </c>
      <c r="E2877" t="s">
        <v>27</v>
      </c>
      <c r="F2877">
        <v>851.64</v>
      </c>
      <c r="G2877">
        <v>204.72</v>
      </c>
      <c r="H2877" t="s">
        <v>28</v>
      </c>
      <c r="I2877" t="s">
        <v>34</v>
      </c>
    </row>
    <row r="2878" spans="1:9" x14ac:dyDescent="0.35">
      <c r="A2878" t="s">
        <v>2914</v>
      </c>
      <c r="B2878" s="1">
        <v>45253</v>
      </c>
      <c r="C2878" t="s">
        <v>25</v>
      </c>
      <c r="D2878" t="s">
        <v>26</v>
      </c>
      <c r="E2878" t="s">
        <v>27</v>
      </c>
      <c r="F2878">
        <v>677.22</v>
      </c>
      <c r="G2878">
        <v>200.85</v>
      </c>
      <c r="H2878" t="s">
        <v>19</v>
      </c>
      <c r="I2878" t="s">
        <v>20</v>
      </c>
    </row>
    <row r="2879" spans="1:9" x14ac:dyDescent="0.35">
      <c r="A2879" t="s">
        <v>2915</v>
      </c>
      <c r="B2879" s="1">
        <v>44896</v>
      </c>
      <c r="C2879" t="s">
        <v>16</v>
      </c>
      <c r="D2879" t="s">
        <v>73</v>
      </c>
      <c r="E2879" t="s">
        <v>27</v>
      </c>
      <c r="F2879">
        <v>1761.69</v>
      </c>
      <c r="G2879">
        <v>492.03</v>
      </c>
      <c r="H2879" t="s">
        <v>19</v>
      </c>
      <c r="I2879" t="s">
        <v>20</v>
      </c>
    </row>
    <row r="2880" spans="1:9" x14ac:dyDescent="0.35">
      <c r="A2880" t="s">
        <v>2916</v>
      </c>
      <c r="B2880" s="1">
        <v>44977</v>
      </c>
      <c r="C2880" t="s">
        <v>16</v>
      </c>
      <c r="D2880" t="s">
        <v>17</v>
      </c>
      <c r="E2880" t="s">
        <v>18</v>
      </c>
      <c r="F2880">
        <v>935.59</v>
      </c>
      <c r="G2880">
        <v>174.12</v>
      </c>
      <c r="H2880" t="s">
        <v>13</v>
      </c>
      <c r="I2880" t="s">
        <v>14</v>
      </c>
    </row>
    <row r="2881" spans="1:9" x14ac:dyDescent="0.35">
      <c r="A2881" t="s">
        <v>2917</v>
      </c>
      <c r="B2881" s="1">
        <v>45072</v>
      </c>
      <c r="C2881" t="s">
        <v>22</v>
      </c>
      <c r="D2881" t="s">
        <v>26</v>
      </c>
      <c r="E2881" t="s">
        <v>27</v>
      </c>
      <c r="F2881">
        <v>1098.47</v>
      </c>
      <c r="G2881">
        <v>111.7</v>
      </c>
      <c r="H2881" t="s">
        <v>13</v>
      </c>
      <c r="I2881" t="s">
        <v>34</v>
      </c>
    </row>
    <row r="2882" spans="1:9" x14ac:dyDescent="0.35">
      <c r="A2882" t="s">
        <v>2918</v>
      </c>
      <c r="B2882" s="1">
        <v>45119</v>
      </c>
      <c r="C2882" t="s">
        <v>25</v>
      </c>
      <c r="D2882" t="s">
        <v>33</v>
      </c>
      <c r="E2882" t="s">
        <v>18</v>
      </c>
      <c r="F2882">
        <v>1219.03</v>
      </c>
      <c r="G2882">
        <v>74.39</v>
      </c>
      <c r="H2882" t="s">
        <v>13</v>
      </c>
      <c r="I2882" t="s">
        <v>14</v>
      </c>
    </row>
    <row r="2883" spans="1:9" x14ac:dyDescent="0.35">
      <c r="A2883" t="s">
        <v>2919</v>
      </c>
      <c r="B2883" s="1">
        <v>44734</v>
      </c>
      <c r="C2883" t="s">
        <v>22</v>
      </c>
      <c r="D2883" t="s">
        <v>11</v>
      </c>
      <c r="E2883" t="s">
        <v>12</v>
      </c>
      <c r="F2883">
        <v>264.8</v>
      </c>
      <c r="G2883">
        <v>44.09</v>
      </c>
      <c r="H2883" t="s">
        <v>13</v>
      </c>
      <c r="I2883" t="s">
        <v>34</v>
      </c>
    </row>
    <row r="2884" spans="1:9" x14ac:dyDescent="0.35">
      <c r="A2884" t="s">
        <v>2920</v>
      </c>
      <c r="B2884" s="1">
        <v>45646</v>
      </c>
      <c r="C2884" t="s">
        <v>25</v>
      </c>
      <c r="D2884" t="s">
        <v>73</v>
      </c>
      <c r="E2884" t="s">
        <v>27</v>
      </c>
      <c r="F2884">
        <v>1921.25</v>
      </c>
      <c r="G2884">
        <v>292.16000000000003</v>
      </c>
      <c r="H2884" t="s">
        <v>19</v>
      </c>
      <c r="I2884" t="s">
        <v>20</v>
      </c>
    </row>
    <row r="2885" spans="1:9" x14ac:dyDescent="0.35">
      <c r="A2885" t="s">
        <v>2921</v>
      </c>
      <c r="B2885" s="1">
        <v>44572</v>
      </c>
      <c r="C2885" t="s">
        <v>25</v>
      </c>
      <c r="D2885" t="s">
        <v>97</v>
      </c>
      <c r="E2885" t="s">
        <v>27</v>
      </c>
      <c r="F2885">
        <v>1531.07</v>
      </c>
      <c r="G2885">
        <v>271.87</v>
      </c>
      <c r="H2885" t="s">
        <v>19</v>
      </c>
      <c r="I2885" t="s">
        <v>29</v>
      </c>
    </row>
    <row r="2886" spans="1:9" x14ac:dyDescent="0.35">
      <c r="A2886" t="s">
        <v>2922</v>
      </c>
      <c r="B2886" s="1">
        <v>44780</v>
      </c>
      <c r="C2886" t="s">
        <v>22</v>
      </c>
      <c r="D2886" t="s">
        <v>38</v>
      </c>
      <c r="E2886" t="s">
        <v>12</v>
      </c>
      <c r="F2886">
        <v>842.98</v>
      </c>
      <c r="G2886">
        <v>186.22</v>
      </c>
      <c r="H2886" t="s">
        <v>28</v>
      </c>
      <c r="I2886" t="s">
        <v>34</v>
      </c>
    </row>
    <row r="2887" spans="1:9" x14ac:dyDescent="0.35">
      <c r="A2887" t="s">
        <v>2923</v>
      </c>
      <c r="B2887" s="1">
        <v>45432</v>
      </c>
      <c r="C2887" t="s">
        <v>22</v>
      </c>
      <c r="D2887" t="s">
        <v>26</v>
      </c>
      <c r="E2887" t="s">
        <v>27</v>
      </c>
      <c r="F2887">
        <v>1678.08</v>
      </c>
      <c r="G2887">
        <v>201.74</v>
      </c>
      <c r="H2887" t="s">
        <v>28</v>
      </c>
      <c r="I2887" t="s">
        <v>14</v>
      </c>
    </row>
    <row r="2888" spans="1:9" x14ac:dyDescent="0.35">
      <c r="A2888" t="s">
        <v>2924</v>
      </c>
      <c r="B2888" s="1">
        <v>45057</v>
      </c>
      <c r="C2888" t="s">
        <v>25</v>
      </c>
      <c r="D2888" t="s">
        <v>33</v>
      </c>
      <c r="E2888" t="s">
        <v>18</v>
      </c>
      <c r="F2888">
        <v>370.29</v>
      </c>
      <c r="G2888">
        <v>55.79</v>
      </c>
      <c r="H2888" t="s">
        <v>28</v>
      </c>
      <c r="I2888" t="s">
        <v>14</v>
      </c>
    </row>
    <row r="2889" spans="1:9" x14ac:dyDescent="0.35">
      <c r="A2889" t="s">
        <v>2925</v>
      </c>
      <c r="B2889" s="1">
        <v>44598</v>
      </c>
      <c r="C2889" t="s">
        <v>25</v>
      </c>
      <c r="D2889" t="s">
        <v>33</v>
      </c>
      <c r="E2889" t="s">
        <v>18</v>
      </c>
      <c r="F2889">
        <v>1494.14</v>
      </c>
      <c r="G2889">
        <v>373.96</v>
      </c>
      <c r="H2889" t="s">
        <v>28</v>
      </c>
      <c r="I2889" t="s">
        <v>29</v>
      </c>
    </row>
    <row r="2890" spans="1:9" x14ac:dyDescent="0.35">
      <c r="A2890" t="s">
        <v>2926</v>
      </c>
      <c r="B2890" s="1">
        <v>45631</v>
      </c>
      <c r="C2890" t="s">
        <v>25</v>
      </c>
      <c r="D2890" t="s">
        <v>62</v>
      </c>
      <c r="E2890" t="s">
        <v>27</v>
      </c>
      <c r="F2890">
        <v>1855.58</v>
      </c>
      <c r="G2890">
        <v>380.28</v>
      </c>
      <c r="H2890" t="s">
        <v>13</v>
      </c>
      <c r="I2890" t="s">
        <v>29</v>
      </c>
    </row>
    <row r="2891" spans="1:9" x14ac:dyDescent="0.35">
      <c r="A2891" t="s">
        <v>2927</v>
      </c>
      <c r="B2891" s="1">
        <v>45219</v>
      </c>
      <c r="C2891" t="s">
        <v>10</v>
      </c>
      <c r="D2891" t="s">
        <v>33</v>
      </c>
      <c r="E2891" t="s">
        <v>18</v>
      </c>
      <c r="F2891">
        <v>1298.99</v>
      </c>
      <c r="G2891">
        <v>238.92</v>
      </c>
      <c r="H2891" t="s">
        <v>13</v>
      </c>
      <c r="I2891" t="s">
        <v>14</v>
      </c>
    </row>
    <row r="2892" spans="1:9" x14ac:dyDescent="0.35">
      <c r="A2892" t="s">
        <v>2928</v>
      </c>
      <c r="B2892" s="1">
        <v>44637</v>
      </c>
      <c r="C2892" t="s">
        <v>16</v>
      </c>
      <c r="D2892" t="s">
        <v>95</v>
      </c>
      <c r="E2892" t="s">
        <v>18</v>
      </c>
      <c r="F2892">
        <v>859.01</v>
      </c>
      <c r="G2892">
        <v>100.93</v>
      </c>
      <c r="H2892" t="s">
        <v>28</v>
      </c>
      <c r="I2892" t="s">
        <v>29</v>
      </c>
    </row>
    <row r="2893" spans="1:9" x14ac:dyDescent="0.35">
      <c r="A2893" t="s">
        <v>2929</v>
      </c>
      <c r="B2893" s="1">
        <v>44741</v>
      </c>
      <c r="C2893" t="s">
        <v>22</v>
      </c>
      <c r="D2893" t="s">
        <v>97</v>
      </c>
      <c r="E2893" t="s">
        <v>27</v>
      </c>
      <c r="F2893">
        <v>113.85</v>
      </c>
      <c r="G2893">
        <v>16.489999999999998</v>
      </c>
      <c r="H2893" t="s">
        <v>19</v>
      </c>
      <c r="I2893" t="s">
        <v>34</v>
      </c>
    </row>
    <row r="2894" spans="1:9" x14ac:dyDescent="0.35">
      <c r="A2894" t="s">
        <v>2930</v>
      </c>
      <c r="B2894" s="1">
        <v>45020</v>
      </c>
      <c r="C2894" t="s">
        <v>10</v>
      </c>
      <c r="D2894" t="s">
        <v>46</v>
      </c>
      <c r="E2894" t="s">
        <v>18</v>
      </c>
      <c r="F2894">
        <v>294.70999999999998</v>
      </c>
      <c r="G2894">
        <v>31.38</v>
      </c>
      <c r="H2894" t="s">
        <v>19</v>
      </c>
      <c r="I2894" t="s">
        <v>34</v>
      </c>
    </row>
    <row r="2895" spans="1:9" x14ac:dyDescent="0.35">
      <c r="A2895" t="s">
        <v>2931</v>
      </c>
      <c r="B2895" s="1">
        <v>44677</v>
      </c>
      <c r="C2895" t="s">
        <v>25</v>
      </c>
      <c r="D2895" t="s">
        <v>17</v>
      </c>
      <c r="E2895" t="s">
        <v>18</v>
      </c>
      <c r="F2895">
        <v>697.9</v>
      </c>
      <c r="G2895">
        <v>128.32</v>
      </c>
      <c r="H2895" t="s">
        <v>13</v>
      </c>
      <c r="I2895" t="s">
        <v>20</v>
      </c>
    </row>
    <row r="2896" spans="1:9" x14ac:dyDescent="0.35">
      <c r="A2896" t="s">
        <v>2932</v>
      </c>
      <c r="B2896" s="1">
        <v>44816</v>
      </c>
      <c r="C2896" t="s">
        <v>22</v>
      </c>
      <c r="D2896" t="s">
        <v>57</v>
      </c>
      <c r="E2896" t="s">
        <v>27</v>
      </c>
      <c r="F2896">
        <v>932.43</v>
      </c>
      <c r="G2896">
        <v>112.75</v>
      </c>
      <c r="H2896" t="s">
        <v>19</v>
      </c>
      <c r="I2896" t="s">
        <v>34</v>
      </c>
    </row>
    <row r="2897" spans="1:9" x14ac:dyDescent="0.35">
      <c r="A2897" t="s">
        <v>2933</v>
      </c>
      <c r="B2897" s="1">
        <v>44683</v>
      </c>
      <c r="C2897" t="s">
        <v>22</v>
      </c>
      <c r="D2897" t="s">
        <v>11</v>
      </c>
      <c r="E2897" t="s">
        <v>12</v>
      </c>
      <c r="F2897">
        <v>814.84</v>
      </c>
      <c r="G2897">
        <v>127.81</v>
      </c>
      <c r="H2897" t="s">
        <v>19</v>
      </c>
      <c r="I2897" t="s">
        <v>34</v>
      </c>
    </row>
    <row r="2898" spans="1:9" x14ac:dyDescent="0.35">
      <c r="A2898" t="s">
        <v>2934</v>
      </c>
      <c r="B2898" s="1">
        <v>45503</v>
      </c>
      <c r="C2898" t="s">
        <v>25</v>
      </c>
      <c r="D2898" t="s">
        <v>57</v>
      </c>
      <c r="E2898" t="s">
        <v>27</v>
      </c>
      <c r="F2898">
        <v>233.48</v>
      </c>
      <c r="G2898">
        <v>37.72</v>
      </c>
      <c r="H2898" t="s">
        <v>28</v>
      </c>
      <c r="I2898" t="s">
        <v>34</v>
      </c>
    </row>
    <row r="2899" spans="1:9" x14ac:dyDescent="0.35">
      <c r="A2899" t="s">
        <v>2935</v>
      </c>
      <c r="B2899" s="1">
        <v>45063</v>
      </c>
      <c r="C2899" t="s">
        <v>22</v>
      </c>
      <c r="D2899" t="s">
        <v>46</v>
      </c>
      <c r="E2899" t="s">
        <v>18</v>
      </c>
      <c r="F2899">
        <v>1071.93</v>
      </c>
      <c r="G2899">
        <v>237.43</v>
      </c>
      <c r="H2899" t="s">
        <v>19</v>
      </c>
      <c r="I2899" t="s">
        <v>29</v>
      </c>
    </row>
    <row r="2900" spans="1:9" x14ac:dyDescent="0.35">
      <c r="A2900" t="s">
        <v>2936</v>
      </c>
      <c r="B2900" s="1">
        <v>45452</v>
      </c>
      <c r="C2900" t="s">
        <v>22</v>
      </c>
      <c r="D2900" t="s">
        <v>62</v>
      </c>
      <c r="E2900" t="s">
        <v>27</v>
      </c>
      <c r="F2900">
        <v>1761.9</v>
      </c>
      <c r="G2900">
        <v>195.02</v>
      </c>
      <c r="H2900" t="s">
        <v>28</v>
      </c>
      <c r="I2900" t="s">
        <v>29</v>
      </c>
    </row>
    <row r="2901" spans="1:9" x14ac:dyDescent="0.35">
      <c r="A2901" t="s">
        <v>2937</v>
      </c>
      <c r="B2901" s="1">
        <v>44939</v>
      </c>
      <c r="C2901" t="s">
        <v>10</v>
      </c>
      <c r="D2901" t="s">
        <v>95</v>
      </c>
      <c r="E2901" t="s">
        <v>18</v>
      </c>
      <c r="F2901">
        <v>1167</v>
      </c>
      <c r="G2901">
        <v>157.32</v>
      </c>
      <c r="H2901" t="s">
        <v>19</v>
      </c>
      <c r="I2901" t="s">
        <v>14</v>
      </c>
    </row>
    <row r="2902" spans="1:9" x14ac:dyDescent="0.35">
      <c r="A2902" t="s">
        <v>2938</v>
      </c>
      <c r="B2902" s="1">
        <v>44737</v>
      </c>
      <c r="C2902" t="s">
        <v>25</v>
      </c>
      <c r="D2902" t="s">
        <v>95</v>
      </c>
      <c r="E2902" t="s">
        <v>18</v>
      </c>
      <c r="F2902">
        <v>1255.1600000000001</v>
      </c>
      <c r="G2902">
        <v>341.86</v>
      </c>
      <c r="H2902" t="s">
        <v>28</v>
      </c>
      <c r="I2902" t="s">
        <v>34</v>
      </c>
    </row>
    <row r="2903" spans="1:9" x14ac:dyDescent="0.35">
      <c r="A2903" t="s">
        <v>2939</v>
      </c>
      <c r="B2903" s="1">
        <v>44689</v>
      </c>
      <c r="C2903" t="s">
        <v>25</v>
      </c>
      <c r="D2903" t="s">
        <v>17</v>
      </c>
      <c r="E2903" t="s">
        <v>18</v>
      </c>
      <c r="F2903">
        <v>914.56</v>
      </c>
      <c r="G2903">
        <v>256.39999999999998</v>
      </c>
      <c r="H2903" t="s">
        <v>13</v>
      </c>
      <c r="I2903" t="s">
        <v>20</v>
      </c>
    </row>
    <row r="2904" spans="1:9" x14ac:dyDescent="0.35">
      <c r="A2904" t="s">
        <v>2940</v>
      </c>
      <c r="B2904" s="1">
        <v>44797</v>
      </c>
      <c r="C2904" t="s">
        <v>10</v>
      </c>
      <c r="D2904" t="s">
        <v>73</v>
      </c>
      <c r="E2904" t="s">
        <v>27</v>
      </c>
      <c r="F2904">
        <v>399.04</v>
      </c>
      <c r="G2904">
        <v>53.33</v>
      </c>
      <c r="H2904" t="s">
        <v>19</v>
      </c>
      <c r="I2904" t="s">
        <v>14</v>
      </c>
    </row>
    <row r="2905" spans="1:9" x14ac:dyDescent="0.35">
      <c r="A2905" t="s">
        <v>2941</v>
      </c>
      <c r="B2905" s="1">
        <v>45518</v>
      </c>
      <c r="C2905" t="s">
        <v>25</v>
      </c>
      <c r="D2905" t="s">
        <v>38</v>
      </c>
      <c r="E2905" t="s">
        <v>12</v>
      </c>
      <c r="F2905">
        <v>1297.69</v>
      </c>
      <c r="G2905">
        <v>107.87</v>
      </c>
      <c r="H2905" t="s">
        <v>28</v>
      </c>
      <c r="I2905" t="s">
        <v>14</v>
      </c>
    </row>
    <row r="2906" spans="1:9" x14ac:dyDescent="0.35">
      <c r="A2906" t="s">
        <v>2942</v>
      </c>
      <c r="B2906" s="1">
        <v>45303</v>
      </c>
      <c r="C2906" t="s">
        <v>16</v>
      </c>
      <c r="D2906" t="s">
        <v>11</v>
      </c>
      <c r="E2906" t="s">
        <v>12</v>
      </c>
      <c r="F2906">
        <v>828.96</v>
      </c>
      <c r="G2906">
        <v>174.22</v>
      </c>
      <c r="H2906" t="s">
        <v>28</v>
      </c>
      <c r="I2906" t="s">
        <v>20</v>
      </c>
    </row>
    <row r="2907" spans="1:9" x14ac:dyDescent="0.35">
      <c r="A2907" t="s">
        <v>2943</v>
      </c>
      <c r="B2907" s="1">
        <v>45443</v>
      </c>
      <c r="C2907" t="s">
        <v>25</v>
      </c>
      <c r="D2907" t="s">
        <v>73</v>
      </c>
      <c r="E2907" t="s">
        <v>27</v>
      </c>
      <c r="F2907">
        <v>858.85</v>
      </c>
      <c r="G2907">
        <v>147.07</v>
      </c>
      <c r="H2907" t="s">
        <v>19</v>
      </c>
      <c r="I2907" t="s">
        <v>14</v>
      </c>
    </row>
    <row r="2908" spans="1:9" x14ac:dyDescent="0.35">
      <c r="A2908" t="s">
        <v>2944</v>
      </c>
      <c r="B2908" s="1">
        <v>45569</v>
      </c>
      <c r="C2908" t="s">
        <v>10</v>
      </c>
      <c r="D2908" t="s">
        <v>26</v>
      </c>
      <c r="E2908" t="s">
        <v>27</v>
      </c>
      <c r="F2908">
        <v>322.17</v>
      </c>
      <c r="G2908">
        <v>44.45</v>
      </c>
      <c r="H2908" t="s">
        <v>13</v>
      </c>
      <c r="I2908" t="s">
        <v>34</v>
      </c>
    </row>
    <row r="2909" spans="1:9" x14ac:dyDescent="0.35">
      <c r="A2909" t="s">
        <v>2945</v>
      </c>
      <c r="B2909" s="1">
        <v>44917</v>
      </c>
      <c r="C2909" t="s">
        <v>25</v>
      </c>
      <c r="D2909" t="s">
        <v>23</v>
      </c>
      <c r="E2909" t="s">
        <v>18</v>
      </c>
      <c r="F2909">
        <v>1344.5</v>
      </c>
      <c r="G2909">
        <v>219.25</v>
      </c>
      <c r="H2909" t="s">
        <v>13</v>
      </c>
      <c r="I2909" t="s">
        <v>14</v>
      </c>
    </row>
    <row r="2910" spans="1:9" x14ac:dyDescent="0.35">
      <c r="A2910" t="s">
        <v>2946</v>
      </c>
      <c r="B2910" s="1">
        <v>45653</v>
      </c>
      <c r="C2910" t="s">
        <v>16</v>
      </c>
      <c r="D2910" t="s">
        <v>57</v>
      </c>
      <c r="E2910" t="s">
        <v>27</v>
      </c>
      <c r="F2910">
        <v>654.9</v>
      </c>
      <c r="G2910">
        <v>55.24</v>
      </c>
      <c r="H2910" t="s">
        <v>28</v>
      </c>
      <c r="I2910" t="s">
        <v>29</v>
      </c>
    </row>
    <row r="2911" spans="1:9" x14ac:dyDescent="0.35">
      <c r="A2911" t="s">
        <v>2947</v>
      </c>
      <c r="B2911" s="1">
        <v>44689</v>
      </c>
      <c r="C2911" t="s">
        <v>22</v>
      </c>
      <c r="D2911" t="s">
        <v>26</v>
      </c>
      <c r="E2911" t="s">
        <v>27</v>
      </c>
      <c r="F2911">
        <v>708.95</v>
      </c>
      <c r="G2911">
        <v>128.07</v>
      </c>
      <c r="H2911" t="s">
        <v>19</v>
      </c>
      <c r="I2911" t="s">
        <v>20</v>
      </c>
    </row>
    <row r="2912" spans="1:9" x14ac:dyDescent="0.35">
      <c r="A2912" t="s">
        <v>2948</v>
      </c>
      <c r="B2912" s="1">
        <v>45307</v>
      </c>
      <c r="C2912" t="s">
        <v>22</v>
      </c>
      <c r="D2912" t="s">
        <v>62</v>
      </c>
      <c r="E2912" t="s">
        <v>27</v>
      </c>
      <c r="F2912">
        <v>1700.01</v>
      </c>
      <c r="G2912">
        <v>291.74</v>
      </c>
      <c r="H2912" t="s">
        <v>28</v>
      </c>
      <c r="I2912" t="s">
        <v>14</v>
      </c>
    </row>
    <row r="2913" spans="1:9" x14ac:dyDescent="0.35">
      <c r="A2913" t="s">
        <v>2949</v>
      </c>
      <c r="B2913" s="1">
        <v>45058</v>
      </c>
      <c r="C2913" t="s">
        <v>10</v>
      </c>
      <c r="D2913" t="s">
        <v>62</v>
      </c>
      <c r="E2913" t="s">
        <v>27</v>
      </c>
      <c r="F2913">
        <v>1254.74</v>
      </c>
      <c r="G2913">
        <v>170.85</v>
      </c>
      <c r="H2913" t="s">
        <v>28</v>
      </c>
      <c r="I2913" t="s">
        <v>34</v>
      </c>
    </row>
    <row r="2914" spans="1:9" x14ac:dyDescent="0.35">
      <c r="A2914" t="s">
        <v>2950</v>
      </c>
      <c r="B2914" s="1">
        <v>44993</v>
      </c>
      <c r="C2914" t="s">
        <v>16</v>
      </c>
      <c r="D2914" t="s">
        <v>38</v>
      </c>
      <c r="E2914" t="s">
        <v>12</v>
      </c>
      <c r="F2914">
        <v>1474.34</v>
      </c>
      <c r="G2914">
        <v>323.62</v>
      </c>
      <c r="H2914" t="s">
        <v>19</v>
      </c>
      <c r="I2914" t="s">
        <v>14</v>
      </c>
    </row>
    <row r="2915" spans="1:9" x14ac:dyDescent="0.35">
      <c r="A2915" t="s">
        <v>2951</v>
      </c>
      <c r="B2915" s="1">
        <v>45471</v>
      </c>
      <c r="C2915" t="s">
        <v>16</v>
      </c>
      <c r="D2915" t="s">
        <v>97</v>
      </c>
      <c r="E2915" t="s">
        <v>27</v>
      </c>
      <c r="F2915">
        <v>450.93</v>
      </c>
      <c r="G2915">
        <v>99.82</v>
      </c>
      <c r="H2915" t="s">
        <v>19</v>
      </c>
      <c r="I2915" t="s">
        <v>20</v>
      </c>
    </row>
    <row r="2916" spans="1:9" x14ac:dyDescent="0.35">
      <c r="A2916" t="s">
        <v>2952</v>
      </c>
      <c r="B2916" s="1">
        <v>45163</v>
      </c>
      <c r="C2916" t="s">
        <v>16</v>
      </c>
      <c r="D2916" t="s">
        <v>41</v>
      </c>
      <c r="E2916" t="s">
        <v>12</v>
      </c>
      <c r="F2916">
        <v>1626.8</v>
      </c>
      <c r="G2916">
        <v>460.51</v>
      </c>
      <c r="H2916" t="s">
        <v>19</v>
      </c>
      <c r="I2916" t="s">
        <v>14</v>
      </c>
    </row>
    <row r="2917" spans="1:9" x14ac:dyDescent="0.35">
      <c r="A2917" t="s">
        <v>2953</v>
      </c>
      <c r="B2917" s="1">
        <v>45452</v>
      </c>
      <c r="C2917" t="s">
        <v>25</v>
      </c>
      <c r="D2917" t="s">
        <v>17</v>
      </c>
      <c r="E2917" t="s">
        <v>18</v>
      </c>
      <c r="F2917">
        <v>518.65</v>
      </c>
      <c r="G2917">
        <v>154.05000000000001</v>
      </c>
      <c r="H2917" t="s">
        <v>19</v>
      </c>
      <c r="I2917" t="s">
        <v>14</v>
      </c>
    </row>
    <row r="2918" spans="1:9" x14ac:dyDescent="0.35">
      <c r="A2918" t="s">
        <v>2954</v>
      </c>
      <c r="B2918" s="1">
        <v>44989</v>
      </c>
      <c r="C2918" t="s">
        <v>22</v>
      </c>
      <c r="D2918" t="s">
        <v>57</v>
      </c>
      <c r="E2918" t="s">
        <v>27</v>
      </c>
      <c r="F2918">
        <v>213.96</v>
      </c>
      <c r="G2918">
        <v>51.85</v>
      </c>
      <c r="H2918" t="s">
        <v>13</v>
      </c>
      <c r="I2918" t="s">
        <v>34</v>
      </c>
    </row>
    <row r="2919" spans="1:9" x14ac:dyDescent="0.35">
      <c r="A2919" t="s">
        <v>2955</v>
      </c>
      <c r="B2919" s="1">
        <v>45483</v>
      </c>
      <c r="C2919" t="s">
        <v>10</v>
      </c>
      <c r="D2919" t="s">
        <v>26</v>
      </c>
      <c r="E2919" t="s">
        <v>27</v>
      </c>
      <c r="F2919">
        <v>330.25</v>
      </c>
      <c r="G2919">
        <v>21.81</v>
      </c>
      <c r="H2919" t="s">
        <v>19</v>
      </c>
      <c r="I2919" t="s">
        <v>29</v>
      </c>
    </row>
    <row r="2920" spans="1:9" x14ac:dyDescent="0.35">
      <c r="A2920" t="s">
        <v>2956</v>
      </c>
      <c r="B2920" s="1">
        <v>45599</v>
      </c>
      <c r="C2920" t="s">
        <v>22</v>
      </c>
      <c r="D2920" t="s">
        <v>26</v>
      </c>
      <c r="E2920" t="s">
        <v>27</v>
      </c>
      <c r="F2920">
        <v>285.52</v>
      </c>
      <c r="G2920">
        <v>80.319999999999993</v>
      </c>
      <c r="H2920" t="s">
        <v>28</v>
      </c>
      <c r="I2920" t="s">
        <v>34</v>
      </c>
    </row>
    <row r="2921" spans="1:9" x14ac:dyDescent="0.35">
      <c r="A2921" t="s">
        <v>2957</v>
      </c>
      <c r="B2921" s="1">
        <v>45381</v>
      </c>
      <c r="C2921" t="s">
        <v>22</v>
      </c>
      <c r="D2921" t="s">
        <v>38</v>
      </c>
      <c r="E2921" t="s">
        <v>12</v>
      </c>
      <c r="F2921">
        <v>90.3</v>
      </c>
      <c r="G2921">
        <v>9.0500000000000007</v>
      </c>
      <c r="H2921" t="s">
        <v>13</v>
      </c>
      <c r="I2921" t="s">
        <v>34</v>
      </c>
    </row>
    <row r="2922" spans="1:9" x14ac:dyDescent="0.35">
      <c r="A2922" t="s">
        <v>2958</v>
      </c>
      <c r="B2922" s="1">
        <v>44669</v>
      </c>
      <c r="C2922" t="s">
        <v>10</v>
      </c>
      <c r="D2922" t="s">
        <v>41</v>
      </c>
      <c r="E2922" t="s">
        <v>12</v>
      </c>
      <c r="F2922">
        <v>703.21</v>
      </c>
      <c r="G2922">
        <v>195.67</v>
      </c>
      <c r="H2922" t="s">
        <v>13</v>
      </c>
      <c r="I2922" t="s">
        <v>29</v>
      </c>
    </row>
    <row r="2923" spans="1:9" x14ac:dyDescent="0.35">
      <c r="A2923" t="s">
        <v>2959</v>
      </c>
      <c r="B2923" s="1">
        <v>45575</v>
      </c>
      <c r="C2923" t="s">
        <v>22</v>
      </c>
      <c r="D2923" t="s">
        <v>73</v>
      </c>
      <c r="E2923" t="s">
        <v>27</v>
      </c>
      <c r="F2923">
        <v>1255.1199999999999</v>
      </c>
      <c r="G2923">
        <v>356.34</v>
      </c>
      <c r="H2923" t="s">
        <v>13</v>
      </c>
      <c r="I2923" t="s">
        <v>34</v>
      </c>
    </row>
    <row r="2924" spans="1:9" x14ac:dyDescent="0.35">
      <c r="A2924" t="s">
        <v>2960</v>
      </c>
      <c r="B2924" s="1">
        <v>44682</v>
      </c>
      <c r="C2924" t="s">
        <v>16</v>
      </c>
      <c r="D2924" t="s">
        <v>46</v>
      </c>
      <c r="E2924" t="s">
        <v>18</v>
      </c>
      <c r="F2924">
        <v>1303.98</v>
      </c>
      <c r="G2924">
        <v>359.93</v>
      </c>
      <c r="H2924" t="s">
        <v>19</v>
      </c>
      <c r="I2924" t="s">
        <v>29</v>
      </c>
    </row>
    <row r="2925" spans="1:9" x14ac:dyDescent="0.35">
      <c r="A2925" t="s">
        <v>2961</v>
      </c>
      <c r="B2925" s="1">
        <v>45599</v>
      </c>
      <c r="C2925" t="s">
        <v>10</v>
      </c>
      <c r="D2925" t="s">
        <v>73</v>
      </c>
      <c r="E2925" t="s">
        <v>27</v>
      </c>
      <c r="F2925">
        <v>1480.3</v>
      </c>
      <c r="G2925">
        <v>165.41</v>
      </c>
      <c r="H2925" t="s">
        <v>28</v>
      </c>
      <c r="I2925" t="s">
        <v>29</v>
      </c>
    </row>
    <row r="2926" spans="1:9" x14ac:dyDescent="0.35">
      <c r="A2926" t="s">
        <v>2962</v>
      </c>
      <c r="B2926" s="1">
        <v>45076</v>
      </c>
      <c r="C2926" t="s">
        <v>16</v>
      </c>
      <c r="D2926" t="s">
        <v>57</v>
      </c>
      <c r="E2926" t="s">
        <v>27</v>
      </c>
      <c r="F2926">
        <v>1737.74</v>
      </c>
      <c r="G2926">
        <v>323.31</v>
      </c>
      <c r="H2926" t="s">
        <v>28</v>
      </c>
      <c r="I2926" t="s">
        <v>14</v>
      </c>
    </row>
    <row r="2927" spans="1:9" x14ac:dyDescent="0.35">
      <c r="A2927" t="s">
        <v>2963</v>
      </c>
      <c r="B2927" s="1">
        <v>45640</v>
      </c>
      <c r="C2927" t="s">
        <v>25</v>
      </c>
      <c r="D2927" t="s">
        <v>11</v>
      </c>
      <c r="E2927" t="s">
        <v>12</v>
      </c>
      <c r="F2927">
        <v>777.85</v>
      </c>
      <c r="G2927">
        <v>77.62</v>
      </c>
      <c r="H2927" t="s">
        <v>19</v>
      </c>
      <c r="I2927" t="s">
        <v>29</v>
      </c>
    </row>
    <row r="2928" spans="1:9" x14ac:dyDescent="0.35">
      <c r="A2928" t="s">
        <v>2964</v>
      </c>
      <c r="B2928" s="1">
        <v>45178</v>
      </c>
      <c r="C2928" t="s">
        <v>10</v>
      </c>
      <c r="D2928" t="s">
        <v>11</v>
      </c>
      <c r="E2928" t="s">
        <v>12</v>
      </c>
      <c r="F2928">
        <v>1937.84</v>
      </c>
      <c r="G2928">
        <v>539.1</v>
      </c>
      <c r="H2928" t="s">
        <v>28</v>
      </c>
      <c r="I2928" t="s">
        <v>14</v>
      </c>
    </row>
    <row r="2929" spans="1:9" x14ac:dyDescent="0.35">
      <c r="A2929" t="s">
        <v>2965</v>
      </c>
      <c r="B2929" s="1">
        <v>45498</v>
      </c>
      <c r="C2929" t="s">
        <v>16</v>
      </c>
      <c r="D2929" t="s">
        <v>97</v>
      </c>
      <c r="E2929" t="s">
        <v>27</v>
      </c>
      <c r="F2929">
        <v>176.47</v>
      </c>
      <c r="G2929">
        <v>43.68</v>
      </c>
      <c r="H2929" t="s">
        <v>19</v>
      </c>
      <c r="I2929" t="s">
        <v>29</v>
      </c>
    </row>
    <row r="2930" spans="1:9" x14ac:dyDescent="0.35">
      <c r="A2930" t="s">
        <v>2966</v>
      </c>
      <c r="B2930" s="1">
        <v>45054</v>
      </c>
      <c r="C2930" t="s">
        <v>10</v>
      </c>
      <c r="D2930" t="s">
        <v>46</v>
      </c>
      <c r="E2930" t="s">
        <v>18</v>
      </c>
      <c r="F2930">
        <v>522.94000000000005</v>
      </c>
      <c r="G2930">
        <v>135.63</v>
      </c>
      <c r="H2930" t="s">
        <v>13</v>
      </c>
      <c r="I2930" t="s">
        <v>20</v>
      </c>
    </row>
    <row r="2931" spans="1:9" x14ac:dyDescent="0.35">
      <c r="A2931" t="s">
        <v>2967</v>
      </c>
      <c r="B2931" s="1">
        <v>45336</v>
      </c>
      <c r="C2931" t="s">
        <v>25</v>
      </c>
      <c r="D2931" t="s">
        <v>73</v>
      </c>
      <c r="E2931" t="s">
        <v>27</v>
      </c>
      <c r="F2931">
        <v>1687.38</v>
      </c>
      <c r="G2931">
        <v>238.41</v>
      </c>
      <c r="H2931" t="s">
        <v>13</v>
      </c>
      <c r="I2931" t="s">
        <v>34</v>
      </c>
    </row>
    <row r="2932" spans="1:9" x14ac:dyDescent="0.35">
      <c r="A2932" t="s">
        <v>2968</v>
      </c>
      <c r="B2932" s="1">
        <v>44979</v>
      </c>
      <c r="C2932" t="s">
        <v>16</v>
      </c>
      <c r="D2932" t="s">
        <v>73</v>
      </c>
      <c r="E2932" t="s">
        <v>27</v>
      </c>
      <c r="F2932">
        <v>111.45</v>
      </c>
      <c r="G2932">
        <v>19.89</v>
      </c>
      <c r="H2932" t="s">
        <v>13</v>
      </c>
      <c r="I2932" t="s">
        <v>14</v>
      </c>
    </row>
    <row r="2933" spans="1:9" x14ac:dyDescent="0.35">
      <c r="A2933" t="s">
        <v>2969</v>
      </c>
      <c r="B2933" s="1">
        <v>45342</v>
      </c>
      <c r="C2933" t="s">
        <v>25</v>
      </c>
      <c r="D2933" t="s">
        <v>46</v>
      </c>
      <c r="E2933" t="s">
        <v>18</v>
      </c>
      <c r="F2933">
        <v>125.09</v>
      </c>
      <c r="G2933">
        <v>14.89</v>
      </c>
      <c r="H2933" t="s">
        <v>13</v>
      </c>
      <c r="I2933" t="s">
        <v>14</v>
      </c>
    </row>
    <row r="2934" spans="1:9" x14ac:dyDescent="0.35">
      <c r="A2934" t="s">
        <v>2970</v>
      </c>
      <c r="B2934" s="1">
        <v>45591</v>
      </c>
      <c r="C2934" t="s">
        <v>16</v>
      </c>
      <c r="D2934" t="s">
        <v>50</v>
      </c>
      <c r="E2934" t="s">
        <v>12</v>
      </c>
      <c r="F2934">
        <v>786.96</v>
      </c>
      <c r="G2934">
        <v>154.01</v>
      </c>
      <c r="H2934" t="s">
        <v>28</v>
      </c>
      <c r="I2934" t="s">
        <v>34</v>
      </c>
    </row>
    <row r="2935" spans="1:9" x14ac:dyDescent="0.35">
      <c r="A2935" t="s">
        <v>2971</v>
      </c>
      <c r="B2935" s="1">
        <v>45225</v>
      </c>
      <c r="C2935" t="s">
        <v>16</v>
      </c>
      <c r="D2935" t="s">
        <v>41</v>
      </c>
      <c r="E2935" t="s">
        <v>12</v>
      </c>
      <c r="F2935">
        <v>1019.94</v>
      </c>
      <c r="G2935">
        <v>90.79</v>
      </c>
      <c r="H2935" t="s">
        <v>28</v>
      </c>
      <c r="I2935" t="s">
        <v>14</v>
      </c>
    </row>
    <row r="2936" spans="1:9" x14ac:dyDescent="0.35">
      <c r="A2936" t="s">
        <v>2972</v>
      </c>
      <c r="B2936" s="1">
        <v>45151</v>
      </c>
      <c r="C2936" t="s">
        <v>16</v>
      </c>
      <c r="D2936" t="s">
        <v>33</v>
      </c>
      <c r="E2936" t="s">
        <v>18</v>
      </c>
      <c r="F2936">
        <v>1662.73</v>
      </c>
      <c r="G2936">
        <v>346.28</v>
      </c>
      <c r="H2936" t="s">
        <v>13</v>
      </c>
      <c r="I2936" t="s">
        <v>14</v>
      </c>
    </row>
    <row r="2937" spans="1:9" x14ac:dyDescent="0.35">
      <c r="A2937" t="s">
        <v>2973</v>
      </c>
      <c r="B2937" s="1">
        <v>44711</v>
      </c>
      <c r="C2937" t="s">
        <v>25</v>
      </c>
      <c r="D2937" t="s">
        <v>23</v>
      </c>
      <c r="E2937" t="s">
        <v>18</v>
      </c>
      <c r="F2937">
        <v>910.3</v>
      </c>
      <c r="G2937">
        <v>234.41</v>
      </c>
      <c r="H2937" t="s">
        <v>13</v>
      </c>
      <c r="I2937" t="s">
        <v>20</v>
      </c>
    </row>
    <row r="2938" spans="1:9" x14ac:dyDescent="0.35">
      <c r="A2938" t="s">
        <v>2974</v>
      </c>
      <c r="B2938" s="1">
        <v>44934</v>
      </c>
      <c r="C2938" t="s">
        <v>10</v>
      </c>
      <c r="D2938" t="s">
        <v>33</v>
      </c>
      <c r="E2938" t="s">
        <v>18</v>
      </c>
      <c r="F2938">
        <v>672.34</v>
      </c>
      <c r="G2938">
        <v>166.31</v>
      </c>
      <c r="H2938" t="s">
        <v>19</v>
      </c>
      <c r="I2938" t="s">
        <v>20</v>
      </c>
    </row>
    <row r="2939" spans="1:9" x14ac:dyDescent="0.35">
      <c r="A2939" t="s">
        <v>2975</v>
      </c>
      <c r="B2939" s="1">
        <v>45655</v>
      </c>
      <c r="C2939" t="s">
        <v>22</v>
      </c>
      <c r="D2939" t="s">
        <v>17</v>
      </c>
      <c r="E2939" t="s">
        <v>18</v>
      </c>
      <c r="F2939">
        <v>1318.01</v>
      </c>
      <c r="G2939">
        <v>159.21</v>
      </c>
      <c r="H2939" t="s">
        <v>28</v>
      </c>
      <c r="I2939" t="s">
        <v>29</v>
      </c>
    </row>
    <row r="2940" spans="1:9" x14ac:dyDescent="0.35">
      <c r="A2940" t="s">
        <v>2976</v>
      </c>
      <c r="B2940" s="1">
        <v>45445</v>
      </c>
      <c r="C2940" t="s">
        <v>16</v>
      </c>
      <c r="D2940" t="s">
        <v>97</v>
      </c>
      <c r="E2940" t="s">
        <v>27</v>
      </c>
      <c r="F2940">
        <v>155.04</v>
      </c>
      <c r="G2940">
        <v>24.82</v>
      </c>
      <c r="H2940" t="s">
        <v>19</v>
      </c>
      <c r="I2940" t="s">
        <v>20</v>
      </c>
    </row>
    <row r="2941" spans="1:9" x14ac:dyDescent="0.35">
      <c r="A2941" t="s">
        <v>2977</v>
      </c>
      <c r="B2941" s="1">
        <v>45513</v>
      </c>
      <c r="C2941" t="s">
        <v>22</v>
      </c>
      <c r="D2941" t="s">
        <v>73</v>
      </c>
      <c r="E2941" t="s">
        <v>27</v>
      </c>
      <c r="F2941">
        <v>1964.28</v>
      </c>
      <c r="G2941">
        <v>571.20000000000005</v>
      </c>
      <c r="H2941" t="s">
        <v>13</v>
      </c>
      <c r="I2941" t="s">
        <v>14</v>
      </c>
    </row>
    <row r="2942" spans="1:9" x14ac:dyDescent="0.35">
      <c r="A2942" t="s">
        <v>2978</v>
      </c>
      <c r="B2942" s="1">
        <v>45621</v>
      </c>
      <c r="C2942" t="s">
        <v>16</v>
      </c>
      <c r="D2942" t="s">
        <v>31</v>
      </c>
      <c r="E2942" t="s">
        <v>12</v>
      </c>
      <c r="F2942">
        <v>180.21</v>
      </c>
      <c r="G2942">
        <v>45.38</v>
      </c>
      <c r="H2942" t="s">
        <v>13</v>
      </c>
      <c r="I2942" t="s">
        <v>20</v>
      </c>
    </row>
    <row r="2943" spans="1:9" x14ac:dyDescent="0.35">
      <c r="A2943" t="s">
        <v>2979</v>
      </c>
      <c r="B2943" s="1">
        <v>44872</v>
      </c>
      <c r="C2943" t="s">
        <v>16</v>
      </c>
      <c r="D2943" t="s">
        <v>57</v>
      </c>
      <c r="E2943" t="s">
        <v>27</v>
      </c>
      <c r="F2943">
        <v>361.83</v>
      </c>
      <c r="G2943">
        <v>88.99</v>
      </c>
      <c r="H2943" t="s">
        <v>19</v>
      </c>
      <c r="I2943" t="s">
        <v>20</v>
      </c>
    </row>
    <row r="2944" spans="1:9" x14ac:dyDescent="0.35">
      <c r="A2944" t="s">
        <v>2980</v>
      </c>
      <c r="B2944" s="1">
        <v>45093</v>
      </c>
      <c r="C2944" t="s">
        <v>10</v>
      </c>
      <c r="D2944" t="s">
        <v>38</v>
      </c>
      <c r="E2944" t="s">
        <v>12</v>
      </c>
      <c r="F2944">
        <v>72.510000000000005</v>
      </c>
      <c r="G2944">
        <v>10.82</v>
      </c>
      <c r="H2944" t="s">
        <v>13</v>
      </c>
      <c r="I2944" t="s">
        <v>20</v>
      </c>
    </row>
    <row r="2945" spans="1:9" x14ac:dyDescent="0.35">
      <c r="A2945" t="s">
        <v>2981</v>
      </c>
      <c r="B2945" s="1">
        <v>45028</v>
      </c>
      <c r="C2945" t="s">
        <v>22</v>
      </c>
      <c r="D2945" t="s">
        <v>50</v>
      </c>
      <c r="E2945" t="s">
        <v>12</v>
      </c>
      <c r="F2945">
        <v>1368.69</v>
      </c>
      <c r="G2945">
        <v>73.95</v>
      </c>
      <c r="H2945" t="s">
        <v>19</v>
      </c>
      <c r="I2945" t="s">
        <v>20</v>
      </c>
    </row>
    <row r="2946" spans="1:9" x14ac:dyDescent="0.35">
      <c r="A2946" t="s">
        <v>2982</v>
      </c>
      <c r="B2946" s="1">
        <v>45022</v>
      </c>
      <c r="C2946" t="s">
        <v>22</v>
      </c>
      <c r="D2946" t="s">
        <v>62</v>
      </c>
      <c r="E2946" t="s">
        <v>27</v>
      </c>
      <c r="F2946">
        <v>642.80999999999995</v>
      </c>
      <c r="G2946">
        <v>70.680000000000007</v>
      </c>
      <c r="H2946" t="s">
        <v>28</v>
      </c>
      <c r="I2946" t="s">
        <v>29</v>
      </c>
    </row>
    <row r="2947" spans="1:9" x14ac:dyDescent="0.35">
      <c r="A2947" t="s">
        <v>2983</v>
      </c>
      <c r="B2947" s="1">
        <v>45168</v>
      </c>
      <c r="C2947" t="s">
        <v>22</v>
      </c>
      <c r="D2947" t="s">
        <v>41</v>
      </c>
      <c r="E2947" t="s">
        <v>12</v>
      </c>
      <c r="F2947">
        <v>1259.5999999999999</v>
      </c>
      <c r="G2947">
        <v>153.74</v>
      </c>
      <c r="H2947" t="s">
        <v>28</v>
      </c>
      <c r="I2947" t="s">
        <v>29</v>
      </c>
    </row>
    <row r="2948" spans="1:9" x14ac:dyDescent="0.35">
      <c r="A2948" t="s">
        <v>2984</v>
      </c>
      <c r="B2948" s="1">
        <v>45595</v>
      </c>
      <c r="C2948" t="s">
        <v>25</v>
      </c>
      <c r="D2948" t="s">
        <v>23</v>
      </c>
      <c r="E2948" t="s">
        <v>18</v>
      </c>
      <c r="F2948">
        <v>1194.8499999999999</v>
      </c>
      <c r="G2948">
        <v>228.43</v>
      </c>
      <c r="H2948" t="s">
        <v>19</v>
      </c>
      <c r="I2948" t="s">
        <v>34</v>
      </c>
    </row>
    <row r="2949" spans="1:9" x14ac:dyDescent="0.35">
      <c r="A2949" t="s">
        <v>2985</v>
      </c>
      <c r="B2949" s="1">
        <v>45570</v>
      </c>
      <c r="C2949" t="s">
        <v>25</v>
      </c>
      <c r="D2949" t="s">
        <v>38</v>
      </c>
      <c r="E2949" t="s">
        <v>12</v>
      </c>
      <c r="F2949">
        <v>872.03</v>
      </c>
      <c r="G2949">
        <v>150.49</v>
      </c>
      <c r="H2949" t="s">
        <v>19</v>
      </c>
      <c r="I2949" t="s">
        <v>20</v>
      </c>
    </row>
    <row r="2950" spans="1:9" x14ac:dyDescent="0.35">
      <c r="A2950" t="s">
        <v>2986</v>
      </c>
      <c r="B2950" s="1">
        <v>45168</v>
      </c>
      <c r="C2950" t="s">
        <v>22</v>
      </c>
      <c r="D2950" t="s">
        <v>46</v>
      </c>
      <c r="E2950" t="s">
        <v>18</v>
      </c>
      <c r="F2950">
        <v>1750.1</v>
      </c>
      <c r="G2950">
        <v>109.15</v>
      </c>
      <c r="H2950" t="s">
        <v>13</v>
      </c>
      <c r="I2950" t="s">
        <v>14</v>
      </c>
    </row>
    <row r="2951" spans="1:9" x14ac:dyDescent="0.35">
      <c r="A2951" t="s">
        <v>2987</v>
      </c>
      <c r="B2951" s="1">
        <v>44678</v>
      </c>
      <c r="C2951" t="s">
        <v>16</v>
      </c>
      <c r="D2951" t="s">
        <v>62</v>
      </c>
      <c r="E2951" t="s">
        <v>27</v>
      </c>
      <c r="F2951">
        <v>1611.22</v>
      </c>
      <c r="G2951">
        <v>94.03</v>
      </c>
      <c r="H2951" t="s">
        <v>19</v>
      </c>
      <c r="I2951" t="s">
        <v>14</v>
      </c>
    </row>
    <row r="2952" spans="1:9" x14ac:dyDescent="0.35">
      <c r="A2952" t="s">
        <v>2988</v>
      </c>
      <c r="B2952" s="1">
        <v>44848</v>
      </c>
      <c r="C2952" t="s">
        <v>25</v>
      </c>
      <c r="D2952" t="s">
        <v>62</v>
      </c>
      <c r="E2952" t="s">
        <v>27</v>
      </c>
      <c r="F2952">
        <v>1162.1400000000001</v>
      </c>
      <c r="G2952">
        <v>262.44</v>
      </c>
      <c r="H2952" t="s">
        <v>19</v>
      </c>
      <c r="I2952" t="s">
        <v>29</v>
      </c>
    </row>
    <row r="2953" spans="1:9" x14ac:dyDescent="0.35">
      <c r="A2953" t="s">
        <v>2989</v>
      </c>
      <c r="B2953" s="1">
        <v>45617</v>
      </c>
      <c r="C2953" t="s">
        <v>25</v>
      </c>
      <c r="D2953" t="s">
        <v>62</v>
      </c>
      <c r="E2953" t="s">
        <v>27</v>
      </c>
      <c r="F2953">
        <v>471.8</v>
      </c>
      <c r="G2953">
        <v>48.79</v>
      </c>
      <c r="H2953" t="s">
        <v>13</v>
      </c>
      <c r="I2953" t="s">
        <v>20</v>
      </c>
    </row>
    <row r="2954" spans="1:9" x14ac:dyDescent="0.35">
      <c r="A2954" t="s">
        <v>2990</v>
      </c>
      <c r="B2954" s="1">
        <v>45308</v>
      </c>
      <c r="C2954" t="s">
        <v>10</v>
      </c>
      <c r="D2954" t="s">
        <v>95</v>
      </c>
      <c r="E2954" t="s">
        <v>18</v>
      </c>
      <c r="F2954">
        <v>207.82</v>
      </c>
      <c r="G2954">
        <v>38.65</v>
      </c>
      <c r="H2954" t="s">
        <v>19</v>
      </c>
      <c r="I2954" t="s">
        <v>20</v>
      </c>
    </row>
    <row r="2955" spans="1:9" x14ac:dyDescent="0.35">
      <c r="A2955" t="s">
        <v>2991</v>
      </c>
      <c r="B2955" s="1">
        <v>44817</v>
      </c>
      <c r="C2955" t="s">
        <v>25</v>
      </c>
      <c r="D2955" t="s">
        <v>38</v>
      </c>
      <c r="E2955" t="s">
        <v>12</v>
      </c>
      <c r="F2955">
        <v>1671.83</v>
      </c>
      <c r="G2955">
        <v>318.8</v>
      </c>
      <c r="H2955" t="s">
        <v>13</v>
      </c>
      <c r="I2955" t="s">
        <v>29</v>
      </c>
    </row>
    <row r="2956" spans="1:9" x14ac:dyDescent="0.35">
      <c r="A2956" t="s">
        <v>2992</v>
      </c>
      <c r="B2956" s="1">
        <v>44936</v>
      </c>
      <c r="C2956" t="s">
        <v>10</v>
      </c>
      <c r="D2956" t="s">
        <v>57</v>
      </c>
      <c r="E2956" t="s">
        <v>27</v>
      </c>
      <c r="F2956">
        <v>1787.1</v>
      </c>
      <c r="G2956">
        <v>321.89</v>
      </c>
      <c r="H2956" t="s">
        <v>19</v>
      </c>
      <c r="I2956" t="s">
        <v>29</v>
      </c>
    </row>
    <row r="2957" spans="1:9" x14ac:dyDescent="0.35">
      <c r="A2957" t="s">
        <v>2993</v>
      </c>
      <c r="B2957" s="1">
        <v>44696</v>
      </c>
      <c r="C2957" t="s">
        <v>16</v>
      </c>
      <c r="D2957" t="s">
        <v>62</v>
      </c>
      <c r="E2957" t="s">
        <v>27</v>
      </c>
      <c r="F2957">
        <v>862.2</v>
      </c>
      <c r="G2957">
        <v>130.16</v>
      </c>
      <c r="H2957" t="s">
        <v>13</v>
      </c>
      <c r="I2957" t="s">
        <v>29</v>
      </c>
    </row>
    <row r="2958" spans="1:9" x14ac:dyDescent="0.35">
      <c r="A2958" t="s">
        <v>2994</v>
      </c>
      <c r="B2958" s="1">
        <v>45210</v>
      </c>
      <c r="C2958" t="s">
        <v>10</v>
      </c>
      <c r="D2958" t="s">
        <v>46</v>
      </c>
      <c r="E2958" t="s">
        <v>18</v>
      </c>
      <c r="F2958">
        <v>294.88</v>
      </c>
      <c r="G2958">
        <v>35.869999999999997</v>
      </c>
      <c r="H2958" t="s">
        <v>28</v>
      </c>
      <c r="I2958" t="s">
        <v>34</v>
      </c>
    </row>
    <row r="2959" spans="1:9" x14ac:dyDescent="0.35">
      <c r="A2959" t="s">
        <v>2995</v>
      </c>
      <c r="B2959" s="1">
        <v>44782</v>
      </c>
      <c r="C2959" t="s">
        <v>22</v>
      </c>
      <c r="D2959" t="s">
        <v>95</v>
      </c>
      <c r="E2959" t="s">
        <v>18</v>
      </c>
      <c r="F2959">
        <v>1433.39</v>
      </c>
      <c r="G2959">
        <v>378.26</v>
      </c>
      <c r="H2959" t="s">
        <v>13</v>
      </c>
      <c r="I2959" t="s">
        <v>14</v>
      </c>
    </row>
    <row r="2960" spans="1:9" x14ac:dyDescent="0.35">
      <c r="A2960" t="s">
        <v>2996</v>
      </c>
      <c r="B2960" s="1">
        <v>45651</v>
      </c>
      <c r="C2960" t="s">
        <v>22</v>
      </c>
      <c r="D2960" t="s">
        <v>23</v>
      </c>
      <c r="E2960" t="s">
        <v>18</v>
      </c>
      <c r="F2960">
        <v>913.48</v>
      </c>
      <c r="G2960">
        <v>53.1</v>
      </c>
      <c r="H2960" t="s">
        <v>13</v>
      </c>
      <c r="I2960" t="s">
        <v>29</v>
      </c>
    </row>
    <row r="2961" spans="1:9" x14ac:dyDescent="0.35">
      <c r="A2961" t="s">
        <v>2997</v>
      </c>
      <c r="B2961" s="1">
        <v>45573</v>
      </c>
      <c r="C2961" t="s">
        <v>10</v>
      </c>
      <c r="D2961" t="s">
        <v>50</v>
      </c>
      <c r="E2961" t="s">
        <v>12</v>
      </c>
      <c r="F2961">
        <v>694.79</v>
      </c>
      <c r="G2961">
        <v>186.75</v>
      </c>
      <c r="H2961" t="s">
        <v>28</v>
      </c>
      <c r="I2961" t="s">
        <v>29</v>
      </c>
    </row>
    <row r="2962" spans="1:9" x14ac:dyDescent="0.35">
      <c r="A2962" t="s">
        <v>2998</v>
      </c>
      <c r="B2962" s="1">
        <v>45064</v>
      </c>
      <c r="C2962" t="s">
        <v>16</v>
      </c>
      <c r="D2962" t="s">
        <v>38</v>
      </c>
      <c r="E2962" t="s">
        <v>12</v>
      </c>
      <c r="F2962">
        <v>367.01</v>
      </c>
      <c r="G2962">
        <v>92.26</v>
      </c>
      <c r="H2962" t="s">
        <v>28</v>
      </c>
      <c r="I2962" t="s">
        <v>29</v>
      </c>
    </row>
    <row r="2963" spans="1:9" x14ac:dyDescent="0.35">
      <c r="A2963" t="s">
        <v>2999</v>
      </c>
      <c r="B2963" s="1">
        <v>44663</v>
      </c>
      <c r="C2963" t="s">
        <v>10</v>
      </c>
      <c r="D2963" t="s">
        <v>33</v>
      </c>
      <c r="E2963" t="s">
        <v>18</v>
      </c>
      <c r="F2963">
        <v>62.71</v>
      </c>
      <c r="G2963">
        <v>4.4800000000000004</v>
      </c>
      <c r="H2963" t="s">
        <v>28</v>
      </c>
      <c r="I2963" t="s">
        <v>20</v>
      </c>
    </row>
    <row r="2964" spans="1:9" x14ac:dyDescent="0.35">
      <c r="A2964" t="s">
        <v>3000</v>
      </c>
      <c r="B2964" s="1">
        <v>44710</v>
      </c>
      <c r="C2964" t="s">
        <v>22</v>
      </c>
      <c r="D2964" t="s">
        <v>41</v>
      </c>
      <c r="E2964" t="s">
        <v>12</v>
      </c>
      <c r="F2964">
        <v>1732.12</v>
      </c>
      <c r="G2964">
        <v>389.68</v>
      </c>
      <c r="H2964" t="s">
        <v>28</v>
      </c>
      <c r="I2964" t="s">
        <v>20</v>
      </c>
    </row>
    <row r="2965" spans="1:9" x14ac:dyDescent="0.35">
      <c r="A2965" t="s">
        <v>3001</v>
      </c>
      <c r="B2965" s="1">
        <v>44872</v>
      </c>
      <c r="C2965" t="s">
        <v>22</v>
      </c>
      <c r="D2965" t="s">
        <v>26</v>
      </c>
      <c r="E2965" t="s">
        <v>27</v>
      </c>
      <c r="F2965">
        <v>1744.14</v>
      </c>
      <c r="G2965">
        <v>269.58</v>
      </c>
      <c r="H2965" t="s">
        <v>13</v>
      </c>
      <c r="I2965" t="s">
        <v>29</v>
      </c>
    </row>
    <row r="2966" spans="1:9" x14ac:dyDescent="0.35">
      <c r="A2966" t="s">
        <v>3002</v>
      </c>
      <c r="B2966" s="1">
        <v>45243</v>
      </c>
      <c r="C2966" t="s">
        <v>10</v>
      </c>
      <c r="D2966" t="s">
        <v>17</v>
      </c>
      <c r="E2966" t="s">
        <v>18</v>
      </c>
      <c r="F2966">
        <v>1261.6500000000001</v>
      </c>
      <c r="G2966">
        <v>208.7</v>
      </c>
      <c r="H2966" t="s">
        <v>13</v>
      </c>
      <c r="I2966" t="s">
        <v>20</v>
      </c>
    </row>
    <row r="2967" spans="1:9" x14ac:dyDescent="0.35">
      <c r="A2967" t="s">
        <v>3003</v>
      </c>
      <c r="B2967" s="1">
        <v>45567</v>
      </c>
      <c r="C2967" t="s">
        <v>25</v>
      </c>
      <c r="D2967" t="s">
        <v>17</v>
      </c>
      <c r="E2967" t="s">
        <v>18</v>
      </c>
      <c r="F2967">
        <v>56.4</v>
      </c>
      <c r="G2967">
        <v>8.67</v>
      </c>
      <c r="H2967" t="s">
        <v>13</v>
      </c>
      <c r="I2967" t="s">
        <v>20</v>
      </c>
    </row>
    <row r="2968" spans="1:9" x14ac:dyDescent="0.35">
      <c r="A2968" t="s">
        <v>3004</v>
      </c>
      <c r="B2968" s="1">
        <v>45221</v>
      </c>
      <c r="C2968" t="s">
        <v>25</v>
      </c>
      <c r="D2968" t="s">
        <v>41</v>
      </c>
      <c r="E2968" t="s">
        <v>12</v>
      </c>
      <c r="F2968">
        <v>1472.32</v>
      </c>
      <c r="G2968">
        <v>247.75</v>
      </c>
      <c r="H2968" t="s">
        <v>28</v>
      </c>
      <c r="I2968" t="s">
        <v>14</v>
      </c>
    </row>
    <row r="2969" spans="1:9" x14ac:dyDescent="0.35">
      <c r="A2969" t="s">
        <v>3005</v>
      </c>
      <c r="B2969" s="1">
        <v>44601</v>
      </c>
      <c r="C2969" t="s">
        <v>22</v>
      </c>
      <c r="D2969" t="s">
        <v>46</v>
      </c>
      <c r="E2969" t="s">
        <v>18</v>
      </c>
      <c r="F2969">
        <v>119.49</v>
      </c>
      <c r="G2969">
        <v>6.39</v>
      </c>
      <c r="H2969" t="s">
        <v>28</v>
      </c>
      <c r="I2969" t="s">
        <v>20</v>
      </c>
    </row>
    <row r="2970" spans="1:9" x14ac:dyDescent="0.35">
      <c r="A2970" t="s">
        <v>3006</v>
      </c>
      <c r="B2970" s="1">
        <v>44769</v>
      </c>
      <c r="C2970" t="s">
        <v>25</v>
      </c>
      <c r="D2970" t="s">
        <v>62</v>
      </c>
      <c r="E2970" t="s">
        <v>27</v>
      </c>
      <c r="F2970">
        <v>748.21</v>
      </c>
      <c r="G2970">
        <v>141.32</v>
      </c>
      <c r="H2970" t="s">
        <v>28</v>
      </c>
      <c r="I2970" t="s">
        <v>20</v>
      </c>
    </row>
    <row r="2971" spans="1:9" x14ac:dyDescent="0.35">
      <c r="A2971" t="s">
        <v>3007</v>
      </c>
      <c r="B2971" s="1">
        <v>45139</v>
      </c>
      <c r="C2971" t="s">
        <v>16</v>
      </c>
      <c r="D2971" t="s">
        <v>11</v>
      </c>
      <c r="E2971" t="s">
        <v>12</v>
      </c>
      <c r="F2971">
        <v>558.91</v>
      </c>
      <c r="G2971">
        <v>45.5</v>
      </c>
      <c r="H2971" t="s">
        <v>28</v>
      </c>
      <c r="I2971" t="s">
        <v>29</v>
      </c>
    </row>
    <row r="2972" spans="1:9" x14ac:dyDescent="0.35">
      <c r="A2972" t="s">
        <v>3008</v>
      </c>
      <c r="B2972" s="1">
        <v>44931</v>
      </c>
      <c r="C2972" t="s">
        <v>16</v>
      </c>
      <c r="D2972" t="s">
        <v>23</v>
      </c>
      <c r="E2972" t="s">
        <v>18</v>
      </c>
      <c r="F2972">
        <v>1796.03</v>
      </c>
      <c r="G2972">
        <v>416.36</v>
      </c>
      <c r="H2972" t="s">
        <v>13</v>
      </c>
      <c r="I2972" t="s">
        <v>34</v>
      </c>
    </row>
    <row r="2973" spans="1:9" x14ac:dyDescent="0.35">
      <c r="A2973" t="s">
        <v>3009</v>
      </c>
      <c r="B2973" s="1">
        <v>45642</v>
      </c>
      <c r="C2973" t="s">
        <v>25</v>
      </c>
      <c r="D2973" t="s">
        <v>95</v>
      </c>
      <c r="E2973" t="s">
        <v>18</v>
      </c>
      <c r="F2973">
        <v>965.58</v>
      </c>
      <c r="G2973">
        <v>251.85</v>
      </c>
      <c r="H2973" t="s">
        <v>13</v>
      </c>
      <c r="I2973" t="s">
        <v>14</v>
      </c>
    </row>
    <row r="2974" spans="1:9" x14ac:dyDescent="0.35">
      <c r="A2974" t="s">
        <v>3010</v>
      </c>
      <c r="B2974" s="1">
        <v>45021</v>
      </c>
      <c r="C2974" t="s">
        <v>25</v>
      </c>
      <c r="D2974" t="s">
        <v>17</v>
      </c>
      <c r="E2974" t="s">
        <v>18</v>
      </c>
      <c r="F2974">
        <v>1634.57</v>
      </c>
      <c r="G2974">
        <v>168.18</v>
      </c>
      <c r="H2974" t="s">
        <v>13</v>
      </c>
      <c r="I2974" t="s">
        <v>34</v>
      </c>
    </row>
    <row r="2975" spans="1:9" x14ac:dyDescent="0.35">
      <c r="A2975" t="s">
        <v>3011</v>
      </c>
      <c r="B2975" s="1">
        <v>44999</v>
      </c>
      <c r="C2975" t="s">
        <v>22</v>
      </c>
      <c r="D2975" t="s">
        <v>31</v>
      </c>
      <c r="E2975" t="s">
        <v>12</v>
      </c>
      <c r="F2975">
        <v>497.58</v>
      </c>
      <c r="G2975">
        <v>93.1</v>
      </c>
      <c r="H2975" t="s">
        <v>28</v>
      </c>
      <c r="I2975" t="s">
        <v>29</v>
      </c>
    </row>
    <row r="2976" spans="1:9" x14ac:dyDescent="0.35">
      <c r="A2976" t="s">
        <v>3012</v>
      </c>
      <c r="B2976" s="1">
        <v>45273</v>
      </c>
      <c r="C2976" t="s">
        <v>10</v>
      </c>
      <c r="D2976" t="s">
        <v>57</v>
      </c>
      <c r="E2976" t="s">
        <v>27</v>
      </c>
      <c r="F2976">
        <v>627.63</v>
      </c>
      <c r="G2976">
        <v>58.69</v>
      </c>
      <c r="H2976" t="s">
        <v>28</v>
      </c>
      <c r="I2976" t="s">
        <v>29</v>
      </c>
    </row>
    <row r="2977" spans="1:9" x14ac:dyDescent="0.35">
      <c r="A2977" t="s">
        <v>3013</v>
      </c>
      <c r="B2977" s="1">
        <v>44950</v>
      </c>
      <c r="C2977" t="s">
        <v>25</v>
      </c>
      <c r="D2977" t="s">
        <v>31</v>
      </c>
      <c r="E2977" t="s">
        <v>12</v>
      </c>
      <c r="F2977">
        <v>1116.1600000000001</v>
      </c>
      <c r="G2977">
        <v>201.1</v>
      </c>
      <c r="H2977" t="s">
        <v>28</v>
      </c>
      <c r="I2977" t="s">
        <v>34</v>
      </c>
    </row>
    <row r="2978" spans="1:9" x14ac:dyDescent="0.35">
      <c r="A2978" t="s">
        <v>3014</v>
      </c>
      <c r="B2978" s="1">
        <v>45263</v>
      </c>
      <c r="C2978" t="s">
        <v>10</v>
      </c>
      <c r="D2978" t="s">
        <v>46</v>
      </c>
      <c r="E2978" t="s">
        <v>18</v>
      </c>
      <c r="F2978">
        <v>1724.47</v>
      </c>
      <c r="G2978">
        <v>280.85000000000002</v>
      </c>
      <c r="H2978" t="s">
        <v>28</v>
      </c>
      <c r="I2978" t="s">
        <v>29</v>
      </c>
    </row>
    <row r="2979" spans="1:9" x14ac:dyDescent="0.35">
      <c r="A2979" t="s">
        <v>3015</v>
      </c>
      <c r="B2979" s="1">
        <v>45091</v>
      </c>
      <c r="C2979" t="s">
        <v>10</v>
      </c>
      <c r="D2979" t="s">
        <v>46</v>
      </c>
      <c r="E2979" t="s">
        <v>18</v>
      </c>
      <c r="F2979">
        <v>1555.33</v>
      </c>
      <c r="G2979">
        <v>224.88</v>
      </c>
      <c r="H2979" t="s">
        <v>19</v>
      </c>
      <c r="I2979" t="s">
        <v>29</v>
      </c>
    </row>
    <row r="2980" spans="1:9" x14ac:dyDescent="0.35">
      <c r="A2980" t="s">
        <v>3016</v>
      </c>
      <c r="B2980" s="1">
        <v>45404</v>
      </c>
      <c r="C2980" t="s">
        <v>22</v>
      </c>
      <c r="D2980" t="s">
        <v>57</v>
      </c>
      <c r="E2980" t="s">
        <v>27</v>
      </c>
      <c r="F2980">
        <v>1308.53</v>
      </c>
      <c r="G2980">
        <v>82.52</v>
      </c>
      <c r="H2980" t="s">
        <v>13</v>
      </c>
      <c r="I2980" t="s">
        <v>14</v>
      </c>
    </row>
    <row r="2981" spans="1:9" x14ac:dyDescent="0.35">
      <c r="A2981" t="s">
        <v>3017</v>
      </c>
      <c r="B2981" s="1">
        <v>45492</v>
      </c>
      <c r="C2981" t="s">
        <v>22</v>
      </c>
      <c r="D2981" t="s">
        <v>97</v>
      </c>
      <c r="E2981" t="s">
        <v>27</v>
      </c>
      <c r="F2981">
        <v>1648.66</v>
      </c>
      <c r="G2981">
        <v>450.1</v>
      </c>
      <c r="H2981" t="s">
        <v>28</v>
      </c>
      <c r="I2981" t="s">
        <v>34</v>
      </c>
    </row>
    <row r="2982" spans="1:9" x14ac:dyDescent="0.35">
      <c r="A2982" t="s">
        <v>3018</v>
      </c>
      <c r="B2982" s="1">
        <v>45317</v>
      </c>
      <c r="C2982" t="s">
        <v>25</v>
      </c>
      <c r="D2982" t="s">
        <v>50</v>
      </c>
      <c r="E2982" t="s">
        <v>12</v>
      </c>
      <c r="F2982">
        <v>1353.39</v>
      </c>
      <c r="G2982">
        <v>362.35</v>
      </c>
      <c r="H2982" t="s">
        <v>28</v>
      </c>
      <c r="I2982" t="s">
        <v>29</v>
      </c>
    </row>
    <row r="2983" spans="1:9" x14ac:dyDescent="0.35">
      <c r="A2983" t="s">
        <v>3019</v>
      </c>
      <c r="B2983" s="1">
        <v>44933</v>
      </c>
      <c r="C2983" t="s">
        <v>25</v>
      </c>
      <c r="D2983" t="s">
        <v>97</v>
      </c>
      <c r="E2983" t="s">
        <v>27</v>
      </c>
      <c r="F2983">
        <v>168.99</v>
      </c>
      <c r="G2983">
        <v>30.71</v>
      </c>
      <c r="H2983" t="s">
        <v>28</v>
      </c>
      <c r="I2983" t="s">
        <v>29</v>
      </c>
    </row>
    <row r="2984" spans="1:9" x14ac:dyDescent="0.35">
      <c r="A2984" t="s">
        <v>3020</v>
      </c>
      <c r="B2984" s="1">
        <v>45650</v>
      </c>
      <c r="C2984" t="s">
        <v>16</v>
      </c>
      <c r="D2984" t="s">
        <v>50</v>
      </c>
      <c r="E2984" t="s">
        <v>12</v>
      </c>
      <c r="F2984">
        <v>1716.79</v>
      </c>
      <c r="G2984">
        <v>213.61</v>
      </c>
      <c r="H2984" t="s">
        <v>13</v>
      </c>
      <c r="I2984" t="s">
        <v>20</v>
      </c>
    </row>
    <row r="2985" spans="1:9" x14ac:dyDescent="0.35">
      <c r="A2985" t="s">
        <v>3021</v>
      </c>
      <c r="B2985" s="1">
        <v>45380</v>
      </c>
      <c r="C2985" t="s">
        <v>16</v>
      </c>
      <c r="D2985" t="s">
        <v>38</v>
      </c>
      <c r="E2985" t="s">
        <v>12</v>
      </c>
      <c r="F2985">
        <v>732.83</v>
      </c>
      <c r="G2985">
        <v>187.88</v>
      </c>
      <c r="H2985" t="s">
        <v>19</v>
      </c>
      <c r="I2985" t="s">
        <v>14</v>
      </c>
    </row>
    <row r="2986" spans="1:9" x14ac:dyDescent="0.35">
      <c r="A2986" t="s">
        <v>3022</v>
      </c>
      <c r="B2986" s="1">
        <v>45353</v>
      </c>
      <c r="C2986" t="s">
        <v>16</v>
      </c>
      <c r="D2986" t="s">
        <v>97</v>
      </c>
      <c r="E2986" t="s">
        <v>27</v>
      </c>
      <c r="F2986">
        <v>1703.85</v>
      </c>
      <c r="G2986">
        <v>476.86</v>
      </c>
      <c r="H2986" t="s">
        <v>13</v>
      </c>
      <c r="I2986" t="s">
        <v>34</v>
      </c>
    </row>
    <row r="2987" spans="1:9" x14ac:dyDescent="0.35">
      <c r="A2987" t="s">
        <v>3023</v>
      </c>
      <c r="B2987" s="1">
        <v>44838</v>
      </c>
      <c r="C2987" t="s">
        <v>10</v>
      </c>
      <c r="D2987" t="s">
        <v>11</v>
      </c>
      <c r="E2987" t="s">
        <v>12</v>
      </c>
      <c r="F2987">
        <v>593.97</v>
      </c>
      <c r="G2987">
        <v>70.62</v>
      </c>
      <c r="H2987" t="s">
        <v>28</v>
      </c>
      <c r="I2987" t="s">
        <v>14</v>
      </c>
    </row>
    <row r="2988" spans="1:9" x14ac:dyDescent="0.35">
      <c r="A2988" t="s">
        <v>3024</v>
      </c>
      <c r="B2988" s="1">
        <v>45117</v>
      </c>
      <c r="C2988" t="s">
        <v>25</v>
      </c>
      <c r="D2988" t="s">
        <v>46</v>
      </c>
      <c r="E2988" t="s">
        <v>18</v>
      </c>
      <c r="F2988">
        <v>1258.29</v>
      </c>
      <c r="G2988">
        <v>121.01</v>
      </c>
      <c r="H2988" t="s">
        <v>19</v>
      </c>
      <c r="I2988" t="s">
        <v>29</v>
      </c>
    </row>
    <row r="2989" spans="1:9" x14ac:dyDescent="0.35">
      <c r="A2989" t="s">
        <v>3025</v>
      </c>
      <c r="B2989" s="1">
        <v>45424</v>
      </c>
      <c r="C2989" t="s">
        <v>10</v>
      </c>
      <c r="D2989" t="s">
        <v>41</v>
      </c>
      <c r="E2989" t="s">
        <v>12</v>
      </c>
      <c r="F2989">
        <v>1786.36</v>
      </c>
      <c r="G2989">
        <v>111.35</v>
      </c>
      <c r="H2989" t="s">
        <v>13</v>
      </c>
      <c r="I2989" t="s">
        <v>20</v>
      </c>
    </row>
    <row r="2990" spans="1:9" x14ac:dyDescent="0.35">
      <c r="A2990" t="s">
        <v>3026</v>
      </c>
      <c r="B2990" s="1">
        <v>45041</v>
      </c>
      <c r="C2990" t="s">
        <v>10</v>
      </c>
      <c r="D2990" t="s">
        <v>62</v>
      </c>
      <c r="E2990" t="s">
        <v>27</v>
      </c>
      <c r="F2990">
        <v>1927.94</v>
      </c>
      <c r="G2990">
        <v>536.28</v>
      </c>
      <c r="H2990" t="s">
        <v>13</v>
      </c>
      <c r="I2990" t="s">
        <v>34</v>
      </c>
    </row>
    <row r="2991" spans="1:9" x14ac:dyDescent="0.35">
      <c r="A2991" t="s">
        <v>3027</v>
      </c>
      <c r="B2991" s="1">
        <v>44830</v>
      </c>
      <c r="C2991" t="s">
        <v>16</v>
      </c>
      <c r="D2991" t="s">
        <v>11</v>
      </c>
      <c r="E2991" t="s">
        <v>12</v>
      </c>
      <c r="F2991">
        <v>1650.94</v>
      </c>
      <c r="G2991">
        <v>389.06</v>
      </c>
      <c r="H2991" t="s">
        <v>19</v>
      </c>
      <c r="I2991" t="s">
        <v>29</v>
      </c>
    </row>
    <row r="2992" spans="1:9" x14ac:dyDescent="0.35">
      <c r="A2992" t="s">
        <v>3028</v>
      </c>
      <c r="B2992" s="1">
        <v>44932</v>
      </c>
      <c r="C2992" t="s">
        <v>10</v>
      </c>
      <c r="D2992" t="s">
        <v>17</v>
      </c>
      <c r="E2992" t="s">
        <v>18</v>
      </c>
      <c r="F2992">
        <v>513.33000000000004</v>
      </c>
      <c r="G2992">
        <v>104.25</v>
      </c>
      <c r="H2992" t="s">
        <v>13</v>
      </c>
      <c r="I2992" t="s">
        <v>34</v>
      </c>
    </row>
    <row r="2993" spans="1:9" x14ac:dyDescent="0.35">
      <c r="A2993" t="s">
        <v>3029</v>
      </c>
      <c r="B2993" s="1">
        <v>45333</v>
      </c>
      <c r="C2993" t="s">
        <v>25</v>
      </c>
      <c r="D2993" t="s">
        <v>50</v>
      </c>
      <c r="E2993" t="s">
        <v>12</v>
      </c>
      <c r="F2993">
        <v>330.26</v>
      </c>
      <c r="G2993">
        <v>31.52</v>
      </c>
      <c r="H2993" t="s">
        <v>19</v>
      </c>
      <c r="I2993" t="s">
        <v>14</v>
      </c>
    </row>
    <row r="2994" spans="1:9" x14ac:dyDescent="0.35">
      <c r="A2994" t="s">
        <v>3030</v>
      </c>
      <c r="B2994" s="1">
        <v>44850</v>
      </c>
      <c r="C2994" t="s">
        <v>25</v>
      </c>
      <c r="D2994" t="s">
        <v>62</v>
      </c>
      <c r="E2994" t="s">
        <v>27</v>
      </c>
      <c r="F2994">
        <v>1767.85</v>
      </c>
      <c r="G2994">
        <v>372.7</v>
      </c>
      <c r="H2994" t="s">
        <v>28</v>
      </c>
      <c r="I2994" t="s">
        <v>14</v>
      </c>
    </row>
    <row r="2995" spans="1:9" x14ac:dyDescent="0.35">
      <c r="A2995" t="s">
        <v>3031</v>
      </c>
      <c r="B2995" s="1">
        <v>45292</v>
      </c>
      <c r="C2995" t="s">
        <v>16</v>
      </c>
      <c r="D2995" t="s">
        <v>50</v>
      </c>
      <c r="E2995" t="s">
        <v>12</v>
      </c>
      <c r="F2995">
        <v>1928.04</v>
      </c>
      <c r="G2995">
        <v>115.11</v>
      </c>
      <c r="H2995" t="s">
        <v>19</v>
      </c>
      <c r="I2995" t="s">
        <v>34</v>
      </c>
    </row>
    <row r="2996" spans="1:9" x14ac:dyDescent="0.35">
      <c r="A2996" t="s">
        <v>3032</v>
      </c>
      <c r="B2996" s="1">
        <v>44889</v>
      </c>
      <c r="C2996" t="s">
        <v>22</v>
      </c>
      <c r="D2996" t="s">
        <v>50</v>
      </c>
      <c r="E2996" t="s">
        <v>12</v>
      </c>
      <c r="F2996">
        <v>354.16</v>
      </c>
      <c r="G2996">
        <v>32.25</v>
      </c>
      <c r="H2996" t="s">
        <v>19</v>
      </c>
      <c r="I2996" t="s">
        <v>14</v>
      </c>
    </row>
    <row r="2997" spans="1:9" x14ac:dyDescent="0.35">
      <c r="A2997" t="s">
        <v>3033</v>
      </c>
      <c r="B2997" s="1">
        <v>45186</v>
      </c>
      <c r="C2997" t="s">
        <v>10</v>
      </c>
      <c r="D2997" t="s">
        <v>97</v>
      </c>
      <c r="E2997" t="s">
        <v>27</v>
      </c>
      <c r="F2997">
        <v>180.98</v>
      </c>
      <c r="G2997">
        <v>22.08</v>
      </c>
      <c r="H2997" t="s">
        <v>28</v>
      </c>
      <c r="I2997" t="s">
        <v>14</v>
      </c>
    </row>
    <row r="2998" spans="1:9" x14ac:dyDescent="0.35">
      <c r="A2998" t="s">
        <v>3034</v>
      </c>
      <c r="B2998" s="1">
        <v>44971</v>
      </c>
      <c r="C2998" t="s">
        <v>10</v>
      </c>
      <c r="D2998" t="s">
        <v>95</v>
      </c>
      <c r="E2998" t="s">
        <v>18</v>
      </c>
      <c r="F2998">
        <v>1962.3</v>
      </c>
      <c r="G2998">
        <v>227.53</v>
      </c>
      <c r="H2998" t="s">
        <v>28</v>
      </c>
      <c r="I2998" t="s">
        <v>34</v>
      </c>
    </row>
    <row r="2999" spans="1:9" x14ac:dyDescent="0.35">
      <c r="A2999" t="s">
        <v>3035</v>
      </c>
      <c r="B2999" s="1">
        <v>45627</v>
      </c>
      <c r="C2999" t="s">
        <v>16</v>
      </c>
      <c r="D2999" t="s">
        <v>41</v>
      </c>
      <c r="E2999" t="s">
        <v>12</v>
      </c>
      <c r="F2999">
        <v>967.81</v>
      </c>
      <c r="G2999">
        <v>59.49</v>
      </c>
      <c r="H2999" t="s">
        <v>13</v>
      </c>
      <c r="I2999" t="s">
        <v>29</v>
      </c>
    </row>
    <row r="3000" spans="1:9" x14ac:dyDescent="0.35">
      <c r="A3000" t="s">
        <v>3036</v>
      </c>
      <c r="B3000" s="1">
        <v>45554</v>
      </c>
      <c r="C3000" t="s">
        <v>22</v>
      </c>
      <c r="D3000" t="s">
        <v>31</v>
      </c>
      <c r="E3000" t="s">
        <v>12</v>
      </c>
      <c r="F3000">
        <v>1246.78</v>
      </c>
      <c r="G3000">
        <v>333.01</v>
      </c>
      <c r="H3000" t="s">
        <v>19</v>
      </c>
      <c r="I3000" t="s">
        <v>14</v>
      </c>
    </row>
    <row r="3001" spans="1:9" x14ac:dyDescent="0.35">
      <c r="A3001" t="s">
        <v>3037</v>
      </c>
      <c r="B3001" s="1">
        <v>45164</v>
      </c>
      <c r="C3001" t="s">
        <v>22</v>
      </c>
      <c r="D3001" t="s">
        <v>23</v>
      </c>
      <c r="E3001" t="s">
        <v>18</v>
      </c>
      <c r="F3001">
        <v>438.12</v>
      </c>
      <c r="G3001">
        <v>59.13</v>
      </c>
      <c r="H3001" t="s">
        <v>13</v>
      </c>
      <c r="I3001" t="s">
        <v>14</v>
      </c>
    </row>
    <row r="3002" spans="1:9" x14ac:dyDescent="0.35">
      <c r="A3002" t="s">
        <v>3038</v>
      </c>
      <c r="B3002" s="1">
        <v>45395</v>
      </c>
      <c r="C3002" t="s">
        <v>10</v>
      </c>
      <c r="D3002" t="s">
        <v>41</v>
      </c>
      <c r="E3002" t="s">
        <v>12</v>
      </c>
      <c r="F3002">
        <v>414.3</v>
      </c>
      <c r="G3002">
        <v>29.71</v>
      </c>
      <c r="H3002" t="s">
        <v>28</v>
      </c>
      <c r="I3002" t="s">
        <v>14</v>
      </c>
    </row>
    <row r="3003" spans="1:9" x14ac:dyDescent="0.35">
      <c r="A3003" t="s">
        <v>3039</v>
      </c>
      <c r="B3003" s="1">
        <v>44808</v>
      </c>
      <c r="C3003" t="s">
        <v>25</v>
      </c>
      <c r="D3003" t="s">
        <v>23</v>
      </c>
      <c r="E3003" t="s">
        <v>18</v>
      </c>
      <c r="F3003">
        <v>1629.71</v>
      </c>
      <c r="G3003">
        <v>146.6</v>
      </c>
      <c r="H3003" t="s">
        <v>19</v>
      </c>
      <c r="I3003" t="s">
        <v>14</v>
      </c>
    </row>
    <row r="3004" spans="1:9" x14ac:dyDescent="0.35">
      <c r="A3004" t="s">
        <v>3040</v>
      </c>
      <c r="B3004" s="1">
        <v>45158</v>
      </c>
      <c r="C3004" t="s">
        <v>16</v>
      </c>
      <c r="D3004" t="s">
        <v>23</v>
      </c>
      <c r="E3004" t="s">
        <v>18</v>
      </c>
      <c r="F3004">
        <v>1097.8800000000001</v>
      </c>
      <c r="G3004">
        <v>135.02000000000001</v>
      </c>
      <c r="H3004" t="s">
        <v>19</v>
      </c>
      <c r="I3004" t="s">
        <v>34</v>
      </c>
    </row>
    <row r="3005" spans="1:9" x14ac:dyDescent="0.35">
      <c r="A3005" t="s">
        <v>3041</v>
      </c>
      <c r="B3005" s="1">
        <v>45613</v>
      </c>
      <c r="C3005" t="s">
        <v>22</v>
      </c>
      <c r="D3005" t="s">
        <v>73</v>
      </c>
      <c r="E3005" t="s">
        <v>27</v>
      </c>
      <c r="F3005">
        <v>1381.1</v>
      </c>
      <c r="G3005">
        <v>76.760000000000005</v>
      </c>
      <c r="H3005" t="s">
        <v>13</v>
      </c>
      <c r="I3005" t="s">
        <v>20</v>
      </c>
    </row>
    <row r="3006" spans="1:9" x14ac:dyDescent="0.35">
      <c r="A3006" t="s">
        <v>3042</v>
      </c>
      <c r="B3006" s="1">
        <v>44694</v>
      </c>
      <c r="C3006" t="s">
        <v>22</v>
      </c>
      <c r="D3006" t="s">
        <v>26</v>
      </c>
      <c r="E3006" t="s">
        <v>27</v>
      </c>
      <c r="F3006">
        <v>1523.26</v>
      </c>
      <c r="G3006">
        <v>180.24</v>
      </c>
      <c r="H3006" t="s">
        <v>28</v>
      </c>
      <c r="I3006" t="s">
        <v>14</v>
      </c>
    </row>
    <row r="3007" spans="1:9" x14ac:dyDescent="0.35">
      <c r="A3007" t="s">
        <v>3043</v>
      </c>
      <c r="B3007" s="1">
        <v>44587</v>
      </c>
      <c r="C3007" t="s">
        <v>10</v>
      </c>
      <c r="D3007" t="s">
        <v>73</v>
      </c>
      <c r="E3007" t="s">
        <v>27</v>
      </c>
      <c r="F3007">
        <v>1305.1199999999999</v>
      </c>
      <c r="G3007">
        <v>371.75</v>
      </c>
      <c r="H3007" t="s">
        <v>13</v>
      </c>
      <c r="I3007" t="s">
        <v>34</v>
      </c>
    </row>
    <row r="3008" spans="1:9" x14ac:dyDescent="0.35">
      <c r="A3008" t="s">
        <v>3044</v>
      </c>
      <c r="B3008" s="1">
        <v>45590</v>
      </c>
      <c r="C3008" t="s">
        <v>10</v>
      </c>
      <c r="D3008" t="s">
        <v>50</v>
      </c>
      <c r="E3008" t="s">
        <v>12</v>
      </c>
      <c r="F3008">
        <v>1218.04</v>
      </c>
      <c r="G3008">
        <v>327.87</v>
      </c>
      <c r="H3008" t="s">
        <v>19</v>
      </c>
      <c r="I3008" t="s">
        <v>14</v>
      </c>
    </row>
    <row r="3009" spans="1:9" x14ac:dyDescent="0.35">
      <c r="A3009" t="s">
        <v>3045</v>
      </c>
      <c r="B3009" s="1">
        <v>45325</v>
      </c>
      <c r="C3009" t="s">
        <v>16</v>
      </c>
      <c r="D3009" t="s">
        <v>11</v>
      </c>
      <c r="E3009" t="s">
        <v>12</v>
      </c>
      <c r="F3009">
        <v>67.430000000000007</v>
      </c>
      <c r="G3009">
        <v>9.5399999999999991</v>
      </c>
      <c r="H3009" t="s">
        <v>19</v>
      </c>
      <c r="I3009" t="s">
        <v>34</v>
      </c>
    </row>
    <row r="3010" spans="1:9" x14ac:dyDescent="0.35">
      <c r="A3010" t="s">
        <v>3046</v>
      </c>
      <c r="B3010" s="1">
        <v>45591</v>
      </c>
      <c r="C3010" t="s">
        <v>25</v>
      </c>
      <c r="D3010" t="s">
        <v>57</v>
      </c>
      <c r="E3010" t="s">
        <v>27</v>
      </c>
      <c r="F3010">
        <v>342.34</v>
      </c>
      <c r="G3010">
        <v>40.56</v>
      </c>
      <c r="H3010" t="s">
        <v>19</v>
      </c>
      <c r="I3010" t="s">
        <v>20</v>
      </c>
    </row>
    <row r="3011" spans="1:9" x14ac:dyDescent="0.35">
      <c r="A3011" t="s">
        <v>3047</v>
      </c>
      <c r="B3011" s="1">
        <v>44644</v>
      </c>
      <c r="C3011" t="s">
        <v>16</v>
      </c>
      <c r="D3011" t="s">
        <v>33</v>
      </c>
      <c r="E3011" t="s">
        <v>18</v>
      </c>
      <c r="F3011">
        <v>183.13</v>
      </c>
      <c r="G3011">
        <v>16.52</v>
      </c>
      <c r="H3011" t="s">
        <v>13</v>
      </c>
      <c r="I3011" t="s">
        <v>14</v>
      </c>
    </row>
    <row r="3012" spans="1:9" x14ac:dyDescent="0.35">
      <c r="A3012" t="s">
        <v>3048</v>
      </c>
      <c r="B3012" s="1">
        <v>45382</v>
      </c>
      <c r="C3012" t="s">
        <v>10</v>
      </c>
      <c r="D3012" t="s">
        <v>57</v>
      </c>
      <c r="E3012" t="s">
        <v>27</v>
      </c>
      <c r="F3012">
        <v>1586.67</v>
      </c>
      <c r="G3012">
        <v>420.04</v>
      </c>
      <c r="H3012" t="s">
        <v>19</v>
      </c>
      <c r="I3012" t="s">
        <v>34</v>
      </c>
    </row>
    <row r="3013" spans="1:9" x14ac:dyDescent="0.35">
      <c r="A3013" t="s">
        <v>3049</v>
      </c>
      <c r="B3013" s="1">
        <v>45497</v>
      </c>
      <c r="C3013" t="s">
        <v>10</v>
      </c>
      <c r="D3013" t="s">
        <v>11</v>
      </c>
      <c r="E3013" t="s">
        <v>12</v>
      </c>
      <c r="F3013">
        <v>1790.54</v>
      </c>
      <c r="G3013">
        <v>437.44</v>
      </c>
      <c r="H3013" t="s">
        <v>13</v>
      </c>
      <c r="I3013" t="s">
        <v>29</v>
      </c>
    </row>
    <row r="3014" spans="1:9" x14ac:dyDescent="0.35">
      <c r="A3014" t="s">
        <v>3050</v>
      </c>
      <c r="B3014" s="1">
        <v>44786</v>
      </c>
      <c r="C3014" t="s">
        <v>25</v>
      </c>
      <c r="D3014" t="s">
        <v>73</v>
      </c>
      <c r="E3014" t="s">
        <v>27</v>
      </c>
      <c r="F3014">
        <v>1876.55</v>
      </c>
      <c r="G3014">
        <v>421.51</v>
      </c>
      <c r="H3014" t="s">
        <v>19</v>
      </c>
      <c r="I3014" t="s">
        <v>34</v>
      </c>
    </row>
    <row r="3015" spans="1:9" x14ac:dyDescent="0.35">
      <c r="A3015" t="s">
        <v>3051</v>
      </c>
      <c r="B3015" s="1">
        <v>45180</v>
      </c>
      <c r="C3015" t="s">
        <v>22</v>
      </c>
      <c r="D3015" t="s">
        <v>41</v>
      </c>
      <c r="E3015" t="s">
        <v>12</v>
      </c>
      <c r="F3015">
        <v>738.31</v>
      </c>
      <c r="G3015">
        <v>137.91</v>
      </c>
      <c r="H3015" t="s">
        <v>19</v>
      </c>
      <c r="I3015" t="s">
        <v>34</v>
      </c>
    </row>
    <row r="3016" spans="1:9" x14ac:dyDescent="0.35">
      <c r="A3016" t="s">
        <v>3052</v>
      </c>
      <c r="B3016" s="1">
        <v>44686</v>
      </c>
      <c r="C3016" t="s">
        <v>16</v>
      </c>
      <c r="D3016" t="s">
        <v>46</v>
      </c>
      <c r="E3016" t="s">
        <v>18</v>
      </c>
      <c r="F3016">
        <v>1710.71</v>
      </c>
      <c r="G3016">
        <v>415.84</v>
      </c>
      <c r="H3016" t="s">
        <v>13</v>
      </c>
      <c r="I3016" t="s">
        <v>20</v>
      </c>
    </row>
    <row r="3017" spans="1:9" x14ac:dyDescent="0.35">
      <c r="A3017" t="s">
        <v>3053</v>
      </c>
      <c r="B3017" s="1">
        <v>45393</v>
      </c>
      <c r="C3017" t="s">
        <v>16</v>
      </c>
      <c r="D3017" t="s">
        <v>46</v>
      </c>
      <c r="E3017" t="s">
        <v>18</v>
      </c>
      <c r="F3017">
        <v>394.88</v>
      </c>
      <c r="G3017">
        <v>58.89</v>
      </c>
      <c r="H3017" t="s">
        <v>28</v>
      </c>
      <c r="I3017" t="s">
        <v>29</v>
      </c>
    </row>
    <row r="3018" spans="1:9" x14ac:dyDescent="0.35">
      <c r="A3018" t="s">
        <v>3054</v>
      </c>
      <c r="B3018" s="1">
        <v>45332</v>
      </c>
      <c r="C3018" t="s">
        <v>22</v>
      </c>
      <c r="D3018" t="s">
        <v>17</v>
      </c>
      <c r="E3018" t="s">
        <v>18</v>
      </c>
      <c r="F3018">
        <v>1394.19</v>
      </c>
      <c r="G3018">
        <v>212.95</v>
      </c>
      <c r="H3018" t="s">
        <v>19</v>
      </c>
      <c r="I3018" t="s">
        <v>29</v>
      </c>
    </row>
    <row r="3019" spans="1:9" x14ac:dyDescent="0.35">
      <c r="A3019" t="s">
        <v>3055</v>
      </c>
      <c r="B3019" s="1">
        <v>45422</v>
      </c>
      <c r="C3019" t="s">
        <v>16</v>
      </c>
      <c r="D3019" t="s">
        <v>41</v>
      </c>
      <c r="E3019" t="s">
        <v>12</v>
      </c>
      <c r="F3019">
        <v>1591.82</v>
      </c>
      <c r="G3019">
        <v>95.11</v>
      </c>
      <c r="H3019" t="s">
        <v>19</v>
      </c>
      <c r="I3019" t="s">
        <v>14</v>
      </c>
    </row>
    <row r="3020" spans="1:9" x14ac:dyDescent="0.35">
      <c r="A3020" t="s">
        <v>3056</v>
      </c>
      <c r="B3020" s="1">
        <v>45293</v>
      </c>
      <c r="C3020" t="s">
        <v>16</v>
      </c>
      <c r="D3020" t="s">
        <v>33</v>
      </c>
      <c r="E3020" t="s">
        <v>18</v>
      </c>
      <c r="F3020">
        <v>223.31</v>
      </c>
      <c r="G3020">
        <v>16.809999999999999</v>
      </c>
      <c r="H3020" t="s">
        <v>13</v>
      </c>
      <c r="I3020" t="s">
        <v>14</v>
      </c>
    </row>
    <row r="3021" spans="1:9" x14ac:dyDescent="0.35">
      <c r="A3021" t="s">
        <v>3057</v>
      </c>
      <c r="B3021" s="1">
        <v>44750</v>
      </c>
      <c r="C3021" t="s">
        <v>16</v>
      </c>
      <c r="D3021" t="s">
        <v>95</v>
      </c>
      <c r="E3021" t="s">
        <v>18</v>
      </c>
      <c r="F3021">
        <v>923.42</v>
      </c>
      <c r="G3021">
        <v>263.66000000000003</v>
      </c>
      <c r="H3021" t="s">
        <v>28</v>
      </c>
      <c r="I3021" t="s">
        <v>34</v>
      </c>
    </row>
    <row r="3022" spans="1:9" x14ac:dyDescent="0.35">
      <c r="A3022" t="s">
        <v>3058</v>
      </c>
      <c r="B3022" s="1">
        <v>45263</v>
      </c>
      <c r="C3022" t="s">
        <v>22</v>
      </c>
      <c r="D3022" t="s">
        <v>95</v>
      </c>
      <c r="E3022" t="s">
        <v>18</v>
      </c>
      <c r="F3022">
        <v>1756.11</v>
      </c>
      <c r="G3022">
        <v>315.66000000000003</v>
      </c>
      <c r="H3022" t="s">
        <v>28</v>
      </c>
      <c r="I3022" t="s">
        <v>34</v>
      </c>
    </row>
    <row r="3023" spans="1:9" x14ac:dyDescent="0.35">
      <c r="A3023" t="s">
        <v>3059</v>
      </c>
      <c r="B3023" s="1">
        <v>44632</v>
      </c>
      <c r="C3023" t="s">
        <v>22</v>
      </c>
      <c r="D3023" t="s">
        <v>26</v>
      </c>
      <c r="E3023" t="s">
        <v>27</v>
      </c>
      <c r="F3023">
        <v>1231.27</v>
      </c>
      <c r="G3023">
        <v>319.26</v>
      </c>
      <c r="H3023" t="s">
        <v>13</v>
      </c>
      <c r="I3023" t="s">
        <v>20</v>
      </c>
    </row>
    <row r="3024" spans="1:9" x14ac:dyDescent="0.35">
      <c r="A3024" t="s">
        <v>3060</v>
      </c>
      <c r="B3024" s="1">
        <v>44895</v>
      </c>
      <c r="C3024" t="s">
        <v>25</v>
      </c>
      <c r="D3024" t="s">
        <v>31</v>
      </c>
      <c r="E3024" t="s">
        <v>12</v>
      </c>
      <c r="F3024">
        <v>132.13999999999999</v>
      </c>
      <c r="G3024">
        <v>34.340000000000003</v>
      </c>
      <c r="H3024" t="s">
        <v>28</v>
      </c>
      <c r="I3024" t="s">
        <v>29</v>
      </c>
    </row>
    <row r="3025" spans="1:9" x14ac:dyDescent="0.35">
      <c r="A3025" t="s">
        <v>3061</v>
      </c>
      <c r="B3025" s="1">
        <v>45485</v>
      </c>
      <c r="C3025" t="s">
        <v>22</v>
      </c>
      <c r="D3025" t="s">
        <v>31</v>
      </c>
      <c r="E3025" t="s">
        <v>12</v>
      </c>
      <c r="F3025">
        <v>849.27</v>
      </c>
      <c r="G3025">
        <v>157.24</v>
      </c>
      <c r="H3025" t="s">
        <v>19</v>
      </c>
      <c r="I3025" t="s">
        <v>29</v>
      </c>
    </row>
    <row r="3026" spans="1:9" x14ac:dyDescent="0.35">
      <c r="A3026" t="s">
        <v>3062</v>
      </c>
      <c r="B3026" s="1">
        <v>45166</v>
      </c>
      <c r="C3026" t="s">
        <v>25</v>
      </c>
      <c r="D3026" t="s">
        <v>11</v>
      </c>
      <c r="E3026" t="s">
        <v>12</v>
      </c>
      <c r="F3026">
        <v>1199.52</v>
      </c>
      <c r="G3026">
        <v>181.07</v>
      </c>
      <c r="H3026" t="s">
        <v>28</v>
      </c>
      <c r="I3026" t="s">
        <v>14</v>
      </c>
    </row>
    <row r="3027" spans="1:9" x14ac:dyDescent="0.35">
      <c r="A3027" t="s">
        <v>3063</v>
      </c>
      <c r="B3027" s="1">
        <v>44699</v>
      </c>
      <c r="C3027" t="s">
        <v>22</v>
      </c>
      <c r="D3027" t="s">
        <v>46</v>
      </c>
      <c r="E3027" t="s">
        <v>18</v>
      </c>
      <c r="F3027">
        <v>1411.07</v>
      </c>
      <c r="G3027">
        <v>154.79</v>
      </c>
      <c r="H3027" t="s">
        <v>19</v>
      </c>
      <c r="I3027" t="s">
        <v>20</v>
      </c>
    </row>
    <row r="3028" spans="1:9" x14ac:dyDescent="0.35">
      <c r="A3028" t="s">
        <v>3064</v>
      </c>
      <c r="B3028" s="1">
        <v>45027</v>
      </c>
      <c r="C3028" t="s">
        <v>16</v>
      </c>
      <c r="D3028" t="s">
        <v>33</v>
      </c>
      <c r="E3028" t="s">
        <v>18</v>
      </c>
      <c r="F3028">
        <v>1831.26</v>
      </c>
      <c r="G3028">
        <v>544.55999999999995</v>
      </c>
      <c r="H3028" t="s">
        <v>19</v>
      </c>
      <c r="I3028" t="s">
        <v>34</v>
      </c>
    </row>
    <row r="3029" spans="1:9" x14ac:dyDescent="0.35">
      <c r="A3029" t="s">
        <v>3065</v>
      </c>
      <c r="B3029" s="1">
        <v>45210</v>
      </c>
      <c r="C3029" t="s">
        <v>16</v>
      </c>
      <c r="D3029" t="s">
        <v>41</v>
      </c>
      <c r="E3029" t="s">
        <v>12</v>
      </c>
      <c r="F3029">
        <v>240.88</v>
      </c>
      <c r="G3029">
        <v>52.43</v>
      </c>
      <c r="H3029" t="s">
        <v>28</v>
      </c>
      <c r="I3029" t="s">
        <v>34</v>
      </c>
    </row>
    <row r="3030" spans="1:9" x14ac:dyDescent="0.35">
      <c r="A3030" t="s">
        <v>3066</v>
      </c>
      <c r="B3030" s="1">
        <v>45021</v>
      </c>
      <c r="C3030" t="s">
        <v>16</v>
      </c>
      <c r="D3030" t="s">
        <v>97</v>
      </c>
      <c r="E3030" t="s">
        <v>27</v>
      </c>
      <c r="F3030">
        <v>1718.56</v>
      </c>
      <c r="G3030">
        <v>334.85</v>
      </c>
      <c r="H3030" t="s">
        <v>28</v>
      </c>
      <c r="I3030" t="s">
        <v>29</v>
      </c>
    </row>
    <row r="3031" spans="1:9" x14ac:dyDescent="0.35">
      <c r="A3031" t="s">
        <v>3067</v>
      </c>
      <c r="B3031" s="1">
        <v>45341</v>
      </c>
      <c r="C3031" t="s">
        <v>10</v>
      </c>
      <c r="D3031" t="s">
        <v>73</v>
      </c>
      <c r="E3031" t="s">
        <v>27</v>
      </c>
      <c r="F3031">
        <v>945.45</v>
      </c>
      <c r="G3031">
        <v>244.73</v>
      </c>
      <c r="H3031" t="s">
        <v>13</v>
      </c>
      <c r="I3031" t="s">
        <v>14</v>
      </c>
    </row>
    <row r="3032" spans="1:9" x14ac:dyDescent="0.35">
      <c r="A3032" t="s">
        <v>3068</v>
      </c>
      <c r="B3032" s="1">
        <v>45508</v>
      </c>
      <c r="C3032" t="s">
        <v>25</v>
      </c>
      <c r="D3032" t="s">
        <v>31</v>
      </c>
      <c r="E3032" t="s">
        <v>12</v>
      </c>
      <c r="F3032">
        <v>140.05000000000001</v>
      </c>
      <c r="G3032">
        <v>30.74</v>
      </c>
      <c r="H3032" t="s">
        <v>19</v>
      </c>
      <c r="I3032" t="s">
        <v>34</v>
      </c>
    </row>
    <row r="3033" spans="1:9" x14ac:dyDescent="0.35">
      <c r="A3033" t="s">
        <v>3069</v>
      </c>
      <c r="B3033" s="1">
        <v>45195</v>
      </c>
      <c r="C3033" t="s">
        <v>10</v>
      </c>
      <c r="D3033" t="s">
        <v>33</v>
      </c>
      <c r="E3033" t="s">
        <v>18</v>
      </c>
      <c r="F3033">
        <v>1687.01</v>
      </c>
      <c r="G3033">
        <v>442.15</v>
      </c>
      <c r="H3033" t="s">
        <v>28</v>
      </c>
      <c r="I3033" t="s">
        <v>20</v>
      </c>
    </row>
    <row r="3034" spans="1:9" x14ac:dyDescent="0.35">
      <c r="A3034" t="s">
        <v>3070</v>
      </c>
      <c r="B3034" s="1">
        <v>44941</v>
      </c>
      <c r="C3034" t="s">
        <v>10</v>
      </c>
      <c r="D3034" t="s">
        <v>97</v>
      </c>
      <c r="E3034" t="s">
        <v>27</v>
      </c>
      <c r="F3034">
        <v>534.29999999999995</v>
      </c>
      <c r="G3034">
        <v>111.36</v>
      </c>
      <c r="H3034" t="s">
        <v>28</v>
      </c>
      <c r="I3034" t="s">
        <v>34</v>
      </c>
    </row>
    <row r="3035" spans="1:9" x14ac:dyDescent="0.35">
      <c r="A3035" t="s">
        <v>3071</v>
      </c>
      <c r="B3035" s="1">
        <v>44977</v>
      </c>
      <c r="C3035" t="s">
        <v>25</v>
      </c>
      <c r="D3035" t="s">
        <v>26</v>
      </c>
      <c r="E3035" t="s">
        <v>27</v>
      </c>
      <c r="F3035">
        <v>789.53</v>
      </c>
      <c r="G3035">
        <v>99.89</v>
      </c>
      <c r="H3035" t="s">
        <v>13</v>
      </c>
      <c r="I3035" t="s">
        <v>20</v>
      </c>
    </row>
    <row r="3036" spans="1:9" x14ac:dyDescent="0.35">
      <c r="A3036" t="s">
        <v>3072</v>
      </c>
      <c r="B3036" s="1">
        <v>45124</v>
      </c>
      <c r="C3036" t="s">
        <v>25</v>
      </c>
      <c r="D3036" t="s">
        <v>23</v>
      </c>
      <c r="E3036" t="s">
        <v>18</v>
      </c>
      <c r="F3036">
        <v>701.66</v>
      </c>
      <c r="G3036">
        <v>134.77000000000001</v>
      </c>
      <c r="H3036" t="s">
        <v>28</v>
      </c>
      <c r="I3036" t="s">
        <v>34</v>
      </c>
    </row>
    <row r="3037" spans="1:9" x14ac:dyDescent="0.35">
      <c r="A3037" t="s">
        <v>3073</v>
      </c>
      <c r="B3037" s="1">
        <v>45465</v>
      </c>
      <c r="C3037" t="s">
        <v>16</v>
      </c>
      <c r="D3037" t="s">
        <v>97</v>
      </c>
      <c r="E3037" t="s">
        <v>27</v>
      </c>
      <c r="F3037">
        <v>1292.32</v>
      </c>
      <c r="G3037">
        <v>185.59</v>
      </c>
      <c r="H3037" t="s">
        <v>28</v>
      </c>
      <c r="I3037" t="s">
        <v>20</v>
      </c>
    </row>
    <row r="3038" spans="1:9" x14ac:dyDescent="0.35">
      <c r="A3038" t="s">
        <v>3074</v>
      </c>
      <c r="B3038" s="1">
        <v>45041</v>
      </c>
      <c r="C3038" t="s">
        <v>25</v>
      </c>
      <c r="D3038" t="s">
        <v>31</v>
      </c>
      <c r="E3038" t="s">
        <v>12</v>
      </c>
      <c r="F3038">
        <v>1898.78</v>
      </c>
      <c r="G3038">
        <v>119.03</v>
      </c>
      <c r="H3038" t="s">
        <v>28</v>
      </c>
      <c r="I3038" t="s">
        <v>34</v>
      </c>
    </row>
    <row r="3039" spans="1:9" x14ac:dyDescent="0.35">
      <c r="A3039" t="s">
        <v>3075</v>
      </c>
      <c r="B3039" s="1">
        <v>44909</v>
      </c>
      <c r="C3039" t="s">
        <v>25</v>
      </c>
      <c r="D3039" t="s">
        <v>95</v>
      </c>
      <c r="E3039" t="s">
        <v>18</v>
      </c>
      <c r="F3039">
        <v>1597.12</v>
      </c>
      <c r="G3039">
        <v>122.5</v>
      </c>
      <c r="H3039" t="s">
        <v>13</v>
      </c>
      <c r="I3039" t="s">
        <v>20</v>
      </c>
    </row>
    <row r="3040" spans="1:9" x14ac:dyDescent="0.35">
      <c r="A3040" t="s">
        <v>3076</v>
      </c>
      <c r="B3040" s="1">
        <v>45107</v>
      </c>
      <c r="C3040" t="s">
        <v>25</v>
      </c>
      <c r="D3040" t="s">
        <v>73</v>
      </c>
      <c r="E3040" t="s">
        <v>27</v>
      </c>
      <c r="F3040">
        <v>199.88</v>
      </c>
      <c r="G3040">
        <v>43.53</v>
      </c>
      <c r="H3040" t="s">
        <v>19</v>
      </c>
      <c r="I3040" t="s">
        <v>29</v>
      </c>
    </row>
    <row r="3041" spans="1:9" x14ac:dyDescent="0.35">
      <c r="A3041" t="s">
        <v>3077</v>
      </c>
      <c r="B3041" s="1">
        <v>45435</v>
      </c>
      <c r="C3041" t="s">
        <v>16</v>
      </c>
      <c r="D3041" t="s">
        <v>33</v>
      </c>
      <c r="E3041" t="s">
        <v>18</v>
      </c>
      <c r="F3041">
        <v>1935.32</v>
      </c>
      <c r="G3041">
        <v>439.53</v>
      </c>
      <c r="H3041" t="s">
        <v>28</v>
      </c>
      <c r="I3041" t="s">
        <v>34</v>
      </c>
    </row>
    <row r="3042" spans="1:9" x14ac:dyDescent="0.35">
      <c r="A3042" t="s">
        <v>3078</v>
      </c>
      <c r="B3042" s="1">
        <v>44772</v>
      </c>
      <c r="C3042" t="s">
        <v>10</v>
      </c>
      <c r="D3042" t="s">
        <v>95</v>
      </c>
      <c r="E3042" t="s">
        <v>18</v>
      </c>
      <c r="F3042">
        <v>853.81</v>
      </c>
      <c r="G3042">
        <v>206.21</v>
      </c>
      <c r="H3042" t="s">
        <v>19</v>
      </c>
      <c r="I3042" t="s">
        <v>20</v>
      </c>
    </row>
    <row r="3043" spans="1:9" x14ac:dyDescent="0.35">
      <c r="A3043" t="s">
        <v>3079</v>
      </c>
      <c r="B3043" s="1">
        <v>44888</v>
      </c>
      <c r="C3043" t="s">
        <v>10</v>
      </c>
      <c r="D3043" t="s">
        <v>11</v>
      </c>
      <c r="E3043" t="s">
        <v>12</v>
      </c>
      <c r="F3043">
        <v>1888.77</v>
      </c>
      <c r="G3043">
        <v>531.09</v>
      </c>
      <c r="H3043" t="s">
        <v>13</v>
      </c>
      <c r="I3043" t="s">
        <v>14</v>
      </c>
    </row>
    <row r="3044" spans="1:9" x14ac:dyDescent="0.35">
      <c r="A3044" t="s">
        <v>3080</v>
      </c>
      <c r="B3044" s="1">
        <v>45383</v>
      </c>
      <c r="C3044" t="s">
        <v>16</v>
      </c>
      <c r="D3044" t="s">
        <v>31</v>
      </c>
      <c r="E3044" t="s">
        <v>12</v>
      </c>
      <c r="F3044">
        <v>157.96</v>
      </c>
      <c r="G3044">
        <v>8.07</v>
      </c>
      <c r="H3044" t="s">
        <v>13</v>
      </c>
      <c r="I3044" t="s">
        <v>29</v>
      </c>
    </row>
    <row r="3045" spans="1:9" x14ac:dyDescent="0.35">
      <c r="A3045" t="s">
        <v>3081</v>
      </c>
      <c r="B3045" s="1">
        <v>44631</v>
      </c>
      <c r="C3045" t="s">
        <v>25</v>
      </c>
      <c r="D3045" t="s">
        <v>46</v>
      </c>
      <c r="E3045" t="s">
        <v>18</v>
      </c>
      <c r="F3045">
        <v>645.32000000000005</v>
      </c>
      <c r="G3045">
        <v>86.52</v>
      </c>
      <c r="H3045" t="s">
        <v>13</v>
      </c>
      <c r="I3045" t="s">
        <v>20</v>
      </c>
    </row>
    <row r="3046" spans="1:9" x14ac:dyDescent="0.35">
      <c r="A3046" t="s">
        <v>3082</v>
      </c>
      <c r="B3046" s="1">
        <v>44605</v>
      </c>
      <c r="C3046" t="s">
        <v>25</v>
      </c>
      <c r="D3046" t="s">
        <v>62</v>
      </c>
      <c r="E3046" t="s">
        <v>27</v>
      </c>
      <c r="F3046">
        <v>1650.9</v>
      </c>
      <c r="G3046">
        <v>229.23</v>
      </c>
      <c r="H3046" t="s">
        <v>19</v>
      </c>
      <c r="I3046" t="s">
        <v>29</v>
      </c>
    </row>
    <row r="3047" spans="1:9" x14ac:dyDescent="0.35">
      <c r="A3047" t="s">
        <v>3083</v>
      </c>
      <c r="B3047" s="1">
        <v>45168</v>
      </c>
      <c r="C3047" t="s">
        <v>22</v>
      </c>
      <c r="D3047" t="s">
        <v>50</v>
      </c>
      <c r="E3047" t="s">
        <v>12</v>
      </c>
      <c r="F3047">
        <v>152.16</v>
      </c>
      <c r="G3047">
        <v>11.47</v>
      </c>
      <c r="H3047" t="s">
        <v>13</v>
      </c>
      <c r="I3047" t="s">
        <v>29</v>
      </c>
    </row>
    <row r="3048" spans="1:9" x14ac:dyDescent="0.35">
      <c r="A3048" t="s">
        <v>3084</v>
      </c>
      <c r="B3048" s="1">
        <v>45041</v>
      </c>
      <c r="C3048" t="s">
        <v>10</v>
      </c>
      <c r="D3048" t="s">
        <v>23</v>
      </c>
      <c r="E3048" t="s">
        <v>18</v>
      </c>
      <c r="F3048">
        <v>689.53</v>
      </c>
      <c r="G3048">
        <v>189.12</v>
      </c>
      <c r="H3048" t="s">
        <v>28</v>
      </c>
      <c r="I3048" t="s">
        <v>14</v>
      </c>
    </row>
    <row r="3049" spans="1:9" x14ac:dyDescent="0.35">
      <c r="A3049" t="s">
        <v>3085</v>
      </c>
      <c r="B3049" s="1">
        <v>45552</v>
      </c>
      <c r="C3049" t="s">
        <v>22</v>
      </c>
      <c r="D3049" t="s">
        <v>23</v>
      </c>
      <c r="E3049" t="s">
        <v>18</v>
      </c>
      <c r="F3049">
        <v>1270.46</v>
      </c>
      <c r="G3049">
        <v>137.04</v>
      </c>
      <c r="H3049" t="s">
        <v>19</v>
      </c>
      <c r="I3049" t="s">
        <v>34</v>
      </c>
    </row>
    <row r="3050" spans="1:9" x14ac:dyDescent="0.35">
      <c r="A3050" t="s">
        <v>3086</v>
      </c>
      <c r="B3050" s="1">
        <v>44766</v>
      </c>
      <c r="C3050" t="s">
        <v>22</v>
      </c>
      <c r="D3050" t="s">
        <v>95</v>
      </c>
      <c r="E3050" t="s">
        <v>18</v>
      </c>
      <c r="F3050">
        <v>1582.01</v>
      </c>
      <c r="G3050">
        <v>471.99</v>
      </c>
      <c r="H3050" t="s">
        <v>19</v>
      </c>
      <c r="I3050" t="s">
        <v>34</v>
      </c>
    </row>
    <row r="3051" spans="1:9" x14ac:dyDescent="0.35">
      <c r="A3051" t="s">
        <v>3087</v>
      </c>
      <c r="B3051" s="1">
        <v>44587</v>
      </c>
      <c r="C3051" t="s">
        <v>10</v>
      </c>
      <c r="D3051" t="s">
        <v>73</v>
      </c>
      <c r="E3051" t="s">
        <v>27</v>
      </c>
      <c r="F3051">
        <v>329.42</v>
      </c>
      <c r="G3051">
        <v>21.11</v>
      </c>
      <c r="H3051" t="s">
        <v>28</v>
      </c>
      <c r="I3051" t="s">
        <v>20</v>
      </c>
    </row>
    <row r="3052" spans="1:9" x14ac:dyDescent="0.35">
      <c r="A3052" t="s">
        <v>3088</v>
      </c>
      <c r="B3052" s="1">
        <v>45603</v>
      </c>
      <c r="C3052" t="s">
        <v>10</v>
      </c>
      <c r="D3052" t="s">
        <v>26</v>
      </c>
      <c r="E3052" t="s">
        <v>27</v>
      </c>
      <c r="F3052">
        <v>1122.26</v>
      </c>
      <c r="G3052">
        <v>113.95</v>
      </c>
      <c r="H3052" t="s">
        <v>28</v>
      </c>
      <c r="I3052" t="s">
        <v>20</v>
      </c>
    </row>
    <row r="3053" spans="1:9" x14ac:dyDescent="0.35">
      <c r="A3053" t="s">
        <v>3089</v>
      </c>
      <c r="B3053" s="1">
        <v>45311</v>
      </c>
      <c r="C3053" t="s">
        <v>22</v>
      </c>
      <c r="D3053" t="s">
        <v>95</v>
      </c>
      <c r="E3053" t="s">
        <v>18</v>
      </c>
      <c r="F3053">
        <v>621.69000000000005</v>
      </c>
      <c r="G3053">
        <v>112.83</v>
      </c>
      <c r="H3053" t="s">
        <v>19</v>
      </c>
      <c r="I3053" t="s">
        <v>20</v>
      </c>
    </row>
    <row r="3054" spans="1:9" x14ac:dyDescent="0.35">
      <c r="A3054" t="s">
        <v>3090</v>
      </c>
      <c r="B3054" s="1">
        <v>45278</v>
      </c>
      <c r="C3054" t="s">
        <v>16</v>
      </c>
      <c r="D3054" t="s">
        <v>38</v>
      </c>
      <c r="E3054" t="s">
        <v>12</v>
      </c>
      <c r="F3054">
        <v>143.54</v>
      </c>
      <c r="G3054">
        <v>40.14</v>
      </c>
      <c r="H3054" t="s">
        <v>28</v>
      </c>
      <c r="I3054" t="s">
        <v>14</v>
      </c>
    </row>
    <row r="3055" spans="1:9" x14ac:dyDescent="0.35">
      <c r="A3055" t="s">
        <v>3091</v>
      </c>
      <c r="B3055" s="1">
        <v>45174</v>
      </c>
      <c r="C3055" t="s">
        <v>10</v>
      </c>
      <c r="D3055" t="s">
        <v>38</v>
      </c>
      <c r="E3055" t="s">
        <v>12</v>
      </c>
      <c r="F3055">
        <v>657.95</v>
      </c>
      <c r="G3055">
        <v>176.84</v>
      </c>
      <c r="H3055" t="s">
        <v>13</v>
      </c>
      <c r="I3055" t="s">
        <v>14</v>
      </c>
    </row>
    <row r="3056" spans="1:9" x14ac:dyDescent="0.35">
      <c r="A3056" t="s">
        <v>3092</v>
      </c>
      <c r="B3056" s="1">
        <v>45117</v>
      </c>
      <c r="C3056" t="s">
        <v>25</v>
      </c>
      <c r="D3056" t="s">
        <v>46</v>
      </c>
      <c r="E3056" t="s">
        <v>18</v>
      </c>
      <c r="F3056">
        <v>1421.7</v>
      </c>
      <c r="G3056">
        <v>368.89</v>
      </c>
      <c r="H3056" t="s">
        <v>19</v>
      </c>
      <c r="I3056" t="s">
        <v>29</v>
      </c>
    </row>
    <row r="3057" spans="1:9" x14ac:dyDescent="0.35">
      <c r="A3057" t="s">
        <v>3093</v>
      </c>
      <c r="B3057" s="1">
        <v>44571</v>
      </c>
      <c r="C3057" t="s">
        <v>16</v>
      </c>
      <c r="D3057" t="s">
        <v>46</v>
      </c>
      <c r="E3057" t="s">
        <v>18</v>
      </c>
      <c r="F3057">
        <v>1828.33</v>
      </c>
      <c r="G3057">
        <v>328.59</v>
      </c>
      <c r="H3057" t="s">
        <v>28</v>
      </c>
      <c r="I3057" t="s">
        <v>20</v>
      </c>
    </row>
    <row r="3058" spans="1:9" x14ac:dyDescent="0.35">
      <c r="A3058" t="s">
        <v>3094</v>
      </c>
      <c r="B3058" s="1">
        <v>44627</v>
      </c>
      <c r="C3058" t="s">
        <v>22</v>
      </c>
      <c r="D3058" t="s">
        <v>57</v>
      </c>
      <c r="E3058" t="s">
        <v>27</v>
      </c>
      <c r="F3058">
        <v>1102.7</v>
      </c>
      <c r="G3058">
        <v>185.09</v>
      </c>
      <c r="H3058" t="s">
        <v>19</v>
      </c>
      <c r="I3058" t="s">
        <v>14</v>
      </c>
    </row>
    <row r="3059" spans="1:9" x14ac:dyDescent="0.35">
      <c r="A3059" t="s">
        <v>3095</v>
      </c>
      <c r="B3059" s="1">
        <v>45508</v>
      </c>
      <c r="C3059" t="s">
        <v>25</v>
      </c>
      <c r="D3059" t="s">
        <v>11</v>
      </c>
      <c r="E3059" t="s">
        <v>12</v>
      </c>
      <c r="F3059">
        <v>181.72</v>
      </c>
      <c r="G3059">
        <v>12.72</v>
      </c>
      <c r="H3059" t="s">
        <v>19</v>
      </c>
      <c r="I3059" t="s">
        <v>14</v>
      </c>
    </row>
    <row r="3060" spans="1:9" x14ac:dyDescent="0.35">
      <c r="A3060" t="s">
        <v>3096</v>
      </c>
      <c r="B3060" s="1">
        <v>45208</v>
      </c>
      <c r="C3060" t="s">
        <v>10</v>
      </c>
      <c r="D3060" t="s">
        <v>41</v>
      </c>
      <c r="E3060" t="s">
        <v>12</v>
      </c>
      <c r="F3060">
        <v>460.93</v>
      </c>
      <c r="G3060">
        <v>52.3</v>
      </c>
      <c r="H3060" t="s">
        <v>28</v>
      </c>
      <c r="I3060" t="s">
        <v>29</v>
      </c>
    </row>
    <row r="3061" spans="1:9" x14ac:dyDescent="0.35">
      <c r="A3061" t="s">
        <v>3097</v>
      </c>
      <c r="B3061" s="1">
        <v>45002</v>
      </c>
      <c r="C3061" t="s">
        <v>10</v>
      </c>
      <c r="D3061" t="s">
        <v>46</v>
      </c>
      <c r="E3061" t="s">
        <v>18</v>
      </c>
      <c r="F3061">
        <v>580.70000000000005</v>
      </c>
      <c r="G3061">
        <v>95.47</v>
      </c>
      <c r="H3061" t="s">
        <v>19</v>
      </c>
      <c r="I3061" t="s">
        <v>29</v>
      </c>
    </row>
    <row r="3062" spans="1:9" x14ac:dyDescent="0.35">
      <c r="A3062" t="s">
        <v>3098</v>
      </c>
      <c r="B3062" s="1">
        <v>45565</v>
      </c>
      <c r="C3062" t="s">
        <v>16</v>
      </c>
      <c r="D3062" t="s">
        <v>33</v>
      </c>
      <c r="E3062" t="s">
        <v>18</v>
      </c>
      <c r="F3062">
        <v>1368.71</v>
      </c>
      <c r="G3062">
        <v>245.11</v>
      </c>
      <c r="H3062" t="s">
        <v>28</v>
      </c>
      <c r="I3062" t="s">
        <v>14</v>
      </c>
    </row>
    <row r="3063" spans="1:9" x14ac:dyDescent="0.35">
      <c r="A3063" t="s">
        <v>3099</v>
      </c>
      <c r="B3063" s="1">
        <v>45329</v>
      </c>
      <c r="C3063" t="s">
        <v>25</v>
      </c>
      <c r="D3063" t="s">
        <v>11</v>
      </c>
      <c r="E3063" t="s">
        <v>12</v>
      </c>
      <c r="F3063">
        <v>456.29</v>
      </c>
      <c r="G3063">
        <v>47.81</v>
      </c>
      <c r="H3063" t="s">
        <v>19</v>
      </c>
      <c r="I3063" t="s">
        <v>14</v>
      </c>
    </row>
    <row r="3064" spans="1:9" x14ac:dyDescent="0.35">
      <c r="A3064" t="s">
        <v>3100</v>
      </c>
      <c r="B3064" s="1">
        <v>45312</v>
      </c>
      <c r="C3064" t="s">
        <v>22</v>
      </c>
      <c r="D3064" t="s">
        <v>46</v>
      </c>
      <c r="E3064" t="s">
        <v>18</v>
      </c>
      <c r="F3064">
        <v>1724.21</v>
      </c>
      <c r="G3064">
        <v>89.47</v>
      </c>
      <c r="H3064" t="s">
        <v>13</v>
      </c>
      <c r="I3064" t="s">
        <v>20</v>
      </c>
    </row>
    <row r="3065" spans="1:9" x14ac:dyDescent="0.35">
      <c r="A3065" t="s">
        <v>3101</v>
      </c>
      <c r="B3065" s="1">
        <v>44961</v>
      </c>
      <c r="C3065" t="s">
        <v>22</v>
      </c>
      <c r="D3065" t="s">
        <v>50</v>
      </c>
      <c r="E3065" t="s">
        <v>12</v>
      </c>
      <c r="F3065">
        <v>425.07</v>
      </c>
      <c r="G3065">
        <v>105.99</v>
      </c>
      <c r="H3065" t="s">
        <v>19</v>
      </c>
      <c r="I3065" t="s">
        <v>20</v>
      </c>
    </row>
    <row r="3066" spans="1:9" x14ac:dyDescent="0.35">
      <c r="A3066" t="s">
        <v>3102</v>
      </c>
      <c r="B3066" s="1">
        <v>44707</v>
      </c>
      <c r="C3066" t="s">
        <v>10</v>
      </c>
      <c r="D3066" t="s">
        <v>41</v>
      </c>
      <c r="E3066" t="s">
        <v>12</v>
      </c>
      <c r="F3066">
        <v>510.32</v>
      </c>
      <c r="G3066">
        <v>91.44</v>
      </c>
      <c r="H3066" t="s">
        <v>19</v>
      </c>
      <c r="I3066" t="s">
        <v>34</v>
      </c>
    </row>
    <row r="3067" spans="1:9" x14ac:dyDescent="0.35">
      <c r="A3067" t="s">
        <v>3103</v>
      </c>
      <c r="B3067" s="1">
        <v>45490</v>
      </c>
      <c r="C3067" t="s">
        <v>22</v>
      </c>
      <c r="D3067" t="s">
        <v>41</v>
      </c>
      <c r="E3067" t="s">
        <v>12</v>
      </c>
      <c r="F3067">
        <v>455.15</v>
      </c>
      <c r="G3067">
        <v>50.64</v>
      </c>
      <c r="H3067" t="s">
        <v>28</v>
      </c>
      <c r="I3067" t="s">
        <v>14</v>
      </c>
    </row>
    <row r="3068" spans="1:9" x14ac:dyDescent="0.35">
      <c r="A3068" t="s">
        <v>3104</v>
      </c>
      <c r="B3068" s="1">
        <v>45516</v>
      </c>
      <c r="C3068" t="s">
        <v>10</v>
      </c>
      <c r="D3068" t="s">
        <v>11</v>
      </c>
      <c r="E3068" t="s">
        <v>12</v>
      </c>
      <c r="F3068">
        <v>1712.96</v>
      </c>
      <c r="G3068">
        <v>228.98</v>
      </c>
      <c r="H3068" t="s">
        <v>19</v>
      </c>
      <c r="I3068" t="s">
        <v>14</v>
      </c>
    </row>
    <row r="3069" spans="1:9" x14ac:dyDescent="0.35">
      <c r="A3069" t="s">
        <v>3105</v>
      </c>
      <c r="B3069" s="1">
        <v>45245</v>
      </c>
      <c r="C3069" t="s">
        <v>22</v>
      </c>
      <c r="D3069" t="s">
        <v>26</v>
      </c>
      <c r="E3069" t="s">
        <v>27</v>
      </c>
      <c r="F3069">
        <v>1934.49</v>
      </c>
      <c r="G3069">
        <v>133.54</v>
      </c>
      <c r="H3069" t="s">
        <v>19</v>
      </c>
      <c r="I3069" t="s">
        <v>34</v>
      </c>
    </row>
    <row r="3070" spans="1:9" x14ac:dyDescent="0.35">
      <c r="A3070" t="s">
        <v>3106</v>
      </c>
      <c r="B3070" s="1">
        <v>45539</v>
      </c>
      <c r="C3070" t="s">
        <v>25</v>
      </c>
      <c r="D3070" t="s">
        <v>41</v>
      </c>
      <c r="E3070" t="s">
        <v>12</v>
      </c>
      <c r="F3070">
        <v>644.6</v>
      </c>
      <c r="G3070">
        <v>138.12</v>
      </c>
      <c r="H3070" t="s">
        <v>13</v>
      </c>
      <c r="I3070" t="s">
        <v>34</v>
      </c>
    </row>
    <row r="3071" spans="1:9" x14ac:dyDescent="0.35">
      <c r="A3071" t="s">
        <v>3107</v>
      </c>
      <c r="B3071" s="1">
        <v>45626</v>
      </c>
      <c r="C3071" t="s">
        <v>16</v>
      </c>
      <c r="D3071" t="s">
        <v>38</v>
      </c>
      <c r="E3071" t="s">
        <v>12</v>
      </c>
      <c r="F3071">
        <v>1369.93</v>
      </c>
      <c r="G3071">
        <v>344.86</v>
      </c>
      <c r="H3071" t="s">
        <v>19</v>
      </c>
      <c r="I3071" t="s">
        <v>29</v>
      </c>
    </row>
    <row r="3072" spans="1:9" x14ac:dyDescent="0.35">
      <c r="A3072" t="s">
        <v>3108</v>
      </c>
      <c r="B3072" s="1">
        <v>44649</v>
      </c>
      <c r="C3072" t="s">
        <v>25</v>
      </c>
      <c r="D3072" t="s">
        <v>31</v>
      </c>
      <c r="E3072" t="s">
        <v>12</v>
      </c>
      <c r="F3072">
        <v>192.75</v>
      </c>
      <c r="G3072">
        <v>28.9</v>
      </c>
      <c r="H3072" t="s">
        <v>19</v>
      </c>
      <c r="I3072" t="s">
        <v>20</v>
      </c>
    </row>
    <row r="3073" spans="1:9" x14ac:dyDescent="0.35">
      <c r="A3073" t="s">
        <v>3109</v>
      </c>
      <c r="B3073" s="1">
        <v>45498</v>
      </c>
      <c r="C3073" t="s">
        <v>25</v>
      </c>
      <c r="D3073" t="s">
        <v>33</v>
      </c>
      <c r="E3073" t="s">
        <v>18</v>
      </c>
      <c r="F3073">
        <v>738.57</v>
      </c>
      <c r="G3073">
        <v>99.55</v>
      </c>
      <c r="H3073" t="s">
        <v>19</v>
      </c>
      <c r="I3073" t="s">
        <v>14</v>
      </c>
    </row>
    <row r="3074" spans="1:9" x14ac:dyDescent="0.35">
      <c r="A3074" t="s">
        <v>3110</v>
      </c>
      <c r="B3074" s="1">
        <v>45421</v>
      </c>
      <c r="C3074" t="s">
        <v>25</v>
      </c>
      <c r="D3074" t="s">
        <v>50</v>
      </c>
      <c r="E3074" t="s">
        <v>12</v>
      </c>
      <c r="F3074">
        <v>1341.63</v>
      </c>
      <c r="G3074">
        <v>182.43</v>
      </c>
      <c r="H3074" t="s">
        <v>19</v>
      </c>
      <c r="I3074" t="s">
        <v>29</v>
      </c>
    </row>
    <row r="3075" spans="1:9" x14ac:dyDescent="0.35">
      <c r="A3075" t="s">
        <v>3111</v>
      </c>
      <c r="B3075" s="1">
        <v>44918</v>
      </c>
      <c r="C3075" t="s">
        <v>22</v>
      </c>
      <c r="D3075" t="s">
        <v>33</v>
      </c>
      <c r="E3075" t="s">
        <v>18</v>
      </c>
      <c r="F3075">
        <v>276.02999999999997</v>
      </c>
      <c r="G3075">
        <v>49.26</v>
      </c>
      <c r="H3075" t="s">
        <v>28</v>
      </c>
      <c r="I3075" t="s">
        <v>20</v>
      </c>
    </row>
    <row r="3076" spans="1:9" x14ac:dyDescent="0.35">
      <c r="A3076" t="s">
        <v>3112</v>
      </c>
      <c r="B3076" s="1">
        <v>44882</v>
      </c>
      <c r="C3076" t="s">
        <v>25</v>
      </c>
      <c r="D3076" t="s">
        <v>62</v>
      </c>
      <c r="E3076" t="s">
        <v>27</v>
      </c>
      <c r="F3076">
        <v>1327.22</v>
      </c>
      <c r="G3076">
        <v>332.17</v>
      </c>
      <c r="H3076" t="s">
        <v>19</v>
      </c>
      <c r="I3076" t="s">
        <v>29</v>
      </c>
    </row>
    <row r="3077" spans="1:9" x14ac:dyDescent="0.35">
      <c r="A3077" t="s">
        <v>3113</v>
      </c>
      <c r="B3077" s="1">
        <v>45516</v>
      </c>
      <c r="C3077" t="s">
        <v>25</v>
      </c>
      <c r="D3077" t="s">
        <v>31</v>
      </c>
      <c r="E3077" t="s">
        <v>12</v>
      </c>
      <c r="F3077">
        <v>592.95000000000005</v>
      </c>
      <c r="G3077">
        <v>121.87</v>
      </c>
      <c r="H3077" t="s">
        <v>19</v>
      </c>
      <c r="I3077" t="s">
        <v>20</v>
      </c>
    </row>
    <row r="3078" spans="1:9" x14ac:dyDescent="0.35">
      <c r="A3078" t="s">
        <v>3114</v>
      </c>
      <c r="B3078" s="1">
        <v>44842</v>
      </c>
      <c r="C3078" t="s">
        <v>16</v>
      </c>
      <c r="D3078" t="s">
        <v>31</v>
      </c>
      <c r="E3078" t="s">
        <v>12</v>
      </c>
      <c r="F3078">
        <v>171.94</v>
      </c>
      <c r="G3078">
        <v>15.17</v>
      </c>
      <c r="H3078" t="s">
        <v>13</v>
      </c>
      <c r="I3078" t="s">
        <v>29</v>
      </c>
    </row>
    <row r="3079" spans="1:9" x14ac:dyDescent="0.35">
      <c r="A3079" t="s">
        <v>3115</v>
      </c>
      <c r="B3079" s="1">
        <v>45172</v>
      </c>
      <c r="C3079" t="s">
        <v>16</v>
      </c>
      <c r="D3079" t="s">
        <v>23</v>
      </c>
      <c r="E3079" t="s">
        <v>18</v>
      </c>
      <c r="F3079">
        <v>128.66</v>
      </c>
      <c r="G3079">
        <v>16.18</v>
      </c>
      <c r="H3079" t="s">
        <v>19</v>
      </c>
      <c r="I3079" t="s">
        <v>14</v>
      </c>
    </row>
    <row r="3080" spans="1:9" x14ac:dyDescent="0.35">
      <c r="A3080" t="s">
        <v>3116</v>
      </c>
      <c r="B3080" s="1">
        <v>45528</v>
      </c>
      <c r="C3080" t="s">
        <v>10</v>
      </c>
      <c r="D3080" t="s">
        <v>11</v>
      </c>
      <c r="E3080" t="s">
        <v>12</v>
      </c>
      <c r="F3080">
        <v>213.57</v>
      </c>
      <c r="G3080">
        <v>44.45</v>
      </c>
      <c r="H3080" t="s">
        <v>13</v>
      </c>
      <c r="I3080" t="s">
        <v>29</v>
      </c>
    </row>
    <row r="3081" spans="1:9" x14ac:dyDescent="0.35">
      <c r="A3081" t="s">
        <v>3117</v>
      </c>
      <c r="B3081" s="1">
        <v>44642</v>
      </c>
      <c r="C3081" t="s">
        <v>25</v>
      </c>
      <c r="D3081" t="s">
        <v>31</v>
      </c>
      <c r="E3081" t="s">
        <v>12</v>
      </c>
      <c r="F3081">
        <v>898.19</v>
      </c>
      <c r="G3081">
        <v>150.25</v>
      </c>
      <c r="H3081" t="s">
        <v>28</v>
      </c>
      <c r="I3081" t="s">
        <v>14</v>
      </c>
    </row>
    <row r="3082" spans="1:9" x14ac:dyDescent="0.35">
      <c r="A3082" t="s">
        <v>3118</v>
      </c>
      <c r="B3082" s="1">
        <v>45327</v>
      </c>
      <c r="C3082" t="s">
        <v>25</v>
      </c>
      <c r="D3082" t="s">
        <v>97</v>
      </c>
      <c r="E3082" t="s">
        <v>27</v>
      </c>
      <c r="F3082">
        <v>1689.16</v>
      </c>
      <c r="G3082">
        <v>298.64</v>
      </c>
      <c r="H3082" t="s">
        <v>13</v>
      </c>
      <c r="I3082" t="s">
        <v>34</v>
      </c>
    </row>
    <row r="3083" spans="1:9" x14ac:dyDescent="0.35">
      <c r="A3083" t="s">
        <v>3119</v>
      </c>
      <c r="B3083" s="1">
        <v>45116</v>
      </c>
      <c r="C3083" t="s">
        <v>16</v>
      </c>
      <c r="D3083" t="s">
        <v>11</v>
      </c>
      <c r="E3083" t="s">
        <v>12</v>
      </c>
      <c r="F3083">
        <v>427.3</v>
      </c>
      <c r="G3083">
        <v>109.13</v>
      </c>
      <c r="H3083" t="s">
        <v>28</v>
      </c>
      <c r="I3083" t="s">
        <v>20</v>
      </c>
    </row>
    <row r="3084" spans="1:9" x14ac:dyDescent="0.35">
      <c r="A3084" t="s">
        <v>3120</v>
      </c>
      <c r="B3084" s="1">
        <v>45453</v>
      </c>
      <c r="C3084" t="s">
        <v>22</v>
      </c>
      <c r="D3084" t="s">
        <v>17</v>
      </c>
      <c r="E3084" t="s">
        <v>18</v>
      </c>
      <c r="F3084">
        <v>970.3</v>
      </c>
      <c r="G3084">
        <v>67.69</v>
      </c>
      <c r="H3084" t="s">
        <v>28</v>
      </c>
      <c r="I3084" t="s">
        <v>20</v>
      </c>
    </row>
    <row r="3085" spans="1:9" x14ac:dyDescent="0.35">
      <c r="A3085" t="s">
        <v>3121</v>
      </c>
      <c r="B3085" s="1">
        <v>45041</v>
      </c>
      <c r="C3085" t="s">
        <v>25</v>
      </c>
      <c r="D3085" t="s">
        <v>57</v>
      </c>
      <c r="E3085" t="s">
        <v>27</v>
      </c>
      <c r="F3085">
        <v>1148.98</v>
      </c>
      <c r="G3085">
        <v>147.99</v>
      </c>
      <c r="H3085" t="s">
        <v>28</v>
      </c>
      <c r="I3085" t="s">
        <v>20</v>
      </c>
    </row>
    <row r="3086" spans="1:9" x14ac:dyDescent="0.35">
      <c r="A3086" t="s">
        <v>3122</v>
      </c>
      <c r="B3086" s="1">
        <v>44770</v>
      </c>
      <c r="C3086" t="s">
        <v>10</v>
      </c>
      <c r="D3086" t="s">
        <v>33</v>
      </c>
      <c r="E3086" t="s">
        <v>18</v>
      </c>
      <c r="F3086">
        <v>1718.21</v>
      </c>
      <c r="G3086">
        <v>474.06</v>
      </c>
      <c r="H3086" t="s">
        <v>13</v>
      </c>
      <c r="I3086" t="s">
        <v>14</v>
      </c>
    </row>
    <row r="3087" spans="1:9" x14ac:dyDescent="0.35">
      <c r="A3087" t="s">
        <v>3123</v>
      </c>
      <c r="B3087" s="1">
        <v>44595</v>
      </c>
      <c r="C3087" t="s">
        <v>16</v>
      </c>
      <c r="D3087" t="s">
        <v>97</v>
      </c>
      <c r="E3087" t="s">
        <v>27</v>
      </c>
      <c r="F3087">
        <v>1493.14</v>
      </c>
      <c r="G3087">
        <v>332.81</v>
      </c>
      <c r="H3087" t="s">
        <v>28</v>
      </c>
      <c r="I3087" t="s">
        <v>20</v>
      </c>
    </row>
    <row r="3088" spans="1:9" x14ac:dyDescent="0.35">
      <c r="A3088" t="s">
        <v>3124</v>
      </c>
      <c r="B3088" s="1">
        <v>44578</v>
      </c>
      <c r="C3088" t="s">
        <v>25</v>
      </c>
      <c r="D3088" t="s">
        <v>26</v>
      </c>
      <c r="E3088" t="s">
        <v>27</v>
      </c>
      <c r="F3088">
        <v>216.61</v>
      </c>
      <c r="G3088">
        <v>51.99</v>
      </c>
      <c r="H3088" t="s">
        <v>28</v>
      </c>
      <c r="I3088" t="s">
        <v>20</v>
      </c>
    </row>
    <row r="3089" spans="1:9" x14ac:dyDescent="0.35">
      <c r="A3089" t="s">
        <v>3125</v>
      </c>
      <c r="B3089" s="1">
        <v>45473</v>
      </c>
      <c r="C3089" t="s">
        <v>22</v>
      </c>
      <c r="D3089" t="s">
        <v>38</v>
      </c>
      <c r="E3089" t="s">
        <v>12</v>
      </c>
      <c r="F3089">
        <v>627.29999999999995</v>
      </c>
      <c r="G3089">
        <v>93.15</v>
      </c>
      <c r="H3089" t="s">
        <v>13</v>
      </c>
      <c r="I3089" t="s">
        <v>29</v>
      </c>
    </row>
    <row r="3090" spans="1:9" x14ac:dyDescent="0.35">
      <c r="A3090" t="s">
        <v>3126</v>
      </c>
      <c r="B3090" s="1">
        <v>44961</v>
      </c>
      <c r="C3090" t="s">
        <v>25</v>
      </c>
      <c r="D3090" t="s">
        <v>23</v>
      </c>
      <c r="E3090" t="s">
        <v>18</v>
      </c>
      <c r="F3090">
        <v>1323.75</v>
      </c>
      <c r="G3090">
        <v>309.44</v>
      </c>
      <c r="H3090" t="s">
        <v>13</v>
      </c>
      <c r="I3090" t="s">
        <v>34</v>
      </c>
    </row>
    <row r="3091" spans="1:9" x14ac:dyDescent="0.35">
      <c r="A3091" t="s">
        <v>3127</v>
      </c>
      <c r="B3091" s="1">
        <v>45313</v>
      </c>
      <c r="C3091" t="s">
        <v>16</v>
      </c>
      <c r="D3091" t="s">
        <v>41</v>
      </c>
      <c r="E3091" t="s">
        <v>12</v>
      </c>
      <c r="F3091">
        <v>827.85</v>
      </c>
      <c r="G3091">
        <v>93.2</v>
      </c>
      <c r="H3091" t="s">
        <v>19</v>
      </c>
      <c r="I3091" t="s">
        <v>29</v>
      </c>
    </row>
    <row r="3092" spans="1:9" x14ac:dyDescent="0.35">
      <c r="A3092" t="s">
        <v>3128</v>
      </c>
      <c r="B3092" s="1">
        <v>45540</v>
      </c>
      <c r="C3092" t="s">
        <v>25</v>
      </c>
      <c r="D3092" t="s">
        <v>41</v>
      </c>
      <c r="E3092" t="s">
        <v>12</v>
      </c>
      <c r="F3092">
        <v>195.9</v>
      </c>
      <c r="G3092">
        <v>54.71</v>
      </c>
      <c r="H3092" t="s">
        <v>19</v>
      </c>
      <c r="I3092" t="s">
        <v>29</v>
      </c>
    </row>
    <row r="3093" spans="1:9" x14ac:dyDescent="0.35">
      <c r="A3093" t="s">
        <v>3129</v>
      </c>
      <c r="B3093" s="1">
        <v>45506</v>
      </c>
      <c r="C3093" t="s">
        <v>25</v>
      </c>
      <c r="D3093" t="s">
        <v>50</v>
      </c>
      <c r="E3093" t="s">
        <v>12</v>
      </c>
      <c r="F3093">
        <v>1590.49</v>
      </c>
      <c r="G3093">
        <v>129.16999999999999</v>
      </c>
      <c r="H3093" t="s">
        <v>28</v>
      </c>
      <c r="I3093" t="s">
        <v>20</v>
      </c>
    </row>
    <row r="3094" spans="1:9" x14ac:dyDescent="0.35">
      <c r="A3094" t="s">
        <v>3130</v>
      </c>
      <c r="B3094" s="1">
        <v>45155</v>
      </c>
      <c r="C3094" t="s">
        <v>22</v>
      </c>
      <c r="D3094" t="s">
        <v>73</v>
      </c>
      <c r="E3094" t="s">
        <v>27</v>
      </c>
      <c r="F3094">
        <v>1593.69</v>
      </c>
      <c r="G3094">
        <v>337.25</v>
      </c>
      <c r="H3094" t="s">
        <v>19</v>
      </c>
      <c r="I3094" t="s">
        <v>14</v>
      </c>
    </row>
    <row r="3095" spans="1:9" x14ac:dyDescent="0.35">
      <c r="A3095" t="s">
        <v>3131</v>
      </c>
      <c r="B3095" s="1">
        <v>45152</v>
      </c>
      <c r="C3095" t="s">
        <v>16</v>
      </c>
      <c r="D3095" t="s">
        <v>95</v>
      </c>
      <c r="E3095" t="s">
        <v>18</v>
      </c>
      <c r="F3095">
        <v>110.09</v>
      </c>
      <c r="G3095">
        <v>28.99</v>
      </c>
      <c r="H3095" t="s">
        <v>19</v>
      </c>
      <c r="I3095" t="s">
        <v>14</v>
      </c>
    </row>
    <row r="3096" spans="1:9" x14ac:dyDescent="0.35">
      <c r="A3096" t="s">
        <v>3132</v>
      </c>
      <c r="B3096" s="1">
        <v>45018</v>
      </c>
      <c r="C3096" t="s">
        <v>16</v>
      </c>
      <c r="D3096" t="s">
        <v>57</v>
      </c>
      <c r="E3096" t="s">
        <v>27</v>
      </c>
      <c r="F3096">
        <v>1362.71</v>
      </c>
      <c r="G3096">
        <v>240.17</v>
      </c>
      <c r="H3096" t="s">
        <v>19</v>
      </c>
      <c r="I3096" t="s">
        <v>20</v>
      </c>
    </row>
    <row r="3097" spans="1:9" x14ac:dyDescent="0.35">
      <c r="A3097" t="s">
        <v>3133</v>
      </c>
      <c r="B3097" s="1">
        <v>44709</v>
      </c>
      <c r="C3097" t="s">
        <v>16</v>
      </c>
      <c r="D3097" t="s">
        <v>97</v>
      </c>
      <c r="E3097" t="s">
        <v>27</v>
      </c>
      <c r="F3097">
        <v>1617.84</v>
      </c>
      <c r="G3097">
        <v>375.66</v>
      </c>
      <c r="H3097" t="s">
        <v>13</v>
      </c>
      <c r="I3097" t="s">
        <v>29</v>
      </c>
    </row>
    <row r="3098" spans="1:9" x14ac:dyDescent="0.35">
      <c r="A3098" t="s">
        <v>3134</v>
      </c>
      <c r="B3098" s="1">
        <v>44846</v>
      </c>
      <c r="C3098" t="s">
        <v>25</v>
      </c>
      <c r="D3098" t="s">
        <v>23</v>
      </c>
      <c r="E3098" t="s">
        <v>18</v>
      </c>
      <c r="F3098">
        <v>1473.65</v>
      </c>
      <c r="G3098">
        <v>295.7</v>
      </c>
      <c r="H3098" t="s">
        <v>28</v>
      </c>
      <c r="I3098" t="s">
        <v>14</v>
      </c>
    </row>
    <row r="3099" spans="1:9" x14ac:dyDescent="0.35">
      <c r="A3099" t="s">
        <v>3135</v>
      </c>
      <c r="B3099" s="1">
        <v>44756</v>
      </c>
      <c r="C3099" t="s">
        <v>22</v>
      </c>
      <c r="D3099" t="s">
        <v>41</v>
      </c>
      <c r="E3099" t="s">
        <v>12</v>
      </c>
      <c r="F3099">
        <v>352.2</v>
      </c>
      <c r="G3099">
        <v>67.55</v>
      </c>
      <c r="H3099" t="s">
        <v>28</v>
      </c>
      <c r="I3099" t="s">
        <v>29</v>
      </c>
    </row>
    <row r="3100" spans="1:9" x14ac:dyDescent="0.35">
      <c r="A3100" t="s">
        <v>3136</v>
      </c>
      <c r="B3100" s="1">
        <v>45389</v>
      </c>
      <c r="C3100" t="s">
        <v>16</v>
      </c>
      <c r="D3100" t="s">
        <v>57</v>
      </c>
      <c r="E3100" t="s">
        <v>27</v>
      </c>
      <c r="F3100">
        <v>1906.36</v>
      </c>
      <c r="G3100">
        <v>272.54000000000002</v>
      </c>
      <c r="H3100" t="s">
        <v>19</v>
      </c>
      <c r="I3100" t="s">
        <v>34</v>
      </c>
    </row>
    <row r="3101" spans="1:9" x14ac:dyDescent="0.35">
      <c r="A3101" t="s">
        <v>3137</v>
      </c>
      <c r="B3101" s="1">
        <v>44812</v>
      </c>
      <c r="C3101" t="s">
        <v>10</v>
      </c>
      <c r="D3101" t="s">
        <v>46</v>
      </c>
      <c r="E3101" t="s">
        <v>18</v>
      </c>
      <c r="F3101">
        <v>510.79</v>
      </c>
      <c r="G3101">
        <v>40.380000000000003</v>
      </c>
      <c r="H3101" t="s">
        <v>19</v>
      </c>
      <c r="I3101" t="s">
        <v>14</v>
      </c>
    </row>
    <row r="3102" spans="1:9" x14ac:dyDescent="0.35">
      <c r="A3102" t="s">
        <v>3138</v>
      </c>
      <c r="B3102" s="1">
        <v>45509</v>
      </c>
      <c r="C3102" t="s">
        <v>22</v>
      </c>
      <c r="D3102" t="s">
        <v>46</v>
      </c>
      <c r="E3102" t="s">
        <v>18</v>
      </c>
      <c r="F3102">
        <v>1805.26</v>
      </c>
      <c r="G3102">
        <v>486.8</v>
      </c>
      <c r="H3102" t="s">
        <v>28</v>
      </c>
      <c r="I3102" t="s">
        <v>34</v>
      </c>
    </row>
    <row r="3103" spans="1:9" x14ac:dyDescent="0.35">
      <c r="A3103" t="s">
        <v>3139</v>
      </c>
      <c r="B3103" s="1">
        <v>45098</v>
      </c>
      <c r="C3103" t="s">
        <v>16</v>
      </c>
      <c r="D3103" t="s">
        <v>11</v>
      </c>
      <c r="E3103" t="s">
        <v>12</v>
      </c>
      <c r="F3103">
        <v>109.7</v>
      </c>
      <c r="G3103">
        <v>7.15</v>
      </c>
      <c r="H3103" t="s">
        <v>19</v>
      </c>
      <c r="I3103" t="s">
        <v>14</v>
      </c>
    </row>
    <row r="3104" spans="1:9" x14ac:dyDescent="0.35">
      <c r="A3104" t="s">
        <v>3140</v>
      </c>
      <c r="B3104" s="1">
        <v>45560</v>
      </c>
      <c r="C3104" t="s">
        <v>25</v>
      </c>
      <c r="D3104" t="s">
        <v>50</v>
      </c>
      <c r="E3104" t="s">
        <v>12</v>
      </c>
      <c r="F3104">
        <v>1210.57</v>
      </c>
      <c r="G3104">
        <v>321.5</v>
      </c>
      <c r="H3104" t="s">
        <v>19</v>
      </c>
      <c r="I3104" t="s">
        <v>20</v>
      </c>
    </row>
    <row r="3105" spans="1:9" x14ac:dyDescent="0.35">
      <c r="A3105" t="s">
        <v>3141</v>
      </c>
      <c r="B3105" s="1">
        <v>45564</v>
      </c>
      <c r="C3105" t="s">
        <v>10</v>
      </c>
      <c r="D3105" t="s">
        <v>50</v>
      </c>
      <c r="E3105" t="s">
        <v>12</v>
      </c>
      <c r="F3105">
        <v>812.8</v>
      </c>
      <c r="G3105">
        <v>190.1</v>
      </c>
      <c r="H3105" t="s">
        <v>13</v>
      </c>
      <c r="I3105" t="s">
        <v>34</v>
      </c>
    </row>
    <row r="3106" spans="1:9" x14ac:dyDescent="0.35">
      <c r="A3106" t="s">
        <v>3142</v>
      </c>
      <c r="B3106" s="1">
        <v>45552</v>
      </c>
      <c r="C3106" t="s">
        <v>25</v>
      </c>
      <c r="D3106" t="s">
        <v>31</v>
      </c>
      <c r="E3106" t="s">
        <v>12</v>
      </c>
      <c r="F3106">
        <v>1705.71</v>
      </c>
      <c r="G3106">
        <v>192.05</v>
      </c>
      <c r="H3106" t="s">
        <v>13</v>
      </c>
      <c r="I3106" t="s">
        <v>34</v>
      </c>
    </row>
    <row r="3107" spans="1:9" x14ac:dyDescent="0.35">
      <c r="A3107" t="s">
        <v>3143</v>
      </c>
      <c r="B3107" s="1">
        <v>45650</v>
      </c>
      <c r="C3107" t="s">
        <v>22</v>
      </c>
      <c r="D3107" t="s">
        <v>50</v>
      </c>
      <c r="E3107" t="s">
        <v>12</v>
      </c>
      <c r="F3107">
        <v>1111.52</v>
      </c>
      <c r="G3107">
        <v>64.41</v>
      </c>
      <c r="H3107" t="s">
        <v>13</v>
      </c>
      <c r="I3107" t="s">
        <v>34</v>
      </c>
    </row>
    <row r="3108" spans="1:9" x14ac:dyDescent="0.35">
      <c r="A3108" t="s">
        <v>3144</v>
      </c>
      <c r="B3108" s="1">
        <v>45136</v>
      </c>
      <c r="C3108" t="s">
        <v>22</v>
      </c>
      <c r="D3108" t="s">
        <v>33</v>
      </c>
      <c r="E3108" t="s">
        <v>18</v>
      </c>
      <c r="F3108">
        <v>664.89</v>
      </c>
      <c r="G3108">
        <v>47.73</v>
      </c>
      <c r="H3108" t="s">
        <v>13</v>
      </c>
      <c r="I3108" t="s">
        <v>29</v>
      </c>
    </row>
    <row r="3109" spans="1:9" x14ac:dyDescent="0.35">
      <c r="A3109" t="s">
        <v>3145</v>
      </c>
      <c r="B3109" s="1">
        <v>44695</v>
      </c>
      <c r="C3109" t="s">
        <v>25</v>
      </c>
      <c r="D3109" t="s">
        <v>62</v>
      </c>
      <c r="E3109" t="s">
        <v>27</v>
      </c>
      <c r="F3109">
        <v>1219.71</v>
      </c>
      <c r="G3109">
        <v>240.19</v>
      </c>
      <c r="H3109" t="s">
        <v>13</v>
      </c>
      <c r="I3109" t="s">
        <v>20</v>
      </c>
    </row>
    <row r="3110" spans="1:9" x14ac:dyDescent="0.35">
      <c r="A3110" t="s">
        <v>3146</v>
      </c>
      <c r="B3110" s="1">
        <v>45262</v>
      </c>
      <c r="C3110" t="s">
        <v>10</v>
      </c>
      <c r="D3110" t="s">
        <v>11</v>
      </c>
      <c r="E3110" t="s">
        <v>12</v>
      </c>
      <c r="F3110">
        <v>1606.3</v>
      </c>
      <c r="G3110">
        <v>439.45</v>
      </c>
      <c r="H3110" t="s">
        <v>13</v>
      </c>
      <c r="I3110" t="s">
        <v>14</v>
      </c>
    </row>
    <row r="3111" spans="1:9" x14ac:dyDescent="0.35">
      <c r="A3111" t="s">
        <v>3147</v>
      </c>
      <c r="B3111" s="1">
        <v>44691</v>
      </c>
      <c r="C3111" t="s">
        <v>16</v>
      </c>
      <c r="D3111" t="s">
        <v>38</v>
      </c>
      <c r="E3111" t="s">
        <v>12</v>
      </c>
      <c r="F3111">
        <v>1702.79</v>
      </c>
      <c r="G3111">
        <v>378.68</v>
      </c>
      <c r="H3111" t="s">
        <v>19</v>
      </c>
      <c r="I3111" t="s">
        <v>20</v>
      </c>
    </row>
    <row r="3112" spans="1:9" x14ac:dyDescent="0.35">
      <c r="A3112" t="s">
        <v>3148</v>
      </c>
      <c r="B3112" s="1">
        <v>45100</v>
      </c>
      <c r="C3112" t="s">
        <v>22</v>
      </c>
      <c r="D3112" t="s">
        <v>26</v>
      </c>
      <c r="E3112" t="s">
        <v>27</v>
      </c>
      <c r="F3112">
        <v>816.79</v>
      </c>
      <c r="G3112">
        <v>58.98</v>
      </c>
      <c r="H3112" t="s">
        <v>28</v>
      </c>
      <c r="I3112" t="s">
        <v>14</v>
      </c>
    </row>
    <row r="3113" spans="1:9" x14ac:dyDescent="0.35">
      <c r="A3113" t="s">
        <v>3149</v>
      </c>
      <c r="B3113" s="1">
        <v>44660</v>
      </c>
      <c r="C3113" t="s">
        <v>22</v>
      </c>
      <c r="D3113" t="s">
        <v>95</v>
      </c>
      <c r="E3113" t="s">
        <v>18</v>
      </c>
      <c r="F3113">
        <v>1294.8399999999999</v>
      </c>
      <c r="G3113">
        <v>69.66</v>
      </c>
      <c r="H3113" t="s">
        <v>13</v>
      </c>
      <c r="I3113" t="s">
        <v>29</v>
      </c>
    </row>
    <row r="3114" spans="1:9" x14ac:dyDescent="0.35">
      <c r="A3114" t="s">
        <v>3150</v>
      </c>
      <c r="B3114" s="1">
        <v>45382</v>
      </c>
      <c r="C3114" t="s">
        <v>16</v>
      </c>
      <c r="D3114" t="s">
        <v>38</v>
      </c>
      <c r="E3114" t="s">
        <v>12</v>
      </c>
      <c r="F3114">
        <v>704.37</v>
      </c>
      <c r="G3114">
        <v>92.64</v>
      </c>
      <c r="H3114" t="s">
        <v>13</v>
      </c>
      <c r="I3114" t="s">
        <v>29</v>
      </c>
    </row>
    <row r="3115" spans="1:9" x14ac:dyDescent="0.35">
      <c r="A3115" t="s">
        <v>3151</v>
      </c>
      <c r="B3115" s="1">
        <v>45232</v>
      </c>
      <c r="C3115" t="s">
        <v>10</v>
      </c>
      <c r="D3115" t="s">
        <v>17</v>
      </c>
      <c r="E3115" t="s">
        <v>18</v>
      </c>
      <c r="F3115">
        <v>428.94</v>
      </c>
      <c r="G3115">
        <v>57.74</v>
      </c>
      <c r="H3115" t="s">
        <v>19</v>
      </c>
      <c r="I3115" t="s">
        <v>29</v>
      </c>
    </row>
    <row r="3116" spans="1:9" x14ac:dyDescent="0.35">
      <c r="A3116" t="s">
        <v>3152</v>
      </c>
      <c r="B3116" s="1">
        <v>44669</v>
      </c>
      <c r="C3116" t="s">
        <v>10</v>
      </c>
      <c r="D3116" t="s">
        <v>95</v>
      </c>
      <c r="E3116" t="s">
        <v>18</v>
      </c>
      <c r="F3116">
        <v>1489.85</v>
      </c>
      <c r="G3116">
        <v>153.58000000000001</v>
      </c>
      <c r="H3116" t="s">
        <v>28</v>
      </c>
      <c r="I3116" t="s">
        <v>34</v>
      </c>
    </row>
    <row r="3117" spans="1:9" x14ac:dyDescent="0.35">
      <c r="A3117" t="s">
        <v>3153</v>
      </c>
      <c r="B3117" s="1">
        <v>45537</v>
      </c>
      <c r="C3117" t="s">
        <v>25</v>
      </c>
      <c r="D3117" t="s">
        <v>62</v>
      </c>
      <c r="E3117" t="s">
        <v>27</v>
      </c>
      <c r="F3117">
        <v>238.33</v>
      </c>
      <c r="G3117">
        <v>39.520000000000003</v>
      </c>
      <c r="H3117" t="s">
        <v>19</v>
      </c>
      <c r="I3117" t="s">
        <v>14</v>
      </c>
    </row>
    <row r="3118" spans="1:9" x14ac:dyDescent="0.35">
      <c r="A3118" t="s">
        <v>3154</v>
      </c>
      <c r="B3118" s="1">
        <v>45326</v>
      </c>
      <c r="C3118" t="s">
        <v>16</v>
      </c>
      <c r="D3118" t="s">
        <v>23</v>
      </c>
      <c r="E3118" t="s">
        <v>18</v>
      </c>
      <c r="F3118">
        <v>1457.71</v>
      </c>
      <c r="G3118">
        <v>238.43</v>
      </c>
      <c r="H3118" t="s">
        <v>13</v>
      </c>
      <c r="I3118" t="s">
        <v>34</v>
      </c>
    </row>
    <row r="3119" spans="1:9" x14ac:dyDescent="0.35">
      <c r="A3119" t="s">
        <v>3155</v>
      </c>
      <c r="B3119" s="1">
        <v>45597</v>
      </c>
      <c r="C3119" t="s">
        <v>22</v>
      </c>
      <c r="D3119" t="s">
        <v>46</v>
      </c>
      <c r="E3119" t="s">
        <v>18</v>
      </c>
      <c r="F3119">
        <v>1116.27</v>
      </c>
      <c r="G3119">
        <v>334.03</v>
      </c>
      <c r="H3119" t="s">
        <v>13</v>
      </c>
      <c r="I3119" t="s">
        <v>29</v>
      </c>
    </row>
    <row r="3120" spans="1:9" x14ac:dyDescent="0.35">
      <c r="A3120" t="s">
        <v>3156</v>
      </c>
      <c r="B3120" s="1">
        <v>44589</v>
      </c>
      <c r="C3120" t="s">
        <v>22</v>
      </c>
      <c r="D3120" t="s">
        <v>31</v>
      </c>
      <c r="E3120" t="s">
        <v>12</v>
      </c>
      <c r="F3120">
        <v>245.34</v>
      </c>
      <c r="G3120">
        <v>25.6</v>
      </c>
      <c r="H3120" t="s">
        <v>28</v>
      </c>
      <c r="I3120" t="s">
        <v>14</v>
      </c>
    </row>
    <row r="3121" spans="1:9" x14ac:dyDescent="0.35">
      <c r="A3121" t="s">
        <v>3157</v>
      </c>
      <c r="B3121" s="1">
        <v>45436</v>
      </c>
      <c r="C3121" t="s">
        <v>16</v>
      </c>
      <c r="D3121" t="s">
        <v>41</v>
      </c>
      <c r="E3121" t="s">
        <v>12</v>
      </c>
      <c r="F3121">
        <v>883.96</v>
      </c>
      <c r="G3121">
        <v>166.7</v>
      </c>
      <c r="H3121" t="s">
        <v>13</v>
      </c>
      <c r="I3121" t="s">
        <v>29</v>
      </c>
    </row>
    <row r="3122" spans="1:9" x14ac:dyDescent="0.35">
      <c r="A3122" t="s">
        <v>3158</v>
      </c>
      <c r="B3122" s="1">
        <v>45290</v>
      </c>
      <c r="C3122" t="s">
        <v>25</v>
      </c>
      <c r="D3122" t="s">
        <v>23</v>
      </c>
      <c r="E3122" t="s">
        <v>18</v>
      </c>
      <c r="F3122">
        <v>1840.98</v>
      </c>
      <c r="G3122">
        <v>461.5</v>
      </c>
      <c r="H3122" t="s">
        <v>19</v>
      </c>
      <c r="I3122" t="s">
        <v>34</v>
      </c>
    </row>
    <row r="3123" spans="1:9" x14ac:dyDescent="0.35">
      <c r="A3123" t="s">
        <v>3159</v>
      </c>
      <c r="B3123" s="1">
        <v>45006</v>
      </c>
      <c r="C3123" t="s">
        <v>25</v>
      </c>
      <c r="D3123" t="s">
        <v>62</v>
      </c>
      <c r="E3123" t="s">
        <v>27</v>
      </c>
      <c r="F3123">
        <v>1535.57</v>
      </c>
      <c r="G3123">
        <v>428.84</v>
      </c>
      <c r="H3123" t="s">
        <v>28</v>
      </c>
      <c r="I3123" t="s">
        <v>14</v>
      </c>
    </row>
    <row r="3124" spans="1:9" x14ac:dyDescent="0.35">
      <c r="A3124" t="s">
        <v>3160</v>
      </c>
      <c r="B3124" s="1">
        <v>45522</v>
      </c>
      <c r="C3124" t="s">
        <v>25</v>
      </c>
      <c r="D3124" t="s">
        <v>31</v>
      </c>
      <c r="E3124" t="s">
        <v>12</v>
      </c>
      <c r="F3124">
        <v>415.32</v>
      </c>
      <c r="G3124">
        <v>89.43</v>
      </c>
      <c r="H3124" t="s">
        <v>13</v>
      </c>
      <c r="I3124" t="s">
        <v>34</v>
      </c>
    </row>
    <row r="3125" spans="1:9" x14ac:dyDescent="0.35">
      <c r="A3125" t="s">
        <v>3161</v>
      </c>
      <c r="B3125" s="1">
        <v>44917</v>
      </c>
      <c r="C3125" t="s">
        <v>25</v>
      </c>
      <c r="D3125" t="s">
        <v>38</v>
      </c>
      <c r="E3125" t="s">
        <v>12</v>
      </c>
      <c r="F3125">
        <v>741.63</v>
      </c>
      <c r="G3125">
        <v>57.63</v>
      </c>
      <c r="H3125" t="s">
        <v>28</v>
      </c>
      <c r="I3125" t="s">
        <v>34</v>
      </c>
    </row>
    <row r="3126" spans="1:9" x14ac:dyDescent="0.35">
      <c r="A3126" t="s">
        <v>3162</v>
      </c>
      <c r="B3126" s="1">
        <v>44577</v>
      </c>
      <c r="C3126" t="s">
        <v>16</v>
      </c>
      <c r="D3126" t="s">
        <v>26</v>
      </c>
      <c r="E3126" t="s">
        <v>27</v>
      </c>
      <c r="F3126">
        <v>1803.02</v>
      </c>
      <c r="G3126">
        <v>173.75</v>
      </c>
      <c r="H3126" t="s">
        <v>13</v>
      </c>
      <c r="I3126" t="s">
        <v>14</v>
      </c>
    </row>
    <row r="3127" spans="1:9" x14ac:dyDescent="0.35">
      <c r="A3127" t="s">
        <v>3163</v>
      </c>
      <c r="B3127" s="1">
        <v>44851</v>
      </c>
      <c r="C3127" t="s">
        <v>16</v>
      </c>
      <c r="D3127" t="s">
        <v>11</v>
      </c>
      <c r="E3127" t="s">
        <v>12</v>
      </c>
      <c r="F3127">
        <v>1609.67</v>
      </c>
      <c r="G3127">
        <v>302.95999999999998</v>
      </c>
      <c r="H3127" t="s">
        <v>13</v>
      </c>
      <c r="I3127" t="s">
        <v>34</v>
      </c>
    </row>
    <row r="3128" spans="1:9" x14ac:dyDescent="0.35">
      <c r="A3128" t="s">
        <v>3164</v>
      </c>
      <c r="B3128" s="1">
        <v>44974</v>
      </c>
      <c r="C3128" t="s">
        <v>10</v>
      </c>
      <c r="D3128" t="s">
        <v>57</v>
      </c>
      <c r="E3128" t="s">
        <v>27</v>
      </c>
      <c r="F3128">
        <v>1530.7</v>
      </c>
      <c r="G3128">
        <v>194.01</v>
      </c>
      <c r="H3128" t="s">
        <v>19</v>
      </c>
      <c r="I3128" t="s">
        <v>14</v>
      </c>
    </row>
    <row r="3129" spans="1:9" x14ac:dyDescent="0.35">
      <c r="A3129" t="s">
        <v>3165</v>
      </c>
      <c r="B3129" s="1">
        <v>44769</v>
      </c>
      <c r="C3129" t="s">
        <v>16</v>
      </c>
      <c r="D3129" t="s">
        <v>95</v>
      </c>
      <c r="E3129" t="s">
        <v>18</v>
      </c>
      <c r="F3129">
        <v>1122.6300000000001</v>
      </c>
      <c r="G3129">
        <v>79.709999999999994</v>
      </c>
      <c r="H3129" t="s">
        <v>28</v>
      </c>
      <c r="I3129" t="s">
        <v>34</v>
      </c>
    </row>
    <row r="3130" spans="1:9" x14ac:dyDescent="0.35">
      <c r="A3130" t="s">
        <v>3166</v>
      </c>
      <c r="B3130" s="1">
        <v>45529</v>
      </c>
      <c r="C3130" t="s">
        <v>22</v>
      </c>
      <c r="D3130" t="s">
        <v>73</v>
      </c>
      <c r="E3130" t="s">
        <v>27</v>
      </c>
      <c r="F3130">
        <v>694.1</v>
      </c>
      <c r="G3130">
        <v>91.39</v>
      </c>
      <c r="H3130" t="s">
        <v>28</v>
      </c>
      <c r="I3130" t="s">
        <v>14</v>
      </c>
    </row>
    <row r="3131" spans="1:9" x14ac:dyDescent="0.35">
      <c r="A3131" t="s">
        <v>3167</v>
      </c>
      <c r="B3131" s="1">
        <v>44978</v>
      </c>
      <c r="C3131" t="s">
        <v>10</v>
      </c>
      <c r="D3131" t="s">
        <v>26</v>
      </c>
      <c r="E3131" t="s">
        <v>27</v>
      </c>
      <c r="F3131">
        <v>1404.26</v>
      </c>
      <c r="G3131">
        <v>145.77000000000001</v>
      </c>
      <c r="H3131" t="s">
        <v>13</v>
      </c>
      <c r="I3131" t="s">
        <v>14</v>
      </c>
    </row>
    <row r="3132" spans="1:9" x14ac:dyDescent="0.35">
      <c r="A3132" t="s">
        <v>3168</v>
      </c>
      <c r="B3132" s="1">
        <v>45127</v>
      </c>
      <c r="C3132" t="s">
        <v>22</v>
      </c>
      <c r="D3132" t="s">
        <v>95</v>
      </c>
      <c r="E3132" t="s">
        <v>18</v>
      </c>
      <c r="F3132">
        <v>837.62</v>
      </c>
      <c r="G3132">
        <v>154.88</v>
      </c>
      <c r="H3132" t="s">
        <v>19</v>
      </c>
      <c r="I3132" t="s">
        <v>14</v>
      </c>
    </row>
    <row r="3133" spans="1:9" x14ac:dyDescent="0.35">
      <c r="A3133" t="s">
        <v>3169</v>
      </c>
      <c r="B3133" s="1">
        <v>45522</v>
      </c>
      <c r="C3133" t="s">
        <v>16</v>
      </c>
      <c r="D3133" t="s">
        <v>38</v>
      </c>
      <c r="E3133" t="s">
        <v>12</v>
      </c>
      <c r="F3133">
        <v>756.52</v>
      </c>
      <c r="G3133">
        <v>187.65</v>
      </c>
      <c r="H3133" t="s">
        <v>13</v>
      </c>
      <c r="I3133" t="s">
        <v>20</v>
      </c>
    </row>
    <row r="3134" spans="1:9" x14ac:dyDescent="0.35">
      <c r="A3134" t="s">
        <v>3170</v>
      </c>
      <c r="B3134" s="1">
        <v>45011</v>
      </c>
      <c r="C3134" t="s">
        <v>16</v>
      </c>
      <c r="D3134" t="s">
        <v>41</v>
      </c>
      <c r="E3134" t="s">
        <v>12</v>
      </c>
      <c r="F3134">
        <v>1018.23</v>
      </c>
      <c r="G3134">
        <v>265.3</v>
      </c>
      <c r="H3134" t="s">
        <v>19</v>
      </c>
      <c r="I3134" t="s">
        <v>34</v>
      </c>
    </row>
    <row r="3135" spans="1:9" x14ac:dyDescent="0.35">
      <c r="A3135" t="s">
        <v>3171</v>
      </c>
      <c r="B3135" s="1">
        <v>45455</v>
      </c>
      <c r="C3135" t="s">
        <v>22</v>
      </c>
      <c r="D3135" t="s">
        <v>50</v>
      </c>
      <c r="E3135" t="s">
        <v>12</v>
      </c>
      <c r="F3135">
        <v>1898.64</v>
      </c>
      <c r="G3135">
        <v>161.94</v>
      </c>
      <c r="H3135" t="s">
        <v>19</v>
      </c>
      <c r="I3135" t="s">
        <v>20</v>
      </c>
    </row>
    <row r="3136" spans="1:9" x14ac:dyDescent="0.35">
      <c r="A3136" t="s">
        <v>3172</v>
      </c>
      <c r="B3136" s="1">
        <v>45514</v>
      </c>
      <c r="C3136" t="s">
        <v>10</v>
      </c>
      <c r="D3136" t="s">
        <v>17</v>
      </c>
      <c r="E3136" t="s">
        <v>18</v>
      </c>
      <c r="F3136">
        <v>629.85</v>
      </c>
      <c r="G3136">
        <v>69.290000000000006</v>
      </c>
      <c r="H3136" t="s">
        <v>28</v>
      </c>
      <c r="I3136" t="s">
        <v>14</v>
      </c>
    </row>
    <row r="3137" spans="1:9" x14ac:dyDescent="0.35">
      <c r="A3137" t="s">
        <v>3173</v>
      </c>
      <c r="B3137" s="1">
        <v>44983</v>
      </c>
      <c r="C3137" t="s">
        <v>10</v>
      </c>
      <c r="D3137" t="s">
        <v>62</v>
      </c>
      <c r="E3137" t="s">
        <v>27</v>
      </c>
      <c r="F3137">
        <v>137.33000000000001</v>
      </c>
      <c r="G3137">
        <v>19.78</v>
      </c>
      <c r="H3137" t="s">
        <v>28</v>
      </c>
      <c r="I3137" t="s">
        <v>29</v>
      </c>
    </row>
    <row r="3138" spans="1:9" x14ac:dyDescent="0.35">
      <c r="A3138" t="s">
        <v>3174</v>
      </c>
      <c r="B3138" s="1">
        <v>44681</v>
      </c>
      <c r="C3138" t="s">
        <v>22</v>
      </c>
      <c r="D3138" t="s">
        <v>11</v>
      </c>
      <c r="E3138" t="s">
        <v>12</v>
      </c>
      <c r="F3138">
        <v>1703.8</v>
      </c>
      <c r="G3138">
        <v>327.02999999999997</v>
      </c>
      <c r="H3138" t="s">
        <v>28</v>
      </c>
      <c r="I3138" t="s">
        <v>14</v>
      </c>
    </row>
    <row r="3139" spans="1:9" x14ac:dyDescent="0.35">
      <c r="A3139" t="s">
        <v>3175</v>
      </c>
      <c r="B3139" s="1">
        <v>45311</v>
      </c>
      <c r="C3139" t="s">
        <v>10</v>
      </c>
      <c r="D3139" t="s">
        <v>50</v>
      </c>
      <c r="E3139" t="s">
        <v>12</v>
      </c>
      <c r="F3139">
        <v>469.63</v>
      </c>
      <c r="G3139">
        <v>69.400000000000006</v>
      </c>
      <c r="H3139" t="s">
        <v>19</v>
      </c>
      <c r="I3139" t="s">
        <v>20</v>
      </c>
    </row>
    <row r="3140" spans="1:9" x14ac:dyDescent="0.35">
      <c r="A3140" t="s">
        <v>3176</v>
      </c>
      <c r="B3140" s="1">
        <v>44718</v>
      </c>
      <c r="C3140" t="s">
        <v>22</v>
      </c>
      <c r="D3140" t="s">
        <v>95</v>
      </c>
      <c r="E3140" t="s">
        <v>18</v>
      </c>
      <c r="F3140">
        <v>1876.07</v>
      </c>
      <c r="G3140">
        <v>268.56</v>
      </c>
      <c r="H3140" t="s">
        <v>19</v>
      </c>
      <c r="I3140" t="s">
        <v>29</v>
      </c>
    </row>
    <row r="3141" spans="1:9" x14ac:dyDescent="0.35">
      <c r="A3141" t="s">
        <v>3177</v>
      </c>
      <c r="B3141" s="1">
        <v>44853</v>
      </c>
      <c r="C3141" t="s">
        <v>25</v>
      </c>
      <c r="D3141" t="s">
        <v>11</v>
      </c>
      <c r="E3141" t="s">
        <v>12</v>
      </c>
      <c r="F3141">
        <v>274.33999999999997</v>
      </c>
      <c r="G3141">
        <v>45.98</v>
      </c>
      <c r="H3141" t="s">
        <v>19</v>
      </c>
      <c r="I3141" t="s">
        <v>14</v>
      </c>
    </row>
    <row r="3142" spans="1:9" x14ac:dyDescent="0.35">
      <c r="A3142" t="s">
        <v>3178</v>
      </c>
      <c r="B3142" s="1">
        <v>45175</v>
      </c>
      <c r="C3142" t="s">
        <v>10</v>
      </c>
      <c r="D3142" t="s">
        <v>57</v>
      </c>
      <c r="E3142" t="s">
        <v>27</v>
      </c>
      <c r="F3142">
        <v>87.13</v>
      </c>
      <c r="G3142">
        <v>10.74</v>
      </c>
      <c r="H3142" t="s">
        <v>13</v>
      </c>
      <c r="I3142" t="s">
        <v>14</v>
      </c>
    </row>
    <row r="3143" spans="1:9" x14ac:dyDescent="0.35">
      <c r="A3143" t="s">
        <v>3179</v>
      </c>
      <c r="B3143" s="1">
        <v>44684</v>
      </c>
      <c r="C3143" t="s">
        <v>25</v>
      </c>
      <c r="D3143" t="s">
        <v>26</v>
      </c>
      <c r="E3143" t="s">
        <v>27</v>
      </c>
      <c r="F3143">
        <v>323.92</v>
      </c>
      <c r="G3143">
        <v>91.71</v>
      </c>
      <c r="H3143" t="s">
        <v>28</v>
      </c>
      <c r="I3143" t="s">
        <v>20</v>
      </c>
    </row>
    <row r="3144" spans="1:9" x14ac:dyDescent="0.35">
      <c r="A3144" t="s">
        <v>3180</v>
      </c>
      <c r="B3144" s="1">
        <v>45200</v>
      </c>
      <c r="C3144" t="s">
        <v>22</v>
      </c>
      <c r="D3144" t="s">
        <v>46</v>
      </c>
      <c r="E3144" t="s">
        <v>18</v>
      </c>
      <c r="F3144">
        <v>905</v>
      </c>
      <c r="G3144">
        <v>184.41</v>
      </c>
      <c r="H3144" t="s">
        <v>13</v>
      </c>
      <c r="I3144" t="s">
        <v>29</v>
      </c>
    </row>
    <row r="3145" spans="1:9" x14ac:dyDescent="0.35">
      <c r="A3145" t="s">
        <v>3181</v>
      </c>
      <c r="B3145" s="1">
        <v>44651</v>
      </c>
      <c r="C3145" t="s">
        <v>16</v>
      </c>
      <c r="D3145" t="s">
        <v>38</v>
      </c>
      <c r="E3145" t="s">
        <v>12</v>
      </c>
      <c r="F3145">
        <v>647.96</v>
      </c>
      <c r="G3145">
        <v>185.61</v>
      </c>
      <c r="H3145" t="s">
        <v>19</v>
      </c>
      <c r="I3145" t="s">
        <v>34</v>
      </c>
    </row>
    <row r="3146" spans="1:9" x14ac:dyDescent="0.35">
      <c r="A3146" t="s">
        <v>3182</v>
      </c>
      <c r="B3146" s="1">
        <v>45606</v>
      </c>
      <c r="C3146" t="s">
        <v>22</v>
      </c>
      <c r="D3146" t="s">
        <v>23</v>
      </c>
      <c r="E3146" t="s">
        <v>18</v>
      </c>
      <c r="F3146">
        <v>1033.31</v>
      </c>
      <c r="G3146">
        <v>127.04</v>
      </c>
      <c r="H3146" t="s">
        <v>28</v>
      </c>
      <c r="I3146" t="s">
        <v>34</v>
      </c>
    </row>
    <row r="3147" spans="1:9" x14ac:dyDescent="0.35">
      <c r="A3147" t="s">
        <v>3183</v>
      </c>
      <c r="B3147" s="1">
        <v>45566</v>
      </c>
      <c r="C3147" t="s">
        <v>10</v>
      </c>
      <c r="D3147" t="s">
        <v>26</v>
      </c>
      <c r="E3147" t="s">
        <v>27</v>
      </c>
      <c r="F3147">
        <v>898.51</v>
      </c>
      <c r="G3147">
        <v>176.26</v>
      </c>
      <c r="H3147" t="s">
        <v>28</v>
      </c>
      <c r="I3147" t="s">
        <v>34</v>
      </c>
    </row>
    <row r="3148" spans="1:9" x14ac:dyDescent="0.35">
      <c r="A3148" t="s">
        <v>3184</v>
      </c>
      <c r="B3148" s="1">
        <v>45014</v>
      </c>
      <c r="C3148" t="s">
        <v>25</v>
      </c>
      <c r="D3148" t="s">
        <v>50</v>
      </c>
      <c r="E3148" t="s">
        <v>12</v>
      </c>
      <c r="F3148">
        <v>359.45</v>
      </c>
      <c r="G3148">
        <v>51.96</v>
      </c>
      <c r="H3148" t="s">
        <v>28</v>
      </c>
      <c r="I3148" t="s">
        <v>34</v>
      </c>
    </row>
    <row r="3149" spans="1:9" x14ac:dyDescent="0.35">
      <c r="A3149" t="s">
        <v>3185</v>
      </c>
      <c r="B3149" s="1">
        <v>45305</v>
      </c>
      <c r="C3149" t="s">
        <v>16</v>
      </c>
      <c r="D3149" t="s">
        <v>33</v>
      </c>
      <c r="E3149" t="s">
        <v>18</v>
      </c>
      <c r="F3149">
        <v>1779.34</v>
      </c>
      <c r="G3149">
        <v>507.96</v>
      </c>
      <c r="H3149" t="s">
        <v>19</v>
      </c>
      <c r="I3149" t="s">
        <v>29</v>
      </c>
    </row>
    <row r="3150" spans="1:9" x14ac:dyDescent="0.35">
      <c r="A3150" t="s">
        <v>3186</v>
      </c>
      <c r="B3150" s="1">
        <v>44796</v>
      </c>
      <c r="C3150" t="s">
        <v>16</v>
      </c>
      <c r="D3150" t="s">
        <v>11</v>
      </c>
      <c r="E3150" t="s">
        <v>12</v>
      </c>
      <c r="F3150">
        <v>1978.24</v>
      </c>
      <c r="G3150">
        <v>356.1</v>
      </c>
      <c r="H3150" t="s">
        <v>13</v>
      </c>
      <c r="I3150" t="s">
        <v>34</v>
      </c>
    </row>
    <row r="3151" spans="1:9" x14ac:dyDescent="0.35">
      <c r="A3151" t="s">
        <v>3187</v>
      </c>
      <c r="B3151" s="1">
        <v>45583</v>
      </c>
      <c r="C3151" t="s">
        <v>22</v>
      </c>
      <c r="D3151" t="s">
        <v>97</v>
      </c>
      <c r="E3151" t="s">
        <v>27</v>
      </c>
      <c r="F3151">
        <v>1466.37</v>
      </c>
      <c r="G3151">
        <v>191.91</v>
      </c>
      <c r="H3151" t="s">
        <v>28</v>
      </c>
      <c r="I3151" t="s">
        <v>34</v>
      </c>
    </row>
    <row r="3152" spans="1:9" x14ac:dyDescent="0.35">
      <c r="A3152" t="s">
        <v>3188</v>
      </c>
      <c r="B3152" s="1">
        <v>45171</v>
      </c>
      <c r="C3152" t="s">
        <v>16</v>
      </c>
      <c r="D3152" t="s">
        <v>62</v>
      </c>
      <c r="E3152" t="s">
        <v>27</v>
      </c>
      <c r="F3152">
        <v>1103.0999999999999</v>
      </c>
      <c r="G3152">
        <v>170.62</v>
      </c>
      <c r="H3152" t="s">
        <v>19</v>
      </c>
      <c r="I3152" t="s">
        <v>29</v>
      </c>
    </row>
    <row r="3153" spans="1:9" x14ac:dyDescent="0.35">
      <c r="A3153" t="s">
        <v>3189</v>
      </c>
      <c r="B3153" s="1">
        <v>45319</v>
      </c>
      <c r="C3153" t="s">
        <v>16</v>
      </c>
      <c r="D3153" t="s">
        <v>17</v>
      </c>
      <c r="E3153" t="s">
        <v>18</v>
      </c>
      <c r="F3153">
        <v>358.67</v>
      </c>
      <c r="G3153">
        <v>43.09</v>
      </c>
      <c r="H3153" t="s">
        <v>28</v>
      </c>
      <c r="I3153" t="s">
        <v>29</v>
      </c>
    </row>
    <row r="3154" spans="1:9" x14ac:dyDescent="0.35">
      <c r="A3154" t="s">
        <v>3190</v>
      </c>
      <c r="B3154" s="1">
        <v>45178</v>
      </c>
      <c r="C3154" t="s">
        <v>22</v>
      </c>
      <c r="D3154" t="s">
        <v>26</v>
      </c>
      <c r="E3154" t="s">
        <v>27</v>
      </c>
      <c r="F3154">
        <v>976.65</v>
      </c>
      <c r="G3154">
        <v>277.72000000000003</v>
      </c>
      <c r="H3154" t="s">
        <v>19</v>
      </c>
      <c r="I3154" t="s">
        <v>20</v>
      </c>
    </row>
    <row r="3155" spans="1:9" x14ac:dyDescent="0.35">
      <c r="A3155" t="s">
        <v>3191</v>
      </c>
      <c r="B3155" s="1">
        <v>44819</v>
      </c>
      <c r="C3155" t="s">
        <v>22</v>
      </c>
      <c r="D3155" t="s">
        <v>33</v>
      </c>
      <c r="E3155" t="s">
        <v>18</v>
      </c>
      <c r="F3155">
        <v>851.09</v>
      </c>
      <c r="G3155">
        <v>142.04</v>
      </c>
      <c r="H3155" t="s">
        <v>28</v>
      </c>
      <c r="I3155" t="s">
        <v>34</v>
      </c>
    </row>
    <row r="3156" spans="1:9" x14ac:dyDescent="0.35">
      <c r="A3156" t="s">
        <v>3192</v>
      </c>
      <c r="B3156" s="1">
        <v>44866</v>
      </c>
      <c r="C3156" t="s">
        <v>22</v>
      </c>
      <c r="D3156" t="s">
        <v>31</v>
      </c>
      <c r="E3156" t="s">
        <v>12</v>
      </c>
      <c r="F3156">
        <v>1177.07</v>
      </c>
      <c r="G3156">
        <v>316.38</v>
      </c>
      <c r="H3156" t="s">
        <v>28</v>
      </c>
      <c r="I3156" t="s">
        <v>29</v>
      </c>
    </row>
    <row r="3157" spans="1:9" x14ac:dyDescent="0.35">
      <c r="A3157" t="s">
        <v>3193</v>
      </c>
      <c r="B3157" s="1">
        <v>45293</v>
      </c>
      <c r="C3157" t="s">
        <v>16</v>
      </c>
      <c r="D3157" t="s">
        <v>26</v>
      </c>
      <c r="E3157" t="s">
        <v>27</v>
      </c>
      <c r="F3157">
        <v>606.85</v>
      </c>
      <c r="G3157">
        <v>63.6</v>
      </c>
      <c r="H3157" t="s">
        <v>13</v>
      </c>
      <c r="I3157" t="s">
        <v>14</v>
      </c>
    </row>
    <row r="3158" spans="1:9" x14ac:dyDescent="0.35">
      <c r="A3158" t="s">
        <v>3194</v>
      </c>
      <c r="B3158" s="1">
        <v>44881</v>
      </c>
      <c r="C3158" t="s">
        <v>22</v>
      </c>
      <c r="D3158" t="s">
        <v>31</v>
      </c>
      <c r="E3158" t="s">
        <v>12</v>
      </c>
      <c r="F3158">
        <v>1010.99</v>
      </c>
      <c r="G3158">
        <v>81.73</v>
      </c>
      <c r="H3158" t="s">
        <v>13</v>
      </c>
      <c r="I3158" t="s">
        <v>34</v>
      </c>
    </row>
    <row r="3159" spans="1:9" x14ac:dyDescent="0.35">
      <c r="A3159" t="s">
        <v>3195</v>
      </c>
      <c r="B3159" s="1">
        <v>45280</v>
      </c>
      <c r="C3159" t="s">
        <v>10</v>
      </c>
      <c r="D3159" t="s">
        <v>31</v>
      </c>
      <c r="E3159" t="s">
        <v>12</v>
      </c>
      <c r="F3159">
        <v>1904.66</v>
      </c>
      <c r="G3159">
        <v>474.54</v>
      </c>
      <c r="H3159" t="s">
        <v>28</v>
      </c>
      <c r="I3159" t="s">
        <v>20</v>
      </c>
    </row>
    <row r="3160" spans="1:9" x14ac:dyDescent="0.35">
      <c r="A3160" t="s">
        <v>3196</v>
      </c>
      <c r="B3160" s="1">
        <v>45457</v>
      </c>
      <c r="C3160" t="s">
        <v>22</v>
      </c>
      <c r="D3160" t="s">
        <v>46</v>
      </c>
      <c r="E3160" t="s">
        <v>18</v>
      </c>
      <c r="F3160">
        <v>1746.44</v>
      </c>
      <c r="G3160">
        <v>393.2</v>
      </c>
      <c r="H3160" t="s">
        <v>13</v>
      </c>
      <c r="I3160" t="s">
        <v>20</v>
      </c>
    </row>
    <row r="3161" spans="1:9" x14ac:dyDescent="0.35">
      <c r="A3161" t="s">
        <v>3197</v>
      </c>
      <c r="B3161" s="1">
        <v>45148</v>
      </c>
      <c r="C3161" t="s">
        <v>16</v>
      </c>
      <c r="D3161" t="s">
        <v>38</v>
      </c>
      <c r="E3161" t="s">
        <v>12</v>
      </c>
      <c r="F3161">
        <v>1991.25</v>
      </c>
      <c r="G3161">
        <v>414.21</v>
      </c>
      <c r="H3161" t="s">
        <v>19</v>
      </c>
      <c r="I3161" t="s">
        <v>20</v>
      </c>
    </row>
    <row r="3162" spans="1:9" x14ac:dyDescent="0.35">
      <c r="A3162" t="s">
        <v>3198</v>
      </c>
      <c r="B3162" s="1">
        <v>44851</v>
      </c>
      <c r="C3162" t="s">
        <v>10</v>
      </c>
      <c r="D3162" t="s">
        <v>11</v>
      </c>
      <c r="E3162" t="s">
        <v>12</v>
      </c>
      <c r="F3162">
        <v>1735.54</v>
      </c>
      <c r="G3162">
        <v>142.5</v>
      </c>
      <c r="H3162" t="s">
        <v>28</v>
      </c>
      <c r="I3162" t="s">
        <v>29</v>
      </c>
    </row>
    <row r="3163" spans="1:9" x14ac:dyDescent="0.35">
      <c r="A3163" t="s">
        <v>3199</v>
      </c>
      <c r="B3163" s="1">
        <v>45618</v>
      </c>
      <c r="C3163" t="s">
        <v>25</v>
      </c>
      <c r="D3163" t="s">
        <v>23</v>
      </c>
      <c r="E3163" t="s">
        <v>18</v>
      </c>
      <c r="F3163">
        <v>1721.87</v>
      </c>
      <c r="G3163">
        <v>136.03</v>
      </c>
      <c r="H3163" t="s">
        <v>28</v>
      </c>
      <c r="I3163" t="s">
        <v>29</v>
      </c>
    </row>
    <row r="3164" spans="1:9" x14ac:dyDescent="0.35">
      <c r="A3164" t="s">
        <v>3200</v>
      </c>
      <c r="B3164" s="1">
        <v>45042</v>
      </c>
      <c r="C3164" t="s">
        <v>25</v>
      </c>
      <c r="D3164" t="s">
        <v>57</v>
      </c>
      <c r="E3164" t="s">
        <v>27</v>
      </c>
      <c r="F3164">
        <v>1315.7</v>
      </c>
      <c r="G3164">
        <v>100.8</v>
      </c>
      <c r="H3164" t="s">
        <v>13</v>
      </c>
      <c r="I3164" t="s">
        <v>20</v>
      </c>
    </row>
    <row r="3165" spans="1:9" x14ac:dyDescent="0.35">
      <c r="A3165" t="s">
        <v>3201</v>
      </c>
      <c r="B3165" s="1">
        <v>45124</v>
      </c>
      <c r="C3165" t="s">
        <v>16</v>
      </c>
      <c r="D3165" t="s">
        <v>26</v>
      </c>
      <c r="E3165" t="s">
        <v>27</v>
      </c>
      <c r="F3165">
        <v>1114.04</v>
      </c>
      <c r="G3165">
        <v>222.62</v>
      </c>
      <c r="H3165" t="s">
        <v>28</v>
      </c>
      <c r="I3165" t="s">
        <v>29</v>
      </c>
    </row>
    <row r="3166" spans="1:9" x14ac:dyDescent="0.35">
      <c r="A3166" t="s">
        <v>3202</v>
      </c>
      <c r="B3166" s="1">
        <v>45329</v>
      </c>
      <c r="C3166" t="s">
        <v>22</v>
      </c>
      <c r="D3166" t="s">
        <v>23</v>
      </c>
      <c r="E3166" t="s">
        <v>18</v>
      </c>
      <c r="F3166">
        <v>1029.01</v>
      </c>
      <c r="G3166">
        <v>97.24</v>
      </c>
      <c r="H3166" t="s">
        <v>19</v>
      </c>
      <c r="I3166" t="s">
        <v>20</v>
      </c>
    </row>
    <row r="3167" spans="1:9" x14ac:dyDescent="0.35">
      <c r="A3167" t="s">
        <v>3203</v>
      </c>
      <c r="B3167" s="1">
        <v>44790</v>
      </c>
      <c r="C3167" t="s">
        <v>10</v>
      </c>
      <c r="D3167" t="s">
        <v>57</v>
      </c>
      <c r="E3167" t="s">
        <v>27</v>
      </c>
      <c r="F3167">
        <v>674.72</v>
      </c>
      <c r="G3167">
        <v>125.2</v>
      </c>
      <c r="H3167" t="s">
        <v>28</v>
      </c>
      <c r="I3167" t="s">
        <v>34</v>
      </c>
    </row>
    <row r="3168" spans="1:9" x14ac:dyDescent="0.35">
      <c r="A3168" t="s">
        <v>3204</v>
      </c>
      <c r="B3168" s="1">
        <v>44726</v>
      </c>
      <c r="C3168" t="s">
        <v>16</v>
      </c>
      <c r="D3168" t="s">
        <v>26</v>
      </c>
      <c r="E3168" t="s">
        <v>27</v>
      </c>
      <c r="F3168">
        <v>493.94</v>
      </c>
      <c r="G3168">
        <v>34.840000000000003</v>
      </c>
      <c r="H3168" t="s">
        <v>13</v>
      </c>
      <c r="I3168" t="s">
        <v>20</v>
      </c>
    </row>
    <row r="3169" spans="1:9" x14ac:dyDescent="0.35">
      <c r="A3169" t="s">
        <v>3205</v>
      </c>
      <c r="B3169" s="1">
        <v>45429</v>
      </c>
      <c r="C3169" t="s">
        <v>22</v>
      </c>
      <c r="D3169" t="s">
        <v>26</v>
      </c>
      <c r="E3169" t="s">
        <v>27</v>
      </c>
      <c r="F3169">
        <v>102.63</v>
      </c>
      <c r="G3169">
        <v>12.43</v>
      </c>
      <c r="H3169" t="s">
        <v>13</v>
      </c>
      <c r="I3169" t="s">
        <v>20</v>
      </c>
    </row>
    <row r="3170" spans="1:9" x14ac:dyDescent="0.35">
      <c r="A3170" t="s">
        <v>3206</v>
      </c>
      <c r="B3170" s="1">
        <v>45195</v>
      </c>
      <c r="C3170" t="s">
        <v>10</v>
      </c>
      <c r="D3170" t="s">
        <v>46</v>
      </c>
      <c r="E3170" t="s">
        <v>18</v>
      </c>
      <c r="F3170">
        <v>859.3</v>
      </c>
      <c r="G3170">
        <v>229.69</v>
      </c>
      <c r="H3170" t="s">
        <v>28</v>
      </c>
      <c r="I3170" t="s">
        <v>29</v>
      </c>
    </row>
    <row r="3171" spans="1:9" x14ac:dyDescent="0.35">
      <c r="A3171" t="s">
        <v>3207</v>
      </c>
      <c r="B3171" s="1">
        <v>45108</v>
      </c>
      <c r="C3171" t="s">
        <v>16</v>
      </c>
      <c r="D3171" t="s">
        <v>38</v>
      </c>
      <c r="E3171" t="s">
        <v>12</v>
      </c>
      <c r="F3171">
        <v>130.09</v>
      </c>
      <c r="G3171">
        <v>14.61</v>
      </c>
      <c r="H3171" t="s">
        <v>19</v>
      </c>
      <c r="I3171" t="s">
        <v>34</v>
      </c>
    </row>
    <row r="3172" spans="1:9" x14ac:dyDescent="0.35">
      <c r="A3172" t="s">
        <v>3208</v>
      </c>
      <c r="B3172" s="1">
        <v>45516</v>
      </c>
      <c r="C3172" t="s">
        <v>25</v>
      </c>
      <c r="D3172" t="s">
        <v>17</v>
      </c>
      <c r="E3172" t="s">
        <v>18</v>
      </c>
      <c r="F3172">
        <v>1519.54</v>
      </c>
      <c r="G3172">
        <v>176.83</v>
      </c>
      <c r="H3172" t="s">
        <v>13</v>
      </c>
      <c r="I3172" t="s">
        <v>14</v>
      </c>
    </row>
    <row r="3173" spans="1:9" x14ac:dyDescent="0.35">
      <c r="A3173" t="s">
        <v>3209</v>
      </c>
      <c r="B3173" s="1">
        <v>44635</v>
      </c>
      <c r="C3173" t="s">
        <v>16</v>
      </c>
      <c r="D3173" t="s">
        <v>73</v>
      </c>
      <c r="E3173" t="s">
        <v>27</v>
      </c>
      <c r="F3173">
        <v>1515.98</v>
      </c>
      <c r="G3173">
        <v>332.22</v>
      </c>
      <c r="H3173" t="s">
        <v>19</v>
      </c>
      <c r="I3173" t="s">
        <v>20</v>
      </c>
    </row>
    <row r="3174" spans="1:9" x14ac:dyDescent="0.35">
      <c r="A3174" t="s">
        <v>3210</v>
      </c>
      <c r="B3174" s="1">
        <v>45539</v>
      </c>
      <c r="C3174" t="s">
        <v>10</v>
      </c>
      <c r="D3174" t="s">
        <v>46</v>
      </c>
      <c r="E3174" t="s">
        <v>18</v>
      </c>
      <c r="F3174">
        <v>1501.81</v>
      </c>
      <c r="G3174">
        <v>367.43</v>
      </c>
      <c r="H3174" t="s">
        <v>13</v>
      </c>
      <c r="I3174" t="s">
        <v>29</v>
      </c>
    </row>
    <row r="3175" spans="1:9" x14ac:dyDescent="0.35">
      <c r="A3175" t="s">
        <v>3211</v>
      </c>
      <c r="B3175" s="1">
        <v>44974</v>
      </c>
      <c r="C3175" t="s">
        <v>16</v>
      </c>
      <c r="D3175" t="s">
        <v>62</v>
      </c>
      <c r="E3175" t="s">
        <v>27</v>
      </c>
      <c r="F3175">
        <v>242.05</v>
      </c>
      <c r="G3175">
        <v>47.61</v>
      </c>
      <c r="H3175" t="s">
        <v>13</v>
      </c>
      <c r="I3175" t="s">
        <v>20</v>
      </c>
    </row>
    <row r="3176" spans="1:9" x14ac:dyDescent="0.35">
      <c r="A3176" t="s">
        <v>3212</v>
      </c>
      <c r="B3176" s="1">
        <v>45360</v>
      </c>
      <c r="C3176" t="s">
        <v>10</v>
      </c>
      <c r="D3176" t="s">
        <v>50</v>
      </c>
      <c r="E3176" t="s">
        <v>12</v>
      </c>
      <c r="F3176">
        <v>622.19000000000005</v>
      </c>
      <c r="G3176">
        <v>48.73</v>
      </c>
      <c r="H3176" t="s">
        <v>13</v>
      </c>
      <c r="I3176" t="s">
        <v>14</v>
      </c>
    </row>
    <row r="3177" spans="1:9" x14ac:dyDescent="0.35">
      <c r="A3177" t="s">
        <v>3213</v>
      </c>
      <c r="B3177" s="1">
        <v>45195</v>
      </c>
      <c r="C3177" t="s">
        <v>22</v>
      </c>
      <c r="D3177" t="s">
        <v>31</v>
      </c>
      <c r="E3177" t="s">
        <v>12</v>
      </c>
      <c r="F3177">
        <v>1621.72</v>
      </c>
      <c r="G3177">
        <v>483.49</v>
      </c>
      <c r="H3177" t="s">
        <v>28</v>
      </c>
      <c r="I3177" t="s">
        <v>34</v>
      </c>
    </row>
    <row r="3178" spans="1:9" x14ac:dyDescent="0.35">
      <c r="A3178" t="s">
        <v>3214</v>
      </c>
      <c r="B3178" s="1">
        <v>45109</v>
      </c>
      <c r="C3178" t="s">
        <v>25</v>
      </c>
      <c r="D3178" t="s">
        <v>50</v>
      </c>
      <c r="E3178" t="s">
        <v>12</v>
      </c>
      <c r="F3178">
        <v>658.02</v>
      </c>
      <c r="G3178">
        <v>162.59</v>
      </c>
      <c r="H3178" t="s">
        <v>28</v>
      </c>
      <c r="I3178" t="s">
        <v>20</v>
      </c>
    </row>
    <row r="3179" spans="1:9" x14ac:dyDescent="0.35">
      <c r="A3179" t="s">
        <v>3215</v>
      </c>
      <c r="B3179" s="1">
        <v>45417</v>
      </c>
      <c r="C3179" t="s">
        <v>25</v>
      </c>
      <c r="D3179" t="s">
        <v>31</v>
      </c>
      <c r="E3179" t="s">
        <v>12</v>
      </c>
      <c r="F3179">
        <v>502.7</v>
      </c>
      <c r="G3179">
        <v>39.520000000000003</v>
      </c>
      <c r="H3179" t="s">
        <v>13</v>
      </c>
      <c r="I3179" t="s">
        <v>34</v>
      </c>
    </row>
    <row r="3180" spans="1:9" x14ac:dyDescent="0.35">
      <c r="A3180" t="s">
        <v>3216</v>
      </c>
      <c r="B3180" s="1">
        <v>45424</v>
      </c>
      <c r="C3180" t="s">
        <v>25</v>
      </c>
      <c r="D3180" t="s">
        <v>38</v>
      </c>
      <c r="E3180" t="s">
        <v>12</v>
      </c>
      <c r="F3180">
        <v>374.88</v>
      </c>
      <c r="G3180">
        <v>22.03</v>
      </c>
      <c r="H3180" t="s">
        <v>19</v>
      </c>
      <c r="I3180" t="s">
        <v>14</v>
      </c>
    </row>
    <row r="3181" spans="1:9" x14ac:dyDescent="0.35">
      <c r="A3181" t="s">
        <v>3217</v>
      </c>
      <c r="B3181" s="1">
        <v>44610</v>
      </c>
      <c r="C3181" t="s">
        <v>25</v>
      </c>
      <c r="D3181" t="s">
        <v>31</v>
      </c>
      <c r="E3181" t="s">
        <v>12</v>
      </c>
      <c r="F3181">
        <v>169.03</v>
      </c>
      <c r="G3181">
        <v>31.53</v>
      </c>
      <c r="H3181" t="s">
        <v>13</v>
      </c>
      <c r="I3181" t="s">
        <v>29</v>
      </c>
    </row>
    <row r="3182" spans="1:9" x14ac:dyDescent="0.35">
      <c r="A3182" t="s">
        <v>3218</v>
      </c>
      <c r="B3182" s="1">
        <v>44579</v>
      </c>
      <c r="C3182" t="s">
        <v>25</v>
      </c>
      <c r="D3182" t="s">
        <v>46</v>
      </c>
      <c r="E3182" t="s">
        <v>18</v>
      </c>
      <c r="F3182">
        <v>1888.56</v>
      </c>
      <c r="G3182">
        <v>309.79000000000002</v>
      </c>
      <c r="H3182" t="s">
        <v>13</v>
      </c>
      <c r="I3182" t="s">
        <v>14</v>
      </c>
    </row>
    <row r="3183" spans="1:9" x14ac:dyDescent="0.35">
      <c r="A3183" t="s">
        <v>3219</v>
      </c>
      <c r="B3183" s="1">
        <v>45620</v>
      </c>
      <c r="C3183" t="s">
        <v>25</v>
      </c>
      <c r="D3183" t="s">
        <v>46</v>
      </c>
      <c r="E3183" t="s">
        <v>18</v>
      </c>
      <c r="F3183">
        <v>128.09</v>
      </c>
      <c r="G3183">
        <v>16.079999999999998</v>
      </c>
      <c r="H3183" t="s">
        <v>19</v>
      </c>
      <c r="I3183" t="s">
        <v>29</v>
      </c>
    </row>
    <row r="3184" spans="1:9" x14ac:dyDescent="0.35">
      <c r="A3184" t="s">
        <v>3220</v>
      </c>
      <c r="B3184" s="1">
        <v>45402</v>
      </c>
      <c r="C3184" t="s">
        <v>10</v>
      </c>
      <c r="D3184" t="s">
        <v>33</v>
      </c>
      <c r="E3184" t="s">
        <v>18</v>
      </c>
      <c r="F3184">
        <v>1362.61</v>
      </c>
      <c r="G3184">
        <v>339.06</v>
      </c>
      <c r="H3184" t="s">
        <v>13</v>
      </c>
      <c r="I3184" t="s">
        <v>29</v>
      </c>
    </row>
    <row r="3185" spans="1:9" x14ac:dyDescent="0.35">
      <c r="A3185" t="s">
        <v>3221</v>
      </c>
      <c r="B3185" s="1">
        <v>45155</v>
      </c>
      <c r="C3185" t="s">
        <v>10</v>
      </c>
      <c r="D3185" t="s">
        <v>73</v>
      </c>
      <c r="E3185" t="s">
        <v>27</v>
      </c>
      <c r="F3185">
        <v>1016.94</v>
      </c>
      <c r="G3185">
        <v>146.44</v>
      </c>
      <c r="H3185" t="s">
        <v>13</v>
      </c>
      <c r="I3185" t="s">
        <v>29</v>
      </c>
    </row>
    <row r="3186" spans="1:9" x14ac:dyDescent="0.35">
      <c r="A3186" t="s">
        <v>3222</v>
      </c>
      <c r="B3186" s="1">
        <v>45238</v>
      </c>
      <c r="C3186" t="s">
        <v>25</v>
      </c>
      <c r="D3186" t="s">
        <v>62</v>
      </c>
      <c r="E3186" t="s">
        <v>27</v>
      </c>
      <c r="F3186">
        <v>1339.24</v>
      </c>
      <c r="G3186">
        <v>172.61</v>
      </c>
      <c r="H3186" t="s">
        <v>13</v>
      </c>
      <c r="I3186" t="s">
        <v>34</v>
      </c>
    </row>
    <row r="3187" spans="1:9" x14ac:dyDescent="0.35">
      <c r="A3187" t="s">
        <v>3223</v>
      </c>
      <c r="B3187" s="1">
        <v>44893</v>
      </c>
      <c r="C3187" t="s">
        <v>25</v>
      </c>
      <c r="D3187" t="s">
        <v>73</v>
      </c>
      <c r="E3187" t="s">
        <v>27</v>
      </c>
      <c r="F3187">
        <v>1678.74</v>
      </c>
      <c r="G3187">
        <v>200.22</v>
      </c>
      <c r="H3187" t="s">
        <v>28</v>
      </c>
      <c r="I3187" t="s">
        <v>20</v>
      </c>
    </row>
    <row r="3188" spans="1:9" x14ac:dyDescent="0.35">
      <c r="A3188" t="s">
        <v>3224</v>
      </c>
      <c r="B3188" s="1">
        <v>44704</v>
      </c>
      <c r="C3188" t="s">
        <v>16</v>
      </c>
      <c r="D3188" t="s">
        <v>62</v>
      </c>
      <c r="E3188" t="s">
        <v>27</v>
      </c>
      <c r="F3188">
        <v>820.84</v>
      </c>
      <c r="G3188">
        <v>177.89</v>
      </c>
      <c r="H3188" t="s">
        <v>13</v>
      </c>
      <c r="I3188" t="s">
        <v>29</v>
      </c>
    </row>
    <row r="3189" spans="1:9" x14ac:dyDescent="0.35">
      <c r="A3189" t="s">
        <v>3225</v>
      </c>
      <c r="B3189" s="1">
        <v>45509</v>
      </c>
      <c r="C3189" t="s">
        <v>16</v>
      </c>
      <c r="D3189" t="s">
        <v>50</v>
      </c>
      <c r="E3189" t="s">
        <v>12</v>
      </c>
      <c r="F3189">
        <v>585.02</v>
      </c>
      <c r="G3189">
        <v>170.37</v>
      </c>
      <c r="H3189" t="s">
        <v>13</v>
      </c>
      <c r="I3189" t="s">
        <v>34</v>
      </c>
    </row>
    <row r="3190" spans="1:9" x14ac:dyDescent="0.35">
      <c r="A3190" t="s">
        <v>3226</v>
      </c>
      <c r="B3190" s="1">
        <v>44864</v>
      </c>
      <c r="C3190" t="s">
        <v>10</v>
      </c>
      <c r="D3190" t="s">
        <v>33</v>
      </c>
      <c r="E3190" t="s">
        <v>18</v>
      </c>
      <c r="F3190">
        <v>464.16</v>
      </c>
      <c r="G3190">
        <v>96.32</v>
      </c>
      <c r="H3190" t="s">
        <v>13</v>
      </c>
      <c r="I3190" t="s">
        <v>20</v>
      </c>
    </row>
    <row r="3191" spans="1:9" x14ac:dyDescent="0.35">
      <c r="A3191" t="s">
        <v>3227</v>
      </c>
      <c r="B3191" s="1">
        <v>45635</v>
      </c>
      <c r="C3191" t="s">
        <v>16</v>
      </c>
      <c r="D3191" t="s">
        <v>46</v>
      </c>
      <c r="E3191" t="s">
        <v>18</v>
      </c>
      <c r="F3191">
        <v>1440.97</v>
      </c>
      <c r="G3191">
        <v>123.38</v>
      </c>
      <c r="H3191" t="s">
        <v>13</v>
      </c>
      <c r="I3191" t="s">
        <v>29</v>
      </c>
    </row>
    <row r="3192" spans="1:9" x14ac:dyDescent="0.35">
      <c r="A3192" t="s">
        <v>3228</v>
      </c>
      <c r="B3192" s="1">
        <v>45242</v>
      </c>
      <c r="C3192" t="s">
        <v>22</v>
      </c>
      <c r="D3192" t="s">
        <v>38</v>
      </c>
      <c r="E3192" t="s">
        <v>12</v>
      </c>
      <c r="F3192">
        <v>569.51</v>
      </c>
      <c r="G3192">
        <v>169.75</v>
      </c>
      <c r="H3192" t="s">
        <v>19</v>
      </c>
      <c r="I3192" t="s">
        <v>20</v>
      </c>
    </row>
    <row r="3193" spans="1:9" x14ac:dyDescent="0.35">
      <c r="A3193" t="s">
        <v>3229</v>
      </c>
      <c r="B3193" s="1">
        <v>44636</v>
      </c>
      <c r="C3193" t="s">
        <v>16</v>
      </c>
      <c r="D3193" t="s">
        <v>50</v>
      </c>
      <c r="E3193" t="s">
        <v>12</v>
      </c>
      <c r="F3193">
        <v>927.19</v>
      </c>
      <c r="G3193">
        <v>81.45</v>
      </c>
      <c r="H3193" t="s">
        <v>19</v>
      </c>
      <c r="I3193" t="s">
        <v>14</v>
      </c>
    </row>
    <row r="3194" spans="1:9" x14ac:dyDescent="0.35">
      <c r="A3194" t="s">
        <v>3230</v>
      </c>
      <c r="B3194" s="1">
        <v>45177</v>
      </c>
      <c r="C3194" t="s">
        <v>25</v>
      </c>
      <c r="D3194" t="s">
        <v>62</v>
      </c>
      <c r="E3194" t="s">
        <v>27</v>
      </c>
      <c r="F3194">
        <v>410.45</v>
      </c>
      <c r="G3194">
        <v>101.53</v>
      </c>
      <c r="H3194" t="s">
        <v>13</v>
      </c>
      <c r="I3194" t="s">
        <v>29</v>
      </c>
    </row>
    <row r="3195" spans="1:9" x14ac:dyDescent="0.35">
      <c r="A3195" t="s">
        <v>3231</v>
      </c>
      <c r="B3195" s="1">
        <v>44667</v>
      </c>
      <c r="C3195" t="s">
        <v>16</v>
      </c>
      <c r="D3195" t="s">
        <v>97</v>
      </c>
      <c r="E3195" t="s">
        <v>27</v>
      </c>
      <c r="F3195">
        <v>1440.26</v>
      </c>
      <c r="G3195">
        <v>189.71</v>
      </c>
      <c r="H3195" t="s">
        <v>28</v>
      </c>
      <c r="I3195" t="s">
        <v>14</v>
      </c>
    </row>
    <row r="3196" spans="1:9" x14ac:dyDescent="0.35">
      <c r="A3196" t="s">
        <v>3232</v>
      </c>
      <c r="B3196" s="1">
        <v>45047</v>
      </c>
      <c r="C3196" t="s">
        <v>25</v>
      </c>
      <c r="D3196" t="s">
        <v>46</v>
      </c>
      <c r="E3196" t="s">
        <v>18</v>
      </c>
      <c r="F3196">
        <v>900.94</v>
      </c>
      <c r="G3196">
        <v>219.18</v>
      </c>
      <c r="H3196" t="s">
        <v>19</v>
      </c>
      <c r="I3196" t="s">
        <v>29</v>
      </c>
    </row>
    <row r="3197" spans="1:9" x14ac:dyDescent="0.35">
      <c r="A3197" t="s">
        <v>3233</v>
      </c>
      <c r="B3197" s="1">
        <v>44660</v>
      </c>
      <c r="C3197" t="s">
        <v>22</v>
      </c>
      <c r="D3197" t="s">
        <v>57</v>
      </c>
      <c r="E3197" t="s">
        <v>27</v>
      </c>
      <c r="F3197">
        <v>1318.07</v>
      </c>
      <c r="G3197">
        <v>80.150000000000006</v>
      </c>
      <c r="H3197" t="s">
        <v>28</v>
      </c>
      <c r="I3197" t="s">
        <v>29</v>
      </c>
    </row>
    <row r="3198" spans="1:9" x14ac:dyDescent="0.35">
      <c r="A3198" t="s">
        <v>3234</v>
      </c>
      <c r="B3198" s="1">
        <v>44660</v>
      </c>
      <c r="C3198" t="s">
        <v>10</v>
      </c>
      <c r="D3198" t="s">
        <v>95</v>
      </c>
      <c r="E3198" t="s">
        <v>18</v>
      </c>
      <c r="F3198">
        <v>61.59</v>
      </c>
      <c r="G3198">
        <v>4.41</v>
      </c>
      <c r="H3198" t="s">
        <v>19</v>
      </c>
      <c r="I3198" t="s">
        <v>34</v>
      </c>
    </row>
    <row r="3199" spans="1:9" x14ac:dyDescent="0.35">
      <c r="A3199" t="s">
        <v>3235</v>
      </c>
      <c r="B3199" s="1">
        <v>44791</v>
      </c>
      <c r="C3199" t="s">
        <v>16</v>
      </c>
      <c r="D3199" t="s">
        <v>41</v>
      </c>
      <c r="E3199" t="s">
        <v>12</v>
      </c>
      <c r="F3199">
        <v>235</v>
      </c>
      <c r="G3199">
        <v>42.29</v>
      </c>
      <c r="H3199" t="s">
        <v>13</v>
      </c>
      <c r="I3199" t="s">
        <v>34</v>
      </c>
    </row>
    <row r="3200" spans="1:9" x14ac:dyDescent="0.35">
      <c r="A3200" t="s">
        <v>3236</v>
      </c>
      <c r="B3200" s="1">
        <v>45294</v>
      </c>
      <c r="C3200" t="s">
        <v>25</v>
      </c>
      <c r="D3200" t="s">
        <v>73</v>
      </c>
      <c r="E3200" t="s">
        <v>27</v>
      </c>
      <c r="F3200">
        <v>1514.6</v>
      </c>
      <c r="G3200">
        <v>211.1</v>
      </c>
      <c r="H3200" t="s">
        <v>19</v>
      </c>
      <c r="I3200" t="s">
        <v>34</v>
      </c>
    </row>
    <row r="3201" spans="1:9" x14ac:dyDescent="0.35">
      <c r="A3201" t="s">
        <v>3237</v>
      </c>
      <c r="B3201" s="1">
        <v>44923</v>
      </c>
      <c r="C3201" t="s">
        <v>16</v>
      </c>
      <c r="D3201" t="s">
        <v>57</v>
      </c>
      <c r="E3201" t="s">
        <v>27</v>
      </c>
      <c r="F3201">
        <v>959.37</v>
      </c>
      <c r="G3201">
        <v>281.18</v>
      </c>
      <c r="H3201" t="s">
        <v>13</v>
      </c>
      <c r="I3201" t="s">
        <v>20</v>
      </c>
    </row>
    <row r="3202" spans="1:9" x14ac:dyDescent="0.35">
      <c r="A3202" t="s">
        <v>3238</v>
      </c>
      <c r="B3202" s="1">
        <v>45512</v>
      </c>
      <c r="C3202" t="s">
        <v>16</v>
      </c>
      <c r="D3202" t="s">
        <v>46</v>
      </c>
      <c r="E3202" t="s">
        <v>18</v>
      </c>
      <c r="F3202">
        <v>1029.8599999999999</v>
      </c>
      <c r="G3202">
        <v>73.680000000000007</v>
      </c>
      <c r="H3202" t="s">
        <v>28</v>
      </c>
      <c r="I3202" t="s">
        <v>29</v>
      </c>
    </row>
    <row r="3203" spans="1:9" x14ac:dyDescent="0.35">
      <c r="A3203" t="s">
        <v>3239</v>
      </c>
      <c r="B3203" s="1">
        <v>45409</v>
      </c>
      <c r="C3203" t="s">
        <v>16</v>
      </c>
      <c r="D3203" t="s">
        <v>50</v>
      </c>
      <c r="E3203" t="s">
        <v>12</v>
      </c>
      <c r="F3203">
        <v>593.05999999999995</v>
      </c>
      <c r="G3203">
        <v>167.39</v>
      </c>
      <c r="H3203" t="s">
        <v>13</v>
      </c>
      <c r="I3203" t="s">
        <v>34</v>
      </c>
    </row>
    <row r="3204" spans="1:9" x14ac:dyDescent="0.35">
      <c r="A3204" t="s">
        <v>3240</v>
      </c>
      <c r="B3204" s="1">
        <v>45213</v>
      </c>
      <c r="C3204" t="s">
        <v>22</v>
      </c>
      <c r="D3204" t="s">
        <v>23</v>
      </c>
      <c r="E3204" t="s">
        <v>18</v>
      </c>
      <c r="F3204">
        <v>127.5</v>
      </c>
      <c r="G3204">
        <v>30.14</v>
      </c>
      <c r="H3204" t="s">
        <v>28</v>
      </c>
      <c r="I3204" t="s">
        <v>29</v>
      </c>
    </row>
    <row r="3205" spans="1:9" x14ac:dyDescent="0.35">
      <c r="A3205" t="s">
        <v>3241</v>
      </c>
      <c r="B3205" s="1">
        <v>44702</v>
      </c>
      <c r="C3205" t="s">
        <v>25</v>
      </c>
      <c r="D3205" t="s">
        <v>38</v>
      </c>
      <c r="E3205" t="s">
        <v>12</v>
      </c>
      <c r="F3205">
        <v>1189.31</v>
      </c>
      <c r="G3205">
        <v>149.41999999999999</v>
      </c>
      <c r="H3205" t="s">
        <v>13</v>
      </c>
      <c r="I3205" t="s">
        <v>29</v>
      </c>
    </row>
    <row r="3206" spans="1:9" x14ac:dyDescent="0.35">
      <c r="A3206" t="s">
        <v>3242</v>
      </c>
      <c r="B3206" s="1">
        <v>44589</v>
      </c>
      <c r="C3206" t="s">
        <v>10</v>
      </c>
      <c r="D3206" t="s">
        <v>38</v>
      </c>
      <c r="E3206" t="s">
        <v>12</v>
      </c>
      <c r="F3206">
        <v>304.69</v>
      </c>
      <c r="G3206">
        <v>52.15</v>
      </c>
      <c r="H3206" t="s">
        <v>13</v>
      </c>
      <c r="I3206" t="s">
        <v>34</v>
      </c>
    </row>
    <row r="3207" spans="1:9" x14ac:dyDescent="0.35">
      <c r="A3207" t="s">
        <v>3243</v>
      </c>
      <c r="B3207" s="1">
        <v>45394</v>
      </c>
      <c r="C3207" t="s">
        <v>22</v>
      </c>
      <c r="D3207" t="s">
        <v>97</v>
      </c>
      <c r="E3207" t="s">
        <v>27</v>
      </c>
      <c r="F3207">
        <v>1829.54</v>
      </c>
      <c r="G3207">
        <v>216.37</v>
      </c>
      <c r="H3207" t="s">
        <v>28</v>
      </c>
      <c r="I3207" t="s">
        <v>14</v>
      </c>
    </row>
    <row r="3208" spans="1:9" x14ac:dyDescent="0.35">
      <c r="A3208" t="s">
        <v>3244</v>
      </c>
      <c r="B3208" s="1">
        <v>44820</v>
      </c>
      <c r="C3208" t="s">
        <v>16</v>
      </c>
      <c r="D3208" t="s">
        <v>97</v>
      </c>
      <c r="E3208" t="s">
        <v>27</v>
      </c>
      <c r="F3208">
        <v>716.96</v>
      </c>
      <c r="G3208">
        <v>49.5</v>
      </c>
      <c r="H3208" t="s">
        <v>13</v>
      </c>
      <c r="I3208" t="s">
        <v>29</v>
      </c>
    </row>
    <row r="3209" spans="1:9" x14ac:dyDescent="0.35">
      <c r="A3209" t="s">
        <v>3245</v>
      </c>
      <c r="B3209" s="1">
        <v>44902</v>
      </c>
      <c r="C3209" t="s">
        <v>16</v>
      </c>
      <c r="D3209" t="s">
        <v>31</v>
      </c>
      <c r="E3209" t="s">
        <v>12</v>
      </c>
      <c r="F3209">
        <v>1939.3</v>
      </c>
      <c r="G3209">
        <v>537.97</v>
      </c>
      <c r="H3209" t="s">
        <v>13</v>
      </c>
      <c r="I3209" t="s">
        <v>14</v>
      </c>
    </row>
    <row r="3210" spans="1:9" x14ac:dyDescent="0.35">
      <c r="A3210" t="s">
        <v>3246</v>
      </c>
      <c r="B3210" s="1">
        <v>45511</v>
      </c>
      <c r="C3210" t="s">
        <v>22</v>
      </c>
      <c r="D3210" t="s">
        <v>11</v>
      </c>
      <c r="E3210" t="s">
        <v>12</v>
      </c>
      <c r="F3210">
        <v>1040.71</v>
      </c>
      <c r="G3210">
        <v>301.24</v>
      </c>
      <c r="H3210" t="s">
        <v>19</v>
      </c>
      <c r="I3210" t="s">
        <v>14</v>
      </c>
    </row>
    <row r="3211" spans="1:9" x14ac:dyDescent="0.35">
      <c r="A3211" t="s">
        <v>3247</v>
      </c>
      <c r="B3211" s="1">
        <v>45060</v>
      </c>
      <c r="C3211" t="s">
        <v>22</v>
      </c>
      <c r="D3211" t="s">
        <v>33</v>
      </c>
      <c r="E3211" t="s">
        <v>18</v>
      </c>
      <c r="F3211">
        <v>1203.8599999999999</v>
      </c>
      <c r="G3211">
        <v>95.58</v>
      </c>
      <c r="H3211" t="s">
        <v>28</v>
      </c>
      <c r="I3211" t="s">
        <v>29</v>
      </c>
    </row>
    <row r="3212" spans="1:9" x14ac:dyDescent="0.35">
      <c r="A3212" t="s">
        <v>3248</v>
      </c>
      <c r="B3212" s="1">
        <v>44698</v>
      </c>
      <c r="C3212" t="s">
        <v>10</v>
      </c>
      <c r="D3212" t="s">
        <v>23</v>
      </c>
      <c r="E3212" t="s">
        <v>18</v>
      </c>
      <c r="F3212">
        <v>290.51</v>
      </c>
      <c r="G3212">
        <v>69.5</v>
      </c>
      <c r="H3212" t="s">
        <v>13</v>
      </c>
      <c r="I3212" t="s">
        <v>34</v>
      </c>
    </row>
    <row r="3213" spans="1:9" x14ac:dyDescent="0.35">
      <c r="A3213" t="s">
        <v>3249</v>
      </c>
      <c r="B3213" s="1">
        <v>45032</v>
      </c>
      <c r="C3213" t="s">
        <v>10</v>
      </c>
      <c r="D3213" t="s">
        <v>38</v>
      </c>
      <c r="E3213" t="s">
        <v>12</v>
      </c>
      <c r="F3213">
        <v>1893.13</v>
      </c>
      <c r="G3213">
        <v>239.57</v>
      </c>
      <c r="H3213" t="s">
        <v>19</v>
      </c>
      <c r="I3213" t="s">
        <v>34</v>
      </c>
    </row>
    <row r="3214" spans="1:9" x14ac:dyDescent="0.35">
      <c r="A3214" t="s">
        <v>3250</v>
      </c>
      <c r="B3214" s="1">
        <v>45568</v>
      </c>
      <c r="C3214" t="s">
        <v>16</v>
      </c>
      <c r="D3214" t="s">
        <v>97</v>
      </c>
      <c r="E3214" t="s">
        <v>27</v>
      </c>
      <c r="F3214">
        <v>1693.37</v>
      </c>
      <c r="G3214">
        <v>304.48</v>
      </c>
      <c r="H3214" t="s">
        <v>28</v>
      </c>
      <c r="I3214" t="s">
        <v>34</v>
      </c>
    </row>
    <row r="3215" spans="1:9" x14ac:dyDescent="0.35">
      <c r="A3215" t="s">
        <v>3251</v>
      </c>
      <c r="B3215" s="1">
        <v>45285</v>
      </c>
      <c r="C3215" t="s">
        <v>10</v>
      </c>
      <c r="D3215" t="s">
        <v>62</v>
      </c>
      <c r="E3215" t="s">
        <v>27</v>
      </c>
      <c r="F3215">
        <v>1713.87</v>
      </c>
      <c r="G3215">
        <v>394.65</v>
      </c>
      <c r="H3215" t="s">
        <v>28</v>
      </c>
      <c r="I3215" t="s">
        <v>20</v>
      </c>
    </row>
    <row r="3216" spans="1:9" x14ac:dyDescent="0.35">
      <c r="A3216" t="s">
        <v>3252</v>
      </c>
      <c r="B3216" s="1">
        <v>45391</v>
      </c>
      <c r="C3216" t="s">
        <v>16</v>
      </c>
      <c r="D3216" t="s">
        <v>50</v>
      </c>
      <c r="E3216" t="s">
        <v>12</v>
      </c>
      <c r="F3216">
        <v>249.47</v>
      </c>
      <c r="G3216">
        <v>37.21</v>
      </c>
      <c r="H3216" t="s">
        <v>28</v>
      </c>
      <c r="I3216" t="s">
        <v>34</v>
      </c>
    </row>
    <row r="3217" spans="1:9" x14ac:dyDescent="0.35">
      <c r="A3217" t="s">
        <v>3253</v>
      </c>
      <c r="B3217" s="1">
        <v>44815</v>
      </c>
      <c r="C3217" t="s">
        <v>25</v>
      </c>
      <c r="D3217" t="s">
        <v>11</v>
      </c>
      <c r="E3217" t="s">
        <v>12</v>
      </c>
      <c r="F3217">
        <v>1195.6199999999999</v>
      </c>
      <c r="G3217">
        <v>234.63</v>
      </c>
      <c r="H3217" t="s">
        <v>13</v>
      </c>
      <c r="I3217" t="s">
        <v>29</v>
      </c>
    </row>
    <row r="3218" spans="1:9" x14ac:dyDescent="0.35">
      <c r="A3218" t="s">
        <v>3254</v>
      </c>
      <c r="B3218" s="1">
        <v>44579</v>
      </c>
      <c r="C3218" t="s">
        <v>25</v>
      </c>
      <c r="D3218" t="s">
        <v>95</v>
      </c>
      <c r="E3218" t="s">
        <v>18</v>
      </c>
      <c r="F3218">
        <v>1447.13</v>
      </c>
      <c r="G3218">
        <v>293.19</v>
      </c>
      <c r="H3218" t="s">
        <v>19</v>
      </c>
      <c r="I3218" t="s">
        <v>14</v>
      </c>
    </row>
    <row r="3219" spans="1:9" x14ac:dyDescent="0.35">
      <c r="A3219" t="s">
        <v>3255</v>
      </c>
      <c r="B3219" s="1">
        <v>44929</v>
      </c>
      <c r="C3219" t="s">
        <v>25</v>
      </c>
      <c r="D3219" t="s">
        <v>33</v>
      </c>
      <c r="E3219" t="s">
        <v>18</v>
      </c>
      <c r="F3219">
        <v>1259.95</v>
      </c>
      <c r="G3219">
        <v>324.39</v>
      </c>
      <c r="H3219" t="s">
        <v>28</v>
      </c>
      <c r="I3219" t="s">
        <v>29</v>
      </c>
    </row>
    <row r="3220" spans="1:9" x14ac:dyDescent="0.35">
      <c r="A3220" t="s">
        <v>3256</v>
      </c>
      <c r="B3220" s="1">
        <v>44741</v>
      </c>
      <c r="C3220" t="s">
        <v>25</v>
      </c>
      <c r="D3220" t="s">
        <v>97</v>
      </c>
      <c r="E3220" t="s">
        <v>27</v>
      </c>
      <c r="F3220">
        <v>953.43</v>
      </c>
      <c r="G3220">
        <v>103.29</v>
      </c>
      <c r="H3220" t="s">
        <v>28</v>
      </c>
      <c r="I3220" t="s">
        <v>29</v>
      </c>
    </row>
    <row r="3221" spans="1:9" x14ac:dyDescent="0.35">
      <c r="A3221" t="s">
        <v>3257</v>
      </c>
      <c r="B3221" s="1">
        <v>45159</v>
      </c>
      <c r="C3221" t="s">
        <v>22</v>
      </c>
      <c r="D3221" t="s">
        <v>33</v>
      </c>
      <c r="E3221" t="s">
        <v>18</v>
      </c>
      <c r="F3221">
        <v>724.23</v>
      </c>
      <c r="G3221">
        <v>166.98</v>
      </c>
      <c r="H3221" t="s">
        <v>19</v>
      </c>
      <c r="I3221" t="s">
        <v>20</v>
      </c>
    </row>
    <row r="3222" spans="1:9" x14ac:dyDescent="0.35">
      <c r="A3222" t="s">
        <v>3258</v>
      </c>
      <c r="B3222" s="1">
        <v>45374</v>
      </c>
      <c r="C3222" t="s">
        <v>22</v>
      </c>
      <c r="D3222" t="s">
        <v>38</v>
      </c>
      <c r="E3222" t="s">
        <v>12</v>
      </c>
      <c r="F3222">
        <v>1897.63</v>
      </c>
      <c r="G3222">
        <v>169.57</v>
      </c>
      <c r="H3222" t="s">
        <v>28</v>
      </c>
      <c r="I3222" t="s">
        <v>14</v>
      </c>
    </row>
    <row r="3223" spans="1:9" x14ac:dyDescent="0.35">
      <c r="A3223" t="s">
        <v>3259</v>
      </c>
      <c r="B3223" s="1">
        <v>44596</v>
      </c>
      <c r="C3223" t="s">
        <v>10</v>
      </c>
      <c r="D3223" t="s">
        <v>97</v>
      </c>
      <c r="E3223" t="s">
        <v>27</v>
      </c>
      <c r="F3223">
        <v>314.93</v>
      </c>
      <c r="G3223">
        <v>56.99</v>
      </c>
      <c r="H3223" t="s">
        <v>19</v>
      </c>
      <c r="I3223" t="s">
        <v>29</v>
      </c>
    </row>
    <row r="3224" spans="1:9" x14ac:dyDescent="0.35">
      <c r="A3224" t="s">
        <v>3260</v>
      </c>
      <c r="B3224" s="1">
        <v>44952</v>
      </c>
      <c r="C3224" t="s">
        <v>10</v>
      </c>
      <c r="D3224" t="s">
        <v>95</v>
      </c>
      <c r="E3224" t="s">
        <v>18</v>
      </c>
      <c r="F3224">
        <v>1375.11</v>
      </c>
      <c r="G3224">
        <v>380.35</v>
      </c>
      <c r="H3224" t="s">
        <v>19</v>
      </c>
      <c r="I3224" t="s">
        <v>34</v>
      </c>
    </row>
    <row r="3225" spans="1:9" x14ac:dyDescent="0.35">
      <c r="A3225" t="s">
        <v>3261</v>
      </c>
      <c r="B3225" s="1">
        <v>45514</v>
      </c>
      <c r="C3225" t="s">
        <v>25</v>
      </c>
      <c r="D3225" t="s">
        <v>95</v>
      </c>
      <c r="E3225" t="s">
        <v>18</v>
      </c>
      <c r="F3225">
        <v>88.3</v>
      </c>
      <c r="G3225">
        <v>4.88</v>
      </c>
      <c r="H3225" t="s">
        <v>19</v>
      </c>
      <c r="I3225" t="s">
        <v>34</v>
      </c>
    </row>
    <row r="3226" spans="1:9" x14ac:dyDescent="0.35">
      <c r="A3226" t="s">
        <v>3262</v>
      </c>
      <c r="B3226" s="1">
        <v>44746</v>
      </c>
      <c r="C3226" t="s">
        <v>10</v>
      </c>
      <c r="D3226" t="s">
        <v>57</v>
      </c>
      <c r="E3226" t="s">
        <v>27</v>
      </c>
      <c r="F3226">
        <v>355.2</v>
      </c>
      <c r="G3226">
        <v>23.65</v>
      </c>
      <c r="H3226" t="s">
        <v>28</v>
      </c>
      <c r="I3226" t="s">
        <v>29</v>
      </c>
    </row>
    <row r="3227" spans="1:9" x14ac:dyDescent="0.35">
      <c r="A3227" t="s">
        <v>3263</v>
      </c>
      <c r="B3227" s="1">
        <v>44998</v>
      </c>
      <c r="C3227" t="s">
        <v>16</v>
      </c>
      <c r="D3227" t="s">
        <v>31</v>
      </c>
      <c r="E3227" t="s">
        <v>12</v>
      </c>
      <c r="F3227">
        <v>1785.9</v>
      </c>
      <c r="G3227">
        <v>318.3</v>
      </c>
      <c r="H3227" t="s">
        <v>19</v>
      </c>
      <c r="I3227" t="s">
        <v>14</v>
      </c>
    </row>
    <row r="3228" spans="1:9" x14ac:dyDescent="0.35">
      <c r="A3228" t="s">
        <v>3264</v>
      </c>
      <c r="B3228" s="1">
        <v>44943</v>
      </c>
      <c r="C3228" t="s">
        <v>16</v>
      </c>
      <c r="D3228" t="s">
        <v>11</v>
      </c>
      <c r="E3228" t="s">
        <v>12</v>
      </c>
      <c r="F3228">
        <v>1252.07</v>
      </c>
      <c r="G3228">
        <v>137.79</v>
      </c>
      <c r="H3228" t="s">
        <v>19</v>
      </c>
      <c r="I3228" t="s">
        <v>20</v>
      </c>
    </row>
    <row r="3229" spans="1:9" x14ac:dyDescent="0.35">
      <c r="A3229" t="s">
        <v>3265</v>
      </c>
      <c r="B3229" s="1">
        <v>45094</v>
      </c>
      <c r="C3229" t="s">
        <v>16</v>
      </c>
      <c r="D3229" t="s">
        <v>95</v>
      </c>
      <c r="E3229" t="s">
        <v>18</v>
      </c>
      <c r="F3229">
        <v>1755.84</v>
      </c>
      <c r="G3229">
        <v>95.12</v>
      </c>
      <c r="H3229" t="s">
        <v>19</v>
      </c>
      <c r="I3229" t="s">
        <v>14</v>
      </c>
    </row>
    <row r="3230" spans="1:9" x14ac:dyDescent="0.35">
      <c r="A3230" t="s">
        <v>3266</v>
      </c>
      <c r="B3230" s="1">
        <v>44999</v>
      </c>
      <c r="C3230" t="s">
        <v>25</v>
      </c>
      <c r="D3230" t="s">
        <v>38</v>
      </c>
      <c r="E3230" t="s">
        <v>12</v>
      </c>
      <c r="F3230">
        <v>570.83000000000004</v>
      </c>
      <c r="G3230">
        <v>125.78</v>
      </c>
      <c r="H3230" t="s">
        <v>19</v>
      </c>
      <c r="I3230" t="s">
        <v>20</v>
      </c>
    </row>
    <row r="3231" spans="1:9" x14ac:dyDescent="0.35">
      <c r="A3231" t="s">
        <v>3267</v>
      </c>
      <c r="B3231" s="1">
        <v>44941</v>
      </c>
      <c r="C3231" t="s">
        <v>22</v>
      </c>
      <c r="D3231" t="s">
        <v>26</v>
      </c>
      <c r="E3231" t="s">
        <v>27</v>
      </c>
      <c r="F3231">
        <v>379.75</v>
      </c>
      <c r="G3231">
        <v>72.33</v>
      </c>
      <c r="H3231" t="s">
        <v>19</v>
      </c>
      <c r="I3231" t="s">
        <v>29</v>
      </c>
    </row>
    <row r="3232" spans="1:9" x14ac:dyDescent="0.35">
      <c r="A3232" t="s">
        <v>3268</v>
      </c>
      <c r="B3232" s="1">
        <v>45049</v>
      </c>
      <c r="C3232" t="s">
        <v>22</v>
      </c>
      <c r="D3232" t="s">
        <v>73</v>
      </c>
      <c r="E3232" t="s">
        <v>27</v>
      </c>
      <c r="F3232">
        <v>893.66</v>
      </c>
      <c r="G3232">
        <v>92.23</v>
      </c>
      <c r="H3232" t="s">
        <v>13</v>
      </c>
      <c r="I3232" t="s">
        <v>14</v>
      </c>
    </row>
    <row r="3233" spans="1:9" x14ac:dyDescent="0.35">
      <c r="A3233" t="s">
        <v>3269</v>
      </c>
      <c r="B3233" s="1">
        <v>45409</v>
      </c>
      <c r="C3233" t="s">
        <v>22</v>
      </c>
      <c r="D3233" t="s">
        <v>31</v>
      </c>
      <c r="E3233" t="s">
        <v>12</v>
      </c>
      <c r="F3233">
        <v>1536.36</v>
      </c>
      <c r="G3233">
        <v>276.43</v>
      </c>
      <c r="H3233" t="s">
        <v>28</v>
      </c>
      <c r="I3233" t="s">
        <v>14</v>
      </c>
    </row>
    <row r="3234" spans="1:9" x14ac:dyDescent="0.35">
      <c r="A3234" t="s">
        <v>3270</v>
      </c>
      <c r="B3234" s="1">
        <v>45249</v>
      </c>
      <c r="C3234" t="s">
        <v>22</v>
      </c>
      <c r="D3234" t="s">
        <v>38</v>
      </c>
      <c r="E3234" t="s">
        <v>12</v>
      </c>
      <c r="F3234">
        <v>138.43</v>
      </c>
      <c r="G3234">
        <v>32.619999999999997</v>
      </c>
      <c r="H3234" t="s">
        <v>13</v>
      </c>
      <c r="I3234" t="s">
        <v>34</v>
      </c>
    </row>
    <row r="3235" spans="1:9" x14ac:dyDescent="0.35">
      <c r="A3235" t="s">
        <v>3271</v>
      </c>
      <c r="B3235" s="1">
        <v>44638</v>
      </c>
      <c r="C3235" t="s">
        <v>16</v>
      </c>
      <c r="D3235" t="s">
        <v>57</v>
      </c>
      <c r="E3235" t="s">
        <v>27</v>
      </c>
      <c r="F3235">
        <v>1136.82</v>
      </c>
      <c r="G3235">
        <v>199.93</v>
      </c>
      <c r="H3235" t="s">
        <v>13</v>
      </c>
      <c r="I3235" t="s">
        <v>29</v>
      </c>
    </row>
    <row r="3236" spans="1:9" x14ac:dyDescent="0.35">
      <c r="A3236" t="s">
        <v>3272</v>
      </c>
      <c r="B3236" s="1">
        <v>44869</v>
      </c>
      <c r="C3236" t="s">
        <v>16</v>
      </c>
      <c r="D3236" t="s">
        <v>95</v>
      </c>
      <c r="E3236" t="s">
        <v>18</v>
      </c>
      <c r="F3236">
        <v>550.73</v>
      </c>
      <c r="G3236">
        <v>63.72</v>
      </c>
      <c r="H3236" t="s">
        <v>19</v>
      </c>
      <c r="I3236" t="s">
        <v>29</v>
      </c>
    </row>
    <row r="3237" spans="1:9" x14ac:dyDescent="0.35">
      <c r="A3237" t="s">
        <v>3273</v>
      </c>
      <c r="B3237" s="1">
        <v>45219</v>
      </c>
      <c r="C3237" t="s">
        <v>22</v>
      </c>
      <c r="D3237" t="s">
        <v>46</v>
      </c>
      <c r="E3237" t="s">
        <v>18</v>
      </c>
      <c r="F3237">
        <v>1716.15</v>
      </c>
      <c r="G3237">
        <v>204.51</v>
      </c>
      <c r="H3237" t="s">
        <v>28</v>
      </c>
      <c r="I3237" t="s">
        <v>34</v>
      </c>
    </row>
    <row r="3238" spans="1:9" x14ac:dyDescent="0.35">
      <c r="A3238" t="s">
        <v>3274</v>
      </c>
      <c r="B3238" s="1">
        <v>44653</v>
      </c>
      <c r="C3238" t="s">
        <v>16</v>
      </c>
      <c r="D3238" t="s">
        <v>95</v>
      </c>
      <c r="E3238" t="s">
        <v>18</v>
      </c>
      <c r="F3238">
        <v>1525.14</v>
      </c>
      <c r="G3238">
        <v>108.86</v>
      </c>
      <c r="H3238" t="s">
        <v>28</v>
      </c>
      <c r="I3238" t="s">
        <v>34</v>
      </c>
    </row>
    <row r="3239" spans="1:9" x14ac:dyDescent="0.35">
      <c r="A3239" t="s">
        <v>3275</v>
      </c>
      <c r="B3239" s="1">
        <v>44973</v>
      </c>
      <c r="C3239" t="s">
        <v>22</v>
      </c>
      <c r="D3239" t="s">
        <v>57</v>
      </c>
      <c r="E3239" t="s">
        <v>27</v>
      </c>
      <c r="F3239">
        <v>822.34</v>
      </c>
      <c r="G3239">
        <v>135.58000000000001</v>
      </c>
      <c r="H3239" t="s">
        <v>19</v>
      </c>
      <c r="I3239" t="s">
        <v>29</v>
      </c>
    </row>
    <row r="3240" spans="1:9" x14ac:dyDescent="0.35">
      <c r="A3240" t="s">
        <v>3276</v>
      </c>
      <c r="B3240" s="1">
        <v>44954</v>
      </c>
      <c r="C3240" t="s">
        <v>16</v>
      </c>
      <c r="D3240" t="s">
        <v>95</v>
      </c>
      <c r="E3240" t="s">
        <v>18</v>
      </c>
      <c r="F3240">
        <v>1572.82</v>
      </c>
      <c r="G3240">
        <v>180.35</v>
      </c>
      <c r="H3240" t="s">
        <v>19</v>
      </c>
      <c r="I3240" t="s">
        <v>20</v>
      </c>
    </row>
    <row r="3241" spans="1:9" x14ac:dyDescent="0.35">
      <c r="A3241" t="s">
        <v>3277</v>
      </c>
      <c r="B3241" s="1">
        <v>45312</v>
      </c>
      <c r="C3241" t="s">
        <v>25</v>
      </c>
      <c r="D3241" t="s">
        <v>46</v>
      </c>
      <c r="E3241" t="s">
        <v>18</v>
      </c>
      <c r="F3241">
        <v>930.78</v>
      </c>
      <c r="G3241">
        <v>151.9</v>
      </c>
      <c r="H3241" t="s">
        <v>28</v>
      </c>
      <c r="I3241" t="s">
        <v>29</v>
      </c>
    </row>
    <row r="3242" spans="1:9" x14ac:dyDescent="0.35">
      <c r="A3242" t="s">
        <v>3278</v>
      </c>
      <c r="B3242" s="1">
        <v>45269</v>
      </c>
      <c r="C3242" t="s">
        <v>25</v>
      </c>
      <c r="D3242" t="s">
        <v>26</v>
      </c>
      <c r="E3242" t="s">
        <v>27</v>
      </c>
      <c r="F3242">
        <v>325.27999999999997</v>
      </c>
      <c r="G3242">
        <v>54.05</v>
      </c>
      <c r="H3242" t="s">
        <v>13</v>
      </c>
      <c r="I3242" t="s">
        <v>20</v>
      </c>
    </row>
    <row r="3243" spans="1:9" x14ac:dyDescent="0.35">
      <c r="A3243" t="s">
        <v>3279</v>
      </c>
      <c r="B3243" s="1">
        <v>44644</v>
      </c>
      <c r="C3243" t="s">
        <v>22</v>
      </c>
      <c r="D3243" t="s">
        <v>31</v>
      </c>
      <c r="E3243" t="s">
        <v>12</v>
      </c>
      <c r="F3243">
        <v>597.65</v>
      </c>
      <c r="G3243">
        <v>144.94</v>
      </c>
      <c r="H3243" t="s">
        <v>19</v>
      </c>
      <c r="I3243" t="s">
        <v>29</v>
      </c>
    </row>
    <row r="3244" spans="1:9" x14ac:dyDescent="0.35">
      <c r="A3244" t="s">
        <v>3280</v>
      </c>
      <c r="B3244" s="1">
        <v>44579</v>
      </c>
      <c r="C3244" t="s">
        <v>16</v>
      </c>
      <c r="D3244" t="s">
        <v>38</v>
      </c>
      <c r="E3244" t="s">
        <v>12</v>
      </c>
      <c r="F3244">
        <v>407.17</v>
      </c>
      <c r="G3244">
        <v>67.989999999999995</v>
      </c>
      <c r="H3244" t="s">
        <v>28</v>
      </c>
      <c r="I3244" t="s">
        <v>29</v>
      </c>
    </row>
    <row r="3245" spans="1:9" x14ac:dyDescent="0.35">
      <c r="A3245" t="s">
        <v>3281</v>
      </c>
      <c r="B3245" s="1">
        <v>44882</v>
      </c>
      <c r="C3245" t="s">
        <v>22</v>
      </c>
      <c r="D3245" t="s">
        <v>46</v>
      </c>
      <c r="E3245" t="s">
        <v>18</v>
      </c>
      <c r="F3245">
        <v>309.45</v>
      </c>
      <c r="G3245">
        <v>75.44</v>
      </c>
      <c r="H3245" t="s">
        <v>28</v>
      </c>
      <c r="I3245" t="s">
        <v>34</v>
      </c>
    </row>
    <row r="3246" spans="1:9" x14ac:dyDescent="0.35">
      <c r="A3246" t="s">
        <v>3282</v>
      </c>
      <c r="B3246" s="1">
        <v>45184</v>
      </c>
      <c r="C3246" t="s">
        <v>22</v>
      </c>
      <c r="D3246" t="s">
        <v>97</v>
      </c>
      <c r="E3246" t="s">
        <v>27</v>
      </c>
      <c r="F3246">
        <v>1140.47</v>
      </c>
      <c r="G3246">
        <v>263.45</v>
      </c>
      <c r="H3246" t="s">
        <v>13</v>
      </c>
      <c r="I3246" t="s">
        <v>14</v>
      </c>
    </row>
    <row r="3247" spans="1:9" x14ac:dyDescent="0.35">
      <c r="A3247" t="s">
        <v>3283</v>
      </c>
      <c r="B3247" s="1">
        <v>45555</v>
      </c>
      <c r="C3247" t="s">
        <v>22</v>
      </c>
      <c r="D3247" t="s">
        <v>95</v>
      </c>
      <c r="E3247" t="s">
        <v>18</v>
      </c>
      <c r="F3247">
        <v>114.64</v>
      </c>
      <c r="G3247">
        <v>5.81</v>
      </c>
      <c r="H3247" t="s">
        <v>28</v>
      </c>
      <c r="I3247" t="s">
        <v>29</v>
      </c>
    </row>
    <row r="3248" spans="1:9" x14ac:dyDescent="0.35">
      <c r="A3248" t="s">
        <v>3284</v>
      </c>
      <c r="B3248" s="1">
        <v>45528</v>
      </c>
      <c r="C3248" t="s">
        <v>25</v>
      </c>
      <c r="D3248" t="s">
        <v>23</v>
      </c>
      <c r="E3248" t="s">
        <v>18</v>
      </c>
      <c r="F3248">
        <v>1939.22</v>
      </c>
      <c r="G3248">
        <v>418.49</v>
      </c>
      <c r="H3248" t="s">
        <v>19</v>
      </c>
      <c r="I3248" t="s">
        <v>29</v>
      </c>
    </row>
    <row r="3249" spans="1:9" x14ac:dyDescent="0.35">
      <c r="A3249" t="s">
        <v>3285</v>
      </c>
      <c r="B3249" s="1">
        <v>45582</v>
      </c>
      <c r="C3249" t="s">
        <v>25</v>
      </c>
      <c r="D3249" t="s">
        <v>38</v>
      </c>
      <c r="E3249" t="s">
        <v>12</v>
      </c>
      <c r="F3249">
        <v>281.73</v>
      </c>
      <c r="G3249">
        <v>40.26</v>
      </c>
      <c r="H3249" t="s">
        <v>28</v>
      </c>
      <c r="I3249" t="s">
        <v>29</v>
      </c>
    </row>
    <row r="3250" spans="1:9" x14ac:dyDescent="0.35">
      <c r="A3250" t="s">
        <v>3286</v>
      </c>
      <c r="B3250" s="1">
        <v>45446</v>
      </c>
      <c r="C3250" t="s">
        <v>16</v>
      </c>
      <c r="D3250" t="s">
        <v>11</v>
      </c>
      <c r="E3250" t="s">
        <v>12</v>
      </c>
      <c r="F3250">
        <v>1344.49</v>
      </c>
      <c r="G3250">
        <v>210.67</v>
      </c>
      <c r="H3250" t="s">
        <v>13</v>
      </c>
      <c r="I3250" t="s">
        <v>34</v>
      </c>
    </row>
    <row r="3251" spans="1:9" x14ac:dyDescent="0.35">
      <c r="A3251" t="s">
        <v>3287</v>
      </c>
      <c r="B3251" s="1">
        <v>44592</v>
      </c>
      <c r="C3251" t="s">
        <v>25</v>
      </c>
      <c r="D3251" t="s">
        <v>33</v>
      </c>
      <c r="E3251" t="s">
        <v>18</v>
      </c>
      <c r="F3251">
        <v>1825.09</v>
      </c>
      <c r="G3251">
        <v>255.35</v>
      </c>
      <c r="H3251" t="s">
        <v>28</v>
      </c>
      <c r="I3251" t="s">
        <v>34</v>
      </c>
    </row>
    <row r="3252" spans="1:9" x14ac:dyDescent="0.35">
      <c r="A3252" t="s">
        <v>3288</v>
      </c>
      <c r="B3252" s="1">
        <v>45054</v>
      </c>
      <c r="C3252" t="s">
        <v>10</v>
      </c>
      <c r="D3252" t="s">
        <v>62</v>
      </c>
      <c r="E3252" t="s">
        <v>27</v>
      </c>
      <c r="F3252">
        <v>1866.71</v>
      </c>
      <c r="G3252">
        <v>401.35</v>
      </c>
      <c r="H3252" t="s">
        <v>28</v>
      </c>
      <c r="I3252" t="s">
        <v>20</v>
      </c>
    </row>
    <row r="3253" spans="1:9" x14ac:dyDescent="0.35">
      <c r="A3253" t="s">
        <v>3289</v>
      </c>
      <c r="B3253" s="1">
        <v>44651</v>
      </c>
      <c r="C3253" t="s">
        <v>22</v>
      </c>
      <c r="D3253" t="s">
        <v>41</v>
      </c>
      <c r="E3253" t="s">
        <v>12</v>
      </c>
      <c r="F3253">
        <v>1038.33</v>
      </c>
      <c r="G3253">
        <v>185.97</v>
      </c>
      <c r="H3253" t="s">
        <v>13</v>
      </c>
      <c r="I3253" t="s">
        <v>20</v>
      </c>
    </row>
    <row r="3254" spans="1:9" x14ac:dyDescent="0.35">
      <c r="A3254" t="s">
        <v>3290</v>
      </c>
      <c r="B3254" s="1">
        <v>45166</v>
      </c>
      <c r="C3254" t="s">
        <v>25</v>
      </c>
      <c r="D3254" t="s">
        <v>50</v>
      </c>
      <c r="E3254" t="s">
        <v>12</v>
      </c>
      <c r="F3254">
        <v>1951.8</v>
      </c>
      <c r="G3254">
        <v>465.46</v>
      </c>
      <c r="H3254" t="s">
        <v>19</v>
      </c>
      <c r="I3254" t="s">
        <v>34</v>
      </c>
    </row>
    <row r="3255" spans="1:9" x14ac:dyDescent="0.35">
      <c r="A3255" t="s">
        <v>3291</v>
      </c>
      <c r="B3255" s="1">
        <v>45326</v>
      </c>
      <c r="C3255" t="s">
        <v>22</v>
      </c>
      <c r="D3255" t="s">
        <v>50</v>
      </c>
      <c r="E3255" t="s">
        <v>12</v>
      </c>
      <c r="F3255">
        <v>275.25</v>
      </c>
      <c r="G3255">
        <v>43.23</v>
      </c>
      <c r="H3255" t="s">
        <v>28</v>
      </c>
      <c r="I3255" t="s">
        <v>20</v>
      </c>
    </row>
    <row r="3256" spans="1:9" x14ac:dyDescent="0.35">
      <c r="A3256" t="s">
        <v>3292</v>
      </c>
      <c r="B3256" s="1">
        <v>45396</v>
      </c>
      <c r="C3256" t="s">
        <v>16</v>
      </c>
      <c r="D3256" t="s">
        <v>26</v>
      </c>
      <c r="E3256" t="s">
        <v>27</v>
      </c>
      <c r="F3256">
        <v>375.94</v>
      </c>
      <c r="G3256">
        <v>52.48</v>
      </c>
      <c r="H3256" t="s">
        <v>13</v>
      </c>
      <c r="I3256" t="s">
        <v>20</v>
      </c>
    </row>
    <row r="3257" spans="1:9" x14ac:dyDescent="0.35">
      <c r="A3257" t="s">
        <v>3293</v>
      </c>
      <c r="B3257" s="1">
        <v>45300</v>
      </c>
      <c r="C3257" t="s">
        <v>22</v>
      </c>
      <c r="D3257" t="s">
        <v>23</v>
      </c>
      <c r="E3257" t="s">
        <v>18</v>
      </c>
      <c r="F3257">
        <v>1697.19</v>
      </c>
      <c r="G3257">
        <v>171.8</v>
      </c>
      <c r="H3257" t="s">
        <v>19</v>
      </c>
      <c r="I3257" t="s">
        <v>20</v>
      </c>
    </row>
    <row r="3258" spans="1:9" x14ac:dyDescent="0.35">
      <c r="A3258" t="s">
        <v>3294</v>
      </c>
      <c r="B3258" s="1">
        <v>44661</v>
      </c>
      <c r="C3258" t="s">
        <v>16</v>
      </c>
      <c r="D3258" t="s">
        <v>97</v>
      </c>
      <c r="E3258" t="s">
        <v>27</v>
      </c>
      <c r="F3258">
        <v>813.61</v>
      </c>
      <c r="G3258">
        <v>235.02</v>
      </c>
      <c r="H3258" t="s">
        <v>13</v>
      </c>
      <c r="I3258" t="s">
        <v>14</v>
      </c>
    </row>
    <row r="3259" spans="1:9" x14ac:dyDescent="0.35">
      <c r="A3259" t="s">
        <v>3295</v>
      </c>
      <c r="B3259" s="1">
        <v>45113</v>
      </c>
      <c r="C3259" t="s">
        <v>10</v>
      </c>
      <c r="D3259" t="s">
        <v>31</v>
      </c>
      <c r="E3259" t="s">
        <v>12</v>
      </c>
      <c r="F3259">
        <v>170.85</v>
      </c>
      <c r="G3259">
        <v>31.11</v>
      </c>
      <c r="H3259" t="s">
        <v>19</v>
      </c>
      <c r="I3259" t="s">
        <v>14</v>
      </c>
    </row>
    <row r="3260" spans="1:9" x14ac:dyDescent="0.35">
      <c r="A3260" t="s">
        <v>3296</v>
      </c>
      <c r="B3260" s="1">
        <v>45109</v>
      </c>
      <c r="C3260" t="s">
        <v>16</v>
      </c>
      <c r="D3260" t="s">
        <v>62</v>
      </c>
      <c r="E3260" t="s">
        <v>27</v>
      </c>
      <c r="F3260">
        <v>200.05</v>
      </c>
      <c r="G3260">
        <v>12.06</v>
      </c>
      <c r="H3260" t="s">
        <v>13</v>
      </c>
      <c r="I3260" t="s">
        <v>20</v>
      </c>
    </row>
    <row r="3261" spans="1:9" x14ac:dyDescent="0.35">
      <c r="A3261" t="s">
        <v>3297</v>
      </c>
      <c r="B3261" s="1">
        <v>45599</v>
      </c>
      <c r="C3261" t="s">
        <v>16</v>
      </c>
      <c r="D3261" t="s">
        <v>50</v>
      </c>
      <c r="E3261" t="s">
        <v>12</v>
      </c>
      <c r="F3261">
        <v>1672.14</v>
      </c>
      <c r="G3261">
        <v>443.28</v>
      </c>
      <c r="H3261" t="s">
        <v>13</v>
      </c>
      <c r="I3261" t="s">
        <v>29</v>
      </c>
    </row>
    <row r="3262" spans="1:9" x14ac:dyDescent="0.35">
      <c r="A3262" t="s">
        <v>3298</v>
      </c>
      <c r="B3262" s="1">
        <v>45256</v>
      </c>
      <c r="C3262" t="s">
        <v>10</v>
      </c>
      <c r="D3262" t="s">
        <v>57</v>
      </c>
      <c r="E3262" t="s">
        <v>27</v>
      </c>
      <c r="F3262">
        <v>1797.42</v>
      </c>
      <c r="G3262">
        <v>405.81</v>
      </c>
      <c r="H3262" t="s">
        <v>28</v>
      </c>
      <c r="I3262" t="s">
        <v>14</v>
      </c>
    </row>
    <row r="3263" spans="1:9" x14ac:dyDescent="0.35">
      <c r="A3263" t="s">
        <v>3299</v>
      </c>
      <c r="B3263" s="1">
        <v>45542</v>
      </c>
      <c r="C3263" t="s">
        <v>10</v>
      </c>
      <c r="D3263" t="s">
        <v>95</v>
      </c>
      <c r="E3263" t="s">
        <v>18</v>
      </c>
      <c r="F3263">
        <v>1536.53</v>
      </c>
      <c r="G3263">
        <v>304.70999999999998</v>
      </c>
      <c r="H3263" t="s">
        <v>13</v>
      </c>
      <c r="I3263" t="s">
        <v>14</v>
      </c>
    </row>
    <row r="3264" spans="1:9" x14ac:dyDescent="0.35">
      <c r="A3264" t="s">
        <v>3300</v>
      </c>
      <c r="B3264" s="1">
        <v>45174</v>
      </c>
      <c r="C3264" t="s">
        <v>25</v>
      </c>
      <c r="D3264" t="s">
        <v>11</v>
      </c>
      <c r="E3264" t="s">
        <v>12</v>
      </c>
      <c r="F3264">
        <v>505.45</v>
      </c>
      <c r="G3264">
        <v>74.180000000000007</v>
      </c>
      <c r="H3264" t="s">
        <v>13</v>
      </c>
      <c r="I3264" t="s">
        <v>20</v>
      </c>
    </row>
    <row r="3265" spans="1:9" x14ac:dyDescent="0.35">
      <c r="A3265" t="s">
        <v>3301</v>
      </c>
      <c r="B3265" s="1">
        <v>44954</v>
      </c>
      <c r="C3265" t="s">
        <v>16</v>
      </c>
      <c r="D3265" t="s">
        <v>62</v>
      </c>
      <c r="E3265" t="s">
        <v>27</v>
      </c>
      <c r="F3265">
        <v>947.25</v>
      </c>
      <c r="G3265">
        <v>145.79</v>
      </c>
      <c r="H3265" t="s">
        <v>19</v>
      </c>
      <c r="I3265" t="s">
        <v>14</v>
      </c>
    </row>
    <row r="3266" spans="1:9" x14ac:dyDescent="0.35">
      <c r="A3266" t="s">
        <v>3302</v>
      </c>
      <c r="B3266" s="1">
        <v>44908</v>
      </c>
      <c r="C3266" t="s">
        <v>10</v>
      </c>
      <c r="D3266" t="s">
        <v>31</v>
      </c>
      <c r="E3266" t="s">
        <v>12</v>
      </c>
      <c r="F3266">
        <v>544.55999999999995</v>
      </c>
      <c r="G3266">
        <v>46.44</v>
      </c>
      <c r="H3266" t="s">
        <v>19</v>
      </c>
      <c r="I3266" t="s">
        <v>14</v>
      </c>
    </row>
    <row r="3267" spans="1:9" x14ac:dyDescent="0.35">
      <c r="A3267" t="s">
        <v>3303</v>
      </c>
      <c r="B3267" s="1">
        <v>44995</v>
      </c>
      <c r="C3267" t="s">
        <v>22</v>
      </c>
      <c r="D3267" t="s">
        <v>41</v>
      </c>
      <c r="E3267" t="s">
        <v>12</v>
      </c>
      <c r="F3267">
        <v>1096.93</v>
      </c>
      <c r="G3267">
        <v>317.04000000000002</v>
      </c>
      <c r="H3267" t="s">
        <v>13</v>
      </c>
      <c r="I3267" t="s">
        <v>20</v>
      </c>
    </row>
    <row r="3268" spans="1:9" x14ac:dyDescent="0.35">
      <c r="A3268" t="s">
        <v>3304</v>
      </c>
      <c r="B3268" s="1">
        <v>45518</v>
      </c>
      <c r="C3268" t="s">
        <v>16</v>
      </c>
      <c r="D3268" t="s">
        <v>33</v>
      </c>
      <c r="E3268" t="s">
        <v>18</v>
      </c>
      <c r="F3268">
        <v>69.73</v>
      </c>
      <c r="G3268">
        <v>6.75</v>
      </c>
      <c r="H3268" t="s">
        <v>28</v>
      </c>
      <c r="I3268" t="s">
        <v>14</v>
      </c>
    </row>
    <row r="3269" spans="1:9" x14ac:dyDescent="0.35">
      <c r="A3269" t="s">
        <v>3305</v>
      </c>
      <c r="B3269" s="1">
        <v>44746</v>
      </c>
      <c r="C3269" t="s">
        <v>10</v>
      </c>
      <c r="D3269" t="s">
        <v>73</v>
      </c>
      <c r="E3269" t="s">
        <v>27</v>
      </c>
      <c r="F3269">
        <v>1744.92</v>
      </c>
      <c r="G3269">
        <v>229.78</v>
      </c>
      <c r="H3269" t="s">
        <v>28</v>
      </c>
      <c r="I3269" t="s">
        <v>34</v>
      </c>
    </row>
    <row r="3270" spans="1:9" x14ac:dyDescent="0.35">
      <c r="A3270" t="s">
        <v>3306</v>
      </c>
      <c r="B3270" s="1">
        <v>45635</v>
      </c>
      <c r="C3270" t="s">
        <v>16</v>
      </c>
      <c r="D3270" t="s">
        <v>31</v>
      </c>
      <c r="E3270" t="s">
        <v>12</v>
      </c>
      <c r="F3270">
        <v>1259.56</v>
      </c>
      <c r="G3270">
        <v>312.23</v>
      </c>
      <c r="H3270" t="s">
        <v>19</v>
      </c>
      <c r="I3270" t="s">
        <v>14</v>
      </c>
    </row>
    <row r="3271" spans="1:9" x14ac:dyDescent="0.35">
      <c r="A3271" t="s">
        <v>3307</v>
      </c>
      <c r="B3271" s="1">
        <v>45254</v>
      </c>
      <c r="C3271" t="s">
        <v>16</v>
      </c>
      <c r="D3271" t="s">
        <v>31</v>
      </c>
      <c r="E3271" t="s">
        <v>12</v>
      </c>
      <c r="F3271">
        <v>1010.87</v>
      </c>
      <c r="G3271">
        <v>94.09</v>
      </c>
      <c r="H3271" t="s">
        <v>13</v>
      </c>
      <c r="I3271" t="s">
        <v>14</v>
      </c>
    </row>
    <row r="3272" spans="1:9" x14ac:dyDescent="0.35">
      <c r="A3272" t="s">
        <v>3308</v>
      </c>
      <c r="B3272" s="1">
        <v>45062</v>
      </c>
      <c r="C3272" t="s">
        <v>10</v>
      </c>
      <c r="D3272" t="s">
        <v>95</v>
      </c>
      <c r="E3272" t="s">
        <v>18</v>
      </c>
      <c r="F3272">
        <v>558.66</v>
      </c>
      <c r="G3272">
        <v>131.36000000000001</v>
      </c>
      <c r="H3272" t="s">
        <v>28</v>
      </c>
      <c r="I3272" t="s">
        <v>20</v>
      </c>
    </row>
    <row r="3273" spans="1:9" x14ac:dyDescent="0.35">
      <c r="A3273" t="s">
        <v>3309</v>
      </c>
      <c r="B3273" s="1">
        <v>44750</v>
      </c>
      <c r="C3273" t="s">
        <v>10</v>
      </c>
      <c r="D3273" t="s">
        <v>57</v>
      </c>
      <c r="E3273" t="s">
        <v>27</v>
      </c>
      <c r="F3273">
        <v>804.45</v>
      </c>
      <c r="G3273">
        <v>199.04</v>
      </c>
      <c r="H3273" t="s">
        <v>13</v>
      </c>
      <c r="I3273" t="s">
        <v>34</v>
      </c>
    </row>
    <row r="3274" spans="1:9" x14ac:dyDescent="0.35">
      <c r="A3274" t="s">
        <v>3310</v>
      </c>
      <c r="B3274" s="1">
        <v>44929</v>
      </c>
      <c r="C3274" t="s">
        <v>16</v>
      </c>
      <c r="D3274" t="s">
        <v>73</v>
      </c>
      <c r="E3274" t="s">
        <v>27</v>
      </c>
      <c r="F3274">
        <v>758.27</v>
      </c>
      <c r="G3274">
        <v>53.23</v>
      </c>
      <c r="H3274" t="s">
        <v>28</v>
      </c>
      <c r="I3274" t="s">
        <v>34</v>
      </c>
    </row>
    <row r="3275" spans="1:9" x14ac:dyDescent="0.35">
      <c r="A3275" t="s">
        <v>3311</v>
      </c>
      <c r="B3275" s="1">
        <v>44804</v>
      </c>
      <c r="C3275" t="s">
        <v>22</v>
      </c>
      <c r="D3275" t="s">
        <v>50</v>
      </c>
      <c r="E3275" t="s">
        <v>12</v>
      </c>
      <c r="F3275">
        <v>1597.76</v>
      </c>
      <c r="G3275">
        <v>289.58</v>
      </c>
      <c r="H3275" t="s">
        <v>13</v>
      </c>
      <c r="I3275" t="s">
        <v>34</v>
      </c>
    </row>
    <row r="3276" spans="1:9" x14ac:dyDescent="0.35">
      <c r="A3276" t="s">
        <v>3312</v>
      </c>
      <c r="B3276" s="1">
        <v>44583</v>
      </c>
      <c r="C3276" t="s">
        <v>16</v>
      </c>
      <c r="D3276" t="s">
        <v>62</v>
      </c>
      <c r="E3276" t="s">
        <v>27</v>
      </c>
      <c r="F3276">
        <v>825.45</v>
      </c>
      <c r="G3276">
        <v>179.09</v>
      </c>
      <c r="H3276" t="s">
        <v>28</v>
      </c>
      <c r="I3276" t="s">
        <v>20</v>
      </c>
    </row>
    <row r="3277" spans="1:9" x14ac:dyDescent="0.35">
      <c r="A3277" t="s">
        <v>3313</v>
      </c>
      <c r="B3277" s="1">
        <v>45212</v>
      </c>
      <c r="C3277" t="s">
        <v>16</v>
      </c>
      <c r="D3277" t="s">
        <v>41</v>
      </c>
      <c r="E3277" t="s">
        <v>12</v>
      </c>
      <c r="F3277">
        <v>1506.04</v>
      </c>
      <c r="G3277">
        <v>234.81</v>
      </c>
      <c r="H3277" t="s">
        <v>19</v>
      </c>
      <c r="I3277" t="s">
        <v>14</v>
      </c>
    </row>
    <row r="3278" spans="1:9" x14ac:dyDescent="0.35">
      <c r="A3278" t="s">
        <v>3314</v>
      </c>
      <c r="B3278" s="1">
        <v>44678</v>
      </c>
      <c r="C3278" t="s">
        <v>10</v>
      </c>
      <c r="D3278" t="s">
        <v>50</v>
      </c>
      <c r="E3278" t="s">
        <v>12</v>
      </c>
      <c r="F3278">
        <v>1961.54</v>
      </c>
      <c r="G3278">
        <v>431.17</v>
      </c>
      <c r="H3278" t="s">
        <v>13</v>
      </c>
      <c r="I3278" t="s">
        <v>14</v>
      </c>
    </row>
    <row r="3279" spans="1:9" x14ac:dyDescent="0.35">
      <c r="A3279" t="s">
        <v>3315</v>
      </c>
      <c r="B3279" s="1">
        <v>45142</v>
      </c>
      <c r="C3279" t="s">
        <v>25</v>
      </c>
      <c r="D3279" t="s">
        <v>97</v>
      </c>
      <c r="E3279" t="s">
        <v>27</v>
      </c>
      <c r="F3279">
        <v>1835.13</v>
      </c>
      <c r="G3279">
        <v>491.78</v>
      </c>
      <c r="H3279" t="s">
        <v>28</v>
      </c>
      <c r="I3279" t="s">
        <v>20</v>
      </c>
    </row>
    <row r="3280" spans="1:9" x14ac:dyDescent="0.35">
      <c r="A3280" t="s">
        <v>3316</v>
      </c>
      <c r="B3280" s="1">
        <v>44903</v>
      </c>
      <c r="C3280" t="s">
        <v>16</v>
      </c>
      <c r="D3280" t="s">
        <v>33</v>
      </c>
      <c r="E3280" t="s">
        <v>18</v>
      </c>
      <c r="F3280">
        <v>62.96</v>
      </c>
      <c r="G3280">
        <v>17.100000000000001</v>
      </c>
      <c r="H3280" t="s">
        <v>13</v>
      </c>
      <c r="I3280" t="s">
        <v>29</v>
      </c>
    </row>
    <row r="3281" spans="1:9" x14ac:dyDescent="0.35">
      <c r="A3281" t="s">
        <v>3317</v>
      </c>
      <c r="B3281" s="1">
        <v>44590</v>
      </c>
      <c r="C3281" t="s">
        <v>16</v>
      </c>
      <c r="D3281" t="s">
        <v>57</v>
      </c>
      <c r="E3281" t="s">
        <v>27</v>
      </c>
      <c r="F3281">
        <v>135.22999999999999</v>
      </c>
      <c r="G3281">
        <v>39.26</v>
      </c>
      <c r="H3281" t="s">
        <v>28</v>
      </c>
      <c r="I3281" t="s">
        <v>34</v>
      </c>
    </row>
    <row r="3282" spans="1:9" x14ac:dyDescent="0.35">
      <c r="A3282" t="s">
        <v>3318</v>
      </c>
      <c r="B3282" s="1">
        <v>44936</v>
      </c>
      <c r="C3282" t="s">
        <v>16</v>
      </c>
      <c r="D3282" t="s">
        <v>73</v>
      </c>
      <c r="E3282" t="s">
        <v>27</v>
      </c>
      <c r="F3282">
        <v>1271.7</v>
      </c>
      <c r="G3282">
        <v>225.78</v>
      </c>
      <c r="H3282" t="s">
        <v>13</v>
      </c>
      <c r="I3282" t="s">
        <v>14</v>
      </c>
    </row>
    <row r="3283" spans="1:9" x14ac:dyDescent="0.35">
      <c r="A3283" t="s">
        <v>3319</v>
      </c>
      <c r="B3283" s="1">
        <v>45450</v>
      </c>
      <c r="C3283" t="s">
        <v>10</v>
      </c>
      <c r="D3283" t="s">
        <v>95</v>
      </c>
      <c r="E3283" t="s">
        <v>18</v>
      </c>
      <c r="F3283">
        <v>1654.41</v>
      </c>
      <c r="G3283">
        <v>126.19</v>
      </c>
      <c r="H3283" t="s">
        <v>19</v>
      </c>
      <c r="I3283" t="s">
        <v>20</v>
      </c>
    </row>
    <row r="3284" spans="1:9" x14ac:dyDescent="0.35">
      <c r="A3284" t="s">
        <v>3320</v>
      </c>
      <c r="B3284" s="1">
        <v>45394</v>
      </c>
      <c r="C3284" t="s">
        <v>25</v>
      </c>
      <c r="D3284" t="s">
        <v>97</v>
      </c>
      <c r="E3284" t="s">
        <v>27</v>
      </c>
      <c r="F3284">
        <v>999.37</v>
      </c>
      <c r="G3284">
        <v>257.7</v>
      </c>
      <c r="H3284" t="s">
        <v>19</v>
      </c>
      <c r="I3284" t="s">
        <v>20</v>
      </c>
    </row>
    <row r="3285" spans="1:9" x14ac:dyDescent="0.35">
      <c r="A3285" t="s">
        <v>3321</v>
      </c>
      <c r="B3285" s="1">
        <v>44999</v>
      </c>
      <c r="C3285" t="s">
        <v>22</v>
      </c>
      <c r="D3285" t="s">
        <v>31</v>
      </c>
      <c r="E3285" t="s">
        <v>12</v>
      </c>
      <c r="F3285">
        <v>1272.76</v>
      </c>
      <c r="G3285">
        <v>126.24</v>
      </c>
      <c r="H3285" t="s">
        <v>28</v>
      </c>
      <c r="I3285" t="s">
        <v>14</v>
      </c>
    </row>
    <row r="3286" spans="1:9" x14ac:dyDescent="0.35">
      <c r="A3286" t="s">
        <v>3322</v>
      </c>
      <c r="B3286" s="1">
        <v>45225</v>
      </c>
      <c r="C3286" t="s">
        <v>16</v>
      </c>
      <c r="D3286" t="s">
        <v>41</v>
      </c>
      <c r="E3286" t="s">
        <v>12</v>
      </c>
      <c r="F3286">
        <v>757.24</v>
      </c>
      <c r="G3286">
        <v>37.979999999999997</v>
      </c>
      <c r="H3286" t="s">
        <v>13</v>
      </c>
      <c r="I3286" t="s">
        <v>34</v>
      </c>
    </row>
    <row r="3287" spans="1:9" x14ac:dyDescent="0.35">
      <c r="A3287" t="s">
        <v>3323</v>
      </c>
      <c r="B3287" s="1">
        <v>44994</v>
      </c>
      <c r="C3287" t="s">
        <v>10</v>
      </c>
      <c r="D3287" t="s">
        <v>62</v>
      </c>
      <c r="E3287" t="s">
        <v>27</v>
      </c>
      <c r="F3287">
        <v>1297.52</v>
      </c>
      <c r="G3287">
        <v>377.95</v>
      </c>
      <c r="H3287" t="s">
        <v>19</v>
      </c>
      <c r="I3287" t="s">
        <v>29</v>
      </c>
    </row>
    <row r="3288" spans="1:9" x14ac:dyDescent="0.35">
      <c r="A3288" t="s">
        <v>3324</v>
      </c>
      <c r="B3288" s="1">
        <v>45165</v>
      </c>
      <c r="C3288" t="s">
        <v>10</v>
      </c>
      <c r="D3288" t="s">
        <v>62</v>
      </c>
      <c r="E3288" t="s">
        <v>27</v>
      </c>
      <c r="F3288">
        <v>1800.34</v>
      </c>
      <c r="G3288">
        <v>145.96</v>
      </c>
      <c r="H3288" t="s">
        <v>19</v>
      </c>
      <c r="I3288" t="s">
        <v>29</v>
      </c>
    </row>
    <row r="3289" spans="1:9" x14ac:dyDescent="0.35">
      <c r="A3289" t="s">
        <v>3325</v>
      </c>
      <c r="B3289" s="1">
        <v>44845</v>
      </c>
      <c r="C3289" t="s">
        <v>10</v>
      </c>
      <c r="D3289" t="s">
        <v>73</v>
      </c>
      <c r="E3289" t="s">
        <v>27</v>
      </c>
      <c r="F3289">
        <v>399.52</v>
      </c>
      <c r="G3289">
        <v>111.75</v>
      </c>
      <c r="H3289" t="s">
        <v>19</v>
      </c>
      <c r="I3289" t="s">
        <v>20</v>
      </c>
    </row>
    <row r="3290" spans="1:9" x14ac:dyDescent="0.35">
      <c r="A3290" t="s">
        <v>3326</v>
      </c>
      <c r="B3290" s="1">
        <v>44904</v>
      </c>
      <c r="C3290" t="s">
        <v>22</v>
      </c>
      <c r="D3290" t="s">
        <v>57</v>
      </c>
      <c r="E3290" t="s">
        <v>27</v>
      </c>
      <c r="F3290">
        <v>1472.24</v>
      </c>
      <c r="G3290">
        <v>134.80000000000001</v>
      </c>
      <c r="H3290" t="s">
        <v>28</v>
      </c>
      <c r="I3290" t="s">
        <v>14</v>
      </c>
    </row>
    <row r="3291" spans="1:9" x14ac:dyDescent="0.35">
      <c r="A3291" t="s">
        <v>3327</v>
      </c>
      <c r="B3291" s="1">
        <v>45376</v>
      </c>
      <c r="C3291" t="s">
        <v>10</v>
      </c>
      <c r="D3291" t="s">
        <v>33</v>
      </c>
      <c r="E3291" t="s">
        <v>18</v>
      </c>
      <c r="F3291">
        <v>1248.08</v>
      </c>
      <c r="G3291">
        <v>337.9</v>
      </c>
      <c r="H3291" t="s">
        <v>19</v>
      </c>
      <c r="I3291" t="s">
        <v>20</v>
      </c>
    </row>
    <row r="3292" spans="1:9" x14ac:dyDescent="0.35">
      <c r="A3292" t="s">
        <v>3328</v>
      </c>
      <c r="B3292" s="1">
        <v>44906</v>
      </c>
      <c r="C3292" t="s">
        <v>25</v>
      </c>
      <c r="D3292" t="s">
        <v>73</v>
      </c>
      <c r="E3292" t="s">
        <v>27</v>
      </c>
      <c r="F3292">
        <v>937.51</v>
      </c>
      <c r="G3292">
        <v>176.93</v>
      </c>
      <c r="H3292" t="s">
        <v>28</v>
      </c>
      <c r="I3292" t="s">
        <v>20</v>
      </c>
    </row>
    <row r="3293" spans="1:9" x14ac:dyDescent="0.35">
      <c r="A3293" t="s">
        <v>3329</v>
      </c>
      <c r="B3293" s="1">
        <v>45522</v>
      </c>
      <c r="C3293" t="s">
        <v>22</v>
      </c>
      <c r="D3293" t="s">
        <v>31</v>
      </c>
      <c r="E3293" t="s">
        <v>12</v>
      </c>
      <c r="F3293">
        <v>1671.75</v>
      </c>
      <c r="G3293">
        <v>147.13999999999999</v>
      </c>
      <c r="H3293" t="s">
        <v>19</v>
      </c>
      <c r="I3293" t="s">
        <v>20</v>
      </c>
    </row>
    <row r="3294" spans="1:9" x14ac:dyDescent="0.35">
      <c r="A3294" t="s">
        <v>3330</v>
      </c>
      <c r="B3294" s="1">
        <v>45074</v>
      </c>
      <c r="C3294" t="s">
        <v>16</v>
      </c>
      <c r="D3294" t="s">
        <v>17</v>
      </c>
      <c r="E3294" t="s">
        <v>18</v>
      </c>
      <c r="F3294">
        <v>1151.1400000000001</v>
      </c>
      <c r="G3294">
        <v>303.61</v>
      </c>
      <c r="H3294" t="s">
        <v>28</v>
      </c>
      <c r="I3294" t="s">
        <v>29</v>
      </c>
    </row>
    <row r="3295" spans="1:9" x14ac:dyDescent="0.35">
      <c r="A3295" t="s">
        <v>3331</v>
      </c>
      <c r="B3295" s="1">
        <v>45321</v>
      </c>
      <c r="C3295" t="s">
        <v>16</v>
      </c>
      <c r="D3295" t="s">
        <v>33</v>
      </c>
      <c r="E3295" t="s">
        <v>18</v>
      </c>
      <c r="F3295">
        <v>1992.27</v>
      </c>
      <c r="G3295">
        <v>280.66000000000003</v>
      </c>
      <c r="H3295" t="s">
        <v>19</v>
      </c>
      <c r="I3295" t="s">
        <v>34</v>
      </c>
    </row>
    <row r="3296" spans="1:9" x14ac:dyDescent="0.35">
      <c r="A3296" t="s">
        <v>3332</v>
      </c>
      <c r="B3296" s="1">
        <v>44859</v>
      </c>
      <c r="C3296" t="s">
        <v>25</v>
      </c>
      <c r="D3296" t="s">
        <v>73</v>
      </c>
      <c r="E3296" t="s">
        <v>27</v>
      </c>
      <c r="F3296">
        <v>1881.81</v>
      </c>
      <c r="G3296">
        <v>363.26</v>
      </c>
      <c r="H3296" t="s">
        <v>19</v>
      </c>
      <c r="I3296" t="s">
        <v>14</v>
      </c>
    </row>
    <row r="3297" spans="1:9" x14ac:dyDescent="0.35">
      <c r="A3297" t="s">
        <v>3333</v>
      </c>
      <c r="B3297" s="1">
        <v>44895</v>
      </c>
      <c r="C3297" t="s">
        <v>16</v>
      </c>
      <c r="D3297" t="s">
        <v>97</v>
      </c>
      <c r="E3297" t="s">
        <v>27</v>
      </c>
      <c r="F3297">
        <v>1351.09</v>
      </c>
      <c r="G3297">
        <v>70.099999999999994</v>
      </c>
      <c r="H3297" t="s">
        <v>13</v>
      </c>
      <c r="I3297" t="s">
        <v>20</v>
      </c>
    </row>
    <row r="3298" spans="1:9" x14ac:dyDescent="0.35">
      <c r="A3298" t="s">
        <v>3334</v>
      </c>
      <c r="B3298" s="1">
        <v>45355</v>
      </c>
      <c r="C3298" t="s">
        <v>16</v>
      </c>
      <c r="D3298" t="s">
        <v>17</v>
      </c>
      <c r="E3298" t="s">
        <v>18</v>
      </c>
      <c r="F3298">
        <v>1696.62</v>
      </c>
      <c r="G3298">
        <v>114.7</v>
      </c>
      <c r="H3298" t="s">
        <v>13</v>
      </c>
      <c r="I3298" t="s">
        <v>29</v>
      </c>
    </row>
    <row r="3299" spans="1:9" x14ac:dyDescent="0.35">
      <c r="A3299" t="s">
        <v>3335</v>
      </c>
      <c r="B3299" s="1">
        <v>44598</v>
      </c>
      <c r="C3299" t="s">
        <v>25</v>
      </c>
      <c r="D3299" t="s">
        <v>33</v>
      </c>
      <c r="E3299" t="s">
        <v>18</v>
      </c>
      <c r="F3299">
        <v>500.04</v>
      </c>
      <c r="G3299">
        <v>77.61</v>
      </c>
      <c r="H3299" t="s">
        <v>19</v>
      </c>
      <c r="I3299" t="s">
        <v>29</v>
      </c>
    </row>
    <row r="3300" spans="1:9" x14ac:dyDescent="0.35">
      <c r="A3300" t="s">
        <v>3336</v>
      </c>
      <c r="B3300" s="1">
        <v>45086</v>
      </c>
      <c r="C3300" t="s">
        <v>22</v>
      </c>
      <c r="D3300" t="s">
        <v>41</v>
      </c>
      <c r="E3300" t="s">
        <v>12</v>
      </c>
      <c r="F3300">
        <v>399.52</v>
      </c>
      <c r="G3300">
        <v>114.24</v>
      </c>
      <c r="H3300" t="s">
        <v>19</v>
      </c>
      <c r="I3300" t="s">
        <v>14</v>
      </c>
    </row>
    <row r="3301" spans="1:9" x14ac:dyDescent="0.35">
      <c r="A3301" t="s">
        <v>3337</v>
      </c>
      <c r="B3301" s="1">
        <v>44602</v>
      </c>
      <c r="C3301" t="s">
        <v>22</v>
      </c>
      <c r="D3301" t="s">
        <v>95</v>
      </c>
      <c r="E3301" t="s">
        <v>18</v>
      </c>
      <c r="F3301">
        <v>191.39</v>
      </c>
      <c r="G3301">
        <v>46.05</v>
      </c>
      <c r="H3301" t="s">
        <v>13</v>
      </c>
      <c r="I3301" t="s">
        <v>14</v>
      </c>
    </row>
    <row r="3302" spans="1:9" x14ac:dyDescent="0.35">
      <c r="A3302" t="s">
        <v>3338</v>
      </c>
      <c r="B3302" s="1">
        <v>45200</v>
      </c>
      <c r="C3302" t="s">
        <v>10</v>
      </c>
      <c r="D3302" t="s">
        <v>26</v>
      </c>
      <c r="E3302" t="s">
        <v>27</v>
      </c>
      <c r="F3302">
        <v>288.02</v>
      </c>
      <c r="G3302">
        <v>52.12</v>
      </c>
      <c r="H3302" t="s">
        <v>28</v>
      </c>
      <c r="I3302" t="s">
        <v>29</v>
      </c>
    </row>
    <row r="3303" spans="1:9" x14ac:dyDescent="0.35">
      <c r="A3303" t="s">
        <v>3339</v>
      </c>
      <c r="B3303" s="1">
        <v>45271</v>
      </c>
      <c r="C3303" t="s">
        <v>22</v>
      </c>
      <c r="D3303" t="s">
        <v>26</v>
      </c>
      <c r="E3303" t="s">
        <v>27</v>
      </c>
      <c r="F3303">
        <v>843.35</v>
      </c>
      <c r="G3303">
        <v>119.14</v>
      </c>
      <c r="H3303" t="s">
        <v>13</v>
      </c>
      <c r="I3303" t="s">
        <v>14</v>
      </c>
    </row>
    <row r="3304" spans="1:9" x14ac:dyDescent="0.35">
      <c r="A3304" t="s">
        <v>3340</v>
      </c>
      <c r="B3304" s="1">
        <v>45581</v>
      </c>
      <c r="C3304" t="s">
        <v>16</v>
      </c>
      <c r="D3304" t="s">
        <v>11</v>
      </c>
      <c r="E3304" t="s">
        <v>12</v>
      </c>
      <c r="F3304">
        <v>928.68</v>
      </c>
      <c r="G3304">
        <v>121.68</v>
      </c>
      <c r="H3304" t="s">
        <v>19</v>
      </c>
      <c r="I3304" t="s">
        <v>20</v>
      </c>
    </row>
    <row r="3305" spans="1:9" x14ac:dyDescent="0.35">
      <c r="A3305" t="s">
        <v>3341</v>
      </c>
      <c r="B3305" s="1">
        <v>44923</v>
      </c>
      <c r="C3305" t="s">
        <v>10</v>
      </c>
      <c r="D3305" t="s">
        <v>17</v>
      </c>
      <c r="E3305" t="s">
        <v>18</v>
      </c>
      <c r="F3305">
        <v>489.39</v>
      </c>
      <c r="G3305">
        <v>40.770000000000003</v>
      </c>
      <c r="H3305" t="s">
        <v>13</v>
      </c>
      <c r="I3305" t="s">
        <v>34</v>
      </c>
    </row>
    <row r="3306" spans="1:9" x14ac:dyDescent="0.35">
      <c r="A3306" t="s">
        <v>3342</v>
      </c>
      <c r="B3306" s="1">
        <v>45570</v>
      </c>
      <c r="C3306" t="s">
        <v>16</v>
      </c>
      <c r="D3306" t="s">
        <v>73</v>
      </c>
      <c r="E3306" t="s">
        <v>27</v>
      </c>
      <c r="F3306">
        <v>691.98</v>
      </c>
      <c r="G3306">
        <v>72.06</v>
      </c>
      <c r="H3306" t="s">
        <v>28</v>
      </c>
      <c r="I3306" t="s">
        <v>14</v>
      </c>
    </row>
    <row r="3307" spans="1:9" x14ac:dyDescent="0.35">
      <c r="A3307" t="s">
        <v>3343</v>
      </c>
      <c r="B3307" s="1">
        <v>45407</v>
      </c>
      <c r="C3307" t="s">
        <v>10</v>
      </c>
      <c r="D3307" t="s">
        <v>33</v>
      </c>
      <c r="E3307" t="s">
        <v>18</v>
      </c>
      <c r="F3307">
        <v>1371.67</v>
      </c>
      <c r="G3307">
        <v>215.54</v>
      </c>
      <c r="H3307" t="s">
        <v>28</v>
      </c>
      <c r="I3307" t="s">
        <v>29</v>
      </c>
    </row>
    <row r="3308" spans="1:9" x14ac:dyDescent="0.35">
      <c r="A3308" t="s">
        <v>3344</v>
      </c>
      <c r="B3308" s="1">
        <v>45008</v>
      </c>
      <c r="C3308" t="s">
        <v>25</v>
      </c>
      <c r="D3308" t="s">
        <v>33</v>
      </c>
      <c r="E3308" t="s">
        <v>18</v>
      </c>
      <c r="F3308">
        <v>658.34</v>
      </c>
      <c r="G3308">
        <v>146.62</v>
      </c>
      <c r="H3308" t="s">
        <v>19</v>
      </c>
      <c r="I3308" t="s">
        <v>34</v>
      </c>
    </row>
    <row r="3309" spans="1:9" x14ac:dyDescent="0.35">
      <c r="A3309" t="s">
        <v>3345</v>
      </c>
      <c r="B3309" s="1">
        <v>45290</v>
      </c>
      <c r="C3309" t="s">
        <v>16</v>
      </c>
      <c r="D3309" t="s">
        <v>73</v>
      </c>
      <c r="E3309" t="s">
        <v>27</v>
      </c>
      <c r="F3309">
        <v>1302.82</v>
      </c>
      <c r="G3309">
        <v>166.05</v>
      </c>
      <c r="H3309" t="s">
        <v>13</v>
      </c>
      <c r="I3309" t="s">
        <v>14</v>
      </c>
    </row>
    <row r="3310" spans="1:9" x14ac:dyDescent="0.35">
      <c r="A3310" t="s">
        <v>3346</v>
      </c>
      <c r="B3310" s="1">
        <v>45062</v>
      </c>
      <c r="C3310" t="s">
        <v>16</v>
      </c>
      <c r="D3310" t="s">
        <v>50</v>
      </c>
      <c r="E3310" t="s">
        <v>12</v>
      </c>
      <c r="F3310">
        <v>1743.12</v>
      </c>
      <c r="G3310">
        <v>381.38</v>
      </c>
      <c r="H3310" t="s">
        <v>13</v>
      </c>
      <c r="I3310" t="s">
        <v>29</v>
      </c>
    </row>
    <row r="3311" spans="1:9" x14ac:dyDescent="0.35">
      <c r="A3311" t="s">
        <v>3347</v>
      </c>
      <c r="B3311" s="1">
        <v>44999</v>
      </c>
      <c r="C3311" t="s">
        <v>10</v>
      </c>
      <c r="D3311" t="s">
        <v>31</v>
      </c>
      <c r="E3311" t="s">
        <v>12</v>
      </c>
      <c r="F3311">
        <v>1480.24</v>
      </c>
      <c r="G3311">
        <v>200.21</v>
      </c>
      <c r="H3311" t="s">
        <v>13</v>
      </c>
      <c r="I3311" t="s">
        <v>29</v>
      </c>
    </row>
    <row r="3312" spans="1:9" x14ac:dyDescent="0.35">
      <c r="A3312" t="s">
        <v>3348</v>
      </c>
      <c r="B3312" s="1">
        <v>44793</v>
      </c>
      <c r="C3312" t="s">
        <v>22</v>
      </c>
      <c r="D3312" t="s">
        <v>73</v>
      </c>
      <c r="E3312" t="s">
        <v>27</v>
      </c>
      <c r="F3312">
        <v>857.09</v>
      </c>
      <c r="G3312">
        <v>208.12</v>
      </c>
      <c r="H3312" t="s">
        <v>28</v>
      </c>
      <c r="I3312" t="s">
        <v>14</v>
      </c>
    </row>
    <row r="3313" spans="1:9" x14ac:dyDescent="0.35">
      <c r="A3313" t="s">
        <v>3349</v>
      </c>
      <c r="B3313" s="1">
        <v>45163</v>
      </c>
      <c r="C3313" t="s">
        <v>10</v>
      </c>
      <c r="D3313" t="s">
        <v>38</v>
      </c>
      <c r="E3313" t="s">
        <v>12</v>
      </c>
      <c r="F3313">
        <v>782.31</v>
      </c>
      <c r="G3313">
        <v>142.78</v>
      </c>
      <c r="H3313" t="s">
        <v>19</v>
      </c>
      <c r="I3313" t="s">
        <v>20</v>
      </c>
    </row>
    <row r="3314" spans="1:9" x14ac:dyDescent="0.35">
      <c r="A3314" t="s">
        <v>3350</v>
      </c>
      <c r="B3314" s="1">
        <v>45416</v>
      </c>
      <c r="C3314" t="s">
        <v>22</v>
      </c>
      <c r="D3314" t="s">
        <v>38</v>
      </c>
      <c r="E3314" t="s">
        <v>12</v>
      </c>
      <c r="F3314">
        <v>1705.82</v>
      </c>
      <c r="G3314">
        <v>305.77999999999997</v>
      </c>
      <c r="H3314" t="s">
        <v>28</v>
      </c>
      <c r="I3314" t="s">
        <v>34</v>
      </c>
    </row>
    <row r="3315" spans="1:9" x14ac:dyDescent="0.35">
      <c r="A3315" t="s">
        <v>3351</v>
      </c>
      <c r="B3315" s="1">
        <v>44710</v>
      </c>
      <c r="C3315" t="s">
        <v>10</v>
      </c>
      <c r="D3315" t="s">
        <v>73</v>
      </c>
      <c r="E3315" t="s">
        <v>27</v>
      </c>
      <c r="F3315">
        <v>1082.1600000000001</v>
      </c>
      <c r="G3315">
        <v>54.98</v>
      </c>
      <c r="H3315" t="s">
        <v>13</v>
      </c>
      <c r="I3315" t="s">
        <v>14</v>
      </c>
    </row>
    <row r="3316" spans="1:9" x14ac:dyDescent="0.35">
      <c r="A3316" t="s">
        <v>3352</v>
      </c>
      <c r="B3316" s="1">
        <v>44813</v>
      </c>
      <c r="C3316" t="s">
        <v>10</v>
      </c>
      <c r="D3316" t="s">
        <v>97</v>
      </c>
      <c r="E3316" t="s">
        <v>27</v>
      </c>
      <c r="F3316">
        <v>1572.31</v>
      </c>
      <c r="G3316">
        <v>358.43</v>
      </c>
      <c r="H3316" t="s">
        <v>19</v>
      </c>
      <c r="I3316" t="s">
        <v>34</v>
      </c>
    </row>
    <row r="3317" spans="1:9" x14ac:dyDescent="0.35">
      <c r="A3317" t="s">
        <v>3353</v>
      </c>
      <c r="B3317" s="1">
        <v>45346</v>
      </c>
      <c r="C3317" t="s">
        <v>25</v>
      </c>
      <c r="D3317" t="s">
        <v>23</v>
      </c>
      <c r="E3317" t="s">
        <v>18</v>
      </c>
      <c r="F3317">
        <v>813.19</v>
      </c>
      <c r="G3317">
        <v>87.96</v>
      </c>
      <c r="H3317" t="s">
        <v>19</v>
      </c>
      <c r="I3317" t="s">
        <v>34</v>
      </c>
    </row>
    <row r="3318" spans="1:9" x14ac:dyDescent="0.35">
      <c r="A3318" t="s">
        <v>3354</v>
      </c>
      <c r="B3318" s="1">
        <v>45446</v>
      </c>
      <c r="C3318" t="s">
        <v>10</v>
      </c>
      <c r="D3318" t="s">
        <v>23</v>
      </c>
      <c r="E3318" t="s">
        <v>18</v>
      </c>
      <c r="F3318">
        <v>1124.02</v>
      </c>
      <c r="G3318">
        <v>318.05</v>
      </c>
      <c r="H3318" t="s">
        <v>13</v>
      </c>
      <c r="I3318" t="s">
        <v>34</v>
      </c>
    </row>
    <row r="3319" spans="1:9" x14ac:dyDescent="0.35">
      <c r="A3319" t="s">
        <v>3355</v>
      </c>
      <c r="B3319" s="1">
        <v>44744</v>
      </c>
      <c r="C3319" t="s">
        <v>25</v>
      </c>
      <c r="D3319" t="s">
        <v>31</v>
      </c>
      <c r="E3319" t="s">
        <v>12</v>
      </c>
      <c r="F3319">
        <v>1894.56</v>
      </c>
      <c r="G3319">
        <v>426.32</v>
      </c>
      <c r="H3319" t="s">
        <v>19</v>
      </c>
      <c r="I3319" t="s">
        <v>34</v>
      </c>
    </row>
    <row r="3320" spans="1:9" x14ac:dyDescent="0.35">
      <c r="A3320" t="s">
        <v>3356</v>
      </c>
      <c r="B3320" s="1">
        <v>44888</v>
      </c>
      <c r="C3320" t="s">
        <v>25</v>
      </c>
      <c r="D3320" t="s">
        <v>17</v>
      </c>
      <c r="E3320" t="s">
        <v>18</v>
      </c>
      <c r="F3320">
        <v>756.6</v>
      </c>
      <c r="G3320">
        <v>63.75</v>
      </c>
      <c r="H3320" t="s">
        <v>28</v>
      </c>
      <c r="I3320" t="s">
        <v>14</v>
      </c>
    </row>
    <row r="3321" spans="1:9" x14ac:dyDescent="0.35">
      <c r="A3321" t="s">
        <v>3357</v>
      </c>
      <c r="B3321" s="1">
        <v>45538</v>
      </c>
      <c r="C3321" t="s">
        <v>16</v>
      </c>
      <c r="D3321" t="s">
        <v>33</v>
      </c>
      <c r="E3321" t="s">
        <v>18</v>
      </c>
      <c r="F3321">
        <v>1727.04</v>
      </c>
      <c r="G3321">
        <v>324.26</v>
      </c>
      <c r="H3321" t="s">
        <v>19</v>
      </c>
      <c r="I3321" t="s">
        <v>34</v>
      </c>
    </row>
    <row r="3322" spans="1:9" x14ac:dyDescent="0.35">
      <c r="A3322" t="s">
        <v>3358</v>
      </c>
      <c r="B3322" s="1">
        <v>45322</v>
      </c>
      <c r="C3322" t="s">
        <v>16</v>
      </c>
      <c r="D3322" t="s">
        <v>11</v>
      </c>
      <c r="E3322" t="s">
        <v>12</v>
      </c>
      <c r="F3322">
        <v>748.47</v>
      </c>
      <c r="G3322">
        <v>86.22</v>
      </c>
      <c r="H3322" t="s">
        <v>19</v>
      </c>
      <c r="I3322" t="s">
        <v>34</v>
      </c>
    </row>
    <row r="3323" spans="1:9" x14ac:dyDescent="0.35">
      <c r="A3323" t="s">
        <v>3359</v>
      </c>
      <c r="B3323" s="1">
        <v>45089</v>
      </c>
      <c r="C3323" t="s">
        <v>10</v>
      </c>
      <c r="D3323" t="s">
        <v>46</v>
      </c>
      <c r="E3323" t="s">
        <v>18</v>
      </c>
      <c r="F3323">
        <v>1336.03</v>
      </c>
      <c r="G3323">
        <v>369.22</v>
      </c>
      <c r="H3323" t="s">
        <v>28</v>
      </c>
      <c r="I3323" t="s">
        <v>14</v>
      </c>
    </row>
    <row r="3324" spans="1:9" x14ac:dyDescent="0.35">
      <c r="A3324" t="s">
        <v>3360</v>
      </c>
      <c r="B3324" s="1">
        <v>45117</v>
      </c>
      <c r="C3324" t="s">
        <v>25</v>
      </c>
      <c r="D3324" t="s">
        <v>95</v>
      </c>
      <c r="E3324" t="s">
        <v>18</v>
      </c>
      <c r="F3324">
        <v>1196.3800000000001</v>
      </c>
      <c r="G3324">
        <v>335.73</v>
      </c>
      <c r="H3324" t="s">
        <v>28</v>
      </c>
      <c r="I3324" t="s">
        <v>20</v>
      </c>
    </row>
    <row r="3325" spans="1:9" x14ac:dyDescent="0.35">
      <c r="A3325" t="s">
        <v>3361</v>
      </c>
      <c r="B3325" s="1">
        <v>45236</v>
      </c>
      <c r="C3325" t="s">
        <v>10</v>
      </c>
      <c r="D3325" t="s">
        <v>41</v>
      </c>
      <c r="E3325" t="s">
        <v>12</v>
      </c>
      <c r="F3325">
        <v>699.26</v>
      </c>
      <c r="G3325">
        <v>55.65</v>
      </c>
      <c r="H3325" t="s">
        <v>13</v>
      </c>
      <c r="I3325" t="s">
        <v>34</v>
      </c>
    </row>
    <row r="3326" spans="1:9" x14ac:dyDescent="0.35">
      <c r="A3326" t="s">
        <v>3362</v>
      </c>
      <c r="B3326" s="1">
        <v>45250</v>
      </c>
      <c r="C3326" t="s">
        <v>25</v>
      </c>
      <c r="D3326" t="s">
        <v>73</v>
      </c>
      <c r="E3326" t="s">
        <v>27</v>
      </c>
      <c r="F3326">
        <v>1253.81</v>
      </c>
      <c r="G3326">
        <v>338.98</v>
      </c>
      <c r="H3326" t="s">
        <v>19</v>
      </c>
      <c r="I3326" t="s">
        <v>20</v>
      </c>
    </row>
    <row r="3327" spans="1:9" x14ac:dyDescent="0.35">
      <c r="A3327" t="s">
        <v>3363</v>
      </c>
      <c r="B3327" s="1">
        <v>44967</v>
      </c>
      <c r="C3327" t="s">
        <v>10</v>
      </c>
      <c r="D3327" t="s">
        <v>73</v>
      </c>
      <c r="E3327" t="s">
        <v>27</v>
      </c>
      <c r="F3327">
        <v>65.599999999999994</v>
      </c>
      <c r="G3327">
        <v>6.37</v>
      </c>
      <c r="H3327" t="s">
        <v>19</v>
      </c>
      <c r="I3327" t="s">
        <v>29</v>
      </c>
    </row>
    <row r="3328" spans="1:9" x14ac:dyDescent="0.35">
      <c r="A3328" t="s">
        <v>3364</v>
      </c>
      <c r="B3328" s="1">
        <v>44923</v>
      </c>
      <c r="C3328" t="s">
        <v>10</v>
      </c>
      <c r="D3328" t="s">
        <v>57</v>
      </c>
      <c r="E3328" t="s">
        <v>27</v>
      </c>
      <c r="F3328">
        <v>1595.75</v>
      </c>
      <c r="G3328">
        <v>135.85</v>
      </c>
      <c r="H3328" t="s">
        <v>19</v>
      </c>
      <c r="I3328" t="s">
        <v>14</v>
      </c>
    </row>
    <row r="3329" spans="1:9" x14ac:dyDescent="0.35">
      <c r="A3329" t="s">
        <v>3365</v>
      </c>
      <c r="B3329" s="1">
        <v>45349</v>
      </c>
      <c r="C3329" t="s">
        <v>25</v>
      </c>
      <c r="D3329" t="s">
        <v>23</v>
      </c>
      <c r="E3329" t="s">
        <v>18</v>
      </c>
      <c r="F3329">
        <v>1874.45</v>
      </c>
      <c r="G3329">
        <v>177.39</v>
      </c>
      <c r="H3329" t="s">
        <v>28</v>
      </c>
      <c r="I3329" t="s">
        <v>20</v>
      </c>
    </row>
    <row r="3330" spans="1:9" x14ac:dyDescent="0.35">
      <c r="A3330" t="s">
        <v>3366</v>
      </c>
      <c r="B3330" s="1">
        <v>44629</v>
      </c>
      <c r="C3330" t="s">
        <v>10</v>
      </c>
      <c r="D3330" t="s">
        <v>33</v>
      </c>
      <c r="E3330" t="s">
        <v>18</v>
      </c>
      <c r="F3330">
        <v>539.78</v>
      </c>
      <c r="G3330">
        <v>43.66</v>
      </c>
      <c r="H3330" t="s">
        <v>13</v>
      </c>
      <c r="I3330" t="s">
        <v>14</v>
      </c>
    </row>
    <row r="3331" spans="1:9" x14ac:dyDescent="0.35">
      <c r="A3331" t="s">
        <v>3367</v>
      </c>
      <c r="B3331" s="1">
        <v>45213</v>
      </c>
      <c r="C3331" t="s">
        <v>10</v>
      </c>
      <c r="D3331" t="s">
        <v>17</v>
      </c>
      <c r="E3331" t="s">
        <v>18</v>
      </c>
      <c r="F3331">
        <v>1068.52</v>
      </c>
      <c r="G3331">
        <v>121.61</v>
      </c>
      <c r="H3331" t="s">
        <v>13</v>
      </c>
      <c r="I3331" t="s">
        <v>29</v>
      </c>
    </row>
    <row r="3332" spans="1:9" x14ac:dyDescent="0.35">
      <c r="A3332" t="s">
        <v>3368</v>
      </c>
      <c r="B3332" s="1">
        <v>45465</v>
      </c>
      <c r="C3332" t="s">
        <v>10</v>
      </c>
      <c r="D3332" t="s">
        <v>17</v>
      </c>
      <c r="E3332" t="s">
        <v>18</v>
      </c>
      <c r="F3332">
        <v>273.18</v>
      </c>
      <c r="G3332">
        <v>39.93</v>
      </c>
      <c r="H3332" t="s">
        <v>19</v>
      </c>
      <c r="I3332" t="s">
        <v>14</v>
      </c>
    </row>
    <row r="3333" spans="1:9" x14ac:dyDescent="0.35">
      <c r="A3333" t="s">
        <v>3369</v>
      </c>
      <c r="B3333" s="1">
        <v>44666</v>
      </c>
      <c r="C3333" t="s">
        <v>22</v>
      </c>
      <c r="D3333" t="s">
        <v>11</v>
      </c>
      <c r="E3333" t="s">
        <v>12</v>
      </c>
      <c r="F3333">
        <v>587.35</v>
      </c>
      <c r="G3333">
        <v>50.81</v>
      </c>
      <c r="H3333" t="s">
        <v>19</v>
      </c>
      <c r="I3333" t="s">
        <v>34</v>
      </c>
    </row>
    <row r="3334" spans="1:9" x14ac:dyDescent="0.35">
      <c r="A3334" t="s">
        <v>3370</v>
      </c>
      <c r="B3334" s="1">
        <v>45459</v>
      </c>
      <c r="C3334" t="s">
        <v>22</v>
      </c>
      <c r="D3334" t="s">
        <v>46</v>
      </c>
      <c r="E3334" t="s">
        <v>18</v>
      </c>
      <c r="F3334">
        <v>596.59</v>
      </c>
      <c r="G3334">
        <v>59.38</v>
      </c>
      <c r="H3334" t="s">
        <v>13</v>
      </c>
      <c r="I3334" t="s">
        <v>14</v>
      </c>
    </row>
    <row r="3335" spans="1:9" x14ac:dyDescent="0.35">
      <c r="A3335" t="s">
        <v>3371</v>
      </c>
      <c r="B3335" s="1">
        <v>44684</v>
      </c>
      <c r="C3335" t="s">
        <v>16</v>
      </c>
      <c r="D3335" t="s">
        <v>50</v>
      </c>
      <c r="E3335" t="s">
        <v>12</v>
      </c>
      <c r="F3335">
        <v>497.61</v>
      </c>
      <c r="G3335">
        <v>29.95</v>
      </c>
      <c r="H3335" t="s">
        <v>19</v>
      </c>
      <c r="I3335" t="s">
        <v>34</v>
      </c>
    </row>
    <row r="3336" spans="1:9" x14ac:dyDescent="0.35">
      <c r="A3336" t="s">
        <v>3372</v>
      </c>
      <c r="B3336" s="1">
        <v>45562</v>
      </c>
      <c r="C3336" t="s">
        <v>22</v>
      </c>
      <c r="D3336" t="s">
        <v>50</v>
      </c>
      <c r="E3336" t="s">
        <v>12</v>
      </c>
      <c r="F3336">
        <v>484.91</v>
      </c>
      <c r="G3336">
        <v>46.12</v>
      </c>
      <c r="H3336" t="s">
        <v>19</v>
      </c>
      <c r="I3336" t="s">
        <v>14</v>
      </c>
    </row>
    <row r="3337" spans="1:9" x14ac:dyDescent="0.35">
      <c r="A3337" t="s">
        <v>3373</v>
      </c>
      <c r="B3337" s="1">
        <v>45204</v>
      </c>
      <c r="C3337" t="s">
        <v>10</v>
      </c>
      <c r="D3337" t="s">
        <v>38</v>
      </c>
      <c r="E3337" t="s">
        <v>12</v>
      </c>
      <c r="F3337">
        <v>1935.86</v>
      </c>
      <c r="G3337">
        <v>249.27</v>
      </c>
      <c r="H3337" t="s">
        <v>28</v>
      </c>
      <c r="I3337" t="s">
        <v>34</v>
      </c>
    </row>
    <row r="3338" spans="1:9" x14ac:dyDescent="0.35">
      <c r="A3338" t="s">
        <v>3374</v>
      </c>
      <c r="B3338" s="1">
        <v>44731</v>
      </c>
      <c r="C3338" t="s">
        <v>16</v>
      </c>
      <c r="D3338" t="s">
        <v>41</v>
      </c>
      <c r="E3338" t="s">
        <v>12</v>
      </c>
      <c r="F3338">
        <v>1341.32</v>
      </c>
      <c r="G3338">
        <v>159.46</v>
      </c>
      <c r="H3338" t="s">
        <v>28</v>
      </c>
      <c r="I3338" t="s">
        <v>20</v>
      </c>
    </row>
    <row r="3339" spans="1:9" x14ac:dyDescent="0.35">
      <c r="A3339" t="s">
        <v>3375</v>
      </c>
      <c r="B3339" s="1">
        <v>44902</v>
      </c>
      <c r="C3339" t="s">
        <v>22</v>
      </c>
      <c r="D3339" t="s">
        <v>95</v>
      </c>
      <c r="E3339" t="s">
        <v>18</v>
      </c>
      <c r="F3339">
        <v>1167.53</v>
      </c>
      <c r="G3339">
        <v>112.12</v>
      </c>
      <c r="H3339" t="s">
        <v>28</v>
      </c>
      <c r="I3339" t="s">
        <v>20</v>
      </c>
    </row>
    <row r="3340" spans="1:9" x14ac:dyDescent="0.35">
      <c r="A3340" t="s">
        <v>3376</v>
      </c>
      <c r="B3340" s="1">
        <v>44679</v>
      </c>
      <c r="C3340" t="s">
        <v>16</v>
      </c>
      <c r="D3340" t="s">
        <v>97</v>
      </c>
      <c r="E3340" t="s">
        <v>27</v>
      </c>
      <c r="F3340">
        <v>1491.34</v>
      </c>
      <c r="G3340">
        <v>363.54</v>
      </c>
      <c r="H3340" t="s">
        <v>28</v>
      </c>
      <c r="I3340" t="s">
        <v>20</v>
      </c>
    </row>
    <row r="3341" spans="1:9" x14ac:dyDescent="0.35">
      <c r="A3341" t="s">
        <v>3377</v>
      </c>
      <c r="B3341" s="1">
        <v>44996</v>
      </c>
      <c r="C3341" t="s">
        <v>22</v>
      </c>
      <c r="D3341" t="s">
        <v>73</v>
      </c>
      <c r="E3341" t="s">
        <v>27</v>
      </c>
      <c r="F3341">
        <v>1116.18</v>
      </c>
      <c r="G3341">
        <v>293.7</v>
      </c>
      <c r="H3341" t="s">
        <v>13</v>
      </c>
      <c r="I3341" t="s">
        <v>20</v>
      </c>
    </row>
    <row r="3342" spans="1:9" x14ac:dyDescent="0.35">
      <c r="A3342" t="s">
        <v>3378</v>
      </c>
      <c r="B3342" s="1">
        <v>45398</v>
      </c>
      <c r="C3342" t="s">
        <v>22</v>
      </c>
      <c r="D3342" t="s">
        <v>46</v>
      </c>
      <c r="E3342" t="s">
        <v>18</v>
      </c>
      <c r="F3342">
        <v>1312.21</v>
      </c>
      <c r="G3342">
        <v>175.17</v>
      </c>
      <c r="H3342" t="s">
        <v>28</v>
      </c>
      <c r="I3342" t="s">
        <v>20</v>
      </c>
    </row>
    <row r="3343" spans="1:9" x14ac:dyDescent="0.35">
      <c r="A3343" t="s">
        <v>3379</v>
      </c>
      <c r="B3343" s="1">
        <v>45262</v>
      </c>
      <c r="C3343" t="s">
        <v>16</v>
      </c>
      <c r="D3343" t="s">
        <v>33</v>
      </c>
      <c r="E3343" t="s">
        <v>18</v>
      </c>
      <c r="F3343">
        <v>1377.39</v>
      </c>
      <c r="G3343">
        <v>403.32</v>
      </c>
      <c r="H3343" t="s">
        <v>28</v>
      </c>
      <c r="I3343" t="s">
        <v>14</v>
      </c>
    </row>
    <row r="3344" spans="1:9" x14ac:dyDescent="0.35">
      <c r="A3344" t="s">
        <v>3380</v>
      </c>
      <c r="B3344" s="1">
        <v>45597</v>
      </c>
      <c r="C3344" t="s">
        <v>22</v>
      </c>
      <c r="D3344" t="s">
        <v>46</v>
      </c>
      <c r="E3344" t="s">
        <v>18</v>
      </c>
      <c r="F3344">
        <v>672.1</v>
      </c>
      <c r="G3344">
        <v>166.5</v>
      </c>
      <c r="H3344" t="s">
        <v>19</v>
      </c>
      <c r="I3344" t="s">
        <v>14</v>
      </c>
    </row>
    <row r="3345" spans="1:9" x14ac:dyDescent="0.35">
      <c r="A3345" t="s">
        <v>3381</v>
      </c>
      <c r="B3345" s="1">
        <v>44761</v>
      </c>
      <c r="C3345" t="s">
        <v>25</v>
      </c>
      <c r="D3345" t="s">
        <v>50</v>
      </c>
      <c r="E3345" t="s">
        <v>12</v>
      </c>
      <c r="F3345">
        <v>146.80000000000001</v>
      </c>
      <c r="G3345">
        <v>27.59</v>
      </c>
      <c r="H3345" t="s">
        <v>19</v>
      </c>
      <c r="I3345" t="s">
        <v>29</v>
      </c>
    </row>
    <row r="3346" spans="1:9" x14ac:dyDescent="0.35">
      <c r="A3346" t="s">
        <v>3382</v>
      </c>
      <c r="B3346" s="1">
        <v>44766</v>
      </c>
      <c r="C3346" t="s">
        <v>10</v>
      </c>
      <c r="D3346" t="s">
        <v>23</v>
      </c>
      <c r="E3346" t="s">
        <v>18</v>
      </c>
      <c r="F3346">
        <v>736.65</v>
      </c>
      <c r="G3346">
        <v>158.27000000000001</v>
      </c>
      <c r="H3346" t="s">
        <v>13</v>
      </c>
      <c r="I3346" t="s">
        <v>20</v>
      </c>
    </row>
    <row r="3347" spans="1:9" x14ac:dyDescent="0.35">
      <c r="A3347" t="s">
        <v>3383</v>
      </c>
      <c r="B3347" s="1">
        <v>45440</v>
      </c>
      <c r="C3347" t="s">
        <v>25</v>
      </c>
      <c r="D3347" t="s">
        <v>17</v>
      </c>
      <c r="E3347" t="s">
        <v>18</v>
      </c>
      <c r="F3347">
        <v>73.489999999999995</v>
      </c>
      <c r="G3347">
        <v>12.37</v>
      </c>
      <c r="H3347" t="s">
        <v>13</v>
      </c>
      <c r="I3347" t="s">
        <v>29</v>
      </c>
    </row>
    <row r="3348" spans="1:9" x14ac:dyDescent="0.35">
      <c r="A3348" t="s">
        <v>3384</v>
      </c>
      <c r="B3348" s="1">
        <v>44926</v>
      </c>
      <c r="C3348" t="s">
        <v>22</v>
      </c>
      <c r="D3348" t="s">
        <v>95</v>
      </c>
      <c r="E3348" t="s">
        <v>18</v>
      </c>
      <c r="F3348">
        <v>1843.63</v>
      </c>
      <c r="G3348">
        <v>209.4</v>
      </c>
      <c r="H3348" t="s">
        <v>28</v>
      </c>
      <c r="I3348" t="s">
        <v>20</v>
      </c>
    </row>
    <row r="3349" spans="1:9" x14ac:dyDescent="0.35">
      <c r="A3349" t="s">
        <v>3385</v>
      </c>
      <c r="B3349" s="1">
        <v>45116</v>
      </c>
      <c r="C3349" t="s">
        <v>25</v>
      </c>
      <c r="D3349" t="s">
        <v>62</v>
      </c>
      <c r="E3349" t="s">
        <v>27</v>
      </c>
      <c r="F3349">
        <v>624.23</v>
      </c>
      <c r="G3349">
        <v>172.81</v>
      </c>
      <c r="H3349" t="s">
        <v>13</v>
      </c>
      <c r="I3349" t="s">
        <v>29</v>
      </c>
    </row>
    <row r="3350" spans="1:9" x14ac:dyDescent="0.35">
      <c r="A3350" t="s">
        <v>3386</v>
      </c>
      <c r="B3350" s="1">
        <v>44818</v>
      </c>
      <c r="C3350" t="s">
        <v>10</v>
      </c>
      <c r="D3350" t="s">
        <v>33</v>
      </c>
      <c r="E3350" t="s">
        <v>18</v>
      </c>
      <c r="F3350">
        <v>1934.11</v>
      </c>
      <c r="G3350">
        <v>458.63</v>
      </c>
      <c r="H3350" t="s">
        <v>19</v>
      </c>
      <c r="I3350" t="s">
        <v>14</v>
      </c>
    </row>
    <row r="3351" spans="1:9" x14ac:dyDescent="0.35">
      <c r="A3351" t="s">
        <v>3387</v>
      </c>
      <c r="B3351" s="1">
        <v>45536</v>
      </c>
      <c r="C3351" t="s">
        <v>25</v>
      </c>
      <c r="D3351" t="s">
        <v>50</v>
      </c>
      <c r="E3351" t="s">
        <v>12</v>
      </c>
      <c r="F3351">
        <v>71.69</v>
      </c>
      <c r="G3351">
        <v>12.11</v>
      </c>
      <c r="H3351" t="s">
        <v>13</v>
      </c>
      <c r="I3351" t="s">
        <v>14</v>
      </c>
    </row>
    <row r="3352" spans="1:9" x14ac:dyDescent="0.35">
      <c r="A3352" t="s">
        <v>3388</v>
      </c>
      <c r="B3352" s="1">
        <v>45021</v>
      </c>
      <c r="C3352" t="s">
        <v>25</v>
      </c>
      <c r="D3352" t="s">
        <v>46</v>
      </c>
      <c r="E3352" t="s">
        <v>18</v>
      </c>
      <c r="F3352">
        <v>1955.82</v>
      </c>
      <c r="G3352">
        <v>522.38</v>
      </c>
      <c r="H3352" t="s">
        <v>28</v>
      </c>
      <c r="I3352" t="s">
        <v>34</v>
      </c>
    </row>
    <row r="3353" spans="1:9" x14ac:dyDescent="0.35">
      <c r="A3353" t="s">
        <v>3389</v>
      </c>
      <c r="B3353" s="1">
        <v>45050</v>
      </c>
      <c r="C3353" t="s">
        <v>22</v>
      </c>
      <c r="D3353" t="s">
        <v>97</v>
      </c>
      <c r="E3353" t="s">
        <v>27</v>
      </c>
      <c r="F3353">
        <v>1089.56</v>
      </c>
      <c r="G3353">
        <v>227.43</v>
      </c>
      <c r="H3353" t="s">
        <v>13</v>
      </c>
      <c r="I3353" t="s">
        <v>20</v>
      </c>
    </row>
    <row r="3354" spans="1:9" x14ac:dyDescent="0.35">
      <c r="A3354" t="s">
        <v>3390</v>
      </c>
      <c r="B3354" s="1">
        <v>44618</v>
      </c>
      <c r="C3354" t="s">
        <v>16</v>
      </c>
      <c r="D3354" t="s">
        <v>41</v>
      </c>
      <c r="E3354" t="s">
        <v>12</v>
      </c>
      <c r="F3354">
        <v>1778.56</v>
      </c>
      <c r="G3354">
        <v>441.32</v>
      </c>
      <c r="H3354" t="s">
        <v>13</v>
      </c>
      <c r="I3354" t="s">
        <v>34</v>
      </c>
    </row>
    <row r="3355" spans="1:9" x14ac:dyDescent="0.35">
      <c r="A3355" t="s">
        <v>3391</v>
      </c>
      <c r="B3355" s="1">
        <v>44855</v>
      </c>
      <c r="C3355" t="s">
        <v>10</v>
      </c>
      <c r="D3355" t="s">
        <v>73</v>
      </c>
      <c r="E3355" t="s">
        <v>27</v>
      </c>
      <c r="F3355">
        <v>1395.41</v>
      </c>
      <c r="G3355">
        <v>343.1</v>
      </c>
      <c r="H3355" t="s">
        <v>19</v>
      </c>
      <c r="I3355" t="s">
        <v>34</v>
      </c>
    </row>
    <row r="3356" spans="1:9" x14ac:dyDescent="0.35">
      <c r="A3356" t="s">
        <v>3392</v>
      </c>
      <c r="B3356" s="1">
        <v>45634</v>
      </c>
      <c r="C3356" t="s">
        <v>16</v>
      </c>
      <c r="D3356" t="s">
        <v>11</v>
      </c>
      <c r="E3356" t="s">
        <v>12</v>
      </c>
      <c r="F3356">
        <v>335.12</v>
      </c>
      <c r="G3356">
        <v>64.58</v>
      </c>
      <c r="H3356" t="s">
        <v>13</v>
      </c>
      <c r="I3356" t="s">
        <v>29</v>
      </c>
    </row>
    <row r="3357" spans="1:9" x14ac:dyDescent="0.35">
      <c r="A3357" t="s">
        <v>3393</v>
      </c>
      <c r="B3357" s="1">
        <v>45127</v>
      </c>
      <c r="C3357" t="s">
        <v>25</v>
      </c>
      <c r="D3357" t="s">
        <v>38</v>
      </c>
      <c r="E3357" t="s">
        <v>12</v>
      </c>
      <c r="F3357">
        <v>1802.02</v>
      </c>
      <c r="G3357">
        <v>385.1</v>
      </c>
      <c r="H3357" t="s">
        <v>13</v>
      </c>
      <c r="I3357" t="s">
        <v>29</v>
      </c>
    </row>
    <row r="3358" spans="1:9" x14ac:dyDescent="0.35">
      <c r="A3358" t="s">
        <v>3394</v>
      </c>
      <c r="B3358" s="1">
        <v>45387</v>
      </c>
      <c r="C3358" t="s">
        <v>25</v>
      </c>
      <c r="D3358" t="s">
        <v>33</v>
      </c>
      <c r="E3358" t="s">
        <v>18</v>
      </c>
      <c r="F3358">
        <v>1858.93</v>
      </c>
      <c r="G3358">
        <v>230.13</v>
      </c>
      <c r="H3358" t="s">
        <v>28</v>
      </c>
      <c r="I3358" t="s">
        <v>29</v>
      </c>
    </row>
    <row r="3359" spans="1:9" x14ac:dyDescent="0.35">
      <c r="A3359" t="s">
        <v>3395</v>
      </c>
      <c r="B3359" s="1">
        <v>45388</v>
      </c>
      <c r="C3359" t="s">
        <v>10</v>
      </c>
      <c r="D3359" t="s">
        <v>23</v>
      </c>
      <c r="E3359" t="s">
        <v>18</v>
      </c>
      <c r="F3359">
        <v>1401.25</v>
      </c>
      <c r="G3359">
        <v>135.35</v>
      </c>
      <c r="H3359" t="s">
        <v>13</v>
      </c>
      <c r="I3359" t="s">
        <v>14</v>
      </c>
    </row>
    <row r="3360" spans="1:9" x14ac:dyDescent="0.35">
      <c r="A3360" t="s">
        <v>3396</v>
      </c>
      <c r="B3360" s="1">
        <v>44901</v>
      </c>
      <c r="C3360" t="s">
        <v>16</v>
      </c>
      <c r="D3360" t="s">
        <v>95</v>
      </c>
      <c r="E3360" t="s">
        <v>18</v>
      </c>
      <c r="F3360">
        <v>1631.07</v>
      </c>
      <c r="G3360">
        <v>459.61</v>
      </c>
      <c r="H3360" t="s">
        <v>13</v>
      </c>
      <c r="I3360" t="s">
        <v>29</v>
      </c>
    </row>
    <row r="3361" spans="1:9" x14ac:dyDescent="0.35">
      <c r="A3361" t="s">
        <v>3397</v>
      </c>
      <c r="B3361" s="1">
        <v>44706</v>
      </c>
      <c r="C3361" t="s">
        <v>16</v>
      </c>
      <c r="D3361" t="s">
        <v>57</v>
      </c>
      <c r="E3361" t="s">
        <v>27</v>
      </c>
      <c r="F3361">
        <v>937.33</v>
      </c>
      <c r="G3361">
        <v>72.180000000000007</v>
      </c>
      <c r="H3361" t="s">
        <v>28</v>
      </c>
      <c r="I3361" t="s">
        <v>29</v>
      </c>
    </row>
    <row r="3362" spans="1:9" x14ac:dyDescent="0.35">
      <c r="A3362" t="s">
        <v>3398</v>
      </c>
      <c r="B3362" s="1">
        <v>44762</v>
      </c>
      <c r="C3362" t="s">
        <v>16</v>
      </c>
      <c r="D3362" t="s">
        <v>26</v>
      </c>
      <c r="E3362" t="s">
        <v>27</v>
      </c>
      <c r="F3362">
        <v>953.21</v>
      </c>
      <c r="G3362">
        <v>61.61</v>
      </c>
      <c r="H3362" t="s">
        <v>28</v>
      </c>
      <c r="I3362" t="s">
        <v>29</v>
      </c>
    </row>
    <row r="3363" spans="1:9" x14ac:dyDescent="0.35">
      <c r="A3363" t="s">
        <v>3399</v>
      </c>
      <c r="B3363" s="1">
        <v>45391</v>
      </c>
      <c r="C3363" t="s">
        <v>16</v>
      </c>
      <c r="D3363" t="s">
        <v>31</v>
      </c>
      <c r="E3363" t="s">
        <v>12</v>
      </c>
      <c r="F3363">
        <v>477.15</v>
      </c>
      <c r="G3363">
        <v>83.61</v>
      </c>
      <c r="H3363" t="s">
        <v>28</v>
      </c>
      <c r="I3363" t="s">
        <v>20</v>
      </c>
    </row>
    <row r="3364" spans="1:9" x14ac:dyDescent="0.35">
      <c r="A3364" t="s">
        <v>3400</v>
      </c>
      <c r="B3364" s="1">
        <v>45077</v>
      </c>
      <c r="C3364" t="s">
        <v>16</v>
      </c>
      <c r="D3364" t="s">
        <v>26</v>
      </c>
      <c r="E3364" t="s">
        <v>27</v>
      </c>
      <c r="F3364">
        <v>1852.18</v>
      </c>
      <c r="G3364">
        <v>513.5</v>
      </c>
      <c r="H3364" t="s">
        <v>28</v>
      </c>
      <c r="I3364" t="s">
        <v>20</v>
      </c>
    </row>
    <row r="3365" spans="1:9" x14ac:dyDescent="0.35">
      <c r="A3365" t="s">
        <v>3401</v>
      </c>
      <c r="B3365" s="1">
        <v>45056</v>
      </c>
      <c r="C3365" t="s">
        <v>10</v>
      </c>
      <c r="D3365" t="s">
        <v>38</v>
      </c>
      <c r="E3365" t="s">
        <v>12</v>
      </c>
      <c r="F3365">
        <v>1871.65</v>
      </c>
      <c r="G3365">
        <v>312.62</v>
      </c>
      <c r="H3365" t="s">
        <v>19</v>
      </c>
      <c r="I3365" t="s">
        <v>14</v>
      </c>
    </row>
    <row r="3366" spans="1:9" x14ac:dyDescent="0.35">
      <c r="A3366" t="s">
        <v>3402</v>
      </c>
      <c r="B3366" s="1">
        <v>44793</v>
      </c>
      <c r="C3366" t="s">
        <v>22</v>
      </c>
      <c r="D3366" t="s">
        <v>41</v>
      </c>
      <c r="E3366" t="s">
        <v>12</v>
      </c>
      <c r="F3366">
        <v>1087.82</v>
      </c>
      <c r="G3366">
        <v>79.95</v>
      </c>
      <c r="H3366" t="s">
        <v>19</v>
      </c>
      <c r="I3366" t="s">
        <v>14</v>
      </c>
    </row>
    <row r="3367" spans="1:9" x14ac:dyDescent="0.35">
      <c r="A3367" t="s">
        <v>3403</v>
      </c>
      <c r="B3367" s="1">
        <v>44562</v>
      </c>
      <c r="C3367" t="s">
        <v>22</v>
      </c>
      <c r="D3367" t="s">
        <v>41</v>
      </c>
      <c r="E3367" t="s">
        <v>12</v>
      </c>
      <c r="F3367">
        <v>1253.26</v>
      </c>
      <c r="G3367">
        <v>80.239999999999995</v>
      </c>
      <c r="H3367" t="s">
        <v>19</v>
      </c>
      <c r="I3367" t="s">
        <v>14</v>
      </c>
    </row>
    <row r="3368" spans="1:9" x14ac:dyDescent="0.35">
      <c r="A3368" t="s">
        <v>3404</v>
      </c>
      <c r="B3368" s="1">
        <v>44626</v>
      </c>
      <c r="C3368" t="s">
        <v>22</v>
      </c>
      <c r="D3368" t="s">
        <v>17</v>
      </c>
      <c r="E3368" t="s">
        <v>18</v>
      </c>
      <c r="F3368">
        <v>909.53</v>
      </c>
      <c r="G3368">
        <v>227.92</v>
      </c>
      <c r="H3368" t="s">
        <v>28</v>
      </c>
      <c r="I3368" t="s">
        <v>34</v>
      </c>
    </row>
    <row r="3369" spans="1:9" x14ac:dyDescent="0.35">
      <c r="A3369" t="s">
        <v>3405</v>
      </c>
      <c r="B3369" s="1">
        <v>45631</v>
      </c>
      <c r="C3369" t="s">
        <v>25</v>
      </c>
      <c r="D3369" t="s">
        <v>17</v>
      </c>
      <c r="E3369" t="s">
        <v>18</v>
      </c>
      <c r="F3369">
        <v>871.09</v>
      </c>
      <c r="G3369">
        <v>247.75</v>
      </c>
      <c r="H3369" t="s">
        <v>13</v>
      </c>
      <c r="I3369" t="s">
        <v>29</v>
      </c>
    </row>
    <row r="3370" spans="1:9" x14ac:dyDescent="0.35">
      <c r="A3370" t="s">
        <v>3406</v>
      </c>
      <c r="B3370" s="1">
        <v>45161</v>
      </c>
      <c r="C3370" t="s">
        <v>10</v>
      </c>
      <c r="D3370" t="s">
        <v>50</v>
      </c>
      <c r="E3370" t="s">
        <v>12</v>
      </c>
      <c r="F3370">
        <v>585.97</v>
      </c>
      <c r="G3370">
        <v>60.58</v>
      </c>
      <c r="H3370" t="s">
        <v>28</v>
      </c>
      <c r="I3370" t="s">
        <v>34</v>
      </c>
    </row>
    <row r="3371" spans="1:9" x14ac:dyDescent="0.35">
      <c r="A3371" t="s">
        <v>3407</v>
      </c>
      <c r="B3371" s="1">
        <v>45355</v>
      </c>
      <c r="C3371" t="s">
        <v>22</v>
      </c>
      <c r="D3371" t="s">
        <v>95</v>
      </c>
      <c r="E3371" t="s">
        <v>18</v>
      </c>
      <c r="F3371">
        <v>1804.06</v>
      </c>
      <c r="G3371">
        <v>234.46</v>
      </c>
      <c r="H3371" t="s">
        <v>19</v>
      </c>
      <c r="I3371" t="s">
        <v>20</v>
      </c>
    </row>
    <row r="3372" spans="1:9" x14ac:dyDescent="0.35">
      <c r="A3372" t="s">
        <v>3408</v>
      </c>
      <c r="B3372" s="1">
        <v>45492</v>
      </c>
      <c r="C3372" t="s">
        <v>10</v>
      </c>
      <c r="D3372" t="s">
        <v>95</v>
      </c>
      <c r="E3372" t="s">
        <v>18</v>
      </c>
      <c r="F3372">
        <v>404.4</v>
      </c>
      <c r="G3372">
        <v>67.17</v>
      </c>
      <c r="H3372" t="s">
        <v>13</v>
      </c>
      <c r="I3372" t="s">
        <v>20</v>
      </c>
    </row>
    <row r="3373" spans="1:9" x14ac:dyDescent="0.35">
      <c r="A3373" t="s">
        <v>3409</v>
      </c>
      <c r="B3373" s="1">
        <v>45185</v>
      </c>
      <c r="C3373" t="s">
        <v>10</v>
      </c>
      <c r="D3373" t="s">
        <v>33</v>
      </c>
      <c r="E3373" t="s">
        <v>18</v>
      </c>
      <c r="F3373">
        <v>81.93</v>
      </c>
      <c r="G3373">
        <v>11.47</v>
      </c>
      <c r="H3373" t="s">
        <v>13</v>
      </c>
      <c r="I3373" t="s">
        <v>14</v>
      </c>
    </row>
    <row r="3374" spans="1:9" x14ac:dyDescent="0.35">
      <c r="A3374" t="s">
        <v>3410</v>
      </c>
      <c r="B3374" s="1">
        <v>44925</v>
      </c>
      <c r="C3374" t="s">
        <v>10</v>
      </c>
      <c r="D3374" t="s">
        <v>57</v>
      </c>
      <c r="E3374" t="s">
        <v>27</v>
      </c>
      <c r="F3374">
        <v>1973.75</v>
      </c>
      <c r="G3374">
        <v>175.8</v>
      </c>
      <c r="H3374" t="s">
        <v>13</v>
      </c>
      <c r="I3374" t="s">
        <v>29</v>
      </c>
    </row>
    <row r="3375" spans="1:9" x14ac:dyDescent="0.35">
      <c r="A3375" t="s">
        <v>3411</v>
      </c>
      <c r="B3375" s="1">
        <v>45344</v>
      </c>
      <c r="C3375" t="s">
        <v>10</v>
      </c>
      <c r="D3375" t="s">
        <v>41</v>
      </c>
      <c r="E3375" t="s">
        <v>12</v>
      </c>
      <c r="F3375">
        <v>1750.02</v>
      </c>
      <c r="G3375">
        <v>116.67</v>
      </c>
      <c r="H3375" t="s">
        <v>19</v>
      </c>
      <c r="I3375" t="s">
        <v>34</v>
      </c>
    </row>
    <row r="3376" spans="1:9" x14ac:dyDescent="0.35">
      <c r="A3376" t="s">
        <v>3412</v>
      </c>
      <c r="B3376" s="1">
        <v>44622</v>
      </c>
      <c r="C3376" t="s">
        <v>10</v>
      </c>
      <c r="D3376" t="s">
        <v>73</v>
      </c>
      <c r="E3376" t="s">
        <v>27</v>
      </c>
      <c r="F3376">
        <v>363.93</v>
      </c>
      <c r="G3376">
        <v>81.39</v>
      </c>
      <c r="H3376" t="s">
        <v>28</v>
      </c>
      <c r="I3376" t="s">
        <v>20</v>
      </c>
    </row>
    <row r="3377" spans="1:9" x14ac:dyDescent="0.35">
      <c r="A3377" t="s">
        <v>3413</v>
      </c>
      <c r="B3377" s="1">
        <v>44979</v>
      </c>
      <c r="C3377" t="s">
        <v>10</v>
      </c>
      <c r="D3377" t="s">
        <v>23</v>
      </c>
      <c r="E3377" t="s">
        <v>18</v>
      </c>
      <c r="F3377">
        <v>627.91</v>
      </c>
      <c r="G3377">
        <v>157.13</v>
      </c>
      <c r="H3377" t="s">
        <v>13</v>
      </c>
      <c r="I3377" t="s">
        <v>20</v>
      </c>
    </row>
    <row r="3378" spans="1:9" x14ac:dyDescent="0.35">
      <c r="A3378" t="s">
        <v>3414</v>
      </c>
      <c r="B3378" s="1">
        <v>45357</v>
      </c>
      <c r="C3378" t="s">
        <v>25</v>
      </c>
      <c r="D3378" t="s">
        <v>41</v>
      </c>
      <c r="E3378" t="s">
        <v>12</v>
      </c>
      <c r="F3378">
        <v>1061.03</v>
      </c>
      <c r="G3378">
        <v>179.91</v>
      </c>
      <c r="H3378" t="s">
        <v>28</v>
      </c>
      <c r="I3378" t="s">
        <v>14</v>
      </c>
    </row>
    <row r="3379" spans="1:9" x14ac:dyDescent="0.35">
      <c r="A3379" t="s">
        <v>3415</v>
      </c>
      <c r="B3379" s="1">
        <v>44683</v>
      </c>
      <c r="C3379" t="s">
        <v>16</v>
      </c>
      <c r="D3379" t="s">
        <v>17</v>
      </c>
      <c r="E3379" t="s">
        <v>18</v>
      </c>
      <c r="F3379">
        <v>1016.23</v>
      </c>
      <c r="G3379">
        <v>239.86</v>
      </c>
      <c r="H3379" t="s">
        <v>28</v>
      </c>
      <c r="I3379" t="s">
        <v>29</v>
      </c>
    </row>
    <row r="3380" spans="1:9" x14ac:dyDescent="0.35">
      <c r="A3380" t="s">
        <v>3416</v>
      </c>
      <c r="B3380" s="1">
        <v>44640</v>
      </c>
      <c r="C3380" t="s">
        <v>22</v>
      </c>
      <c r="D3380" t="s">
        <v>46</v>
      </c>
      <c r="E3380" t="s">
        <v>18</v>
      </c>
      <c r="F3380">
        <v>705.9</v>
      </c>
      <c r="G3380">
        <v>157.63</v>
      </c>
      <c r="H3380" t="s">
        <v>19</v>
      </c>
      <c r="I3380" t="s">
        <v>14</v>
      </c>
    </row>
    <row r="3381" spans="1:9" x14ac:dyDescent="0.35">
      <c r="A3381" t="s">
        <v>3417</v>
      </c>
      <c r="B3381" s="1">
        <v>45039</v>
      </c>
      <c r="C3381" t="s">
        <v>22</v>
      </c>
      <c r="D3381" t="s">
        <v>97</v>
      </c>
      <c r="E3381" t="s">
        <v>27</v>
      </c>
      <c r="F3381">
        <v>704.59</v>
      </c>
      <c r="G3381">
        <v>97.93</v>
      </c>
      <c r="H3381" t="s">
        <v>19</v>
      </c>
      <c r="I3381" t="s">
        <v>34</v>
      </c>
    </row>
    <row r="3382" spans="1:9" x14ac:dyDescent="0.35">
      <c r="A3382" t="s">
        <v>3418</v>
      </c>
      <c r="B3382" s="1">
        <v>45593</v>
      </c>
      <c r="C3382" t="s">
        <v>25</v>
      </c>
      <c r="D3382" t="s">
        <v>11</v>
      </c>
      <c r="E3382" t="s">
        <v>12</v>
      </c>
      <c r="F3382">
        <v>724.09</v>
      </c>
      <c r="G3382">
        <v>190.29</v>
      </c>
      <c r="H3382" t="s">
        <v>13</v>
      </c>
      <c r="I3382" t="s">
        <v>20</v>
      </c>
    </row>
    <row r="3383" spans="1:9" x14ac:dyDescent="0.35">
      <c r="A3383" t="s">
        <v>3419</v>
      </c>
      <c r="B3383" s="1">
        <v>45041</v>
      </c>
      <c r="C3383" t="s">
        <v>22</v>
      </c>
      <c r="D3383" t="s">
        <v>11</v>
      </c>
      <c r="E3383" t="s">
        <v>12</v>
      </c>
      <c r="F3383">
        <v>545.20000000000005</v>
      </c>
      <c r="G3383">
        <v>53.42</v>
      </c>
      <c r="H3383" t="s">
        <v>28</v>
      </c>
      <c r="I3383" t="s">
        <v>14</v>
      </c>
    </row>
    <row r="3384" spans="1:9" x14ac:dyDescent="0.35">
      <c r="A3384" t="s">
        <v>3420</v>
      </c>
      <c r="B3384" s="1">
        <v>45343</v>
      </c>
      <c r="C3384" t="s">
        <v>22</v>
      </c>
      <c r="D3384" t="s">
        <v>46</v>
      </c>
      <c r="E3384" t="s">
        <v>18</v>
      </c>
      <c r="F3384">
        <v>692.65</v>
      </c>
      <c r="G3384">
        <v>131.22</v>
      </c>
      <c r="H3384" t="s">
        <v>13</v>
      </c>
      <c r="I3384" t="s">
        <v>20</v>
      </c>
    </row>
    <row r="3385" spans="1:9" x14ac:dyDescent="0.35">
      <c r="A3385" t="s">
        <v>3421</v>
      </c>
      <c r="B3385" s="1">
        <v>45431</v>
      </c>
      <c r="C3385" t="s">
        <v>25</v>
      </c>
      <c r="D3385" t="s">
        <v>31</v>
      </c>
      <c r="E3385" t="s">
        <v>12</v>
      </c>
      <c r="F3385">
        <v>872.94</v>
      </c>
      <c r="G3385">
        <v>171.27</v>
      </c>
      <c r="H3385" t="s">
        <v>19</v>
      </c>
      <c r="I3385" t="s">
        <v>34</v>
      </c>
    </row>
    <row r="3386" spans="1:9" x14ac:dyDescent="0.35">
      <c r="A3386" t="s">
        <v>3422</v>
      </c>
      <c r="B3386" s="1">
        <v>45656</v>
      </c>
      <c r="C3386" t="s">
        <v>10</v>
      </c>
      <c r="D3386" t="s">
        <v>62</v>
      </c>
      <c r="E3386" t="s">
        <v>27</v>
      </c>
      <c r="F3386">
        <v>692.81</v>
      </c>
      <c r="G3386">
        <v>92.46</v>
      </c>
      <c r="H3386" t="s">
        <v>28</v>
      </c>
      <c r="I3386" t="s">
        <v>20</v>
      </c>
    </row>
    <row r="3387" spans="1:9" x14ac:dyDescent="0.35">
      <c r="A3387" t="s">
        <v>3423</v>
      </c>
      <c r="B3387" s="1">
        <v>45426</v>
      </c>
      <c r="C3387" t="s">
        <v>16</v>
      </c>
      <c r="D3387" t="s">
        <v>46</v>
      </c>
      <c r="E3387" t="s">
        <v>18</v>
      </c>
      <c r="F3387">
        <v>1553.18</v>
      </c>
      <c r="G3387">
        <v>231.08</v>
      </c>
      <c r="H3387" t="s">
        <v>19</v>
      </c>
      <c r="I3387" t="s">
        <v>34</v>
      </c>
    </row>
    <row r="3388" spans="1:9" x14ac:dyDescent="0.35">
      <c r="A3388" t="s">
        <v>3424</v>
      </c>
      <c r="B3388" s="1">
        <v>44945</v>
      </c>
      <c r="C3388" t="s">
        <v>16</v>
      </c>
      <c r="D3388" t="s">
        <v>33</v>
      </c>
      <c r="E3388" t="s">
        <v>18</v>
      </c>
      <c r="F3388">
        <v>1433.82</v>
      </c>
      <c r="G3388">
        <v>91.18</v>
      </c>
      <c r="H3388" t="s">
        <v>19</v>
      </c>
      <c r="I3388" t="s">
        <v>29</v>
      </c>
    </row>
    <row r="3389" spans="1:9" x14ac:dyDescent="0.35">
      <c r="A3389" t="s">
        <v>3425</v>
      </c>
      <c r="B3389" s="1">
        <v>44895</v>
      </c>
      <c r="C3389" t="s">
        <v>25</v>
      </c>
      <c r="D3389" t="s">
        <v>46</v>
      </c>
      <c r="E3389" t="s">
        <v>18</v>
      </c>
      <c r="F3389">
        <v>1261.78</v>
      </c>
      <c r="G3389">
        <v>113.99</v>
      </c>
      <c r="H3389" t="s">
        <v>19</v>
      </c>
      <c r="I3389" t="s">
        <v>20</v>
      </c>
    </row>
    <row r="3390" spans="1:9" x14ac:dyDescent="0.35">
      <c r="A3390" t="s">
        <v>3426</v>
      </c>
      <c r="B3390" s="1">
        <v>45220</v>
      </c>
      <c r="C3390" t="s">
        <v>16</v>
      </c>
      <c r="D3390" t="s">
        <v>95</v>
      </c>
      <c r="E3390" t="s">
        <v>18</v>
      </c>
      <c r="F3390">
        <v>1951.24</v>
      </c>
      <c r="G3390">
        <v>514.98</v>
      </c>
      <c r="H3390" t="s">
        <v>28</v>
      </c>
      <c r="I3390" t="s">
        <v>14</v>
      </c>
    </row>
    <row r="3391" spans="1:9" x14ac:dyDescent="0.35">
      <c r="A3391" t="s">
        <v>3427</v>
      </c>
      <c r="B3391" s="1">
        <v>45101</v>
      </c>
      <c r="C3391" t="s">
        <v>22</v>
      </c>
      <c r="D3391" t="s">
        <v>95</v>
      </c>
      <c r="E3391" t="s">
        <v>18</v>
      </c>
      <c r="F3391">
        <v>806.97</v>
      </c>
      <c r="G3391">
        <v>106.05</v>
      </c>
      <c r="H3391" t="s">
        <v>13</v>
      </c>
      <c r="I3391" t="s">
        <v>14</v>
      </c>
    </row>
    <row r="3392" spans="1:9" x14ac:dyDescent="0.35">
      <c r="A3392" t="s">
        <v>3428</v>
      </c>
      <c r="B3392" s="1">
        <v>45408</v>
      </c>
      <c r="C3392" t="s">
        <v>25</v>
      </c>
      <c r="D3392" t="s">
        <v>97</v>
      </c>
      <c r="E3392" t="s">
        <v>27</v>
      </c>
      <c r="F3392">
        <v>916.11</v>
      </c>
      <c r="G3392">
        <v>215.66</v>
      </c>
      <c r="H3392" t="s">
        <v>13</v>
      </c>
      <c r="I3392" t="s">
        <v>14</v>
      </c>
    </row>
    <row r="3393" spans="1:9" x14ac:dyDescent="0.35">
      <c r="A3393" t="s">
        <v>3429</v>
      </c>
      <c r="B3393" s="1">
        <v>45086</v>
      </c>
      <c r="C3393" t="s">
        <v>10</v>
      </c>
      <c r="D3393" t="s">
        <v>33</v>
      </c>
      <c r="E3393" t="s">
        <v>18</v>
      </c>
      <c r="F3393">
        <v>1185.0899999999999</v>
      </c>
      <c r="G3393">
        <v>160.80000000000001</v>
      </c>
      <c r="H3393" t="s">
        <v>28</v>
      </c>
      <c r="I3393" t="s">
        <v>34</v>
      </c>
    </row>
    <row r="3394" spans="1:9" x14ac:dyDescent="0.35">
      <c r="A3394" t="s">
        <v>3430</v>
      </c>
      <c r="B3394" s="1">
        <v>45111</v>
      </c>
      <c r="C3394" t="s">
        <v>22</v>
      </c>
      <c r="D3394" t="s">
        <v>33</v>
      </c>
      <c r="E3394" t="s">
        <v>18</v>
      </c>
      <c r="F3394">
        <v>531.77</v>
      </c>
      <c r="G3394">
        <v>75.709999999999994</v>
      </c>
      <c r="H3394" t="s">
        <v>28</v>
      </c>
      <c r="I3394" t="s">
        <v>29</v>
      </c>
    </row>
    <row r="3395" spans="1:9" x14ac:dyDescent="0.35">
      <c r="A3395" t="s">
        <v>3431</v>
      </c>
      <c r="B3395" s="1">
        <v>45462</v>
      </c>
      <c r="C3395" t="s">
        <v>10</v>
      </c>
      <c r="D3395" t="s">
        <v>17</v>
      </c>
      <c r="E3395" t="s">
        <v>18</v>
      </c>
      <c r="F3395">
        <v>205.86</v>
      </c>
      <c r="G3395">
        <v>16.329999999999998</v>
      </c>
      <c r="H3395" t="s">
        <v>19</v>
      </c>
      <c r="I3395" t="s">
        <v>34</v>
      </c>
    </row>
    <row r="3396" spans="1:9" x14ac:dyDescent="0.35">
      <c r="A3396" t="s">
        <v>3432</v>
      </c>
      <c r="B3396" s="1">
        <v>45205</v>
      </c>
      <c r="C3396" t="s">
        <v>22</v>
      </c>
      <c r="D3396" t="s">
        <v>17</v>
      </c>
      <c r="E3396" t="s">
        <v>18</v>
      </c>
      <c r="F3396">
        <v>1966.02</v>
      </c>
      <c r="G3396">
        <v>270.72000000000003</v>
      </c>
      <c r="H3396" t="s">
        <v>28</v>
      </c>
      <c r="I3396" t="s">
        <v>29</v>
      </c>
    </row>
    <row r="3397" spans="1:9" x14ac:dyDescent="0.35">
      <c r="A3397" t="s">
        <v>3433</v>
      </c>
      <c r="B3397" s="1">
        <v>45143</v>
      </c>
      <c r="C3397" t="s">
        <v>25</v>
      </c>
      <c r="D3397" t="s">
        <v>57</v>
      </c>
      <c r="E3397" t="s">
        <v>27</v>
      </c>
      <c r="F3397">
        <v>1157.53</v>
      </c>
      <c r="G3397">
        <v>212.88</v>
      </c>
      <c r="H3397" t="s">
        <v>13</v>
      </c>
      <c r="I3397" t="s">
        <v>29</v>
      </c>
    </row>
    <row r="3398" spans="1:9" x14ac:dyDescent="0.35">
      <c r="A3398" t="s">
        <v>3434</v>
      </c>
      <c r="B3398" s="1">
        <v>45281</v>
      </c>
      <c r="C3398" t="s">
        <v>22</v>
      </c>
      <c r="D3398" t="s">
        <v>33</v>
      </c>
      <c r="E3398" t="s">
        <v>18</v>
      </c>
      <c r="F3398">
        <v>791.05</v>
      </c>
      <c r="G3398">
        <v>114.95</v>
      </c>
      <c r="H3398" t="s">
        <v>19</v>
      </c>
      <c r="I3398" t="s">
        <v>14</v>
      </c>
    </row>
    <row r="3399" spans="1:9" x14ac:dyDescent="0.35">
      <c r="A3399" t="s">
        <v>3435</v>
      </c>
      <c r="B3399" s="1">
        <v>45129</v>
      </c>
      <c r="C3399" t="s">
        <v>16</v>
      </c>
      <c r="D3399" t="s">
        <v>46</v>
      </c>
      <c r="E3399" t="s">
        <v>18</v>
      </c>
      <c r="F3399">
        <v>953.36</v>
      </c>
      <c r="G3399">
        <v>106.65</v>
      </c>
      <c r="H3399" t="s">
        <v>28</v>
      </c>
      <c r="I3399" t="s">
        <v>14</v>
      </c>
    </row>
    <row r="3400" spans="1:9" x14ac:dyDescent="0.35">
      <c r="A3400" t="s">
        <v>3436</v>
      </c>
      <c r="B3400" s="1">
        <v>45197</v>
      </c>
      <c r="C3400" t="s">
        <v>25</v>
      </c>
      <c r="D3400" t="s">
        <v>95</v>
      </c>
      <c r="E3400" t="s">
        <v>18</v>
      </c>
      <c r="F3400">
        <v>574.12</v>
      </c>
      <c r="G3400">
        <v>120.28</v>
      </c>
      <c r="H3400" t="s">
        <v>28</v>
      </c>
      <c r="I3400" t="s">
        <v>14</v>
      </c>
    </row>
    <row r="3401" spans="1:9" x14ac:dyDescent="0.35">
      <c r="A3401" t="s">
        <v>3437</v>
      </c>
      <c r="B3401" s="1">
        <v>44648</v>
      </c>
      <c r="C3401" t="s">
        <v>22</v>
      </c>
      <c r="D3401" t="s">
        <v>17</v>
      </c>
      <c r="E3401" t="s">
        <v>18</v>
      </c>
      <c r="F3401">
        <v>1547.18</v>
      </c>
      <c r="G3401">
        <v>239.58</v>
      </c>
      <c r="H3401" t="s">
        <v>28</v>
      </c>
      <c r="I3401" t="s">
        <v>34</v>
      </c>
    </row>
    <row r="3402" spans="1:9" x14ac:dyDescent="0.35">
      <c r="A3402" t="s">
        <v>3438</v>
      </c>
      <c r="B3402" s="1">
        <v>44780</v>
      </c>
      <c r="C3402" t="s">
        <v>16</v>
      </c>
      <c r="D3402" t="s">
        <v>62</v>
      </c>
      <c r="E3402" t="s">
        <v>27</v>
      </c>
      <c r="F3402">
        <v>724.3</v>
      </c>
      <c r="G3402">
        <v>179.16</v>
      </c>
      <c r="H3402" t="s">
        <v>19</v>
      </c>
      <c r="I3402" t="s">
        <v>34</v>
      </c>
    </row>
    <row r="3403" spans="1:9" x14ac:dyDescent="0.35">
      <c r="A3403" t="s">
        <v>3439</v>
      </c>
      <c r="B3403" s="1">
        <v>44915</v>
      </c>
      <c r="C3403" t="s">
        <v>25</v>
      </c>
      <c r="D3403" t="s">
        <v>95</v>
      </c>
      <c r="E3403" t="s">
        <v>18</v>
      </c>
      <c r="F3403">
        <v>1982.64</v>
      </c>
      <c r="G3403">
        <v>124.21</v>
      </c>
      <c r="H3403" t="s">
        <v>19</v>
      </c>
      <c r="I3403" t="s">
        <v>29</v>
      </c>
    </row>
    <row r="3404" spans="1:9" x14ac:dyDescent="0.35">
      <c r="A3404" t="s">
        <v>3440</v>
      </c>
      <c r="B3404" s="1">
        <v>45360</v>
      </c>
      <c r="C3404" t="s">
        <v>22</v>
      </c>
      <c r="D3404" t="s">
        <v>11</v>
      </c>
      <c r="E3404" t="s">
        <v>12</v>
      </c>
      <c r="F3404">
        <v>96.29</v>
      </c>
      <c r="G3404">
        <v>13.18</v>
      </c>
      <c r="H3404" t="s">
        <v>13</v>
      </c>
      <c r="I3404" t="s">
        <v>20</v>
      </c>
    </row>
    <row r="3405" spans="1:9" x14ac:dyDescent="0.35">
      <c r="A3405" t="s">
        <v>3441</v>
      </c>
      <c r="B3405" s="1">
        <v>44951</v>
      </c>
      <c r="C3405" t="s">
        <v>22</v>
      </c>
      <c r="D3405" t="s">
        <v>41</v>
      </c>
      <c r="E3405" t="s">
        <v>12</v>
      </c>
      <c r="F3405">
        <v>504.51</v>
      </c>
      <c r="G3405">
        <v>111.39</v>
      </c>
      <c r="H3405" t="s">
        <v>13</v>
      </c>
      <c r="I3405" t="s">
        <v>14</v>
      </c>
    </row>
    <row r="3406" spans="1:9" x14ac:dyDescent="0.35">
      <c r="A3406" t="s">
        <v>3442</v>
      </c>
      <c r="B3406" s="1">
        <v>45017</v>
      </c>
      <c r="C3406" t="s">
        <v>10</v>
      </c>
      <c r="D3406" t="s">
        <v>23</v>
      </c>
      <c r="E3406" t="s">
        <v>18</v>
      </c>
      <c r="F3406">
        <v>763.48</v>
      </c>
      <c r="G3406">
        <v>186.37</v>
      </c>
      <c r="H3406" t="s">
        <v>19</v>
      </c>
      <c r="I3406" t="s">
        <v>29</v>
      </c>
    </row>
    <row r="3407" spans="1:9" x14ac:dyDescent="0.35">
      <c r="A3407" t="s">
        <v>3443</v>
      </c>
      <c r="B3407" s="1">
        <v>44668</v>
      </c>
      <c r="C3407" t="s">
        <v>22</v>
      </c>
      <c r="D3407" t="s">
        <v>41</v>
      </c>
      <c r="E3407" t="s">
        <v>12</v>
      </c>
      <c r="F3407">
        <v>470.31</v>
      </c>
      <c r="G3407">
        <v>45.4</v>
      </c>
      <c r="H3407" t="s">
        <v>28</v>
      </c>
      <c r="I3407" t="s">
        <v>29</v>
      </c>
    </row>
    <row r="3408" spans="1:9" x14ac:dyDescent="0.35">
      <c r="A3408" t="s">
        <v>3444</v>
      </c>
      <c r="B3408" s="1">
        <v>45478</v>
      </c>
      <c r="C3408" t="s">
        <v>16</v>
      </c>
      <c r="D3408" t="s">
        <v>57</v>
      </c>
      <c r="E3408" t="s">
        <v>27</v>
      </c>
      <c r="F3408">
        <v>1157.46</v>
      </c>
      <c r="G3408">
        <v>186.57</v>
      </c>
      <c r="H3408" t="s">
        <v>13</v>
      </c>
      <c r="I3408" t="s">
        <v>29</v>
      </c>
    </row>
    <row r="3409" spans="1:9" x14ac:dyDescent="0.35">
      <c r="A3409" t="s">
        <v>3445</v>
      </c>
      <c r="B3409" s="1">
        <v>45543</v>
      </c>
      <c r="C3409" t="s">
        <v>10</v>
      </c>
      <c r="D3409" t="s">
        <v>38</v>
      </c>
      <c r="E3409" t="s">
        <v>12</v>
      </c>
      <c r="F3409">
        <v>1025.71</v>
      </c>
      <c r="G3409">
        <v>188.6</v>
      </c>
      <c r="H3409" t="s">
        <v>28</v>
      </c>
      <c r="I3409" t="s">
        <v>14</v>
      </c>
    </row>
    <row r="3410" spans="1:9" x14ac:dyDescent="0.35">
      <c r="A3410" t="s">
        <v>3446</v>
      </c>
      <c r="B3410" s="1">
        <v>44740</v>
      </c>
      <c r="C3410" t="s">
        <v>16</v>
      </c>
      <c r="D3410" t="s">
        <v>73</v>
      </c>
      <c r="E3410" t="s">
        <v>27</v>
      </c>
      <c r="F3410">
        <v>895.76</v>
      </c>
      <c r="G3410">
        <v>214.93</v>
      </c>
      <c r="H3410" t="s">
        <v>13</v>
      </c>
      <c r="I3410" t="s">
        <v>34</v>
      </c>
    </row>
    <row r="3411" spans="1:9" x14ac:dyDescent="0.35">
      <c r="A3411" t="s">
        <v>3447</v>
      </c>
      <c r="B3411" s="1">
        <v>44754</v>
      </c>
      <c r="C3411" t="s">
        <v>22</v>
      </c>
      <c r="D3411" t="s">
        <v>17</v>
      </c>
      <c r="E3411" t="s">
        <v>18</v>
      </c>
      <c r="F3411">
        <v>466.46</v>
      </c>
      <c r="G3411">
        <v>70.34</v>
      </c>
      <c r="H3411" t="s">
        <v>19</v>
      </c>
      <c r="I3411" t="s">
        <v>29</v>
      </c>
    </row>
    <row r="3412" spans="1:9" x14ac:dyDescent="0.35">
      <c r="A3412" t="s">
        <v>3448</v>
      </c>
      <c r="B3412" s="1">
        <v>45439</v>
      </c>
      <c r="C3412" t="s">
        <v>22</v>
      </c>
      <c r="D3412" t="s">
        <v>57</v>
      </c>
      <c r="E3412" t="s">
        <v>27</v>
      </c>
      <c r="F3412">
        <v>329.36</v>
      </c>
      <c r="G3412">
        <v>88.69</v>
      </c>
      <c r="H3412" t="s">
        <v>13</v>
      </c>
      <c r="I3412" t="s">
        <v>34</v>
      </c>
    </row>
    <row r="3413" spans="1:9" x14ac:dyDescent="0.35">
      <c r="A3413" t="s">
        <v>3449</v>
      </c>
      <c r="B3413" s="1">
        <v>45321</v>
      </c>
      <c r="C3413" t="s">
        <v>10</v>
      </c>
      <c r="D3413" t="s">
        <v>57</v>
      </c>
      <c r="E3413" t="s">
        <v>27</v>
      </c>
      <c r="F3413">
        <v>1503.64</v>
      </c>
      <c r="G3413">
        <v>437.04</v>
      </c>
      <c r="H3413" t="s">
        <v>19</v>
      </c>
      <c r="I3413" t="s">
        <v>20</v>
      </c>
    </row>
    <row r="3414" spans="1:9" x14ac:dyDescent="0.35">
      <c r="A3414" t="s">
        <v>3450</v>
      </c>
      <c r="B3414" s="1">
        <v>44667</v>
      </c>
      <c r="C3414" t="s">
        <v>16</v>
      </c>
      <c r="D3414" t="s">
        <v>33</v>
      </c>
      <c r="E3414" t="s">
        <v>18</v>
      </c>
      <c r="F3414">
        <v>1207.03</v>
      </c>
      <c r="G3414">
        <v>212.83</v>
      </c>
      <c r="H3414" t="s">
        <v>28</v>
      </c>
      <c r="I3414" t="s">
        <v>14</v>
      </c>
    </row>
    <row r="3415" spans="1:9" x14ac:dyDescent="0.35">
      <c r="A3415" t="s">
        <v>3451</v>
      </c>
      <c r="B3415" s="1">
        <v>45534</v>
      </c>
      <c r="C3415" t="s">
        <v>25</v>
      </c>
      <c r="D3415" t="s">
        <v>26</v>
      </c>
      <c r="E3415" t="s">
        <v>27</v>
      </c>
      <c r="F3415">
        <v>286.55</v>
      </c>
      <c r="G3415">
        <v>73.14</v>
      </c>
      <c r="H3415" t="s">
        <v>28</v>
      </c>
      <c r="I3415" t="s">
        <v>29</v>
      </c>
    </row>
    <row r="3416" spans="1:9" x14ac:dyDescent="0.35">
      <c r="A3416" t="s">
        <v>3452</v>
      </c>
      <c r="B3416" s="1">
        <v>44950</v>
      </c>
      <c r="C3416" t="s">
        <v>16</v>
      </c>
      <c r="D3416" t="s">
        <v>23</v>
      </c>
      <c r="E3416" t="s">
        <v>18</v>
      </c>
      <c r="F3416">
        <v>1559.83</v>
      </c>
      <c r="G3416">
        <v>405.09</v>
      </c>
      <c r="H3416" t="s">
        <v>28</v>
      </c>
      <c r="I3416" t="s">
        <v>34</v>
      </c>
    </row>
    <row r="3417" spans="1:9" x14ac:dyDescent="0.35">
      <c r="A3417" t="s">
        <v>3453</v>
      </c>
      <c r="B3417" s="1">
        <v>45238</v>
      </c>
      <c r="C3417" t="s">
        <v>22</v>
      </c>
      <c r="D3417" t="s">
        <v>38</v>
      </c>
      <c r="E3417" t="s">
        <v>12</v>
      </c>
      <c r="F3417">
        <v>1814.14</v>
      </c>
      <c r="G3417">
        <v>428.54</v>
      </c>
      <c r="H3417" t="s">
        <v>19</v>
      </c>
      <c r="I3417" t="s">
        <v>34</v>
      </c>
    </row>
    <row r="3418" spans="1:9" x14ac:dyDescent="0.35">
      <c r="A3418" t="s">
        <v>3454</v>
      </c>
      <c r="B3418" s="1">
        <v>45620</v>
      </c>
      <c r="C3418" t="s">
        <v>16</v>
      </c>
      <c r="D3418" t="s">
        <v>46</v>
      </c>
      <c r="E3418" t="s">
        <v>18</v>
      </c>
      <c r="F3418">
        <v>1740.32</v>
      </c>
      <c r="G3418">
        <v>361.36</v>
      </c>
      <c r="H3418" t="s">
        <v>19</v>
      </c>
      <c r="I3418" t="s">
        <v>29</v>
      </c>
    </row>
    <row r="3419" spans="1:9" x14ac:dyDescent="0.35">
      <c r="A3419" t="s">
        <v>3455</v>
      </c>
      <c r="B3419" s="1">
        <v>45011</v>
      </c>
      <c r="C3419" t="s">
        <v>16</v>
      </c>
      <c r="D3419" t="s">
        <v>46</v>
      </c>
      <c r="E3419" t="s">
        <v>18</v>
      </c>
      <c r="F3419">
        <v>1412.79</v>
      </c>
      <c r="G3419">
        <v>406.38</v>
      </c>
      <c r="H3419" t="s">
        <v>19</v>
      </c>
      <c r="I3419" t="s">
        <v>34</v>
      </c>
    </row>
    <row r="3420" spans="1:9" x14ac:dyDescent="0.35">
      <c r="A3420" t="s">
        <v>3456</v>
      </c>
      <c r="B3420" s="1">
        <v>45530</v>
      </c>
      <c r="C3420" t="s">
        <v>10</v>
      </c>
      <c r="D3420" t="s">
        <v>57</v>
      </c>
      <c r="E3420" t="s">
        <v>27</v>
      </c>
      <c r="F3420">
        <v>777.43</v>
      </c>
      <c r="G3420">
        <v>154.19999999999999</v>
      </c>
      <c r="H3420" t="s">
        <v>19</v>
      </c>
      <c r="I3420" t="s">
        <v>29</v>
      </c>
    </row>
    <row r="3421" spans="1:9" x14ac:dyDescent="0.35">
      <c r="A3421" t="s">
        <v>3457</v>
      </c>
      <c r="B3421" s="1">
        <v>45471</v>
      </c>
      <c r="C3421" t="s">
        <v>22</v>
      </c>
      <c r="D3421" t="s">
        <v>17</v>
      </c>
      <c r="E3421" t="s">
        <v>18</v>
      </c>
      <c r="F3421">
        <v>89.46</v>
      </c>
      <c r="G3421">
        <v>17.57</v>
      </c>
      <c r="H3421" t="s">
        <v>28</v>
      </c>
      <c r="I3421" t="s">
        <v>14</v>
      </c>
    </row>
    <row r="3422" spans="1:9" x14ac:dyDescent="0.35">
      <c r="A3422" t="s">
        <v>3458</v>
      </c>
      <c r="B3422" s="1">
        <v>44681</v>
      </c>
      <c r="C3422" t="s">
        <v>16</v>
      </c>
      <c r="D3422" t="s">
        <v>41</v>
      </c>
      <c r="E3422" t="s">
        <v>12</v>
      </c>
      <c r="F3422">
        <v>174.3</v>
      </c>
      <c r="G3422">
        <v>14.52</v>
      </c>
      <c r="H3422" t="s">
        <v>13</v>
      </c>
      <c r="I3422" t="s">
        <v>20</v>
      </c>
    </row>
    <row r="3423" spans="1:9" x14ac:dyDescent="0.35">
      <c r="A3423" t="s">
        <v>3459</v>
      </c>
      <c r="B3423" s="1">
        <v>45203</v>
      </c>
      <c r="C3423" t="s">
        <v>10</v>
      </c>
      <c r="D3423" t="s">
        <v>11</v>
      </c>
      <c r="E3423" t="s">
        <v>12</v>
      </c>
      <c r="F3423">
        <v>399.04</v>
      </c>
      <c r="G3423">
        <v>115.52</v>
      </c>
      <c r="H3423" t="s">
        <v>13</v>
      </c>
      <c r="I3423" t="s">
        <v>14</v>
      </c>
    </row>
    <row r="3424" spans="1:9" x14ac:dyDescent="0.35">
      <c r="A3424" t="s">
        <v>3460</v>
      </c>
      <c r="B3424" s="1">
        <v>45062</v>
      </c>
      <c r="C3424" t="s">
        <v>10</v>
      </c>
      <c r="D3424" t="s">
        <v>11</v>
      </c>
      <c r="E3424" t="s">
        <v>12</v>
      </c>
      <c r="F3424">
        <v>898.26</v>
      </c>
      <c r="G3424">
        <v>224.58</v>
      </c>
      <c r="H3424" t="s">
        <v>19</v>
      </c>
      <c r="I3424" t="s">
        <v>29</v>
      </c>
    </row>
    <row r="3425" spans="1:9" x14ac:dyDescent="0.35">
      <c r="A3425" t="s">
        <v>3461</v>
      </c>
      <c r="B3425" s="1">
        <v>45016</v>
      </c>
      <c r="C3425" t="s">
        <v>22</v>
      </c>
      <c r="D3425" t="s">
        <v>97</v>
      </c>
      <c r="E3425" t="s">
        <v>27</v>
      </c>
      <c r="F3425">
        <v>1762.51</v>
      </c>
      <c r="G3425">
        <v>515.79999999999995</v>
      </c>
      <c r="H3425" t="s">
        <v>13</v>
      </c>
      <c r="I3425" t="s">
        <v>20</v>
      </c>
    </row>
    <row r="3426" spans="1:9" x14ac:dyDescent="0.35">
      <c r="A3426" t="s">
        <v>3462</v>
      </c>
      <c r="B3426" s="1">
        <v>44806</v>
      </c>
      <c r="C3426" t="s">
        <v>22</v>
      </c>
      <c r="D3426" t="s">
        <v>73</v>
      </c>
      <c r="E3426" t="s">
        <v>27</v>
      </c>
      <c r="F3426">
        <v>1516.99</v>
      </c>
      <c r="G3426">
        <v>288.41000000000003</v>
      </c>
      <c r="H3426" t="s">
        <v>19</v>
      </c>
      <c r="I3426" t="s">
        <v>20</v>
      </c>
    </row>
    <row r="3427" spans="1:9" x14ac:dyDescent="0.35">
      <c r="A3427" t="s">
        <v>3463</v>
      </c>
      <c r="B3427" s="1">
        <v>45137</v>
      </c>
      <c r="C3427" t="s">
        <v>22</v>
      </c>
      <c r="D3427" t="s">
        <v>97</v>
      </c>
      <c r="E3427" t="s">
        <v>27</v>
      </c>
      <c r="F3427">
        <v>487.27</v>
      </c>
      <c r="G3427">
        <v>76.73</v>
      </c>
      <c r="H3427" t="s">
        <v>28</v>
      </c>
      <c r="I3427" t="s">
        <v>29</v>
      </c>
    </row>
    <row r="3428" spans="1:9" x14ac:dyDescent="0.35">
      <c r="A3428" t="s">
        <v>3464</v>
      </c>
      <c r="B3428" s="1">
        <v>44592</v>
      </c>
      <c r="C3428" t="s">
        <v>25</v>
      </c>
      <c r="D3428" t="s">
        <v>17</v>
      </c>
      <c r="E3428" t="s">
        <v>18</v>
      </c>
      <c r="F3428">
        <v>660.81</v>
      </c>
      <c r="G3428">
        <v>94.69</v>
      </c>
      <c r="H3428" t="s">
        <v>28</v>
      </c>
      <c r="I3428" t="s">
        <v>20</v>
      </c>
    </row>
    <row r="3429" spans="1:9" x14ac:dyDescent="0.35">
      <c r="A3429" t="s">
        <v>3465</v>
      </c>
      <c r="B3429" s="1">
        <v>44576</v>
      </c>
      <c r="C3429" t="s">
        <v>22</v>
      </c>
      <c r="D3429" t="s">
        <v>11</v>
      </c>
      <c r="E3429" t="s">
        <v>12</v>
      </c>
      <c r="F3429">
        <v>1428.76</v>
      </c>
      <c r="G3429">
        <v>425.8</v>
      </c>
      <c r="H3429" t="s">
        <v>19</v>
      </c>
      <c r="I3429" t="s">
        <v>14</v>
      </c>
    </row>
    <row r="3430" spans="1:9" x14ac:dyDescent="0.35">
      <c r="A3430" t="s">
        <v>3466</v>
      </c>
      <c r="B3430" s="1">
        <v>45106</v>
      </c>
      <c r="C3430" t="s">
        <v>25</v>
      </c>
      <c r="D3430" t="s">
        <v>62</v>
      </c>
      <c r="E3430" t="s">
        <v>27</v>
      </c>
      <c r="F3430">
        <v>1402.57</v>
      </c>
      <c r="G3430">
        <v>294.88</v>
      </c>
      <c r="H3430" t="s">
        <v>13</v>
      </c>
      <c r="I3430" t="s">
        <v>29</v>
      </c>
    </row>
    <row r="3431" spans="1:9" x14ac:dyDescent="0.35">
      <c r="A3431" t="s">
        <v>3467</v>
      </c>
      <c r="B3431" s="1">
        <v>45216</v>
      </c>
      <c r="C3431" t="s">
        <v>22</v>
      </c>
      <c r="D3431" t="s">
        <v>11</v>
      </c>
      <c r="E3431" t="s">
        <v>12</v>
      </c>
      <c r="F3431">
        <v>513.30999999999995</v>
      </c>
      <c r="G3431">
        <v>104.41</v>
      </c>
      <c r="H3431" t="s">
        <v>19</v>
      </c>
      <c r="I3431" t="s">
        <v>34</v>
      </c>
    </row>
    <row r="3432" spans="1:9" x14ac:dyDescent="0.35">
      <c r="A3432" t="s">
        <v>3468</v>
      </c>
      <c r="B3432" s="1">
        <v>44903</v>
      </c>
      <c r="C3432" t="s">
        <v>25</v>
      </c>
      <c r="D3432" t="s">
        <v>95</v>
      </c>
      <c r="E3432" t="s">
        <v>18</v>
      </c>
      <c r="F3432">
        <v>328.83</v>
      </c>
      <c r="G3432">
        <v>49.73</v>
      </c>
      <c r="H3432" t="s">
        <v>13</v>
      </c>
      <c r="I3432" t="s">
        <v>20</v>
      </c>
    </row>
    <row r="3433" spans="1:9" x14ac:dyDescent="0.35">
      <c r="A3433" t="s">
        <v>3469</v>
      </c>
      <c r="B3433" s="1">
        <v>45601</v>
      </c>
      <c r="C3433" t="s">
        <v>10</v>
      </c>
      <c r="D3433" t="s">
        <v>73</v>
      </c>
      <c r="E3433" t="s">
        <v>27</v>
      </c>
      <c r="F3433">
        <v>1442.4</v>
      </c>
      <c r="G3433">
        <v>237.54</v>
      </c>
      <c r="H3433" t="s">
        <v>13</v>
      </c>
      <c r="I3433" t="s">
        <v>29</v>
      </c>
    </row>
    <row r="3434" spans="1:9" x14ac:dyDescent="0.35">
      <c r="A3434" t="s">
        <v>3470</v>
      </c>
      <c r="B3434" s="1">
        <v>45623</v>
      </c>
      <c r="C3434" t="s">
        <v>25</v>
      </c>
      <c r="D3434" t="s">
        <v>11</v>
      </c>
      <c r="E3434" t="s">
        <v>12</v>
      </c>
      <c r="F3434">
        <v>127.54</v>
      </c>
      <c r="G3434">
        <v>31.5</v>
      </c>
      <c r="H3434" t="s">
        <v>13</v>
      </c>
      <c r="I3434" t="s">
        <v>20</v>
      </c>
    </row>
    <row r="3435" spans="1:9" x14ac:dyDescent="0.35">
      <c r="A3435" t="s">
        <v>3471</v>
      </c>
      <c r="B3435" s="1">
        <v>44879</v>
      </c>
      <c r="C3435" t="s">
        <v>25</v>
      </c>
      <c r="D3435" t="s">
        <v>95</v>
      </c>
      <c r="E3435" t="s">
        <v>18</v>
      </c>
      <c r="F3435">
        <v>1104.8800000000001</v>
      </c>
      <c r="G3435">
        <v>183.56</v>
      </c>
      <c r="H3435" t="s">
        <v>19</v>
      </c>
      <c r="I3435" t="s">
        <v>34</v>
      </c>
    </row>
    <row r="3436" spans="1:9" x14ac:dyDescent="0.35">
      <c r="A3436" t="s">
        <v>3472</v>
      </c>
      <c r="B3436" s="1">
        <v>44761</v>
      </c>
      <c r="C3436" t="s">
        <v>16</v>
      </c>
      <c r="D3436" t="s">
        <v>73</v>
      </c>
      <c r="E3436" t="s">
        <v>27</v>
      </c>
      <c r="F3436">
        <v>799.36</v>
      </c>
      <c r="G3436">
        <v>92.1</v>
      </c>
      <c r="H3436" t="s">
        <v>19</v>
      </c>
      <c r="I3436" t="s">
        <v>29</v>
      </c>
    </row>
    <row r="3437" spans="1:9" x14ac:dyDescent="0.35">
      <c r="A3437" t="s">
        <v>3473</v>
      </c>
      <c r="B3437" s="1">
        <v>45585</v>
      </c>
      <c r="C3437" t="s">
        <v>22</v>
      </c>
      <c r="D3437" t="s">
        <v>97</v>
      </c>
      <c r="E3437" t="s">
        <v>27</v>
      </c>
      <c r="F3437">
        <v>217.26</v>
      </c>
      <c r="G3437">
        <v>26.69</v>
      </c>
      <c r="H3437" t="s">
        <v>28</v>
      </c>
      <c r="I3437" t="s">
        <v>34</v>
      </c>
    </row>
    <row r="3438" spans="1:9" x14ac:dyDescent="0.35">
      <c r="A3438" t="s">
        <v>3474</v>
      </c>
      <c r="B3438" s="1">
        <v>44772</v>
      </c>
      <c r="C3438" t="s">
        <v>16</v>
      </c>
      <c r="D3438" t="s">
        <v>17</v>
      </c>
      <c r="E3438" t="s">
        <v>18</v>
      </c>
      <c r="F3438">
        <v>1865.56</v>
      </c>
      <c r="G3438">
        <v>209.63</v>
      </c>
      <c r="H3438" t="s">
        <v>19</v>
      </c>
      <c r="I3438" t="s">
        <v>29</v>
      </c>
    </row>
    <row r="3439" spans="1:9" x14ac:dyDescent="0.35">
      <c r="A3439" t="s">
        <v>3475</v>
      </c>
      <c r="B3439" s="1">
        <v>44686</v>
      </c>
      <c r="C3439" t="s">
        <v>22</v>
      </c>
      <c r="D3439" t="s">
        <v>26</v>
      </c>
      <c r="E3439" t="s">
        <v>27</v>
      </c>
      <c r="F3439">
        <v>792.61</v>
      </c>
      <c r="G3439">
        <v>219.51</v>
      </c>
      <c r="H3439" t="s">
        <v>19</v>
      </c>
      <c r="I3439" t="s">
        <v>34</v>
      </c>
    </row>
    <row r="3440" spans="1:9" x14ac:dyDescent="0.35">
      <c r="A3440" t="s">
        <v>3476</v>
      </c>
      <c r="B3440" s="1">
        <v>45221</v>
      </c>
      <c r="C3440" t="s">
        <v>10</v>
      </c>
      <c r="D3440" t="s">
        <v>38</v>
      </c>
      <c r="E3440" t="s">
        <v>12</v>
      </c>
      <c r="F3440">
        <v>79.150000000000006</v>
      </c>
      <c r="G3440">
        <v>9.26</v>
      </c>
      <c r="H3440" t="s">
        <v>19</v>
      </c>
      <c r="I3440" t="s">
        <v>20</v>
      </c>
    </row>
    <row r="3441" spans="1:9" x14ac:dyDescent="0.35">
      <c r="A3441" t="s">
        <v>3477</v>
      </c>
      <c r="B3441" s="1">
        <v>45008</v>
      </c>
      <c r="C3441" t="s">
        <v>25</v>
      </c>
      <c r="D3441" t="s">
        <v>26</v>
      </c>
      <c r="E3441" t="s">
        <v>27</v>
      </c>
      <c r="F3441">
        <v>744.6</v>
      </c>
      <c r="G3441">
        <v>100.24</v>
      </c>
      <c r="H3441" t="s">
        <v>13</v>
      </c>
      <c r="I3441" t="s">
        <v>14</v>
      </c>
    </row>
    <row r="3442" spans="1:9" x14ac:dyDescent="0.35">
      <c r="A3442" t="s">
        <v>3478</v>
      </c>
      <c r="B3442" s="1">
        <v>45294</v>
      </c>
      <c r="C3442" t="s">
        <v>10</v>
      </c>
      <c r="D3442" t="s">
        <v>41</v>
      </c>
      <c r="E3442" t="s">
        <v>12</v>
      </c>
      <c r="F3442">
        <v>1275.1199999999999</v>
      </c>
      <c r="G3442">
        <v>319.57</v>
      </c>
      <c r="H3442" t="s">
        <v>13</v>
      </c>
      <c r="I3442" t="s">
        <v>34</v>
      </c>
    </row>
    <row r="3443" spans="1:9" x14ac:dyDescent="0.35">
      <c r="A3443" t="s">
        <v>3479</v>
      </c>
      <c r="B3443" s="1">
        <v>45103</v>
      </c>
      <c r="C3443" t="s">
        <v>10</v>
      </c>
      <c r="D3443" t="s">
        <v>23</v>
      </c>
      <c r="E3443" t="s">
        <v>18</v>
      </c>
      <c r="F3443">
        <v>985.14</v>
      </c>
      <c r="G3443">
        <v>50.34</v>
      </c>
      <c r="H3443" t="s">
        <v>28</v>
      </c>
      <c r="I3443" t="s">
        <v>29</v>
      </c>
    </row>
    <row r="3444" spans="1:9" x14ac:dyDescent="0.35">
      <c r="A3444" t="s">
        <v>3480</v>
      </c>
      <c r="B3444" s="1">
        <v>45196</v>
      </c>
      <c r="C3444" t="s">
        <v>22</v>
      </c>
      <c r="D3444" t="s">
        <v>41</v>
      </c>
      <c r="E3444" t="s">
        <v>12</v>
      </c>
      <c r="F3444">
        <v>1711.88</v>
      </c>
      <c r="G3444">
        <v>460.93</v>
      </c>
      <c r="H3444" t="s">
        <v>19</v>
      </c>
      <c r="I3444" t="s">
        <v>29</v>
      </c>
    </row>
    <row r="3445" spans="1:9" x14ac:dyDescent="0.35">
      <c r="A3445" t="s">
        <v>3481</v>
      </c>
      <c r="B3445" s="1">
        <v>44591</v>
      </c>
      <c r="C3445" t="s">
        <v>16</v>
      </c>
      <c r="D3445" t="s">
        <v>95</v>
      </c>
      <c r="E3445" t="s">
        <v>18</v>
      </c>
      <c r="F3445">
        <v>1858.91</v>
      </c>
      <c r="G3445">
        <v>363.18</v>
      </c>
      <c r="H3445" t="s">
        <v>28</v>
      </c>
      <c r="I3445" t="s">
        <v>14</v>
      </c>
    </row>
    <row r="3446" spans="1:9" x14ac:dyDescent="0.35">
      <c r="A3446" t="s">
        <v>3482</v>
      </c>
      <c r="B3446" s="1">
        <v>45415</v>
      </c>
      <c r="C3446" t="s">
        <v>22</v>
      </c>
      <c r="D3446" t="s">
        <v>41</v>
      </c>
      <c r="E3446" t="s">
        <v>12</v>
      </c>
      <c r="F3446">
        <v>996.75</v>
      </c>
      <c r="G3446">
        <v>170.33</v>
      </c>
      <c r="H3446" t="s">
        <v>28</v>
      </c>
      <c r="I3446" t="s">
        <v>34</v>
      </c>
    </row>
    <row r="3447" spans="1:9" x14ac:dyDescent="0.35">
      <c r="A3447" t="s">
        <v>3483</v>
      </c>
      <c r="B3447" s="1">
        <v>44775</v>
      </c>
      <c r="C3447" t="s">
        <v>22</v>
      </c>
      <c r="D3447" t="s">
        <v>57</v>
      </c>
      <c r="E3447" t="s">
        <v>27</v>
      </c>
      <c r="F3447">
        <v>1556.92</v>
      </c>
      <c r="G3447">
        <v>466.44</v>
      </c>
      <c r="H3447" t="s">
        <v>19</v>
      </c>
      <c r="I3447" t="s">
        <v>20</v>
      </c>
    </row>
    <row r="3448" spans="1:9" x14ac:dyDescent="0.35">
      <c r="A3448" t="s">
        <v>3484</v>
      </c>
      <c r="B3448" s="1">
        <v>45158</v>
      </c>
      <c r="C3448" t="s">
        <v>16</v>
      </c>
      <c r="D3448" t="s">
        <v>33</v>
      </c>
      <c r="E3448" t="s">
        <v>18</v>
      </c>
      <c r="F3448">
        <v>1516.77</v>
      </c>
      <c r="G3448">
        <v>236.31</v>
      </c>
      <c r="H3448" t="s">
        <v>28</v>
      </c>
      <c r="I3448" t="s">
        <v>29</v>
      </c>
    </row>
    <row r="3449" spans="1:9" x14ac:dyDescent="0.35">
      <c r="A3449" t="s">
        <v>3485</v>
      </c>
      <c r="B3449" s="1">
        <v>45106</v>
      </c>
      <c r="C3449" t="s">
        <v>25</v>
      </c>
      <c r="D3449" t="s">
        <v>97</v>
      </c>
      <c r="E3449" t="s">
        <v>27</v>
      </c>
      <c r="F3449">
        <v>376.62</v>
      </c>
      <c r="G3449">
        <v>73.16</v>
      </c>
      <c r="H3449" t="s">
        <v>13</v>
      </c>
      <c r="I3449" t="s">
        <v>34</v>
      </c>
    </row>
    <row r="3450" spans="1:9" x14ac:dyDescent="0.35">
      <c r="A3450" t="s">
        <v>3486</v>
      </c>
      <c r="B3450" s="1">
        <v>45337</v>
      </c>
      <c r="C3450" t="s">
        <v>22</v>
      </c>
      <c r="D3450" t="s">
        <v>95</v>
      </c>
      <c r="E3450" t="s">
        <v>18</v>
      </c>
      <c r="F3450">
        <v>1573.51</v>
      </c>
      <c r="G3450">
        <v>342.48</v>
      </c>
      <c r="H3450" t="s">
        <v>28</v>
      </c>
      <c r="I3450" t="s">
        <v>14</v>
      </c>
    </row>
    <row r="3451" spans="1:9" x14ac:dyDescent="0.35">
      <c r="A3451" t="s">
        <v>3487</v>
      </c>
      <c r="B3451" s="1">
        <v>44591</v>
      </c>
      <c r="C3451" t="s">
        <v>22</v>
      </c>
      <c r="D3451" t="s">
        <v>57</v>
      </c>
      <c r="E3451" t="s">
        <v>27</v>
      </c>
      <c r="F3451">
        <v>248.93</v>
      </c>
      <c r="G3451">
        <v>63.42</v>
      </c>
      <c r="H3451" t="s">
        <v>28</v>
      </c>
      <c r="I3451" t="s">
        <v>29</v>
      </c>
    </row>
    <row r="3452" spans="1:9" x14ac:dyDescent="0.35">
      <c r="A3452" t="s">
        <v>3488</v>
      </c>
      <c r="B3452" s="1">
        <v>44796</v>
      </c>
      <c r="C3452" t="s">
        <v>10</v>
      </c>
      <c r="D3452" t="s">
        <v>41</v>
      </c>
      <c r="E3452" t="s">
        <v>12</v>
      </c>
      <c r="F3452">
        <v>885.29</v>
      </c>
      <c r="G3452">
        <v>257.13</v>
      </c>
      <c r="H3452" t="s">
        <v>28</v>
      </c>
      <c r="I3452" t="s">
        <v>34</v>
      </c>
    </row>
    <row r="3453" spans="1:9" x14ac:dyDescent="0.35">
      <c r="A3453" t="s">
        <v>3489</v>
      </c>
      <c r="B3453" s="1">
        <v>44724</v>
      </c>
      <c r="C3453" t="s">
        <v>22</v>
      </c>
      <c r="D3453" t="s">
        <v>11</v>
      </c>
      <c r="E3453" t="s">
        <v>12</v>
      </c>
      <c r="F3453">
        <v>69.489999999999995</v>
      </c>
      <c r="G3453">
        <v>4.8499999999999996</v>
      </c>
      <c r="H3453" t="s">
        <v>13</v>
      </c>
      <c r="I3453" t="s">
        <v>34</v>
      </c>
    </row>
    <row r="3454" spans="1:9" x14ac:dyDescent="0.35">
      <c r="A3454" t="s">
        <v>3490</v>
      </c>
      <c r="B3454" s="1">
        <v>45576</v>
      </c>
      <c r="C3454" t="s">
        <v>16</v>
      </c>
      <c r="D3454" t="s">
        <v>31</v>
      </c>
      <c r="E3454" t="s">
        <v>12</v>
      </c>
      <c r="F3454">
        <v>563.23</v>
      </c>
      <c r="G3454">
        <v>63.36</v>
      </c>
      <c r="H3454" t="s">
        <v>28</v>
      </c>
      <c r="I3454" t="s">
        <v>34</v>
      </c>
    </row>
    <row r="3455" spans="1:9" x14ac:dyDescent="0.35">
      <c r="A3455" t="s">
        <v>3491</v>
      </c>
      <c r="B3455" s="1">
        <v>44639</v>
      </c>
      <c r="C3455" t="s">
        <v>25</v>
      </c>
      <c r="D3455" t="s">
        <v>23</v>
      </c>
      <c r="E3455" t="s">
        <v>18</v>
      </c>
      <c r="F3455">
        <v>244.35</v>
      </c>
      <c r="G3455">
        <v>18.78</v>
      </c>
      <c r="H3455" t="s">
        <v>19</v>
      </c>
      <c r="I3455" t="s">
        <v>29</v>
      </c>
    </row>
    <row r="3456" spans="1:9" x14ac:dyDescent="0.35">
      <c r="A3456" t="s">
        <v>3492</v>
      </c>
      <c r="B3456" s="1">
        <v>45201</v>
      </c>
      <c r="C3456" t="s">
        <v>25</v>
      </c>
      <c r="D3456" t="s">
        <v>26</v>
      </c>
      <c r="E3456" t="s">
        <v>27</v>
      </c>
      <c r="F3456">
        <v>936.65</v>
      </c>
      <c r="G3456">
        <v>100.07</v>
      </c>
      <c r="H3456" t="s">
        <v>28</v>
      </c>
      <c r="I3456" t="s">
        <v>14</v>
      </c>
    </row>
    <row r="3457" spans="1:9" x14ac:dyDescent="0.35">
      <c r="A3457" t="s">
        <v>3493</v>
      </c>
      <c r="B3457" s="1">
        <v>45643</v>
      </c>
      <c r="C3457" t="s">
        <v>25</v>
      </c>
      <c r="D3457" t="s">
        <v>57</v>
      </c>
      <c r="E3457" t="s">
        <v>27</v>
      </c>
      <c r="F3457">
        <v>114.38</v>
      </c>
      <c r="G3457">
        <v>20.54</v>
      </c>
      <c r="H3457" t="s">
        <v>13</v>
      </c>
      <c r="I3457" t="s">
        <v>20</v>
      </c>
    </row>
    <row r="3458" spans="1:9" x14ac:dyDescent="0.35">
      <c r="A3458" t="s">
        <v>3494</v>
      </c>
      <c r="B3458" s="1">
        <v>44615</v>
      </c>
      <c r="C3458" t="s">
        <v>25</v>
      </c>
      <c r="D3458" t="s">
        <v>23</v>
      </c>
      <c r="E3458" t="s">
        <v>18</v>
      </c>
      <c r="F3458">
        <v>691.27</v>
      </c>
      <c r="G3458">
        <v>142</v>
      </c>
      <c r="H3458" t="s">
        <v>19</v>
      </c>
      <c r="I3458" t="s">
        <v>14</v>
      </c>
    </row>
    <row r="3459" spans="1:9" x14ac:dyDescent="0.35">
      <c r="A3459" t="s">
        <v>3495</v>
      </c>
      <c r="B3459" s="1">
        <v>44794</v>
      </c>
      <c r="C3459" t="s">
        <v>10</v>
      </c>
      <c r="D3459" t="s">
        <v>62</v>
      </c>
      <c r="E3459" t="s">
        <v>27</v>
      </c>
      <c r="F3459">
        <v>758.71</v>
      </c>
      <c r="G3459">
        <v>80.58</v>
      </c>
      <c r="H3459" t="s">
        <v>13</v>
      </c>
      <c r="I3459" t="s">
        <v>20</v>
      </c>
    </row>
    <row r="3460" spans="1:9" x14ac:dyDescent="0.35">
      <c r="A3460" t="s">
        <v>3496</v>
      </c>
      <c r="B3460" s="1">
        <v>44629</v>
      </c>
      <c r="C3460" t="s">
        <v>10</v>
      </c>
      <c r="D3460" t="s">
        <v>23</v>
      </c>
      <c r="E3460" t="s">
        <v>18</v>
      </c>
      <c r="F3460">
        <v>864.2</v>
      </c>
      <c r="G3460">
        <v>47.88</v>
      </c>
      <c r="H3460" t="s">
        <v>19</v>
      </c>
      <c r="I3460" t="s">
        <v>14</v>
      </c>
    </row>
    <row r="3461" spans="1:9" x14ac:dyDescent="0.35">
      <c r="A3461" t="s">
        <v>3497</v>
      </c>
      <c r="B3461" s="1">
        <v>45063</v>
      </c>
      <c r="C3461" t="s">
        <v>16</v>
      </c>
      <c r="D3461" t="s">
        <v>11</v>
      </c>
      <c r="E3461" t="s">
        <v>12</v>
      </c>
      <c r="F3461">
        <v>564.73</v>
      </c>
      <c r="G3461">
        <v>154.16999999999999</v>
      </c>
      <c r="H3461" t="s">
        <v>28</v>
      </c>
      <c r="I3461" t="s">
        <v>34</v>
      </c>
    </row>
    <row r="3462" spans="1:9" x14ac:dyDescent="0.35">
      <c r="A3462" t="s">
        <v>3498</v>
      </c>
      <c r="B3462" s="1">
        <v>44931</v>
      </c>
      <c r="C3462" t="s">
        <v>22</v>
      </c>
      <c r="D3462" t="s">
        <v>23</v>
      </c>
      <c r="E3462" t="s">
        <v>18</v>
      </c>
      <c r="F3462">
        <v>775.62</v>
      </c>
      <c r="G3462">
        <v>184.54</v>
      </c>
      <c r="H3462" t="s">
        <v>19</v>
      </c>
      <c r="I3462" t="s">
        <v>29</v>
      </c>
    </row>
    <row r="3463" spans="1:9" x14ac:dyDescent="0.35">
      <c r="A3463" t="s">
        <v>3499</v>
      </c>
      <c r="B3463" s="1">
        <v>45310</v>
      </c>
      <c r="C3463" t="s">
        <v>25</v>
      </c>
      <c r="D3463" t="s">
        <v>57</v>
      </c>
      <c r="E3463" t="s">
        <v>27</v>
      </c>
      <c r="F3463">
        <v>1208.54</v>
      </c>
      <c r="G3463">
        <v>334.13</v>
      </c>
      <c r="H3463" t="s">
        <v>28</v>
      </c>
      <c r="I3463" t="s">
        <v>34</v>
      </c>
    </row>
    <row r="3464" spans="1:9" x14ac:dyDescent="0.35">
      <c r="A3464" t="s">
        <v>3500</v>
      </c>
      <c r="B3464" s="1">
        <v>44596</v>
      </c>
      <c r="C3464" t="s">
        <v>10</v>
      </c>
      <c r="D3464" t="s">
        <v>11</v>
      </c>
      <c r="E3464" t="s">
        <v>12</v>
      </c>
      <c r="F3464">
        <v>383.92</v>
      </c>
      <c r="G3464">
        <v>21.26</v>
      </c>
      <c r="H3464" t="s">
        <v>19</v>
      </c>
      <c r="I3464" t="s">
        <v>29</v>
      </c>
    </row>
    <row r="3465" spans="1:9" x14ac:dyDescent="0.35">
      <c r="A3465" t="s">
        <v>3501</v>
      </c>
      <c r="B3465" s="1">
        <v>45226</v>
      </c>
      <c r="C3465" t="s">
        <v>25</v>
      </c>
      <c r="D3465" t="s">
        <v>95</v>
      </c>
      <c r="E3465" t="s">
        <v>18</v>
      </c>
      <c r="F3465">
        <v>906.92</v>
      </c>
      <c r="G3465">
        <v>144.76</v>
      </c>
      <c r="H3465" t="s">
        <v>13</v>
      </c>
      <c r="I3465" t="s">
        <v>29</v>
      </c>
    </row>
    <row r="3466" spans="1:9" x14ac:dyDescent="0.35">
      <c r="A3466" t="s">
        <v>3502</v>
      </c>
      <c r="B3466" s="1">
        <v>44863</v>
      </c>
      <c r="C3466" t="s">
        <v>16</v>
      </c>
      <c r="D3466" t="s">
        <v>33</v>
      </c>
      <c r="E3466" t="s">
        <v>18</v>
      </c>
      <c r="F3466">
        <v>235.73</v>
      </c>
      <c r="G3466">
        <v>55.82</v>
      </c>
      <c r="H3466" t="s">
        <v>19</v>
      </c>
      <c r="I3466" t="s">
        <v>34</v>
      </c>
    </row>
    <row r="3467" spans="1:9" x14ac:dyDescent="0.35">
      <c r="A3467" t="s">
        <v>3503</v>
      </c>
      <c r="B3467" s="1">
        <v>44929</v>
      </c>
      <c r="C3467" t="s">
        <v>16</v>
      </c>
      <c r="D3467" t="s">
        <v>57</v>
      </c>
      <c r="E3467" t="s">
        <v>27</v>
      </c>
      <c r="F3467">
        <v>193.74</v>
      </c>
      <c r="G3467">
        <v>55.54</v>
      </c>
      <c r="H3467" t="s">
        <v>13</v>
      </c>
      <c r="I3467" t="s">
        <v>34</v>
      </c>
    </row>
    <row r="3468" spans="1:9" x14ac:dyDescent="0.35">
      <c r="A3468" t="s">
        <v>3504</v>
      </c>
      <c r="B3468" s="1">
        <v>45022</v>
      </c>
      <c r="C3468" t="s">
        <v>25</v>
      </c>
      <c r="D3468" t="s">
        <v>31</v>
      </c>
      <c r="E3468" t="s">
        <v>12</v>
      </c>
      <c r="F3468">
        <v>836.04</v>
      </c>
      <c r="G3468">
        <v>98.31</v>
      </c>
      <c r="H3468" t="s">
        <v>13</v>
      </c>
      <c r="I3468" t="s">
        <v>34</v>
      </c>
    </row>
    <row r="3469" spans="1:9" x14ac:dyDescent="0.35">
      <c r="A3469" t="s">
        <v>3505</v>
      </c>
      <c r="B3469" s="1">
        <v>45152</v>
      </c>
      <c r="C3469" t="s">
        <v>16</v>
      </c>
      <c r="D3469" t="s">
        <v>46</v>
      </c>
      <c r="E3469" t="s">
        <v>18</v>
      </c>
      <c r="F3469">
        <v>1427.87</v>
      </c>
      <c r="G3469">
        <v>187.05</v>
      </c>
      <c r="H3469" t="s">
        <v>19</v>
      </c>
      <c r="I3469" t="s">
        <v>20</v>
      </c>
    </row>
    <row r="3470" spans="1:9" x14ac:dyDescent="0.35">
      <c r="A3470" t="s">
        <v>3506</v>
      </c>
      <c r="B3470" s="1">
        <v>45453</v>
      </c>
      <c r="C3470" t="s">
        <v>22</v>
      </c>
      <c r="D3470" t="s">
        <v>57</v>
      </c>
      <c r="E3470" t="s">
        <v>27</v>
      </c>
      <c r="F3470">
        <v>234.7</v>
      </c>
      <c r="G3470">
        <v>49.57</v>
      </c>
      <c r="H3470" t="s">
        <v>13</v>
      </c>
      <c r="I3470" t="s">
        <v>20</v>
      </c>
    </row>
    <row r="3471" spans="1:9" x14ac:dyDescent="0.35">
      <c r="A3471" t="s">
        <v>3507</v>
      </c>
      <c r="B3471" s="1">
        <v>44782</v>
      </c>
      <c r="C3471" t="s">
        <v>16</v>
      </c>
      <c r="D3471" t="s">
        <v>26</v>
      </c>
      <c r="E3471" t="s">
        <v>27</v>
      </c>
      <c r="F3471">
        <v>872.36</v>
      </c>
      <c r="G3471">
        <v>96.62</v>
      </c>
      <c r="H3471" t="s">
        <v>28</v>
      </c>
      <c r="I3471" t="s">
        <v>34</v>
      </c>
    </row>
    <row r="3472" spans="1:9" x14ac:dyDescent="0.35">
      <c r="A3472" t="s">
        <v>3508</v>
      </c>
      <c r="B3472" s="1">
        <v>45173</v>
      </c>
      <c r="C3472" t="s">
        <v>25</v>
      </c>
      <c r="D3472" t="s">
        <v>95</v>
      </c>
      <c r="E3472" t="s">
        <v>18</v>
      </c>
      <c r="F3472">
        <v>163.61000000000001</v>
      </c>
      <c r="G3472">
        <v>41.37</v>
      </c>
      <c r="H3472" t="s">
        <v>13</v>
      </c>
      <c r="I3472" t="s">
        <v>34</v>
      </c>
    </row>
    <row r="3473" spans="1:9" x14ac:dyDescent="0.35">
      <c r="A3473" t="s">
        <v>3509</v>
      </c>
      <c r="B3473" s="1">
        <v>45331</v>
      </c>
      <c r="C3473" t="s">
        <v>16</v>
      </c>
      <c r="D3473" t="s">
        <v>33</v>
      </c>
      <c r="E3473" t="s">
        <v>18</v>
      </c>
      <c r="F3473">
        <v>1654.2</v>
      </c>
      <c r="G3473">
        <v>119.68</v>
      </c>
      <c r="H3473" t="s">
        <v>28</v>
      </c>
      <c r="I3473" t="s">
        <v>14</v>
      </c>
    </row>
    <row r="3474" spans="1:9" x14ac:dyDescent="0.35">
      <c r="A3474" t="s">
        <v>3510</v>
      </c>
      <c r="B3474" s="1">
        <v>45501</v>
      </c>
      <c r="C3474" t="s">
        <v>16</v>
      </c>
      <c r="D3474" t="s">
        <v>46</v>
      </c>
      <c r="E3474" t="s">
        <v>18</v>
      </c>
      <c r="F3474">
        <v>931.7</v>
      </c>
      <c r="G3474">
        <v>261.48</v>
      </c>
      <c r="H3474" t="s">
        <v>28</v>
      </c>
      <c r="I3474" t="s">
        <v>14</v>
      </c>
    </row>
    <row r="3475" spans="1:9" x14ac:dyDescent="0.35">
      <c r="A3475" t="s">
        <v>3511</v>
      </c>
      <c r="B3475" s="1">
        <v>45101</v>
      </c>
      <c r="C3475" t="s">
        <v>22</v>
      </c>
      <c r="D3475" t="s">
        <v>50</v>
      </c>
      <c r="E3475" t="s">
        <v>12</v>
      </c>
      <c r="F3475">
        <v>1927.39</v>
      </c>
      <c r="G3475">
        <v>503.26</v>
      </c>
      <c r="H3475" t="s">
        <v>19</v>
      </c>
      <c r="I3475" t="s">
        <v>14</v>
      </c>
    </row>
    <row r="3476" spans="1:9" x14ac:dyDescent="0.35">
      <c r="A3476" t="s">
        <v>3512</v>
      </c>
      <c r="B3476" s="1">
        <v>45542</v>
      </c>
      <c r="C3476" t="s">
        <v>16</v>
      </c>
      <c r="D3476" t="s">
        <v>23</v>
      </c>
      <c r="E3476" t="s">
        <v>18</v>
      </c>
      <c r="F3476">
        <v>227.65</v>
      </c>
      <c r="G3476">
        <v>35.61</v>
      </c>
      <c r="H3476" t="s">
        <v>19</v>
      </c>
      <c r="I3476" t="s">
        <v>20</v>
      </c>
    </row>
    <row r="3477" spans="1:9" x14ac:dyDescent="0.35">
      <c r="A3477" t="s">
        <v>3513</v>
      </c>
      <c r="B3477" s="1">
        <v>45433</v>
      </c>
      <c r="C3477" t="s">
        <v>16</v>
      </c>
      <c r="D3477" t="s">
        <v>38</v>
      </c>
      <c r="E3477" t="s">
        <v>12</v>
      </c>
      <c r="F3477">
        <v>325.89</v>
      </c>
      <c r="G3477">
        <v>30.72</v>
      </c>
      <c r="H3477" t="s">
        <v>19</v>
      </c>
      <c r="I3477" t="s">
        <v>29</v>
      </c>
    </row>
    <row r="3478" spans="1:9" x14ac:dyDescent="0.35">
      <c r="A3478" t="s">
        <v>3514</v>
      </c>
      <c r="B3478" s="1">
        <v>44901</v>
      </c>
      <c r="C3478" t="s">
        <v>25</v>
      </c>
      <c r="D3478" t="s">
        <v>26</v>
      </c>
      <c r="E3478" t="s">
        <v>27</v>
      </c>
      <c r="F3478">
        <v>1334.07</v>
      </c>
      <c r="G3478">
        <v>270.45</v>
      </c>
      <c r="H3478" t="s">
        <v>13</v>
      </c>
      <c r="I3478" t="s">
        <v>14</v>
      </c>
    </row>
    <row r="3479" spans="1:9" x14ac:dyDescent="0.35">
      <c r="A3479" t="s">
        <v>3515</v>
      </c>
      <c r="B3479" s="1">
        <v>44894</v>
      </c>
      <c r="C3479" t="s">
        <v>22</v>
      </c>
      <c r="D3479" t="s">
        <v>23</v>
      </c>
      <c r="E3479" t="s">
        <v>18</v>
      </c>
      <c r="F3479">
        <v>1322.71</v>
      </c>
      <c r="G3479">
        <v>134.27000000000001</v>
      </c>
      <c r="H3479" t="s">
        <v>13</v>
      </c>
      <c r="I3479" t="s">
        <v>29</v>
      </c>
    </row>
    <row r="3480" spans="1:9" x14ac:dyDescent="0.35">
      <c r="A3480" t="s">
        <v>3516</v>
      </c>
      <c r="B3480" s="1">
        <v>45068</v>
      </c>
      <c r="C3480" t="s">
        <v>25</v>
      </c>
      <c r="D3480" t="s">
        <v>62</v>
      </c>
      <c r="E3480" t="s">
        <v>27</v>
      </c>
      <c r="F3480">
        <v>199.55</v>
      </c>
      <c r="G3480">
        <v>41.87</v>
      </c>
      <c r="H3480" t="s">
        <v>13</v>
      </c>
      <c r="I3480" t="s">
        <v>20</v>
      </c>
    </row>
    <row r="3481" spans="1:9" x14ac:dyDescent="0.35">
      <c r="A3481" t="s">
        <v>3517</v>
      </c>
      <c r="B3481" s="1">
        <v>44739</v>
      </c>
      <c r="C3481" t="s">
        <v>16</v>
      </c>
      <c r="D3481" t="s">
        <v>57</v>
      </c>
      <c r="E3481" t="s">
        <v>27</v>
      </c>
      <c r="F3481">
        <v>455.33</v>
      </c>
      <c r="G3481">
        <v>129.72999999999999</v>
      </c>
      <c r="H3481" t="s">
        <v>19</v>
      </c>
      <c r="I3481" t="s">
        <v>14</v>
      </c>
    </row>
    <row r="3482" spans="1:9" x14ac:dyDescent="0.35">
      <c r="A3482" t="s">
        <v>3518</v>
      </c>
      <c r="B3482" s="1">
        <v>45395</v>
      </c>
      <c r="C3482" t="s">
        <v>10</v>
      </c>
      <c r="D3482" t="s">
        <v>31</v>
      </c>
      <c r="E3482" t="s">
        <v>12</v>
      </c>
      <c r="F3482">
        <v>1661.35</v>
      </c>
      <c r="G3482">
        <v>281.61</v>
      </c>
      <c r="H3482" t="s">
        <v>19</v>
      </c>
      <c r="I3482" t="s">
        <v>34</v>
      </c>
    </row>
    <row r="3483" spans="1:9" x14ac:dyDescent="0.35">
      <c r="A3483" t="s">
        <v>3519</v>
      </c>
      <c r="B3483" s="1">
        <v>45537</v>
      </c>
      <c r="C3483" t="s">
        <v>16</v>
      </c>
      <c r="D3483" t="s">
        <v>33</v>
      </c>
      <c r="E3483" t="s">
        <v>18</v>
      </c>
      <c r="F3483">
        <v>359.65</v>
      </c>
      <c r="G3483">
        <v>74.02</v>
      </c>
      <c r="H3483" t="s">
        <v>28</v>
      </c>
      <c r="I3483" t="s">
        <v>20</v>
      </c>
    </row>
    <row r="3484" spans="1:9" x14ac:dyDescent="0.35">
      <c r="A3484" t="s">
        <v>3520</v>
      </c>
      <c r="B3484" s="1">
        <v>44910</v>
      </c>
      <c r="C3484" t="s">
        <v>25</v>
      </c>
      <c r="D3484" t="s">
        <v>97</v>
      </c>
      <c r="E3484" t="s">
        <v>27</v>
      </c>
      <c r="F3484">
        <v>1927.73</v>
      </c>
      <c r="G3484">
        <v>335</v>
      </c>
      <c r="H3484" t="s">
        <v>13</v>
      </c>
      <c r="I3484" t="s">
        <v>34</v>
      </c>
    </row>
    <row r="3485" spans="1:9" x14ac:dyDescent="0.35">
      <c r="A3485" t="s">
        <v>3521</v>
      </c>
      <c r="B3485" s="1">
        <v>44635</v>
      </c>
      <c r="C3485" t="s">
        <v>10</v>
      </c>
      <c r="D3485" t="s">
        <v>50</v>
      </c>
      <c r="E3485" t="s">
        <v>12</v>
      </c>
      <c r="F3485">
        <v>1784.49</v>
      </c>
      <c r="G3485">
        <v>137.12</v>
      </c>
      <c r="H3485" t="s">
        <v>28</v>
      </c>
      <c r="I3485" t="s">
        <v>20</v>
      </c>
    </row>
    <row r="3486" spans="1:9" x14ac:dyDescent="0.35">
      <c r="A3486" t="s">
        <v>3522</v>
      </c>
      <c r="B3486" s="1">
        <v>44719</v>
      </c>
      <c r="C3486" t="s">
        <v>22</v>
      </c>
      <c r="D3486" t="s">
        <v>31</v>
      </c>
      <c r="E3486" t="s">
        <v>12</v>
      </c>
      <c r="F3486">
        <v>933.64</v>
      </c>
      <c r="G3486">
        <v>168.69</v>
      </c>
      <c r="H3486" t="s">
        <v>13</v>
      </c>
      <c r="I3486" t="s">
        <v>14</v>
      </c>
    </row>
    <row r="3487" spans="1:9" x14ac:dyDescent="0.35">
      <c r="A3487" t="s">
        <v>3523</v>
      </c>
      <c r="B3487" s="1">
        <v>44772</v>
      </c>
      <c r="C3487" t="s">
        <v>16</v>
      </c>
      <c r="D3487" t="s">
        <v>38</v>
      </c>
      <c r="E3487" t="s">
        <v>12</v>
      </c>
      <c r="F3487">
        <v>1448.84</v>
      </c>
      <c r="G3487">
        <v>408.35</v>
      </c>
      <c r="H3487" t="s">
        <v>13</v>
      </c>
      <c r="I3487" t="s">
        <v>14</v>
      </c>
    </row>
    <row r="3488" spans="1:9" x14ac:dyDescent="0.35">
      <c r="A3488" t="s">
        <v>3524</v>
      </c>
      <c r="B3488" s="1">
        <v>45623</v>
      </c>
      <c r="C3488" t="s">
        <v>22</v>
      </c>
      <c r="D3488" t="s">
        <v>38</v>
      </c>
      <c r="E3488" t="s">
        <v>12</v>
      </c>
      <c r="F3488">
        <v>1843.95</v>
      </c>
      <c r="G3488">
        <v>112.4</v>
      </c>
      <c r="H3488" t="s">
        <v>19</v>
      </c>
      <c r="I3488" t="s">
        <v>34</v>
      </c>
    </row>
    <row r="3489" spans="1:9" x14ac:dyDescent="0.35">
      <c r="A3489" t="s">
        <v>3525</v>
      </c>
      <c r="B3489" s="1">
        <v>44952</v>
      </c>
      <c r="C3489" t="s">
        <v>25</v>
      </c>
      <c r="D3489" t="s">
        <v>31</v>
      </c>
      <c r="E3489" t="s">
        <v>12</v>
      </c>
      <c r="F3489">
        <v>429.23</v>
      </c>
      <c r="G3489">
        <v>58.81</v>
      </c>
      <c r="H3489" t="s">
        <v>13</v>
      </c>
      <c r="I3489" t="s">
        <v>29</v>
      </c>
    </row>
    <row r="3490" spans="1:9" x14ac:dyDescent="0.35">
      <c r="A3490" t="s">
        <v>3526</v>
      </c>
      <c r="B3490" s="1">
        <v>45650</v>
      </c>
      <c r="C3490" t="s">
        <v>22</v>
      </c>
      <c r="D3490" t="s">
        <v>26</v>
      </c>
      <c r="E3490" t="s">
        <v>27</v>
      </c>
      <c r="F3490">
        <v>1696.93</v>
      </c>
      <c r="G3490">
        <v>479.12</v>
      </c>
      <c r="H3490" t="s">
        <v>13</v>
      </c>
      <c r="I3490" t="s">
        <v>20</v>
      </c>
    </row>
    <row r="3491" spans="1:9" x14ac:dyDescent="0.35">
      <c r="A3491" t="s">
        <v>3527</v>
      </c>
      <c r="B3491" s="1">
        <v>45125</v>
      </c>
      <c r="C3491" t="s">
        <v>25</v>
      </c>
      <c r="D3491" t="s">
        <v>95</v>
      </c>
      <c r="E3491" t="s">
        <v>18</v>
      </c>
      <c r="F3491">
        <v>888.12</v>
      </c>
      <c r="G3491">
        <v>261.92</v>
      </c>
      <c r="H3491" t="s">
        <v>28</v>
      </c>
      <c r="I3491" t="s">
        <v>34</v>
      </c>
    </row>
    <row r="3492" spans="1:9" x14ac:dyDescent="0.35">
      <c r="A3492" t="s">
        <v>3528</v>
      </c>
      <c r="B3492" s="1">
        <v>45370</v>
      </c>
      <c r="C3492" t="s">
        <v>16</v>
      </c>
      <c r="D3492" t="s">
        <v>57</v>
      </c>
      <c r="E3492" t="s">
        <v>27</v>
      </c>
      <c r="F3492">
        <v>241.97</v>
      </c>
      <c r="G3492">
        <v>59.58</v>
      </c>
      <c r="H3492" t="s">
        <v>19</v>
      </c>
      <c r="I3492" t="s">
        <v>14</v>
      </c>
    </row>
    <row r="3493" spans="1:9" x14ac:dyDescent="0.35">
      <c r="A3493" t="s">
        <v>3529</v>
      </c>
      <c r="B3493" s="1">
        <v>45217</v>
      </c>
      <c r="C3493" t="s">
        <v>10</v>
      </c>
      <c r="D3493" t="s">
        <v>97</v>
      </c>
      <c r="E3493" t="s">
        <v>27</v>
      </c>
      <c r="F3493">
        <v>83.9</v>
      </c>
      <c r="G3493">
        <v>9.9700000000000006</v>
      </c>
      <c r="H3493" t="s">
        <v>19</v>
      </c>
      <c r="I3493" t="s">
        <v>14</v>
      </c>
    </row>
    <row r="3494" spans="1:9" x14ac:dyDescent="0.35">
      <c r="A3494" t="s">
        <v>3530</v>
      </c>
      <c r="B3494" s="1">
        <v>45178</v>
      </c>
      <c r="C3494" t="s">
        <v>16</v>
      </c>
      <c r="D3494" t="s">
        <v>26</v>
      </c>
      <c r="E3494" t="s">
        <v>27</v>
      </c>
      <c r="F3494">
        <v>1431.49</v>
      </c>
      <c r="G3494">
        <v>427.2</v>
      </c>
      <c r="H3494" t="s">
        <v>28</v>
      </c>
      <c r="I3494" t="s">
        <v>20</v>
      </c>
    </row>
    <row r="3495" spans="1:9" x14ac:dyDescent="0.35">
      <c r="A3495" t="s">
        <v>3531</v>
      </c>
      <c r="B3495" s="1">
        <v>45431</v>
      </c>
      <c r="C3495" t="s">
        <v>10</v>
      </c>
      <c r="D3495" t="s">
        <v>23</v>
      </c>
      <c r="E3495" t="s">
        <v>18</v>
      </c>
      <c r="F3495">
        <v>484.8</v>
      </c>
      <c r="G3495">
        <v>37.299999999999997</v>
      </c>
      <c r="H3495" t="s">
        <v>28</v>
      </c>
      <c r="I3495" t="s">
        <v>34</v>
      </c>
    </row>
    <row r="3496" spans="1:9" x14ac:dyDescent="0.35">
      <c r="A3496" t="s">
        <v>3532</v>
      </c>
      <c r="B3496" s="1">
        <v>44751</v>
      </c>
      <c r="C3496" t="s">
        <v>25</v>
      </c>
      <c r="D3496" t="s">
        <v>26</v>
      </c>
      <c r="E3496" t="s">
        <v>27</v>
      </c>
      <c r="F3496">
        <v>611.54999999999995</v>
      </c>
      <c r="G3496">
        <v>64.52</v>
      </c>
      <c r="H3496" t="s">
        <v>13</v>
      </c>
      <c r="I3496" t="s">
        <v>14</v>
      </c>
    </row>
    <row r="3497" spans="1:9" x14ac:dyDescent="0.35">
      <c r="A3497" t="s">
        <v>3533</v>
      </c>
      <c r="B3497" s="1">
        <v>44610</v>
      </c>
      <c r="C3497" t="s">
        <v>10</v>
      </c>
      <c r="D3497" t="s">
        <v>17</v>
      </c>
      <c r="E3497" t="s">
        <v>18</v>
      </c>
      <c r="F3497">
        <v>1248.73</v>
      </c>
      <c r="G3497">
        <v>106.69</v>
      </c>
      <c r="H3497" t="s">
        <v>28</v>
      </c>
      <c r="I3497" t="s">
        <v>20</v>
      </c>
    </row>
    <row r="3498" spans="1:9" x14ac:dyDescent="0.35">
      <c r="A3498" t="s">
        <v>3534</v>
      </c>
      <c r="B3498" s="1">
        <v>45644</v>
      </c>
      <c r="C3498" t="s">
        <v>10</v>
      </c>
      <c r="D3498" t="s">
        <v>73</v>
      </c>
      <c r="E3498" t="s">
        <v>27</v>
      </c>
      <c r="F3498">
        <v>1721.39</v>
      </c>
      <c r="G3498">
        <v>111.99</v>
      </c>
      <c r="H3498" t="s">
        <v>28</v>
      </c>
      <c r="I3498" t="s">
        <v>34</v>
      </c>
    </row>
    <row r="3499" spans="1:9" x14ac:dyDescent="0.35">
      <c r="A3499" t="s">
        <v>3535</v>
      </c>
      <c r="B3499" s="1">
        <v>45136</v>
      </c>
      <c r="C3499" t="s">
        <v>10</v>
      </c>
      <c r="D3499" t="s">
        <v>46</v>
      </c>
      <c r="E3499" t="s">
        <v>18</v>
      </c>
      <c r="F3499">
        <v>1216.71</v>
      </c>
      <c r="G3499">
        <v>298.11</v>
      </c>
      <c r="H3499" t="s">
        <v>28</v>
      </c>
      <c r="I3499" t="s">
        <v>29</v>
      </c>
    </row>
    <row r="3500" spans="1:9" x14ac:dyDescent="0.35">
      <c r="A3500" t="s">
        <v>3536</v>
      </c>
      <c r="B3500" s="1">
        <v>45597</v>
      </c>
      <c r="C3500" t="s">
        <v>22</v>
      </c>
      <c r="D3500" t="s">
        <v>26</v>
      </c>
      <c r="E3500" t="s">
        <v>27</v>
      </c>
      <c r="F3500">
        <v>1906.22</v>
      </c>
      <c r="G3500">
        <v>161.43</v>
      </c>
      <c r="H3500" t="s">
        <v>28</v>
      </c>
      <c r="I3500" t="s">
        <v>20</v>
      </c>
    </row>
    <row r="3501" spans="1:9" x14ac:dyDescent="0.35">
      <c r="A3501" t="s">
        <v>3537</v>
      </c>
      <c r="B3501" s="1">
        <v>44583</v>
      </c>
      <c r="C3501" t="s">
        <v>22</v>
      </c>
      <c r="D3501" t="s">
        <v>11</v>
      </c>
      <c r="E3501" t="s">
        <v>12</v>
      </c>
      <c r="F3501">
        <v>402.6</v>
      </c>
      <c r="G3501">
        <v>91.11</v>
      </c>
      <c r="H3501" t="s">
        <v>28</v>
      </c>
      <c r="I3501" t="s">
        <v>14</v>
      </c>
    </row>
    <row r="3502" spans="1:9" x14ac:dyDescent="0.35">
      <c r="A3502" t="s">
        <v>3538</v>
      </c>
      <c r="B3502" s="1">
        <v>44936</v>
      </c>
      <c r="C3502" t="s">
        <v>22</v>
      </c>
      <c r="D3502" t="s">
        <v>46</v>
      </c>
      <c r="E3502" t="s">
        <v>18</v>
      </c>
      <c r="F3502">
        <v>827.9</v>
      </c>
      <c r="G3502">
        <v>233.36</v>
      </c>
      <c r="H3502" t="s">
        <v>19</v>
      </c>
      <c r="I3502" t="s">
        <v>14</v>
      </c>
    </row>
    <row r="3503" spans="1:9" x14ac:dyDescent="0.35">
      <c r="A3503" t="s">
        <v>3539</v>
      </c>
      <c r="B3503" s="1">
        <v>44697</v>
      </c>
      <c r="C3503" t="s">
        <v>22</v>
      </c>
      <c r="D3503" t="s">
        <v>62</v>
      </c>
      <c r="E3503" t="s">
        <v>27</v>
      </c>
      <c r="F3503">
        <v>683.98</v>
      </c>
      <c r="G3503">
        <v>122.26</v>
      </c>
      <c r="H3503" t="s">
        <v>28</v>
      </c>
      <c r="I3503" t="s">
        <v>29</v>
      </c>
    </row>
    <row r="3504" spans="1:9" x14ac:dyDescent="0.35">
      <c r="A3504" t="s">
        <v>3540</v>
      </c>
      <c r="B3504" s="1">
        <v>45590</v>
      </c>
      <c r="C3504" t="s">
        <v>25</v>
      </c>
      <c r="D3504" t="s">
        <v>73</v>
      </c>
      <c r="E3504" t="s">
        <v>27</v>
      </c>
      <c r="F3504">
        <v>1051.07</v>
      </c>
      <c r="G3504">
        <v>200.1</v>
      </c>
      <c r="H3504" t="s">
        <v>28</v>
      </c>
      <c r="I3504" t="s">
        <v>20</v>
      </c>
    </row>
    <row r="3505" spans="1:9" x14ac:dyDescent="0.35">
      <c r="A3505" t="s">
        <v>3541</v>
      </c>
      <c r="B3505" s="1">
        <v>45261</v>
      </c>
      <c r="C3505" t="s">
        <v>25</v>
      </c>
      <c r="D3505" t="s">
        <v>33</v>
      </c>
      <c r="E3505" t="s">
        <v>18</v>
      </c>
      <c r="F3505">
        <v>1554.14</v>
      </c>
      <c r="G3505">
        <v>423.64</v>
      </c>
      <c r="H3505" t="s">
        <v>19</v>
      </c>
      <c r="I3505" t="s">
        <v>20</v>
      </c>
    </row>
    <row r="3506" spans="1:9" x14ac:dyDescent="0.35">
      <c r="A3506" t="s">
        <v>3542</v>
      </c>
      <c r="B3506" s="1">
        <v>45198</v>
      </c>
      <c r="C3506" t="s">
        <v>22</v>
      </c>
      <c r="D3506" t="s">
        <v>17</v>
      </c>
      <c r="E3506" t="s">
        <v>18</v>
      </c>
      <c r="F3506">
        <v>1331.87</v>
      </c>
      <c r="G3506">
        <v>237.24</v>
      </c>
      <c r="H3506" t="s">
        <v>13</v>
      </c>
      <c r="I3506" t="s">
        <v>14</v>
      </c>
    </row>
    <row r="3507" spans="1:9" x14ac:dyDescent="0.35">
      <c r="A3507" t="s">
        <v>3543</v>
      </c>
      <c r="B3507" s="1">
        <v>44631</v>
      </c>
      <c r="C3507" t="s">
        <v>25</v>
      </c>
      <c r="D3507" t="s">
        <v>57</v>
      </c>
      <c r="E3507" t="s">
        <v>27</v>
      </c>
      <c r="F3507">
        <v>786.91</v>
      </c>
      <c r="G3507">
        <v>174.7</v>
      </c>
      <c r="H3507" t="s">
        <v>28</v>
      </c>
      <c r="I3507" t="s">
        <v>34</v>
      </c>
    </row>
    <row r="3508" spans="1:9" x14ac:dyDescent="0.35">
      <c r="A3508" t="s">
        <v>3544</v>
      </c>
      <c r="B3508" s="1">
        <v>45650</v>
      </c>
      <c r="C3508" t="s">
        <v>22</v>
      </c>
      <c r="D3508" t="s">
        <v>62</v>
      </c>
      <c r="E3508" t="s">
        <v>27</v>
      </c>
      <c r="F3508">
        <v>1266.8499999999999</v>
      </c>
      <c r="G3508">
        <v>94.69</v>
      </c>
      <c r="H3508" t="s">
        <v>28</v>
      </c>
      <c r="I3508" t="s">
        <v>34</v>
      </c>
    </row>
    <row r="3509" spans="1:9" x14ac:dyDescent="0.35">
      <c r="A3509" t="s">
        <v>3545</v>
      </c>
      <c r="B3509" s="1">
        <v>45134</v>
      </c>
      <c r="C3509" t="s">
        <v>16</v>
      </c>
      <c r="D3509" t="s">
        <v>41</v>
      </c>
      <c r="E3509" t="s">
        <v>12</v>
      </c>
      <c r="F3509">
        <v>98.37</v>
      </c>
      <c r="G3509">
        <v>27.56</v>
      </c>
      <c r="H3509" t="s">
        <v>13</v>
      </c>
      <c r="I3509" t="s">
        <v>29</v>
      </c>
    </row>
    <row r="3510" spans="1:9" x14ac:dyDescent="0.35">
      <c r="A3510" t="s">
        <v>3546</v>
      </c>
      <c r="B3510" s="1">
        <v>45483</v>
      </c>
      <c r="C3510" t="s">
        <v>22</v>
      </c>
      <c r="D3510" t="s">
        <v>17</v>
      </c>
      <c r="E3510" t="s">
        <v>18</v>
      </c>
      <c r="F3510">
        <v>427.32</v>
      </c>
      <c r="G3510">
        <v>28.84</v>
      </c>
      <c r="H3510" t="s">
        <v>28</v>
      </c>
      <c r="I3510" t="s">
        <v>20</v>
      </c>
    </row>
    <row r="3511" spans="1:9" x14ac:dyDescent="0.35">
      <c r="A3511" t="s">
        <v>3547</v>
      </c>
      <c r="B3511" s="1">
        <v>45103</v>
      </c>
      <c r="C3511" t="s">
        <v>25</v>
      </c>
      <c r="D3511" t="s">
        <v>62</v>
      </c>
      <c r="E3511" t="s">
        <v>27</v>
      </c>
      <c r="F3511">
        <v>1365.97</v>
      </c>
      <c r="G3511">
        <v>130.08000000000001</v>
      </c>
      <c r="H3511" t="s">
        <v>28</v>
      </c>
      <c r="I3511" t="s">
        <v>20</v>
      </c>
    </row>
    <row r="3512" spans="1:9" x14ac:dyDescent="0.35">
      <c r="A3512" t="s">
        <v>3548</v>
      </c>
      <c r="B3512" s="1">
        <v>44752</v>
      </c>
      <c r="C3512" t="s">
        <v>16</v>
      </c>
      <c r="D3512" t="s">
        <v>46</v>
      </c>
      <c r="E3512" t="s">
        <v>18</v>
      </c>
      <c r="F3512">
        <v>1785.19</v>
      </c>
      <c r="G3512">
        <v>198.87</v>
      </c>
      <c r="H3512" t="s">
        <v>28</v>
      </c>
      <c r="I3512" t="s">
        <v>20</v>
      </c>
    </row>
    <row r="3513" spans="1:9" x14ac:dyDescent="0.35">
      <c r="A3513" t="s">
        <v>3549</v>
      </c>
      <c r="B3513" s="1">
        <v>45351</v>
      </c>
      <c r="C3513" t="s">
        <v>22</v>
      </c>
      <c r="D3513" t="s">
        <v>62</v>
      </c>
      <c r="E3513" t="s">
        <v>27</v>
      </c>
      <c r="F3513">
        <v>457.04</v>
      </c>
      <c r="G3513">
        <v>88.63</v>
      </c>
      <c r="H3513" t="s">
        <v>28</v>
      </c>
      <c r="I3513" t="s">
        <v>34</v>
      </c>
    </row>
    <row r="3514" spans="1:9" x14ac:dyDescent="0.35">
      <c r="A3514" t="s">
        <v>3550</v>
      </c>
      <c r="B3514" s="1">
        <v>45210</v>
      </c>
      <c r="C3514" t="s">
        <v>25</v>
      </c>
      <c r="D3514" t="s">
        <v>41</v>
      </c>
      <c r="E3514" t="s">
        <v>12</v>
      </c>
      <c r="F3514">
        <v>295.85000000000002</v>
      </c>
      <c r="G3514">
        <v>18.3</v>
      </c>
      <c r="H3514" t="s">
        <v>28</v>
      </c>
      <c r="I3514" t="s">
        <v>34</v>
      </c>
    </row>
    <row r="3515" spans="1:9" x14ac:dyDescent="0.35">
      <c r="A3515" t="s">
        <v>3551</v>
      </c>
      <c r="B3515" s="1">
        <v>44938</v>
      </c>
      <c r="C3515" t="s">
        <v>25</v>
      </c>
      <c r="D3515" t="s">
        <v>62</v>
      </c>
      <c r="E3515" t="s">
        <v>27</v>
      </c>
      <c r="F3515">
        <v>634.39</v>
      </c>
      <c r="G3515">
        <v>113.13</v>
      </c>
      <c r="H3515" t="s">
        <v>28</v>
      </c>
      <c r="I3515" t="s">
        <v>14</v>
      </c>
    </row>
    <row r="3516" spans="1:9" x14ac:dyDescent="0.35">
      <c r="A3516" t="s">
        <v>3552</v>
      </c>
      <c r="B3516" s="1">
        <v>44976</v>
      </c>
      <c r="C3516" t="s">
        <v>22</v>
      </c>
      <c r="D3516" t="s">
        <v>73</v>
      </c>
      <c r="E3516" t="s">
        <v>27</v>
      </c>
      <c r="F3516">
        <v>1314.66</v>
      </c>
      <c r="G3516">
        <v>300.52999999999997</v>
      </c>
      <c r="H3516" t="s">
        <v>28</v>
      </c>
      <c r="I3516" t="s">
        <v>20</v>
      </c>
    </row>
    <row r="3517" spans="1:9" x14ac:dyDescent="0.35">
      <c r="A3517" t="s">
        <v>3553</v>
      </c>
      <c r="B3517" s="1">
        <v>45100</v>
      </c>
      <c r="C3517" t="s">
        <v>25</v>
      </c>
      <c r="D3517" t="s">
        <v>46</v>
      </c>
      <c r="E3517" t="s">
        <v>18</v>
      </c>
      <c r="F3517">
        <v>678.81</v>
      </c>
      <c r="G3517">
        <v>108.02</v>
      </c>
      <c r="H3517" t="s">
        <v>13</v>
      </c>
      <c r="I3517" t="s">
        <v>34</v>
      </c>
    </row>
    <row r="3518" spans="1:9" x14ac:dyDescent="0.35">
      <c r="A3518" t="s">
        <v>3554</v>
      </c>
      <c r="B3518" s="1">
        <v>45502</v>
      </c>
      <c r="C3518" t="s">
        <v>22</v>
      </c>
      <c r="D3518" t="s">
        <v>33</v>
      </c>
      <c r="E3518" t="s">
        <v>18</v>
      </c>
      <c r="F3518">
        <v>1926.58</v>
      </c>
      <c r="G3518">
        <v>233.97</v>
      </c>
      <c r="H3518" t="s">
        <v>28</v>
      </c>
      <c r="I3518" t="s">
        <v>14</v>
      </c>
    </row>
    <row r="3519" spans="1:9" x14ac:dyDescent="0.35">
      <c r="A3519" t="s">
        <v>3555</v>
      </c>
      <c r="B3519" s="1">
        <v>45571</v>
      </c>
      <c r="C3519" t="s">
        <v>16</v>
      </c>
      <c r="D3519" t="s">
        <v>97</v>
      </c>
      <c r="E3519" t="s">
        <v>27</v>
      </c>
      <c r="F3519">
        <v>652.70000000000005</v>
      </c>
      <c r="G3519">
        <v>169.78</v>
      </c>
      <c r="H3519" t="s">
        <v>13</v>
      </c>
      <c r="I3519" t="s">
        <v>14</v>
      </c>
    </row>
    <row r="3520" spans="1:9" x14ac:dyDescent="0.35">
      <c r="A3520" t="s">
        <v>3556</v>
      </c>
      <c r="B3520" s="1">
        <v>44971</v>
      </c>
      <c r="C3520" t="s">
        <v>25</v>
      </c>
      <c r="D3520" t="s">
        <v>11</v>
      </c>
      <c r="E3520" t="s">
        <v>12</v>
      </c>
      <c r="F3520">
        <v>1526.84</v>
      </c>
      <c r="G3520">
        <v>137.97999999999999</v>
      </c>
      <c r="H3520" t="s">
        <v>13</v>
      </c>
      <c r="I3520" t="s">
        <v>14</v>
      </c>
    </row>
    <row r="3521" spans="1:9" x14ac:dyDescent="0.35">
      <c r="A3521" t="s">
        <v>3557</v>
      </c>
      <c r="B3521" s="1">
        <v>44600</v>
      </c>
      <c r="C3521" t="s">
        <v>16</v>
      </c>
      <c r="D3521" t="s">
        <v>11</v>
      </c>
      <c r="E3521" t="s">
        <v>12</v>
      </c>
      <c r="F3521">
        <v>1984.24</v>
      </c>
      <c r="G3521">
        <v>128.44</v>
      </c>
      <c r="H3521" t="s">
        <v>13</v>
      </c>
      <c r="I3521" t="s">
        <v>20</v>
      </c>
    </row>
    <row r="3522" spans="1:9" x14ac:dyDescent="0.35">
      <c r="A3522" t="s">
        <v>3558</v>
      </c>
      <c r="B3522" s="1">
        <v>45507</v>
      </c>
      <c r="C3522" t="s">
        <v>10</v>
      </c>
      <c r="D3522" t="s">
        <v>46</v>
      </c>
      <c r="E3522" t="s">
        <v>18</v>
      </c>
      <c r="F3522">
        <v>260.3</v>
      </c>
      <c r="G3522">
        <v>58.57</v>
      </c>
      <c r="H3522" t="s">
        <v>19</v>
      </c>
      <c r="I3522" t="s">
        <v>14</v>
      </c>
    </row>
    <row r="3523" spans="1:9" x14ac:dyDescent="0.35">
      <c r="A3523" t="s">
        <v>3559</v>
      </c>
      <c r="B3523" s="1">
        <v>45280</v>
      </c>
      <c r="C3523" t="s">
        <v>10</v>
      </c>
      <c r="D3523" t="s">
        <v>23</v>
      </c>
      <c r="E3523" t="s">
        <v>18</v>
      </c>
      <c r="F3523">
        <v>1162.73</v>
      </c>
      <c r="G3523">
        <v>313.33</v>
      </c>
      <c r="H3523" t="s">
        <v>19</v>
      </c>
      <c r="I3523" t="s">
        <v>20</v>
      </c>
    </row>
    <row r="3524" spans="1:9" x14ac:dyDescent="0.35">
      <c r="A3524" t="s">
        <v>3560</v>
      </c>
      <c r="B3524" s="1">
        <v>44683</v>
      </c>
      <c r="C3524" t="s">
        <v>25</v>
      </c>
      <c r="D3524" t="s">
        <v>38</v>
      </c>
      <c r="E3524" t="s">
        <v>12</v>
      </c>
      <c r="F3524">
        <v>97.63</v>
      </c>
      <c r="G3524">
        <v>11.32</v>
      </c>
      <c r="H3524" t="s">
        <v>19</v>
      </c>
      <c r="I3524" t="s">
        <v>20</v>
      </c>
    </row>
    <row r="3525" spans="1:9" x14ac:dyDescent="0.35">
      <c r="A3525" t="s">
        <v>3561</v>
      </c>
      <c r="B3525" s="1">
        <v>44827</v>
      </c>
      <c r="C3525" t="s">
        <v>22</v>
      </c>
      <c r="D3525" t="s">
        <v>17</v>
      </c>
      <c r="E3525" t="s">
        <v>18</v>
      </c>
      <c r="F3525">
        <v>822.91</v>
      </c>
      <c r="G3525">
        <v>122.15</v>
      </c>
      <c r="H3525" t="s">
        <v>19</v>
      </c>
      <c r="I3525" t="s">
        <v>14</v>
      </c>
    </row>
    <row r="3526" spans="1:9" x14ac:dyDescent="0.35">
      <c r="A3526" t="s">
        <v>3562</v>
      </c>
      <c r="B3526" s="1">
        <v>44817</v>
      </c>
      <c r="C3526" t="s">
        <v>22</v>
      </c>
      <c r="D3526" t="s">
        <v>38</v>
      </c>
      <c r="E3526" t="s">
        <v>12</v>
      </c>
      <c r="F3526">
        <v>1167.58</v>
      </c>
      <c r="G3526">
        <v>113.91</v>
      </c>
      <c r="H3526" t="s">
        <v>19</v>
      </c>
      <c r="I3526" t="s">
        <v>14</v>
      </c>
    </row>
    <row r="3527" spans="1:9" x14ac:dyDescent="0.35">
      <c r="A3527" t="s">
        <v>3563</v>
      </c>
      <c r="B3527" s="1">
        <v>44843</v>
      </c>
      <c r="C3527" t="s">
        <v>25</v>
      </c>
      <c r="D3527" t="s">
        <v>11</v>
      </c>
      <c r="E3527" t="s">
        <v>12</v>
      </c>
      <c r="F3527">
        <v>1577.03</v>
      </c>
      <c r="G3527">
        <v>197.03</v>
      </c>
      <c r="H3527" t="s">
        <v>19</v>
      </c>
      <c r="I3527" t="s">
        <v>14</v>
      </c>
    </row>
    <row r="3528" spans="1:9" x14ac:dyDescent="0.35">
      <c r="A3528" t="s">
        <v>3564</v>
      </c>
      <c r="B3528" s="1">
        <v>45500</v>
      </c>
      <c r="C3528" t="s">
        <v>10</v>
      </c>
      <c r="D3528" t="s">
        <v>26</v>
      </c>
      <c r="E3528" t="s">
        <v>27</v>
      </c>
      <c r="F3528">
        <v>201.72</v>
      </c>
      <c r="G3528">
        <v>42.83</v>
      </c>
      <c r="H3528" t="s">
        <v>28</v>
      </c>
      <c r="I3528" t="s">
        <v>29</v>
      </c>
    </row>
    <row r="3529" spans="1:9" x14ac:dyDescent="0.35">
      <c r="A3529" t="s">
        <v>3565</v>
      </c>
      <c r="B3529" s="1">
        <v>44736</v>
      </c>
      <c r="C3529" t="s">
        <v>10</v>
      </c>
      <c r="D3529" t="s">
        <v>31</v>
      </c>
      <c r="E3529" t="s">
        <v>12</v>
      </c>
      <c r="F3529">
        <v>1818.69</v>
      </c>
      <c r="G3529">
        <v>304.23</v>
      </c>
      <c r="H3529" t="s">
        <v>13</v>
      </c>
      <c r="I3529" t="s">
        <v>29</v>
      </c>
    </row>
    <row r="3530" spans="1:9" x14ac:dyDescent="0.35">
      <c r="A3530" t="s">
        <v>3566</v>
      </c>
      <c r="B3530" s="1">
        <v>45247</v>
      </c>
      <c r="C3530" t="s">
        <v>16</v>
      </c>
      <c r="D3530" t="s">
        <v>11</v>
      </c>
      <c r="E3530" t="s">
        <v>12</v>
      </c>
      <c r="F3530">
        <v>1385.16</v>
      </c>
      <c r="G3530">
        <v>168.47</v>
      </c>
      <c r="H3530" t="s">
        <v>13</v>
      </c>
      <c r="I3530" t="s">
        <v>14</v>
      </c>
    </row>
    <row r="3531" spans="1:9" x14ac:dyDescent="0.35">
      <c r="A3531" t="s">
        <v>3567</v>
      </c>
      <c r="B3531" s="1">
        <v>44830</v>
      </c>
      <c r="C3531" t="s">
        <v>25</v>
      </c>
      <c r="D3531" t="s">
        <v>57</v>
      </c>
      <c r="E3531" t="s">
        <v>27</v>
      </c>
      <c r="F3531">
        <v>1767.9</v>
      </c>
      <c r="G3531">
        <v>452.23</v>
      </c>
      <c r="H3531" t="s">
        <v>28</v>
      </c>
      <c r="I3531" t="s">
        <v>34</v>
      </c>
    </row>
    <row r="3532" spans="1:9" x14ac:dyDescent="0.35">
      <c r="A3532" t="s">
        <v>3568</v>
      </c>
      <c r="B3532" s="1">
        <v>45500</v>
      </c>
      <c r="C3532" t="s">
        <v>22</v>
      </c>
      <c r="D3532" t="s">
        <v>57</v>
      </c>
      <c r="E3532" t="s">
        <v>27</v>
      </c>
      <c r="F3532">
        <v>188.48</v>
      </c>
      <c r="G3532">
        <v>22.73</v>
      </c>
      <c r="H3532" t="s">
        <v>28</v>
      </c>
      <c r="I3532" t="s">
        <v>29</v>
      </c>
    </row>
    <row r="3533" spans="1:9" x14ac:dyDescent="0.35">
      <c r="A3533" t="s">
        <v>3569</v>
      </c>
      <c r="B3533" s="1">
        <v>45389</v>
      </c>
      <c r="C3533" t="s">
        <v>25</v>
      </c>
      <c r="D3533" t="s">
        <v>26</v>
      </c>
      <c r="E3533" t="s">
        <v>27</v>
      </c>
      <c r="F3533">
        <v>1249.52</v>
      </c>
      <c r="G3533">
        <v>256.55</v>
      </c>
      <c r="H3533" t="s">
        <v>13</v>
      </c>
      <c r="I3533" t="s">
        <v>29</v>
      </c>
    </row>
    <row r="3534" spans="1:9" x14ac:dyDescent="0.35">
      <c r="A3534" t="s">
        <v>3570</v>
      </c>
      <c r="B3534" s="1">
        <v>45379</v>
      </c>
      <c r="C3534" t="s">
        <v>16</v>
      </c>
      <c r="D3534" t="s">
        <v>41</v>
      </c>
      <c r="E3534" t="s">
        <v>12</v>
      </c>
      <c r="F3534">
        <v>807.19</v>
      </c>
      <c r="G3534">
        <v>144.82</v>
      </c>
      <c r="H3534" t="s">
        <v>19</v>
      </c>
      <c r="I3534" t="s">
        <v>29</v>
      </c>
    </row>
    <row r="3535" spans="1:9" x14ac:dyDescent="0.35">
      <c r="A3535" t="s">
        <v>3571</v>
      </c>
      <c r="B3535" s="1">
        <v>45516</v>
      </c>
      <c r="C3535" t="s">
        <v>10</v>
      </c>
      <c r="D3535" t="s">
        <v>17</v>
      </c>
      <c r="E3535" t="s">
        <v>18</v>
      </c>
      <c r="F3535">
        <v>736.97</v>
      </c>
      <c r="G3535">
        <v>185</v>
      </c>
      <c r="H3535" t="s">
        <v>19</v>
      </c>
      <c r="I3535" t="s">
        <v>29</v>
      </c>
    </row>
    <row r="3536" spans="1:9" x14ac:dyDescent="0.35">
      <c r="A3536" t="s">
        <v>3572</v>
      </c>
      <c r="B3536" s="1">
        <v>44985</v>
      </c>
      <c r="C3536" t="s">
        <v>10</v>
      </c>
      <c r="D3536" t="s">
        <v>97</v>
      </c>
      <c r="E3536" t="s">
        <v>27</v>
      </c>
      <c r="F3536">
        <v>1967.84</v>
      </c>
      <c r="G3536">
        <v>235.23</v>
      </c>
      <c r="H3536" t="s">
        <v>13</v>
      </c>
      <c r="I3536" t="s">
        <v>20</v>
      </c>
    </row>
    <row r="3537" spans="1:9" x14ac:dyDescent="0.35">
      <c r="A3537" t="s">
        <v>3573</v>
      </c>
      <c r="B3537" s="1">
        <v>44676</v>
      </c>
      <c r="C3537" t="s">
        <v>25</v>
      </c>
      <c r="D3537" t="s">
        <v>33</v>
      </c>
      <c r="E3537" t="s">
        <v>18</v>
      </c>
      <c r="F3537">
        <v>1106.78</v>
      </c>
      <c r="G3537">
        <v>121.99</v>
      </c>
      <c r="H3537" t="s">
        <v>13</v>
      </c>
      <c r="I3537" t="s">
        <v>14</v>
      </c>
    </row>
    <row r="3538" spans="1:9" x14ac:dyDescent="0.35">
      <c r="A3538" t="s">
        <v>3574</v>
      </c>
      <c r="B3538" s="1">
        <v>45417</v>
      </c>
      <c r="C3538" t="s">
        <v>10</v>
      </c>
      <c r="D3538" t="s">
        <v>57</v>
      </c>
      <c r="E3538" t="s">
        <v>27</v>
      </c>
      <c r="F3538">
        <v>482.09</v>
      </c>
      <c r="G3538">
        <v>105.62</v>
      </c>
      <c r="H3538" t="s">
        <v>13</v>
      </c>
      <c r="I3538" t="s">
        <v>34</v>
      </c>
    </row>
    <row r="3539" spans="1:9" x14ac:dyDescent="0.35">
      <c r="A3539" t="s">
        <v>3575</v>
      </c>
      <c r="B3539" s="1">
        <v>44690</v>
      </c>
      <c r="C3539" t="s">
        <v>22</v>
      </c>
      <c r="D3539" t="s">
        <v>17</v>
      </c>
      <c r="E3539" t="s">
        <v>18</v>
      </c>
      <c r="F3539">
        <v>1580.17</v>
      </c>
      <c r="G3539">
        <v>216.09</v>
      </c>
      <c r="H3539" t="s">
        <v>19</v>
      </c>
      <c r="I3539" t="s">
        <v>14</v>
      </c>
    </row>
    <row r="3540" spans="1:9" x14ac:dyDescent="0.35">
      <c r="A3540" t="s">
        <v>3576</v>
      </c>
      <c r="B3540" s="1">
        <v>45568</v>
      </c>
      <c r="C3540" t="s">
        <v>10</v>
      </c>
      <c r="D3540" t="s">
        <v>73</v>
      </c>
      <c r="E3540" t="s">
        <v>27</v>
      </c>
      <c r="F3540">
        <v>679.89</v>
      </c>
      <c r="G3540">
        <v>71.83</v>
      </c>
      <c r="H3540" t="s">
        <v>28</v>
      </c>
      <c r="I3540" t="s">
        <v>20</v>
      </c>
    </row>
    <row r="3541" spans="1:9" x14ac:dyDescent="0.35">
      <c r="A3541" t="s">
        <v>3577</v>
      </c>
      <c r="B3541" s="1">
        <v>45615</v>
      </c>
      <c r="C3541" t="s">
        <v>22</v>
      </c>
      <c r="D3541" t="s">
        <v>17</v>
      </c>
      <c r="E3541" t="s">
        <v>18</v>
      </c>
      <c r="F3541">
        <v>1236.49</v>
      </c>
      <c r="G3541">
        <v>252.81</v>
      </c>
      <c r="H3541" t="s">
        <v>19</v>
      </c>
      <c r="I3541" t="s">
        <v>29</v>
      </c>
    </row>
    <row r="3542" spans="1:9" x14ac:dyDescent="0.35">
      <c r="A3542" t="s">
        <v>3578</v>
      </c>
      <c r="B3542" s="1">
        <v>45268</v>
      </c>
      <c r="C3542" t="s">
        <v>22</v>
      </c>
      <c r="D3542" t="s">
        <v>41</v>
      </c>
      <c r="E3542" t="s">
        <v>12</v>
      </c>
      <c r="F3542">
        <v>995.11</v>
      </c>
      <c r="G3542">
        <v>275.76</v>
      </c>
      <c r="H3542" t="s">
        <v>13</v>
      </c>
      <c r="I3542" t="s">
        <v>29</v>
      </c>
    </row>
    <row r="3543" spans="1:9" x14ac:dyDescent="0.35">
      <c r="A3543" t="s">
        <v>3579</v>
      </c>
      <c r="B3543" s="1">
        <v>45053</v>
      </c>
      <c r="C3543" t="s">
        <v>22</v>
      </c>
      <c r="D3543" t="s">
        <v>11</v>
      </c>
      <c r="E3543" t="s">
        <v>12</v>
      </c>
      <c r="F3543">
        <v>1627.54</v>
      </c>
      <c r="G3543">
        <v>153.53</v>
      </c>
      <c r="H3543" t="s">
        <v>13</v>
      </c>
      <c r="I3543" t="s">
        <v>14</v>
      </c>
    </row>
    <row r="3544" spans="1:9" x14ac:dyDescent="0.35">
      <c r="A3544" t="s">
        <v>3580</v>
      </c>
      <c r="B3544" s="1">
        <v>45097</v>
      </c>
      <c r="C3544" t="s">
        <v>10</v>
      </c>
      <c r="D3544" t="s">
        <v>11</v>
      </c>
      <c r="E3544" t="s">
        <v>12</v>
      </c>
      <c r="F3544">
        <v>1500.78</v>
      </c>
      <c r="G3544">
        <v>367.04</v>
      </c>
      <c r="H3544" t="s">
        <v>13</v>
      </c>
      <c r="I3544" t="s">
        <v>14</v>
      </c>
    </row>
    <row r="3545" spans="1:9" x14ac:dyDescent="0.35">
      <c r="A3545" t="s">
        <v>3581</v>
      </c>
      <c r="B3545" s="1">
        <v>45274</v>
      </c>
      <c r="C3545" t="s">
        <v>22</v>
      </c>
      <c r="D3545" t="s">
        <v>11</v>
      </c>
      <c r="E3545" t="s">
        <v>12</v>
      </c>
      <c r="F3545">
        <v>1179.81</v>
      </c>
      <c r="G3545">
        <v>230.23</v>
      </c>
      <c r="H3545" t="s">
        <v>19</v>
      </c>
      <c r="I3545" t="s">
        <v>29</v>
      </c>
    </row>
    <row r="3546" spans="1:9" x14ac:dyDescent="0.35">
      <c r="A3546" t="s">
        <v>3582</v>
      </c>
      <c r="B3546" s="1">
        <v>44917</v>
      </c>
      <c r="C3546" t="s">
        <v>10</v>
      </c>
      <c r="D3546" t="s">
        <v>31</v>
      </c>
      <c r="E3546" t="s">
        <v>12</v>
      </c>
      <c r="F3546">
        <v>1684.3</v>
      </c>
      <c r="G3546">
        <v>228.61</v>
      </c>
      <c r="H3546" t="s">
        <v>28</v>
      </c>
      <c r="I3546" t="s">
        <v>34</v>
      </c>
    </row>
    <row r="3547" spans="1:9" x14ac:dyDescent="0.35">
      <c r="A3547" t="s">
        <v>3583</v>
      </c>
      <c r="B3547" s="1">
        <v>44732</v>
      </c>
      <c r="C3547" t="s">
        <v>25</v>
      </c>
      <c r="D3547" t="s">
        <v>73</v>
      </c>
      <c r="E3547" t="s">
        <v>27</v>
      </c>
      <c r="F3547">
        <v>347.58</v>
      </c>
      <c r="G3547">
        <v>21.56</v>
      </c>
      <c r="H3547" t="s">
        <v>19</v>
      </c>
      <c r="I3547" t="s">
        <v>29</v>
      </c>
    </row>
    <row r="3548" spans="1:9" x14ac:dyDescent="0.35">
      <c r="A3548" t="s">
        <v>3584</v>
      </c>
      <c r="B3548" s="1">
        <v>45185</v>
      </c>
      <c r="C3548" t="s">
        <v>25</v>
      </c>
      <c r="D3548" t="s">
        <v>11</v>
      </c>
      <c r="E3548" t="s">
        <v>12</v>
      </c>
      <c r="F3548">
        <v>1479.37</v>
      </c>
      <c r="G3548">
        <v>227.32</v>
      </c>
      <c r="H3548" t="s">
        <v>28</v>
      </c>
      <c r="I3548" t="s">
        <v>29</v>
      </c>
    </row>
    <row r="3549" spans="1:9" x14ac:dyDescent="0.35">
      <c r="A3549" t="s">
        <v>3585</v>
      </c>
      <c r="B3549" s="1">
        <v>44878</v>
      </c>
      <c r="C3549" t="s">
        <v>16</v>
      </c>
      <c r="D3549" t="s">
        <v>26</v>
      </c>
      <c r="E3549" t="s">
        <v>27</v>
      </c>
      <c r="F3549">
        <v>1342.04</v>
      </c>
      <c r="G3549">
        <v>320.22000000000003</v>
      </c>
      <c r="H3549" t="s">
        <v>19</v>
      </c>
      <c r="I3549" t="s">
        <v>20</v>
      </c>
    </row>
    <row r="3550" spans="1:9" x14ac:dyDescent="0.35">
      <c r="A3550" t="s">
        <v>3586</v>
      </c>
      <c r="B3550" s="1">
        <v>45437</v>
      </c>
      <c r="C3550" t="s">
        <v>25</v>
      </c>
      <c r="D3550" t="s">
        <v>26</v>
      </c>
      <c r="E3550" t="s">
        <v>27</v>
      </c>
      <c r="F3550">
        <v>312.45</v>
      </c>
      <c r="G3550">
        <v>28.14</v>
      </c>
      <c r="H3550" t="s">
        <v>28</v>
      </c>
      <c r="I3550" t="s">
        <v>14</v>
      </c>
    </row>
    <row r="3551" spans="1:9" x14ac:dyDescent="0.35">
      <c r="A3551" t="s">
        <v>3587</v>
      </c>
      <c r="B3551" s="1">
        <v>45157</v>
      </c>
      <c r="C3551" t="s">
        <v>16</v>
      </c>
      <c r="D3551" t="s">
        <v>11</v>
      </c>
      <c r="E3551" t="s">
        <v>12</v>
      </c>
      <c r="F3551">
        <v>446.77</v>
      </c>
      <c r="G3551">
        <v>28.17</v>
      </c>
      <c r="H3551" t="s">
        <v>13</v>
      </c>
      <c r="I3551" t="s">
        <v>34</v>
      </c>
    </row>
    <row r="3552" spans="1:9" x14ac:dyDescent="0.35">
      <c r="A3552" t="s">
        <v>3588</v>
      </c>
      <c r="B3552" s="1">
        <v>45500</v>
      </c>
      <c r="C3552" t="s">
        <v>22</v>
      </c>
      <c r="D3552" t="s">
        <v>97</v>
      </c>
      <c r="E3552" t="s">
        <v>27</v>
      </c>
      <c r="F3552">
        <v>576.70000000000005</v>
      </c>
      <c r="G3552">
        <v>141.05000000000001</v>
      </c>
      <c r="H3552" t="s">
        <v>13</v>
      </c>
      <c r="I3552" t="s">
        <v>29</v>
      </c>
    </row>
    <row r="3553" spans="1:9" x14ac:dyDescent="0.35">
      <c r="A3553" t="s">
        <v>3589</v>
      </c>
      <c r="B3553" s="1">
        <v>44785</v>
      </c>
      <c r="C3553" t="s">
        <v>22</v>
      </c>
      <c r="D3553" t="s">
        <v>31</v>
      </c>
      <c r="E3553" t="s">
        <v>12</v>
      </c>
      <c r="F3553">
        <v>336.86</v>
      </c>
      <c r="G3553">
        <v>45.75</v>
      </c>
      <c r="H3553" t="s">
        <v>28</v>
      </c>
      <c r="I3553" t="s">
        <v>20</v>
      </c>
    </row>
    <row r="3554" spans="1:9" x14ac:dyDescent="0.35">
      <c r="A3554" t="s">
        <v>3590</v>
      </c>
      <c r="B3554" s="1">
        <v>44636</v>
      </c>
      <c r="C3554" t="s">
        <v>10</v>
      </c>
      <c r="D3554" t="s">
        <v>46</v>
      </c>
      <c r="E3554" t="s">
        <v>18</v>
      </c>
      <c r="F3554">
        <v>1735.43</v>
      </c>
      <c r="G3554">
        <v>110.21</v>
      </c>
      <c r="H3554" t="s">
        <v>19</v>
      </c>
      <c r="I3554" t="s">
        <v>29</v>
      </c>
    </row>
    <row r="3555" spans="1:9" x14ac:dyDescent="0.35">
      <c r="A3555" t="s">
        <v>3591</v>
      </c>
      <c r="B3555" s="1">
        <v>45506</v>
      </c>
      <c r="C3555" t="s">
        <v>10</v>
      </c>
      <c r="D3555" t="s">
        <v>57</v>
      </c>
      <c r="E3555" t="s">
        <v>27</v>
      </c>
      <c r="F3555">
        <v>1245.56</v>
      </c>
      <c r="G3555">
        <v>275.70999999999998</v>
      </c>
      <c r="H3555" t="s">
        <v>19</v>
      </c>
      <c r="I3555" t="s">
        <v>14</v>
      </c>
    </row>
    <row r="3556" spans="1:9" x14ac:dyDescent="0.35">
      <c r="A3556" t="s">
        <v>3592</v>
      </c>
      <c r="B3556" s="1">
        <v>45051</v>
      </c>
      <c r="C3556" t="s">
        <v>16</v>
      </c>
      <c r="D3556" t="s">
        <v>23</v>
      </c>
      <c r="E3556" t="s">
        <v>18</v>
      </c>
      <c r="F3556">
        <v>544.77</v>
      </c>
      <c r="G3556">
        <v>32.79</v>
      </c>
      <c r="H3556" t="s">
        <v>28</v>
      </c>
      <c r="I3556" t="s">
        <v>20</v>
      </c>
    </row>
    <row r="3557" spans="1:9" x14ac:dyDescent="0.35">
      <c r="A3557" t="s">
        <v>3593</v>
      </c>
      <c r="B3557" s="1">
        <v>45185</v>
      </c>
      <c r="C3557" t="s">
        <v>25</v>
      </c>
      <c r="D3557" t="s">
        <v>73</v>
      </c>
      <c r="E3557" t="s">
        <v>27</v>
      </c>
      <c r="F3557">
        <v>1817.22</v>
      </c>
      <c r="G3557">
        <v>404.21</v>
      </c>
      <c r="H3557" t="s">
        <v>13</v>
      </c>
      <c r="I3557" t="s">
        <v>34</v>
      </c>
    </row>
    <row r="3558" spans="1:9" x14ac:dyDescent="0.35">
      <c r="A3558" t="s">
        <v>3594</v>
      </c>
      <c r="B3558" s="1">
        <v>44843</v>
      </c>
      <c r="C3558" t="s">
        <v>22</v>
      </c>
      <c r="D3558" t="s">
        <v>50</v>
      </c>
      <c r="E3558" t="s">
        <v>12</v>
      </c>
      <c r="F3558">
        <v>1603.87</v>
      </c>
      <c r="G3558">
        <v>144.08000000000001</v>
      </c>
      <c r="H3558" t="s">
        <v>13</v>
      </c>
      <c r="I3558" t="s">
        <v>14</v>
      </c>
    </row>
    <row r="3559" spans="1:9" x14ac:dyDescent="0.35">
      <c r="A3559" t="s">
        <v>3595</v>
      </c>
      <c r="B3559" s="1">
        <v>45336</v>
      </c>
      <c r="C3559" t="s">
        <v>25</v>
      </c>
      <c r="D3559" t="s">
        <v>41</v>
      </c>
      <c r="E3559" t="s">
        <v>12</v>
      </c>
      <c r="F3559">
        <v>214.43</v>
      </c>
      <c r="G3559">
        <v>20.02</v>
      </c>
      <c r="H3559" t="s">
        <v>28</v>
      </c>
      <c r="I3559" t="s">
        <v>20</v>
      </c>
    </row>
    <row r="3560" spans="1:9" x14ac:dyDescent="0.35">
      <c r="A3560" t="s">
        <v>3596</v>
      </c>
      <c r="B3560" s="1">
        <v>44921</v>
      </c>
      <c r="C3560" t="s">
        <v>25</v>
      </c>
      <c r="D3560" t="s">
        <v>38</v>
      </c>
      <c r="E3560" t="s">
        <v>12</v>
      </c>
      <c r="F3560">
        <v>376.93</v>
      </c>
      <c r="G3560">
        <v>65.319999999999993</v>
      </c>
      <c r="H3560" t="s">
        <v>28</v>
      </c>
      <c r="I3560" t="s">
        <v>34</v>
      </c>
    </row>
    <row r="3561" spans="1:9" x14ac:dyDescent="0.35">
      <c r="A3561" t="s">
        <v>3597</v>
      </c>
      <c r="B3561" s="1">
        <v>44779</v>
      </c>
      <c r="C3561" t="s">
        <v>10</v>
      </c>
      <c r="D3561" t="s">
        <v>26</v>
      </c>
      <c r="E3561" t="s">
        <v>27</v>
      </c>
      <c r="F3561">
        <v>1429.5</v>
      </c>
      <c r="G3561">
        <v>401.36</v>
      </c>
      <c r="H3561" t="s">
        <v>13</v>
      </c>
      <c r="I3561" t="s">
        <v>14</v>
      </c>
    </row>
    <row r="3562" spans="1:9" x14ac:dyDescent="0.35">
      <c r="A3562" t="s">
        <v>3598</v>
      </c>
      <c r="B3562" s="1">
        <v>45368</v>
      </c>
      <c r="C3562" t="s">
        <v>16</v>
      </c>
      <c r="D3562" t="s">
        <v>95</v>
      </c>
      <c r="E3562" t="s">
        <v>18</v>
      </c>
      <c r="F3562">
        <v>1543.52</v>
      </c>
      <c r="G3562">
        <v>411.39</v>
      </c>
      <c r="H3562" t="s">
        <v>19</v>
      </c>
      <c r="I3562" t="s">
        <v>14</v>
      </c>
    </row>
    <row r="3563" spans="1:9" x14ac:dyDescent="0.35">
      <c r="A3563" t="s">
        <v>3599</v>
      </c>
      <c r="B3563" s="1">
        <v>45578</v>
      </c>
      <c r="C3563" t="s">
        <v>22</v>
      </c>
      <c r="D3563" t="s">
        <v>41</v>
      </c>
      <c r="E3563" t="s">
        <v>12</v>
      </c>
      <c r="F3563">
        <v>1585.3</v>
      </c>
      <c r="G3563">
        <v>255.1</v>
      </c>
      <c r="H3563" t="s">
        <v>19</v>
      </c>
      <c r="I3563" t="s">
        <v>14</v>
      </c>
    </row>
    <row r="3564" spans="1:9" x14ac:dyDescent="0.35">
      <c r="A3564" t="s">
        <v>3600</v>
      </c>
      <c r="B3564" s="1">
        <v>45057</v>
      </c>
      <c r="C3564" t="s">
        <v>16</v>
      </c>
      <c r="D3564" t="s">
        <v>17</v>
      </c>
      <c r="E3564" t="s">
        <v>18</v>
      </c>
      <c r="F3564">
        <v>233.19</v>
      </c>
      <c r="G3564">
        <v>33.450000000000003</v>
      </c>
      <c r="H3564" t="s">
        <v>28</v>
      </c>
      <c r="I3564" t="s">
        <v>14</v>
      </c>
    </row>
    <row r="3565" spans="1:9" x14ac:dyDescent="0.35">
      <c r="A3565" t="s">
        <v>3601</v>
      </c>
      <c r="B3565" s="1">
        <v>45445</v>
      </c>
      <c r="C3565" t="s">
        <v>22</v>
      </c>
      <c r="D3565" t="s">
        <v>11</v>
      </c>
      <c r="E3565" t="s">
        <v>12</v>
      </c>
      <c r="F3565">
        <v>98.71</v>
      </c>
      <c r="G3565">
        <v>21.26</v>
      </c>
      <c r="H3565" t="s">
        <v>19</v>
      </c>
      <c r="I3565" t="s">
        <v>20</v>
      </c>
    </row>
    <row r="3566" spans="1:9" x14ac:dyDescent="0.35">
      <c r="A3566" t="s">
        <v>3602</v>
      </c>
      <c r="B3566" s="1">
        <v>45507</v>
      </c>
      <c r="C3566" t="s">
        <v>10</v>
      </c>
      <c r="D3566" t="s">
        <v>57</v>
      </c>
      <c r="E3566" t="s">
        <v>27</v>
      </c>
      <c r="F3566">
        <v>664.68</v>
      </c>
      <c r="G3566">
        <v>69.05</v>
      </c>
      <c r="H3566" t="s">
        <v>13</v>
      </c>
      <c r="I3566" t="s">
        <v>14</v>
      </c>
    </row>
    <row r="3567" spans="1:9" x14ac:dyDescent="0.35">
      <c r="A3567" t="s">
        <v>3603</v>
      </c>
      <c r="B3567" s="1">
        <v>45493</v>
      </c>
      <c r="C3567" t="s">
        <v>25</v>
      </c>
      <c r="D3567" t="s">
        <v>11</v>
      </c>
      <c r="E3567" t="s">
        <v>12</v>
      </c>
      <c r="F3567">
        <v>1478.17</v>
      </c>
      <c r="G3567">
        <v>94.63</v>
      </c>
      <c r="H3567" t="s">
        <v>19</v>
      </c>
      <c r="I3567" t="s">
        <v>20</v>
      </c>
    </row>
    <row r="3568" spans="1:9" x14ac:dyDescent="0.35">
      <c r="A3568" t="s">
        <v>3604</v>
      </c>
      <c r="B3568" s="1">
        <v>44640</v>
      </c>
      <c r="C3568" t="s">
        <v>16</v>
      </c>
      <c r="D3568" t="s">
        <v>73</v>
      </c>
      <c r="E3568" t="s">
        <v>27</v>
      </c>
      <c r="F3568">
        <v>1182.3499999999999</v>
      </c>
      <c r="G3568">
        <v>264.33999999999997</v>
      </c>
      <c r="H3568" t="s">
        <v>19</v>
      </c>
      <c r="I3568" t="s">
        <v>14</v>
      </c>
    </row>
    <row r="3569" spans="1:9" x14ac:dyDescent="0.35">
      <c r="A3569" t="s">
        <v>3605</v>
      </c>
      <c r="B3569" s="1">
        <v>44929</v>
      </c>
      <c r="C3569" t="s">
        <v>16</v>
      </c>
      <c r="D3569" t="s">
        <v>62</v>
      </c>
      <c r="E3569" t="s">
        <v>27</v>
      </c>
      <c r="F3569">
        <v>1402.44</v>
      </c>
      <c r="G3569">
        <v>92.5</v>
      </c>
      <c r="H3569" t="s">
        <v>13</v>
      </c>
      <c r="I3569" t="s">
        <v>20</v>
      </c>
    </row>
    <row r="3570" spans="1:9" x14ac:dyDescent="0.35">
      <c r="A3570" t="s">
        <v>3606</v>
      </c>
      <c r="B3570" s="1">
        <v>45496</v>
      </c>
      <c r="C3570" t="s">
        <v>25</v>
      </c>
      <c r="D3570" t="s">
        <v>95</v>
      </c>
      <c r="E3570" t="s">
        <v>18</v>
      </c>
      <c r="F3570">
        <v>640.49</v>
      </c>
      <c r="G3570">
        <v>189.83</v>
      </c>
      <c r="H3570" t="s">
        <v>13</v>
      </c>
      <c r="I3570" t="s">
        <v>20</v>
      </c>
    </row>
    <row r="3571" spans="1:9" x14ac:dyDescent="0.35">
      <c r="A3571" t="s">
        <v>3607</v>
      </c>
      <c r="B3571" s="1">
        <v>45597</v>
      </c>
      <c r="C3571" t="s">
        <v>10</v>
      </c>
      <c r="D3571" t="s">
        <v>23</v>
      </c>
      <c r="E3571" t="s">
        <v>18</v>
      </c>
      <c r="F3571">
        <v>485.39</v>
      </c>
      <c r="G3571">
        <v>71.44</v>
      </c>
      <c r="H3571" t="s">
        <v>28</v>
      </c>
      <c r="I3571" t="s">
        <v>34</v>
      </c>
    </row>
    <row r="3572" spans="1:9" x14ac:dyDescent="0.35">
      <c r="A3572" t="s">
        <v>3608</v>
      </c>
      <c r="B3572" s="1">
        <v>44773</v>
      </c>
      <c r="C3572" t="s">
        <v>25</v>
      </c>
      <c r="D3572" t="s">
        <v>57</v>
      </c>
      <c r="E3572" t="s">
        <v>27</v>
      </c>
      <c r="F3572">
        <v>257.42</v>
      </c>
      <c r="G3572">
        <v>48.32</v>
      </c>
      <c r="H3572" t="s">
        <v>19</v>
      </c>
      <c r="I3572" t="s">
        <v>20</v>
      </c>
    </row>
    <row r="3573" spans="1:9" x14ac:dyDescent="0.35">
      <c r="A3573" t="s">
        <v>3609</v>
      </c>
      <c r="B3573" s="1">
        <v>45020</v>
      </c>
      <c r="C3573" t="s">
        <v>10</v>
      </c>
      <c r="D3573" t="s">
        <v>95</v>
      </c>
      <c r="E3573" t="s">
        <v>18</v>
      </c>
      <c r="F3573">
        <v>1489.14</v>
      </c>
      <c r="G3573">
        <v>248.81</v>
      </c>
      <c r="H3573" t="s">
        <v>19</v>
      </c>
      <c r="I3573" t="s">
        <v>29</v>
      </c>
    </row>
    <row r="3574" spans="1:9" x14ac:dyDescent="0.35">
      <c r="A3574" t="s">
        <v>3610</v>
      </c>
      <c r="B3574" s="1">
        <v>45455</v>
      </c>
      <c r="C3574" t="s">
        <v>16</v>
      </c>
      <c r="D3574" t="s">
        <v>38</v>
      </c>
      <c r="E3574" t="s">
        <v>12</v>
      </c>
      <c r="F3574">
        <v>1572.75</v>
      </c>
      <c r="G3574">
        <v>224.82</v>
      </c>
      <c r="H3574" t="s">
        <v>28</v>
      </c>
      <c r="I3574" t="s">
        <v>14</v>
      </c>
    </row>
    <row r="3575" spans="1:9" x14ac:dyDescent="0.35">
      <c r="A3575" t="s">
        <v>3611</v>
      </c>
      <c r="B3575" s="1">
        <v>45257</v>
      </c>
      <c r="C3575" t="s">
        <v>22</v>
      </c>
      <c r="D3575" t="s">
        <v>26</v>
      </c>
      <c r="E3575" t="s">
        <v>27</v>
      </c>
      <c r="F3575">
        <v>1930.67</v>
      </c>
      <c r="G3575">
        <v>346.47</v>
      </c>
      <c r="H3575" t="s">
        <v>19</v>
      </c>
      <c r="I3575" t="s">
        <v>14</v>
      </c>
    </row>
    <row r="3576" spans="1:9" x14ac:dyDescent="0.35">
      <c r="A3576" t="s">
        <v>3612</v>
      </c>
      <c r="B3576" s="1">
        <v>45551</v>
      </c>
      <c r="C3576" t="s">
        <v>22</v>
      </c>
      <c r="D3576" t="s">
        <v>41</v>
      </c>
      <c r="E3576" t="s">
        <v>12</v>
      </c>
      <c r="F3576">
        <v>1380.09</v>
      </c>
      <c r="G3576">
        <v>289.76</v>
      </c>
      <c r="H3576" t="s">
        <v>13</v>
      </c>
      <c r="I3576" t="s">
        <v>14</v>
      </c>
    </row>
    <row r="3577" spans="1:9" x14ac:dyDescent="0.35">
      <c r="A3577" t="s">
        <v>3613</v>
      </c>
      <c r="B3577" s="1">
        <v>44717</v>
      </c>
      <c r="C3577" t="s">
        <v>22</v>
      </c>
      <c r="D3577" t="s">
        <v>46</v>
      </c>
      <c r="E3577" t="s">
        <v>18</v>
      </c>
      <c r="F3577">
        <v>658.92</v>
      </c>
      <c r="G3577">
        <v>51.89</v>
      </c>
      <c r="H3577" t="s">
        <v>13</v>
      </c>
      <c r="I3577" t="s">
        <v>20</v>
      </c>
    </row>
    <row r="3578" spans="1:9" x14ac:dyDescent="0.35">
      <c r="A3578" t="s">
        <v>3614</v>
      </c>
      <c r="B3578" s="1">
        <v>44762</v>
      </c>
      <c r="C3578" t="s">
        <v>25</v>
      </c>
      <c r="D3578" t="s">
        <v>31</v>
      </c>
      <c r="E3578" t="s">
        <v>12</v>
      </c>
      <c r="F3578">
        <v>240.05</v>
      </c>
      <c r="G3578">
        <v>43.47</v>
      </c>
      <c r="H3578" t="s">
        <v>13</v>
      </c>
      <c r="I3578" t="s">
        <v>29</v>
      </c>
    </row>
    <row r="3579" spans="1:9" x14ac:dyDescent="0.35">
      <c r="A3579" t="s">
        <v>3615</v>
      </c>
      <c r="B3579" s="1">
        <v>44605</v>
      </c>
      <c r="C3579" t="s">
        <v>22</v>
      </c>
      <c r="D3579" t="s">
        <v>23</v>
      </c>
      <c r="E3579" t="s">
        <v>18</v>
      </c>
      <c r="F3579">
        <v>1299.6500000000001</v>
      </c>
      <c r="G3579">
        <v>74.510000000000005</v>
      </c>
      <c r="H3579" t="s">
        <v>13</v>
      </c>
      <c r="I3579" t="s">
        <v>34</v>
      </c>
    </row>
    <row r="3580" spans="1:9" x14ac:dyDescent="0.35">
      <c r="A3580" t="s">
        <v>3616</v>
      </c>
      <c r="B3580" s="1">
        <v>44562</v>
      </c>
      <c r="C3580" t="s">
        <v>25</v>
      </c>
      <c r="D3580" t="s">
        <v>23</v>
      </c>
      <c r="E3580" t="s">
        <v>18</v>
      </c>
      <c r="F3580">
        <v>398.91</v>
      </c>
      <c r="G3580">
        <v>91.77</v>
      </c>
      <c r="H3580" t="s">
        <v>13</v>
      </c>
      <c r="I3580" t="s">
        <v>20</v>
      </c>
    </row>
    <row r="3581" spans="1:9" x14ac:dyDescent="0.35">
      <c r="A3581" t="s">
        <v>3617</v>
      </c>
      <c r="B3581" s="1">
        <v>45253</v>
      </c>
      <c r="C3581" t="s">
        <v>10</v>
      </c>
      <c r="D3581" t="s">
        <v>57</v>
      </c>
      <c r="E3581" t="s">
        <v>27</v>
      </c>
      <c r="F3581">
        <v>1136.32</v>
      </c>
      <c r="G3581">
        <v>143.84</v>
      </c>
      <c r="H3581" t="s">
        <v>19</v>
      </c>
      <c r="I3581" t="s">
        <v>29</v>
      </c>
    </row>
    <row r="3582" spans="1:9" x14ac:dyDescent="0.35">
      <c r="A3582" t="s">
        <v>3618</v>
      </c>
      <c r="B3582" s="1">
        <v>45336</v>
      </c>
      <c r="C3582" t="s">
        <v>16</v>
      </c>
      <c r="D3582" t="s">
        <v>50</v>
      </c>
      <c r="E3582" t="s">
        <v>12</v>
      </c>
      <c r="F3582">
        <v>1142.21</v>
      </c>
      <c r="G3582">
        <v>121.74</v>
      </c>
      <c r="H3582" t="s">
        <v>19</v>
      </c>
      <c r="I3582" t="s">
        <v>34</v>
      </c>
    </row>
    <row r="3583" spans="1:9" x14ac:dyDescent="0.35">
      <c r="A3583" t="s">
        <v>3619</v>
      </c>
      <c r="B3583" s="1">
        <v>45389</v>
      </c>
      <c r="C3583" t="s">
        <v>25</v>
      </c>
      <c r="D3583" t="s">
        <v>46</v>
      </c>
      <c r="E3583" t="s">
        <v>18</v>
      </c>
      <c r="F3583">
        <v>704.6</v>
      </c>
      <c r="G3583">
        <v>140.99</v>
      </c>
      <c r="H3583" t="s">
        <v>13</v>
      </c>
      <c r="I3583" t="s">
        <v>34</v>
      </c>
    </row>
    <row r="3584" spans="1:9" x14ac:dyDescent="0.35">
      <c r="A3584" t="s">
        <v>3620</v>
      </c>
      <c r="B3584" s="1">
        <v>45115</v>
      </c>
      <c r="C3584" t="s">
        <v>25</v>
      </c>
      <c r="D3584" t="s">
        <v>62</v>
      </c>
      <c r="E3584" t="s">
        <v>27</v>
      </c>
      <c r="F3584">
        <v>1884.42</v>
      </c>
      <c r="G3584">
        <v>506.16</v>
      </c>
      <c r="H3584" t="s">
        <v>19</v>
      </c>
      <c r="I3584" t="s">
        <v>14</v>
      </c>
    </row>
    <row r="3585" spans="1:9" x14ac:dyDescent="0.35">
      <c r="A3585" t="s">
        <v>3621</v>
      </c>
      <c r="B3585" s="1">
        <v>45396</v>
      </c>
      <c r="C3585" t="s">
        <v>10</v>
      </c>
      <c r="D3585" t="s">
        <v>73</v>
      </c>
      <c r="E3585" t="s">
        <v>27</v>
      </c>
      <c r="F3585">
        <v>1085.76</v>
      </c>
      <c r="G3585">
        <v>223.76</v>
      </c>
      <c r="H3585" t="s">
        <v>28</v>
      </c>
      <c r="I3585" t="s">
        <v>34</v>
      </c>
    </row>
    <row r="3586" spans="1:9" x14ac:dyDescent="0.35">
      <c r="A3586" t="s">
        <v>3622</v>
      </c>
      <c r="B3586" s="1">
        <v>44660</v>
      </c>
      <c r="C3586" t="s">
        <v>10</v>
      </c>
      <c r="D3586" t="s">
        <v>23</v>
      </c>
      <c r="E3586" t="s">
        <v>18</v>
      </c>
      <c r="F3586">
        <v>850.33</v>
      </c>
      <c r="G3586">
        <v>94.76</v>
      </c>
      <c r="H3586" t="s">
        <v>13</v>
      </c>
      <c r="I3586" t="s">
        <v>29</v>
      </c>
    </row>
    <row r="3587" spans="1:9" x14ac:dyDescent="0.35">
      <c r="A3587" t="s">
        <v>3623</v>
      </c>
      <c r="B3587" s="1">
        <v>45447</v>
      </c>
      <c r="C3587" t="s">
        <v>25</v>
      </c>
      <c r="D3587" t="s">
        <v>17</v>
      </c>
      <c r="E3587" t="s">
        <v>18</v>
      </c>
      <c r="F3587">
        <v>1666.17</v>
      </c>
      <c r="G3587">
        <v>103.31</v>
      </c>
      <c r="H3587" t="s">
        <v>19</v>
      </c>
      <c r="I3587" t="s">
        <v>29</v>
      </c>
    </row>
    <row r="3588" spans="1:9" x14ac:dyDescent="0.35">
      <c r="A3588" t="s">
        <v>3624</v>
      </c>
      <c r="B3588" s="1">
        <v>45332</v>
      </c>
      <c r="C3588" t="s">
        <v>16</v>
      </c>
      <c r="D3588" t="s">
        <v>73</v>
      </c>
      <c r="E3588" t="s">
        <v>27</v>
      </c>
      <c r="F3588">
        <v>1924.91</v>
      </c>
      <c r="G3588">
        <v>150.63</v>
      </c>
      <c r="H3588" t="s">
        <v>13</v>
      </c>
      <c r="I3588" t="s">
        <v>20</v>
      </c>
    </row>
    <row r="3589" spans="1:9" x14ac:dyDescent="0.35">
      <c r="A3589" t="s">
        <v>3625</v>
      </c>
      <c r="B3589" s="1">
        <v>45238</v>
      </c>
      <c r="C3589" t="s">
        <v>25</v>
      </c>
      <c r="D3589" t="s">
        <v>95</v>
      </c>
      <c r="E3589" t="s">
        <v>18</v>
      </c>
      <c r="F3589">
        <v>1744.45</v>
      </c>
      <c r="G3589">
        <v>412.31</v>
      </c>
      <c r="H3589" t="s">
        <v>28</v>
      </c>
      <c r="I3589" t="s">
        <v>29</v>
      </c>
    </row>
    <row r="3590" spans="1:9" x14ac:dyDescent="0.35">
      <c r="A3590" t="s">
        <v>3626</v>
      </c>
      <c r="B3590" s="1">
        <v>44872</v>
      </c>
      <c r="C3590" t="s">
        <v>10</v>
      </c>
      <c r="D3590" t="s">
        <v>11</v>
      </c>
      <c r="E3590" t="s">
        <v>12</v>
      </c>
      <c r="F3590">
        <v>1187.53</v>
      </c>
      <c r="G3590">
        <v>273.31</v>
      </c>
      <c r="H3590" t="s">
        <v>28</v>
      </c>
      <c r="I3590" t="s">
        <v>34</v>
      </c>
    </row>
    <row r="3591" spans="1:9" x14ac:dyDescent="0.35">
      <c r="A3591" t="s">
        <v>3627</v>
      </c>
      <c r="B3591" s="1">
        <v>44691</v>
      </c>
      <c r="C3591" t="s">
        <v>25</v>
      </c>
      <c r="D3591" t="s">
        <v>46</v>
      </c>
      <c r="E3591" t="s">
        <v>18</v>
      </c>
      <c r="F3591">
        <v>735.65</v>
      </c>
      <c r="G3591">
        <v>44.19</v>
      </c>
      <c r="H3591" t="s">
        <v>28</v>
      </c>
      <c r="I3591" t="s">
        <v>14</v>
      </c>
    </row>
    <row r="3592" spans="1:9" x14ac:dyDescent="0.35">
      <c r="A3592" t="s">
        <v>3628</v>
      </c>
      <c r="B3592" s="1">
        <v>45412</v>
      </c>
      <c r="C3592" t="s">
        <v>25</v>
      </c>
      <c r="D3592" t="s">
        <v>57</v>
      </c>
      <c r="E3592" t="s">
        <v>27</v>
      </c>
      <c r="F3592">
        <v>995.16</v>
      </c>
      <c r="G3592">
        <v>124.55</v>
      </c>
      <c r="H3592" t="s">
        <v>19</v>
      </c>
      <c r="I3592" t="s">
        <v>20</v>
      </c>
    </row>
    <row r="3593" spans="1:9" x14ac:dyDescent="0.35">
      <c r="A3593" t="s">
        <v>3629</v>
      </c>
      <c r="B3593" s="1">
        <v>45143</v>
      </c>
      <c r="C3593" t="s">
        <v>22</v>
      </c>
      <c r="D3593" t="s">
        <v>23</v>
      </c>
      <c r="E3593" t="s">
        <v>18</v>
      </c>
      <c r="F3593">
        <v>1993.32</v>
      </c>
      <c r="G3593">
        <v>216.02</v>
      </c>
      <c r="H3593" t="s">
        <v>19</v>
      </c>
      <c r="I3593" t="s">
        <v>14</v>
      </c>
    </row>
    <row r="3594" spans="1:9" x14ac:dyDescent="0.35">
      <c r="A3594" t="s">
        <v>3630</v>
      </c>
      <c r="B3594" s="1">
        <v>45110</v>
      </c>
      <c r="C3594" t="s">
        <v>16</v>
      </c>
      <c r="D3594" t="s">
        <v>97</v>
      </c>
      <c r="E3594" t="s">
        <v>27</v>
      </c>
      <c r="F3594">
        <v>1441.94</v>
      </c>
      <c r="G3594">
        <v>188.34</v>
      </c>
      <c r="H3594" t="s">
        <v>19</v>
      </c>
      <c r="I3594" t="s">
        <v>34</v>
      </c>
    </row>
    <row r="3595" spans="1:9" x14ac:dyDescent="0.35">
      <c r="A3595" t="s">
        <v>3631</v>
      </c>
      <c r="B3595" s="1">
        <v>45175</v>
      </c>
      <c r="C3595" t="s">
        <v>16</v>
      </c>
      <c r="D3595" t="s">
        <v>97</v>
      </c>
      <c r="E3595" t="s">
        <v>27</v>
      </c>
      <c r="F3595">
        <v>866.75</v>
      </c>
      <c r="G3595">
        <v>156.09</v>
      </c>
      <c r="H3595" t="s">
        <v>19</v>
      </c>
      <c r="I3595" t="s">
        <v>29</v>
      </c>
    </row>
    <row r="3596" spans="1:9" x14ac:dyDescent="0.35">
      <c r="A3596" t="s">
        <v>3632</v>
      </c>
      <c r="B3596" s="1">
        <v>45301</v>
      </c>
      <c r="C3596" t="s">
        <v>10</v>
      </c>
      <c r="D3596" t="s">
        <v>26</v>
      </c>
      <c r="E3596" t="s">
        <v>27</v>
      </c>
      <c r="F3596">
        <v>213.26</v>
      </c>
      <c r="G3596">
        <v>25.4</v>
      </c>
      <c r="H3596" t="s">
        <v>19</v>
      </c>
      <c r="I3596" t="s">
        <v>14</v>
      </c>
    </row>
    <row r="3597" spans="1:9" x14ac:dyDescent="0.35">
      <c r="A3597" t="s">
        <v>3633</v>
      </c>
      <c r="B3597" s="1">
        <v>44634</v>
      </c>
      <c r="C3597" t="s">
        <v>10</v>
      </c>
      <c r="D3597" t="s">
        <v>38</v>
      </c>
      <c r="E3597" t="s">
        <v>12</v>
      </c>
      <c r="F3597">
        <v>1324.82</v>
      </c>
      <c r="G3597">
        <v>310.7</v>
      </c>
      <c r="H3597" t="s">
        <v>28</v>
      </c>
      <c r="I3597" t="s">
        <v>20</v>
      </c>
    </row>
    <row r="3598" spans="1:9" x14ac:dyDescent="0.35">
      <c r="A3598" t="s">
        <v>3634</v>
      </c>
      <c r="B3598" s="1">
        <v>45618</v>
      </c>
      <c r="C3598" t="s">
        <v>25</v>
      </c>
      <c r="D3598" t="s">
        <v>38</v>
      </c>
      <c r="E3598" t="s">
        <v>12</v>
      </c>
      <c r="F3598">
        <v>1925.23</v>
      </c>
      <c r="G3598">
        <v>401.8</v>
      </c>
      <c r="H3598" t="s">
        <v>28</v>
      </c>
      <c r="I3598" t="s">
        <v>29</v>
      </c>
    </row>
    <row r="3599" spans="1:9" x14ac:dyDescent="0.35">
      <c r="A3599" t="s">
        <v>3635</v>
      </c>
      <c r="B3599" s="1">
        <v>44603</v>
      </c>
      <c r="C3599" t="s">
        <v>16</v>
      </c>
      <c r="D3599" t="s">
        <v>26</v>
      </c>
      <c r="E3599" t="s">
        <v>27</v>
      </c>
      <c r="F3599">
        <v>895.68</v>
      </c>
      <c r="G3599">
        <v>71.459999999999994</v>
      </c>
      <c r="H3599" t="s">
        <v>19</v>
      </c>
      <c r="I3599" t="s">
        <v>20</v>
      </c>
    </row>
    <row r="3600" spans="1:9" x14ac:dyDescent="0.35">
      <c r="A3600" t="s">
        <v>3636</v>
      </c>
      <c r="B3600" s="1">
        <v>45384</v>
      </c>
      <c r="C3600" t="s">
        <v>16</v>
      </c>
      <c r="D3600" t="s">
        <v>97</v>
      </c>
      <c r="E3600" t="s">
        <v>27</v>
      </c>
      <c r="F3600">
        <v>941.36</v>
      </c>
      <c r="G3600">
        <v>253.23</v>
      </c>
      <c r="H3600" t="s">
        <v>28</v>
      </c>
      <c r="I3600" t="s">
        <v>14</v>
      </c>
    </row>
    <row r="3601" spans="1:9" x14ac:dyDescent="0.35">
      <c r="A3601" t="s">
        <v>3637</v>
      </c>
      <c r="B3601" s="1">
        <v>44810</v>
      </c>
      <c r="C3601" t="s">
        <v>10</v>
      </c>
      <c r="D3601" t="s">
        <v>97</v>
      </c>
      <c r="E3601" t="s">
        <v>27</v>
      </c>
      <c r="F3601">
        <v>928.98</v>
      </c>
      <c r="G3601">
        <v>48.35</v>
      </c>
      <c r="H3601" t="s">
        <v>28</v>
      </c>
      <c r="I3601" t="s">
        <v>29</v>
      </c>
    </row>
    <row r="3602" spans="1:9" x14ac:dyDescent="0.35">
      <c r="A3602" t="s">
        <v>3638</v>
      </c>
      <c r="B3602" s="1">
        <v>44790</v>
      </c>
      <c r="C3602" t="s">
        <v>10</v>
      </c>
      <c r="D3602" t="s">
        <v>23</v>
      </c>
      <c r="E3602" t="s">
        <v>18</v>
      </c>
      <c r="F3602">
        <v>297.76</v>
      </c>
      <c r="G3602">
        <v>46.41</v>
      </c>
      <c r="H3602" t="s">
        <v>28</v>
      </c>
      <c r="I3602" t="s">
        <v>14</v>
      </c>
    </row>
    <row r="3603" spans="1:9" x14ac:dyDescent="0.35">
      <c r="A3603" t="s">
        <v>3639</v>
      </c>
      <c r="B3603" s="1">
        <v>44720</v>
      </c>
      <c r="C3603" t="s">
        <v>16</v>
      </c>
      <c r="D3603" t="s">
        <v>73</v>
      </c>
      <c r="E3603" t="s">
        <v>27</v>
      </c>
      <c r="F3603">
        <v>1531.65</v>
      </c>
      <c r="G3603">
        <v>395.32</v>
      </c>
      <c r="H3603" t="s">
        <v>19</v>
      </c>
      <c r="I3603" t="s">
        <v>29</v>
      </c>
    </row>
    <row r="3604" spans="1:9" x14ac:dyDescent="0.35">
      <c r="A3604" t="s">
        <v>3640</v>
      </c>
      <c r="B3604" s="1">
        <v>44789</v>
      </c>
      <c r="C3604" t="s">
        <v>22</v>
      </c>
      <c r="D3604" t="s">
        <v>31</v>
      </c>
      <c r="E3604" t="s">
        <v>12</v>
      </c>
      <c r="F3604">
        <v>798.82</v>
      </c>
      <c r="G3604">
        <v>88.06</v>
      </c>
      <c r="H3604" t="s">
        <v>13</v>
      </c>
      <c r="I3604" t="s">
        <v>20</v>
      </c>
    </row>
    <row r="3605" spans="1:9" x14ac:dyDescent="0.35">
      <c r="A3605" t="s">
        <v>3641</v>
      </c>
      <c r="B3605" s="1">
        <v>44576</v>
      </c>
      <c r="C3605" t="s">
        <v>25</v>
      </c>
      <c r="D3605" t="s">
        <v>33</v>
      </c>
      <c r="E3605" t="s">
        <v>18</v>
      </c>
      <c r="F3605">
        <v>474.86</v>
      </c>
      <c r="G3605">
        <v>85.98</v>
      </c>
      <c r="H3605" t="s">
        <v>13</v>
      </c>
      <c r="I3605" t="s">
        <v>29</v>
      </c>
    </row>
    <row r="3606" spans="1:9" x14ac:dyDescent="0.35">
      <c r="A3606" t="s">
        <v>3642</v>
      </c>
      <c r="B3606" s="1">
        <v>45388</v>
      </c>
      <c r="C3606" t="s">
        <v>10</v>
      </c>
      <c r="D3606" t="s">
        <v>23</v>
      </c>
      <c r="E3606" t="s">
        <v>18</v>
      </c>
      <c r="F3606">
        <v>1702.25</v>
      </c>
      <c r="G3606">
        <v>309.89</v>
      </c>
      <c r="H3606" t="s">
        <v>19</v>
      </c>
      <c r="I3606" t="s">
        <v>20</v>
      </c>
    </row>
    <row r="3607" spans="1:9" x14ac:dyDescent="0.35">
      <c r="A3607" t="s">
        <v>3643</v>
      </c>
      <c r="B3607" s="1">
        <v>45447</v>
      </c>
      <c r="C3607" t="s">
        <v>10</v>
      </c>
      <c r="D3607" t="s">
        <v>97</v>
      </c>
      <c r="E3607" t="s">
        <v>27</v>
      </c>
      <c r="F3607">
        <v>1449.56</v>
      </c>
      <c r="G3607">
        <v>263.22000000000003</v>
      </c>
      <c r="H3607" t="s">
        <v>28</v>
      </c>
      <c r="I3607" t="s">
        <v>20</v>
      </c>
    </row>
    <row r="3608" spans="1:9" x14ac:dyDescent="0.35">
      <c r="A3608" t="s">
        <v>3644</v>
      </c>
      <c r="B3608" s="1">
        <v>44646</v>
      </c>
      <c r="C3608" t="s">
        <v>22</v>
      </c>
      <c r="D3608" t="s">
        <v>62</v>
      </c>
      <c r="E3608" t="s">
        <v>27</v>
      </c>
      <c r="F3608">
        <v>56.49</v>
      </c>
      <c r="G3608">
        <v>6.99</v>
      </c>
      <c r="H3608" t="s">
        <v>19</v>
      </c>
      <c r="I3608" t="s">
        <v>34</v>
      </c>
    </row>
    <row r="3609" spans="1:9" x14ac:dyDescent="0.35">
      <c r="A3609" t="s">
        <v>3645</v>
      </c>
      <c r="B3609" s="1">
        <v>45652</v>
      </c>
      <c r="C3609" t="s">
        <v>25</v>
      </c>
      <c r="D3609" t="s">
        <v>57</v>
      </c>
      <c r="E3609" t="s">
        <v>27</v>
      </c>
      <c r="F3609">
        <v>352.87</v>
      </c>
      <c r="G3609">
        <v>20.350000000000001</v>
      </c>
      <c r="H3609" t="s">
        <v>28</v>
      </c>
      <c r="I3609" t="s">
        <v>20</v>
      </c>
    </row>
    <row r="3610" spans="1:9" x14ac:dyDescent="0.35">
      <c r="A3610" t="s">
        <v>3646</v>
      </c>
      <c r="B3610" s="1">
        <v>45204</v>
      </c>
      <c r="C3610" t="s">
        <v>25</v>
      </c>
      <c r="D3610" t="s">
        <v>11</v>
      </c>
      <c r="E3610" t="s">
        <v>12</v>
      </c>
      <c r="F3610">
        <v>1178.51</v>
      </c>
      <c r="G3610">
        <v>180.99</v>
      </c>
      <c r="H3610" t="s">
        <v>19</v>
      </c>
      <c r="I3610" t="s">
        <v>34</v>
      </c>
    </row>
    <row r="3611" spans="1:9" x14ac:dyDescent="0.35">
      <c r="A3611" t="s">
        <v>3647</v>
      </c>
      <c r="B3611" s="1">
        <v>44879</v>
      </c>
      <c r="C3611" t="s">
        <v>22</v>
      </c>
      <c r="D3611" t="s">
        <v>31</v>
      </c>
      <c r="E3611" t="s">
        <v>12</v>
      </c>
      <c r="F3611">
        <v>265.95999999999998</v>
      </c>
      <c r="G3611">
        <v>40.36</v>
      </c>
      <c r="H3611" t="s">
        <v>28</v>
      </c>
      <c r="I3611" t="s">
        <v>14</v>
      </c>
    </row>
    <row r="3612" spans="1:9" x14ac:dyDescent="0.35">
      <c r="A3612" t="s">
        <v>3648</v>
      </c>
      <c r="B3612" s="1">
        <v>45219</v>
      </c>
      <c r="C3612" t="s">
        <v>22</v>
      </c>
      <c r="D3612" t="s">
        <v>41</v>
      </c>
      <c r="E3612" t="s">
        <v>12</v>
      </c>
      <c r="F3612">
        <v>300.07</v>
      </c>
      <c r="G3612">
        <v>58.19</v>
      </c>
      <c r="H3612" t="s">
        <v>13</v>
      </c>
      <c r="I3612" t="s">
        <v>14</v>
      </c>
    </row>
    <row r="3613" spans="1:9" x14ac:dyDescent="0.35">
      <c r="A3613" t="s">
        <v>3649</v>
      </c>
      <c r="B3613" s="1">
        <v>45453</v>
      </c>
      <c r="C3613" t="s">
        <v>25</v>
      </c>
      <c r="D3613" t="s">
        <v>23</v>
      </c>
      <c r="E3613" t="s">
        <v>18</v>
      </c>
      <c r="F3613">
        <v>199.18</v>
      </c>
      <c r="G3613">
        <v>50.36</v>
      </c>
      <c r="H3613" t="s">
        <v>19</v>
      </c>
      <c r="I3613" t="s">
        <v>29</v>
      </c>
    </row>
    <row r="3614" spans="1:9" x14ac:dyDescent="0.35">
      <c r="A3614" t="s">
        <v>3650</v>
      </c>
      <c r="B3614" s="1">
        <v>45192</v>
      </c>
      <c r="C3614" t="s">
        <v>22</v>
      </c>
      <c r="D3614" t="s">
        <v>50</v>
      </c>
      <c r="E3614" t="s">
        <v>12</v>
      </c>
      <c r="F3614">
        <v>1537.17</v>
      </c>
      <c r="G3614">
        <v>87.96</v>
      </c>
      <c r="H3614" t="s">
        <v>19</v>
      </c>
      <c r="I3614" t="s">
        <v>29</v>
      </c>
    </row>
    <row r="3615" spans="1:9" x14ac:dyDescent="0.35">
      <c r="A3615" t="s">
        <v>3651</v>
      </c>
      <c r="B3615" s="1">
        <v>44849</v>
      </c>
      <c r="C3615" t="s">
        <v>25</v>
      </c>
      <c r="D3615" t="s">
        <v>73</v>
      </c>
      <c r="E3615" t="s">
        <v>27</v>
      </c>
      <c r="F3615">
        <v>1034.77</v>
      </c>
      <c r="G3615">
        <v>251.13</v>
      </c>
      <c r="H3615" t="s">
        <v>28</v>
      </c>
      <c r="I3615" t="s">
        <v>14</v>
      </c>
    </row>
    <row r="3616" spans="1:9" x14ac:dyDescent="0.35">
      <c r="A3616" t="s">
        <v>3652</v>
      </c>
      <c r="B3616" s="1">
        <v>45377</v>
      </c>
      <c r="C3616" t="s">
        <v>22</v>
      </c>
      <c r="D3616" t="s">
        <v>62</v>
      </c>
      <c r="E3616" t="s">
        <v>27</v>
      </c>
      <c r="F3616">
        <v>175.52</v>
      </c>
      <c r="G3616">
        <v>38.29</v>
      </c>
      <c r="H3616" t="s">
        <v>28</v>
      </c>
      <c r="I3616" t="s">
        <v>34</v>
      </c>
    </row>
    <row r="3617" spans="1:9" x14ac:dyDescent="0.35">
      <c r="A3617" t="s">
        <v>3653</v>
      </c>
      <c r="B3617" s="1">
        <v>44591</v>
      </c>
      <c r="C3617" t="s">
        <v>25</v>
      </c>
      <c r="D3617" t="s">
        <v>97</v>
      </c>
      <c r="E3617" t="s">
        <v>27</v>
      </c>
      <c r="F3617">
        <v>784.01</v>
      </c>
      <c r="G3617">
        <v>107.93</v>
      </c>
      <c r="H3617" t="s">
        <v>19</v>
      </c>
      <c r="I3617" t="s">
        <v>20</v>
      </c>
    </row>
    <row r="3618" spans="1:9" x14ac:dyDescent="0.35">
      <c r="A3618" t="s">
        <v>3654</v>
      </c>
      <c r="B3618" s="1">
        <v>44862</v>
      </c>
      <c r="C3618" t="s">
        <v>25</v>
      </c>
      <c r="D3618" t="s">
        <v>57</v>
      </c>
      <c r="E3618" t="s">
        <v>27</v>
      </c>
      <c r="F3618">
        <v>1161.1199999999999</v>
      </c>
      <c r="G3618">
        <v>344.39</v>
      </c>
      <c r="H3618" t="s">
        <v>19</v>
      </c>
      <c r="I3618" t="s">
        <v>20</v>
      </c>
    </row>
    <row r="3619" spans="1:9" x14ac:dyDescent="0.35">
      <c r="A3619" t="s">
        <v>3655</v>
      </c>
      <c r="B3619" s="1">
        <v>44663</v>
      </c>
      <c r="C3619" t="s">
        <v>16</v>
      </c>
      <c r="D3619" t="s">
        <v>57</v>
      </c>
      <c r="E3619" t="s">
        <v>27</v>
      </c>
      <c r="F3619">
        <v>116.59</v>
      </c>
      <c r="G3619">
        <v>23.81</v>
      </c>
      <c r="H3619" t="s">
        <v>28</v>
      </c>
      <c r="I3619" t="s">
        <v>14</v>
      </c>
    </row>
    <row r="3620" spans="1:9" x14ac:dyDescent="0.35">
      <c r="A3620" t="s">
        <v>3656</v>
      </c>
      <c r="B3620" s="1">
        <v>45501</v>
      </c>
      <c r="C3620" t="s">
        <v>16</v>
      </c>
      <c r="D3620" t="s">
        <v>11</v>
      </c>
      <c r="E3620" t="s">
        <v>12</v>
      </c>
      <c r="F3620">
        <v>1720.86</v>
      </c>
      <c r="G3620">
        <v>206.79</v>
      </c>
      <c r="H3620" t="s">
        <v>19</v>
      </c>
      <c r="I3620" t="s">
        <v>34</v>
      </c>
    </row>
    <row r="3621" spans="1:9" x14ac:dyDescent="0.35">
      <c r="A3621" t="s">
        <v>3657</v>
      </c>
      <c r="B3621" s="1">
        <v>45148</v>
      </c>
      <c r="C3621" t="s">
        <v>16</v>
      </c>
      <c r="D3621" t="s">
        <v>33</v>
      </c>
      <c r="E3621" t="s">
        <v>18</v>
      </c>
      <c r="F3621">
        <v>1789.5</v>
      </c>
      <c r="G3621">
        <v>425.89</v>
      </c>
      <c r="H3621" t="s">
        <v>19</v>
      </c>
      <c r="I3621" t="s">
        <v>20</v>
      </c>
    </row>
    <row r="3622" spans="1:9" x14ac:dyDescent="0.35">
      <c r="A3622" t="s">
        <v>3658</v>
      </c>
      <c r="B3622" s="1">
        <v>45645</v>
      </c>
      <c r="C3622" t="s">
        <v>25</v>
      </c>
      <c r="D3622" t="s">
        <v>97</v>
      </c>
      <c r="E3622" t="s">
        <v>27</v>
      </c>
      <c r="F3622">
        <v>1061.69</v>
      </c>
      <c r="G3622">
        <v>141.22999999999999</v>
      </c>
      <c r="H3622" t="s">
        <v>19</v>
      </c>
      <c r="I3622" t="s">
        <v>29</v>
      </c>
    </row>
    <row r="3623" spans="1:9" x14ac:dyDescent="0.35">
      <c r="A3623" t="s">
        <v>3659</v>
      </c>
      <c r="B3623" s="1">
        <v>45647</v>
      </c>
      <c r="C3623" t="s">
        <v>22</v>
      </c>
      <c r="D3623" t="s">
        <v>38</v>
      </c>
      <c r="E3623" t="s">
        <v>12</v>
      </c>
      <c r="F3623">
        <v>1265.06</v>
      </c>
      <c r="G3623">
        <v>362.47</v>
      </c>
      <c r="H3623" t="s">
        <v>13</v>
      </c>
      <c r="I3623" t="s">
        <v>29</v>
      </c>
    </row>
    <row r="3624" spans="1:9" x14ac:dyDescent="0.35">
      <c r="A3624" t="s">
        <v>3660</v>
      </c>
      <c r="B3624" s="1">
        <v>45364</v>
      </c>
      <c r="C3624" t="s">
        <v>22</v>
      </c>
      <c r="D3624" t="s">
        <v>95</v>
      </c>
      <c r="E3624" t="s">
        <v>18</v>
      </c>
      <c r="F3624">
        <v>1905.5</v>
      </c>
      <c r="G3624">
        <v>104.31</v>
      </c>
      <c r="H3624" t="s">
        <v>19</v>
      </c>
      <c r="I3624" t="s">
        <v>34</v>
      </c>
    </row>
    <row r="3625" spans="1:9" x14ac:dyDescent="0.35">
      <c r="A3625" t="s">
        <v>3661</v>
      </c>
      <c r="B3625" s="1">
        <v>45593</v>
      </c>
      <c r="C3625" t="s">
        <v>25</v>
      </c>
      <c r="D3625" t="s">
        <v>41</v>
      </c>
      <c r="E3625" t="s">
        <v>12</v>
      </c>
      <c r="F3625">
        <v>1180.3399999999999</v>
      </c>
      <c r="G3625">
        <v>164.39</v>
      </c>
      <c r="H3625" t="s">
        <v>28</v>
      </c>
      <c r="I3625" t="s">
        <v>34</v>
      </c>
    </row>
    <row r="3626" spans="1:9" x14ac:dyDescent="0.35">
      <c r="A3626" t="s">
        <v>3662</v>
      </c>
      <c r="B3626" s="1">
        <v>44705</v>
      </c>
      <c r="C3626" t="s">
        <v>10</v>
      </c>
      <c r="D3626" t="s">
        <v>23</v>
      </c>
      <c r="E3626" t="s">
        <v>18</v>
      </c>
      <c r="F3626">
        <v>1062.4000000000001</v>
      </c>
      <c r="G3626">
        <v>230.82</v>
      </c>
      <c r="H3626" t="s">
        <v>13</v>
      </c>
      <c r="I3626" t="s">
        <v>14</v>
      </c>
    </row>
    <row r="3627" spans="1:9" x14ac:dyDescent="0.35">
      <c r="A3627" t="s">
        <v>3663</v>
      </c>
      <c r="B3627" s="1">
        <v>44786</v>
      </c>
      <c r="C3627" t="s">
        <v>22</v>
      </c>
      <c r="D3627" t="s">
        <v>73</v>
      </c>
      <c r="E3627" t="s">
        <v>27</v>
      </c>
      <c r="F3627">
        <v>1536.66</v>
      </c>
      <c r="G3627">
        <v>347.65</v>
      </c>
      <c r="H3627" t="s">
        <v>13</v>
      </c>
      <c r="I3627" t="s">
        <v>14</v>
      </c>
    </row>
    <row r="3628" spans="1:9" x14ac:dyDescent="0.35">
      <c r="A3628" t="s">
        <v>3664</v>
      </c>
      <c r="B3628" s="1">
        <v>45186</v>
      </c>
      <c r="C3628" t="s">
        <v>10</v>
      </c>
      <c r="D3628" t="s">
        <v>46</v>
      </c>
      <c r="E3628" t="s">
        <v>18</v>
      </c>
      <c r="F3628">
        <v>1137.3800000000001</v>
      </c>
      <c r="G3628">
        <v>246.23</v>
      </c>
      <c r="H3628" t="s">
        <v>19</v>
      </c>
      <c r="I3628" t="s">
        <v>34</v>
      </c>
    </row>
    <row r="3629" spans="1:9" x14ac:dyDescent="0.35">
      <c r="A3629" t="s">
        <v>3665</v>
      </c>
      <c r="B3629" s="1">
        <v>44607</v>
      </c>
      <c r="C3629" t="s">
        <v>10</v>
      </c>
      <c r="D3629" t="s">
        <v>17</v>
      </c>
      <c r="E3629" t="s">
        <v>18</v>
      </c>
      <c r="F3629">
        <v>1726.69</v>
      </c>
      <c r="G3629">
        <v>195.33</v>
      </c>
      <c r="H3629" t="s">
        <v>13</v>
      </c>
      <c r="I3629" t="s">
        <v>34</v>
      </c>
    </row>
    <row r="3630" spans="1:9" x14ac:dyDescent="0.35">
      <c r="A3630" t="s">
        <v>3666</v>
      </c>
      <c r="B3630" s="1">
        <v>45322</v>
      </c>
      <c r="C3630" t="s">
        <v>10</v>
      </c>
      <c r="D3630" t="s">
        <v>33</v>
      </c>
      <c r="E3630" t="s">
        <v>18</v>
      </c>
      <c r="F3630">
        <v>773.18</v>
      </c>
      <c r="G3630">
        <v>63.91</v>
      </c>
      <c r="H3630" t="s">
        <v>28</v>
      </c>
      <c r="I3630" t="s">
        <v>20</v>
      </c>
    </row>
    <row r="3631" spans="1:9" x14ac:dyDescent="0.35">
      <c r="A3631" t="s">
        <v>3667</v>
      </c>
      <c r="B3631" s="1">
        <v>44610</v>
      </c>
      <c r="C3631" t="s">
        <v>25</v>
      </c>
      <c r="D3631" t="s">
        <v>38</v>
      </c>
      <c r="E3631" t="s">
        <v>12</v>
      </c>
      <c r="F3631">
        <v>1248.73</v>
      </c>
      <c r="G3631">
        <v>332.79</v>
      </c>
      <c r="H3631" t="s">
        <v>13</v>
      </c>
      <c r="I3631" t="s">
        <v>34</v>
      </c>
    </row>
    <row r="3632" spans="1:9" x14ac:dyDescent="0.35">
      <c r="A3632" t="s">
        <v>3668</v>
      </c>
      <c r="B3632" s="1">
        <v>45576</v>
      </c>
      <c r="C3632" t="s">
        <v>22</v>
      </c>
      <c r="D3632" t="s">
        <v>62</v>
      </c>
      <c r="E3632" t="s">
        <v>27</v>
      </c>
      <c r="F3632">
        <v>601.70000000000005</v>
      </c>
      <c r="G3632">
        <v>180.36</v>
      </c>
      <c r="H3632" t="s">
        <v>28</v>
      </c>
      <c r="I3632" t="s">
        <v>14</v>
      </c>
    </row>
    <row r="3633" spans="1:9" x14ac:dyDescent="0.35">
      <c r="A3633" t="s">
        <v>3669</v>
      </c>
      <c r="B3633" s="1">
        <v>45279</v>
      </c>
      <c r="C3633" t="s">
        <v>16</v>
      </c>
      <c r="D3633" t="s">
        <v>33</v>
      </c>
      <c r="E3633" t="s">
        <v>18</v>
      </c>
      <c r="F3633">
        <v>232.87</v>
      </c>
      <c r="G3633">
        <v>13.47</v>
      </c>
      <c r="H3633" t="s">
        <v>28</v>
      </c>
      <c r="I3633" t="s">
        <v>14</v>
      </c>
    </row>
    <row r="3634" spans="1:9" x14ac:dyDescent="0.35">
      <c r="A3634" t="s">
        <v>3670</v>
      </c>
      <c r="B3634" s="1">
        <v>45171</v>
      </c>
      <c r="C3634" t="s">
        <v>25</v>
      </c>
      <c r="D3634" t="s">
        <v>57</v>
      </c>
      <c r="E3634" t="s">
        <v>27</v>
      </c>
      <c r="F3634">
        <v>1754.54</v>
      </c>
      <c r="G3634">
        <v>395.48</v>
      </c>
      <c r="H3634" t="s">
        <v>13</v>
      </c>
      <c r="I3634" t="s">
        <v>20</v>
      </c>
    </row>
    <row r="3635" spans="1:9" x14ac:dyDescent="0.35">
      <c r="A3635" t="s">
        <v>3671</v>
      </c>
      <c r="B3635" s="1">
        <v>45545</v>
      </c>
      <c r="C3635" t="s">
        <v>10</v>
      </c>
      <c r="D3635" t="s">
        <v>95</v>
      </c>
      <c r="E3635" t="s">
        <v>18</v>
      </c>
      <c r="F3635">
        <v>603.74</v>
      </c>
      <c r="G3635">
        <v>165.18</v>
      </c>
      <c r="H3635" t="s">
        <v>28</v>
      </c>
      <c r="I3635" t="s">
        <v>20</v>
      </c>
    </row>
    <row r="3636" spans="1:9" x14ac:dyDescent="0.35">
      <c r="A3636" t="s">
        <v>3672</v>
      </c>
      <c r="B3636" s="1">
        <v>45163</v>
      </c>
      <c r="C3636" t="s">
        <v>25</v>
      </c>
      <c r="D3636" t="s">
        <v>23</v>
      </c>
      <c r="E3636" t="s">
        <v>18</v>
      </c>
      <c r="F3636">
        <v>763.73</v>
      </c>
      <c r="G3636">
        <v>91.31</v>
      </c>
      <c r="H3636" t="s">
        <v>28</v>
      </c>
      <c r="I3636" t="s">
        <v>34</v>
      </c>
    </row>
    <row r="3637" spans="1:9" x14ac:dyDescent="0.35">
      <c r="A3637" t="s">
        <v>3673</v>
      </c>
      <c r="B3637" s="1">
        <v>45172</v>
      </c>
      <c r="C3637" t="s">
        <v>16</v>
      </c>
      <c r="D3637" t="s">
        <v>73</v>
      </c>
      <c r="E3637" t="s">
        <v>27</v>
      </c>
      <c r="F3637">
        <v>748.79</v>
      </c>
      <c r="G3637">
        <v>218.63</v>
      </c>
      <c r="H3637" t="s">
        <v>13</v>
      </c>
      <c r="I3637" t="s">
        <v>14</v>
      </c>
    </row>
    <row r="3638" spans="1:9" x14ac:dyDescent="0.35">
      <c r="A3638" t="s">
        <v>3674</v>
      </c>
      <c r="B3638" s="1">
        <v>45473</v>
      </c>
      <c r="C3638" t="s">
        <v>25</v>
      </c>
      <c r="D3638" t="s">
        <v>46</v>
      </c>
      <c r="E3638" t="s">
        <v>18</v>
      </c>
      <c r="F3638">
        <v>1897.36</v>
      </c>
      <c r="G3638">
        <v>209.08</v>
      </c>
      <c r="H3638" t="s">
        <v>28</v>
      </c>
      <c r="I3638" t="s">
        <v>20</v>
      </c>
    </row>
    <row r="3639" spans="1:9" x14ac:dyDescent="0.35">
      <c r="A3639" t="s">
        <v>3675</v>
      </c>
      <c r="B3639" s="1">
        <v>44813</v>
      </c>
      <c r="C3639" t="s">
        <v>16</v>
      </c>
      <c r="D3639" t="s">
        <v>57</v>
      </c>
      <c r="E3639" t="s">
        <v>27</v>
      </c>
      <c r="F3639">
        <v>112.8</v>
      </c>
      <c r="G3639">
        <v>15.41</v>
      </c>
      <c r="H3639" t="s">
        <v>13</v>
      </c>
      <c r="I3639" t="s">
        <v>14</v>
      </c>
    </row>
    <row r="3640" spans="1:9" x14ac:dyDescent="0.35">
      <c r="A3640" t="s">
        <v>3676</v>
      </c>
      <c r="B3640" s="1">
        <v>45136</v>
      </c>
      <c r="C3640" t="s">
        <v>10</v>
      </c>
      <c r="D3640" t="s">
        <v>97</v>
      </c>
      <c r="E3640" t="s">
        <v>27</v>
      </c>
      <c r="F3640">
        <v>328.05</v>
      </c>
      <c r="G3640">
        <v>33.79</v>
      </c>
      <c r="H3640" t="s">
        <v>13</v>
      </c>
      <c r="I3640" t="s">
        <v>29</v>
      </c>
    </row>
    <row r="3641" spans="1:9" x14ac:dyDescent="0.35">
      <c r="A3641" t="s">
        <v>3677</v>
      </c>
      <c r="B3641" s="1">
        <v>45064</v>
      </c>
      <c r="C3641" t="s">
        <v>16</v>
      </c>
      <c r="D3641" t="s">
        <v>26</v>
      </c>
      <c r="E3641" t="s">
        <v>27</v>
      </c>
      <c r="F3641">
        <v>1541.55</v>
      </c>
      <c r="G3641">
        <v>289.11</v>
      </c>
      <c r="H3641" t="s">
        <v>19</v>
      </c>
      <c r="I3641" t="s">
        <v>34</v>
      </c>
    </row>
    <row r="3642" spans="1:9" x14ac:dyDescent="0.35">
      <c r="A3642" t="s">
        <v>3678</v>
      </c>
      <c r="B3642" s="1">
        <v>45616</v>
      </c>
      <c r="C3642" t="s">
        <v>22</v>
      </c>
      <c r="D3642" t="s">
        <v>97</v>
      </c>
      <c r="E3642" t="s">
        <v>27</v>
      </c>
      <c r="F3642">
        <v>1465.48</v>
      </c>
      <c r="G3642">
        <v>416.79</v>
      </c>
      <c r="H3642" t="s">
        <v>13</v>
      </c>
      <c r="I3642" t="s">
        <v>29</v>
      </c>
    </row>
    <row r="3643" spans="1:9" x14ac:dyDescent="0.35">
      <c r="A3643" t="s">
        <v>3679</v>
      </c>
      <c r="B3643" s="1">
        <v>45157</v>
      </c>
      <c r="C3643" t="s">
        <v>10</v>
      </c>
      <c r="D3643" t="s">
        <v>73</v>
      </c>
      <c r="E3643" t="s">
        <v>27</v>
      </c>
      <c r="F3643">
        <v>1332.8</v>
      </c>
      <c r="G3643">
        <v>75.069999999999993</v>
      </c>
      <c r="H3643" t="s">
        <v>19</v>
      </c>
      <c r="I3643" t="s">
        <v>20</v>
      </c>
    </row>
    <row r="3644" spans="1:9" x14ac:dyDescent="0.35">
      <c r="A3644" t="s">
        <v>3680</v>
      </c>
      <c r="B3644" s="1">
        <v>45378</v>
      </c>
      <c r="C3644" t="s">
        <v>22</v>
      </c>
      <c r="D3644" t="s">
        <v>33</v>
      </c>
      <c r="E3644" t="s">
        <v>18</v>
      </c>
      <c r="F3644">
        <v>1618.88</v>
      </c>
      <c r="G3644">
        <v>195.82</v>
      </c>
      <c r="H3644" t="s">
        <v>28</v>
      </c>
      <c r="I3644" t="s">
        <v>20</v>
      </c>
    </row>
    <row r="3645" spans="1:9" x14ac:dyDescent="0.35">
      <c r="A3645" t="s">
        <v>3681</v>
      </c>
      <c r="B3645" s="1">
        <v>45614</v>
      </c>
      <c r="C3645" t="s">
        <v>25</v>
      </c>
      <c r="D3645" t="s">
        <v>95</v>
      </c>
      <c r="E3645" t="s">
        <v>18</v>
      </c>
      <c r="F3645">
        <v>287.27999999999997</v>
      </c>
      <c r="G3645">
        <v>53.99</v>
      </c>
      <c r="H3645" t="s">
        <v>28</v>
      </c>
      <c r="I3645" t="s">
        <v>14</v>
      </c>
    </row>
    <row r="3646" spans="1:9" x14ac:dyDescent="0.35">
      <c r="A3646" t="s">
        <v>3682</v>
      </c>
      <c r="B3646" s="1">
        <v>45535</v>
      </c>
      <c r="C3646" t="s">
        <v>16</v>
      </c>
      <c r="D3646" t="s">
        <v>23</v>
      </c>
      <c r="E3646" t="s">
        <v>18</v>
      </c>
      <c r="F3646">
        <v>107.01</v>
      </c>
      <c r="G3646">
        <v>7.89</v>
      </c>
      <c r="H3646" t="s">
        <v>28</v>
      </c>
      <c r="I3646" t="s">
        <v>14</v>
      </c>
    </row>
    <row r="3647" spans="1:9" x14ac:dyDescent="0.35">
      <c r="A3647" t="s">
        <v>3683</v>
      </c>
      <c r="B3647" s="1">
        <v>44909</v>
      </c>
      <c r="C3647" t="s">
        <v>22</v>
      </c>
      <c r="D3647" t="s">
        <v>50</v>
      </c>
      <c r="E3647" t="s">
        <v>12</v>
      </c>
      <c r="F3647">
        <v>887.25</v>
      </c>
      <c r="G3647">
        <v>223.56</v>
      </c>
      <c r="H3647" t="s">
        <v>28</v>
      </c>
      <c r="I3647" t="s">
        <v>14</v>
      </c>
    </row>
    <row r="3648" spans="1:9" x14ac:dyDescent="0.35">
      <c r="A3648" t="s">
        <v>3684</v>
      </c>
      <c r="B3648" s="1">
        <v>45532</v>
      </c>
      <c r="C3648" t="s">
        <v>25</v>
      </c>
      <c r="D3648" t="s">
        <v>46</v>
      </c>
      <c r="E3648" t="s">
        <v>18</v>
      </c>
      <c r="F3648">
        <v>53.01</v>
      </c>
      <c r="G3648">
        <v>9.61</v>
      </c>
      <c r="H3648" t="s">
        <v>19</v>
      </c>
      <c r="I3648" t="s">
        <v>29</v>
      </c>
    </row>
    <row r="3649" spans="1:9" x14ac:dyDescent="0.35">
      <c r="A3649" t="s">
        <v>3685</v>
      </c>
      <c r="B3649" s="1">
        <v>44651</v>
      </c>
      <c r="C3649" t="s">
        <v>22</v>
      </c>
      <c r="D3649" t="s">
        <v>17</v>
      </c>
      <c r="E3649" t="s">
        <v>18</v>
      </c>
      <c r="F3649">
        <v>306.68</v>
      </c>
      <c r="G3649">
        <v>60.8</v>
      </c>
      <c r="H3649" t="s">
        <v>28</v>
      </c>
      <c r="I3649" t="s">
        <v>29</v>
      </c>
    </row>
    <row r="3650" spans="1:9" x14ac:dyDescent="0.35">
      <c r="A3650" t="s">
        <v>3686</v>
      </c>
      <c r="B3650" s="1">
        <v>44806</v>
      </c>
      <c r="C3650" t="s">
        <v>10</v>
      </c>
      <c r="D3650" t="s">
        <v>57</v>
      </c>
      <c r="E3650" t="s">
        <v>27</v>
      </c>
      <c r="F3650">
        <v>1370.74</v>
      </c>
      <c r="G3650">
        <v>129.82</v>
      </c>
      <c r="H3650" t="s">
        <v>19</v>
      </c>
      <c r="I3650" t="s">
        <v>14</v>
      </c>
    </row>
    <row r="3651" spans="1:9" x14ac:dyDescent="0.35">
      <c r="A3651" t="s">
        <v>3687</v>
      </c>
      <c r="B3651" s="1">
        <v>45543</v>
      </c>
      <c r="C3651" t="s">
        <v>22</v>
      </c>
      <c r="D3651" t="s">
        <v>31</v>
      </c>
      <c r="E3651" t="s">
        <v>12</v>
      </c>
      <c r="F3651">
        <v>1930.85</v>
      </c>
      <c r="G3651">
        <v>370.04</v>
      </c>
      <c r="H3651" t="s">
        <v>28</v>
      </c>
      <c r="I3651" t="s">
        <v>34</v>
      </c>
    </row>
    <row r="3652" spans="1:9" x14ac:dyDescent="0.35">
      <c r="A3652" t="s">
        <v>3688</v>
      </c>
      <c r="B3652" s="1">
        <v>45531</v>
      </c>
      <c r="C3652" t="s">
        <v>16</v>
      </c>
      <c r="D3652" t="s">
        <v>23</v>
      </c>
      <c r="E3652" t="s">
        <v>18</v>
      </c>
      <c r="F3652">
        <v>122.54</v>
      </c>
      <c r="G3652">
        <v>18.93</v>
      </c>
      <c r="H3652" t="s">
        <v>19</v>
      </c>
      <c r="I3652" t="s">
        <v>34</v>
      </c>
    </row>
    <row r="3653" spans="1:9" x14ac:dyDescent="0.35">
      <c r="A3653" t="s">
        <v>3689</v>
      </c>
      <c r="B3653" s="1">
        <v>44791</v>
      </c>
      <c r="C3653" t="s">
        <v>16</v>
      </c>
      <c r="D3653" t="s">
        <v>62</v>
      </c>
      <c r="E3653" t="s">
        <v>27</v>
      </c>
      <c r="F3653">
        <v>1608.97</v>
      </c>
      <c r="G3653">
        <v>179.03</v>
      </c>
      <c r="H3653" t="s">
        <v>19</v>
      </c>
      <c r="I3653" t="s">
        <v>20</v>
      </c>
    </row>
    <row r="3654" spans="1:9" x14ac:dyDescent="0.35">
      <c r="A3654" t="s">
        <v>3690</v>
      </c>
      <c r="B3654" s="1">
        <v>44696</v>
      </c>
      <c r="C3654" t="s">
        <v>22</v>
      </c>
      <c r="D3654" t="s">
        <v>41</v>
      </c>
      <c r="E3654" t="s">
        <v>12</v>
      </c>
      <c r="F3654">
        <v>163.69</v>
      </c>
      <c r="G3654">
        <v>16.54</v>
      </c>
      <c r="H3654" t="s">
        <v>13</v>
      </c>
      <c r="I3654" t="s">
        <v>29</v>
      </c>
    </row>
    <row r="3655" spans="1:9" x14ac:dyDescent="0.35">
      <c r="A3655" t="s">
        <v>3691</v>
      </c>
      <c r="B3655" s="1">
        <v>45102</v>
      </c>
      <c r="C3655" t="s">
        <v>10</v>
      </c>
      <c r="D3655" t="s">
        <v>46</v>
      </c>
      <c r="E3655" t="s">
        <v>18</v>
      </c>
      <c r="F3655">
        <v>918.89</v>
      </c>
      <c r="G3655">
        <v>209.75</v>
      </c>
      <c r="H3655" t="s">
        <v>13</v>
      </c>
      <c r="I3655" t="s">
        <v>20</v>
      </c>
    </row>
    <row r="3656" spans="1:9" x14ac:dyDescent="0.35">
      <c r="A3656" t="s">
        <v>3692</v>
      </c>
      <c r="B3656" s="1">
        <v>44641</v>
      </c>
      <c r="C3656" t="s">
        <v>10</v>
      </c>
      <c r="D3656" t="s">
        <v>41</v>
      </c>
      <c r="E3656" t="s">
        <v>12</v>
      </c>
      <c r="F3656">
        <v>407.23</v>
      </c>
      <c r="G3656">
        <v>31.33</v>
      </c>
      <c r="H3656" t="s">
        <v>19</v>
      </c>
      <c r="I3656" t="s">
        <v>20</v>
      </c>
    </row>
    <row r="3657" spans="1:9" x14ac:dyDescent="0.35">
      <c r="A3657" t="s">
        <v>3693</v>
      </c>
      <c r="B3657" s="1">
        <v>45281</v>
      </c>
      <c r="C3657" t="s">
        <v>22</v>
      </c>
      <c r="D3657" t="s">
        <v>95</v>
      </c>
      <c r="E3657" t="s">
        <v>18</v>
      </c>
      <c r="F3657">
        <v>272.45999999999998</v>
      </c>
      <c r="G3657">
        <v>20.57</v>
      </c>
      <c r="H3657" t="s">
        <v>28</v>
      </c>
      <c r="I3657" t="s">
        <v>14</v>
      </c>
    </row>
    <row r="3658" spans="1:9" x14ac:dyDescent="0.35">
      <c r="A3658" t="s">
        <v>3694</v>
      </c>
      <c r="B3658" s="1">
        <v>44908</v>
      </c>
      <c r="C3658" t="s">
        <v>10</v>
      </c>
      <c r="D3658" t="s">
        <v>46</v>
      </c>
      <c r="E3658" t="s">
        <v>18</v>
      </c>
      <c r="F3658">
        <v>958.24</v>
      </c>
      <c r="G3658">
        <v>249.8</v>
      </c>
      <c r="H3658" t="s">
        <v>13</v>
      </c>
      <c r="I3658" t="s">
        <v>14</v>
      </c>
    </row>
    <row r="3659" spans="1:9" x14ac:dyDescent="0.35">
      <c r="A3659" t="s">
        <v>3695</v>
      </c>
      <c r="B3659" s="1">
        <v>44652</v>
      </c>
      <c r="C3659" t="s">
        <v>10</v>
      </c>
      <c r="D3659" t="s">
        <v>50</v>
      </c>
      <c r="E3659" t="s">
        <v>12</v>
      </c>
      <c r="F3659">
        <v>521.66</v>
      </c>
      <c r="G3659">
        <v>107.8</v>
      </c>
      <c r="H3659" t="s">
        <v>13</v>
      </c>
      <c r="I3659" t="s">
        <v>14</v>
      </c>
    </row>
    <row r="3660" spans="1:9" x14ac:dyDescent="0.35">
      <c r="A3660" t="s">
        <v>3696</v>
      </c>
      <c r="B3660" s="1">
        <v>45034</v>
      </c>
      <c r="C3660" t="s">
        <v>10</v>
      </c>
      <c r="D3660" t="s">
        <v>11</v>
      </c>
      <c r="E3660" t="s">
        <v>12</v>
      </c>
      <c r="F3660">
        <v>1285.57</v>
      </c>
      <c r="G3660">
        <v>210.41</v>
      </c>
      <c r="H3660" t="s">
        <v>28</v>
      </c>
      <c r="I3660" t="s">
        <v>14</v>
      </c>
    </row>
    <row r="3661" spans="1:9" x14ac:dyDescent="0.35">
      <c r="A3661" t="s">
        <v>3697</v>
      </c>
      <c r="B3661" s="1">
        <v>45062</v>
      </c>
      <c r="C3661" t="s">
        <v>25</v>
      </c>
      <c r="D3661" t="s">
        <v>46</v>
      </c>
      <c r="E3661" t="s">
        <v>18</v>
      </c>
      <c r="F3661">
        <v>718.06</v>
      </c>
      <c r="G3661">
        <v>142.88</v>
      </c>
      <c r="H3661" t="s">
        <v>13</v>
      </c>
      <c r="I3661" t="s">
        <v>34</v>
      </c>
    </row>
    <row r="3662" spans="1:9" x14ac:dyDescent="0.35">
      <c r="A3662" t="s">
        <v>3698</v>
      </c>
      <c r="B3662" s="1">
        <v>44579</v>
      </c>
      <c r="C3662" t="s">
        <v>10</v>
      </c>
      <c r="D3662" t="s">
        <v>97</v>
      </c>
      <c r="E3662" t="s">
        <v>27</v>
      </c>
      <c r="F3662">
        <v>1836.42</v>
      </c>
      <c r="G3662">
        <v>427.5</v>
      </c>
      <c r="H3662" t="s">
        <v>28</v>
      </c>
      <c r="I3662" t="s">
        <v>14</v>
      </c>
    </row>
    <row r="3663" spans="1:9" x14ac:dyDescent="0.35">
      <c r="A3663" t="s">
        <v>3699</v>
      </c>
      <c r="B3663" s="1">
        <v>45273</v>
      </c>
      <c r="C3663" t="s">
        <v>10</v>
      </c>
      <c r="D3663" t="s">
        <v>41</v>
      </c>
      <c r="E3663" t="s">
        <v>12</v>
      </c>
      <c r="F3663">
        <v>867.52</v>
      </c>
      <c r="G3663">
        <v>124.35</v>
      </c>
      <c r="H3663" t="s">
        <v>19</v>
      </c>
      <c r="I3663" t="s">
        <v>34</v>
      </c>
    </row>
    <row r="3664" spans="1:9" x14ac:dyDescent="0.35">
      <c r="A3664" t="s">
        <v>3700</v>
      </c>
      <c r="B3664" s="1">
        <v>45052</v>
      </c>
      <c r="C3664" t="s">
        <v>25</v>
      </c>
      <c r="D3664" t="s">
        <v>23</v>
      </c>
      <c r="E3664" t="s">
        <v>18</v>
      </c>
      <c r="F3664">
        <v>853.05</v>
      </c>
      <c r="G3664">
        <v>93.98</v>
      </c>
      <c r="H3664" t="s">
        <v>28</v>
      </c>
      <c r="I3664" t="s">
        <v>20</v>
      </c>
    </row>
    <row r="3665" spans="1:9" x14ac:dyDescent="0.35">
      <c r="A3665" t="s">
        <v>3701</v>
      </c>
      <c r="B3665" s="1">
        <v>45107</v>
      </c>
      <c r="C3665" t="s">
        <v>16</v>
      </c>
      <c r="D3665" t="s">
        <v>73</v>
      </c>
      <c r="E3665" t="s">
        <v>27</v>
      </c>
      <c r="F3665">
        <v>1465.46</v>
      </c>
      <c r="G3665">
        <v>96.71</v>
      </c>
      <c r="H3665" t="s">
        <v>19</v>
      </c>
      <c r="I3665" t="s">
        <v>20</v>
      </c>
    </row>
    <row r="3666" spans="1:9" x14ac:dyDescent="0.35">
      <c r="A3666" t="s">
        <v>3702</v>
      </c>
      <c r="B3666" s="1">
        <v>45454</v>
      </c>
      <c r="C3666" t="s">
        <v>16</v>
      </c>
      <c r="D3666" t="s">
        <v>95</v>
      </c>
      <c r="E3666" t="s">
        <v>18</v>
      </c>
      <c r="F3666">
        <v>821.38</v>
      </c>
      <c r="G3666">
        <v>163.69</v>
      </c>
      <c r="H3666" t="s">
        <v>19</v>
      </c>
      <c r="I3666" t="s">
        <v>20</v>
      </c>
    </row>
    <row r="3667" spans="1:9" x14ac:dyDescent="0.35">
      <c r="A3667" t="s">
        <v>3703</v>
      </c>
      <c r="B3667" s="1">
        <v>44637</v>
      </c>
      <c r="C3667" t="s">
        <v>16</v>
      </c>
      <c r="D3667" t="s">
        <v>73</v>
      </c>
      <c r="E3667" t="s">
        <v>27</v>
      </c>
      <c r="F3667">
        <v>60.94</v>
      </c>
      <c r="G3667">
        <v>10.51</v>
      </c>
      <c r="H3667" t="s">
        <v>19</v>
      </c>
      <c r="I3667" t="s">
        <v>20</v>
      </c>
    </row>
    <row r="3668" spans="1:9" x14ac:dyDescent="0.35">
      <c r="A3668" t="s">
        <v>3704</v>
      </c>
      <c r="B3668" s="1">
        <v>45182</v>
      </c>
      <c r="C3668" t="s">
        <v>16</v>
      </c>
      <c r="D3668" t="s">
        <v>97</v>
      </c>
      <c r="E3668" t="s">
        <v>27</v>
      </c>
      <c r="F3668">
        <v>743.53</v>
      </c>
      <c r="G3668">
        <v>60.97</v>
      </c>
      <c r="H3668" t="s">
        <v>19</v>
      </c>
      <c r="I3668" t="s">
        <v>14</v>
      </c>
    </row>
    <row r="3669" spans="1:9" x14ac:dyDescent="0.35">
      <c r="A3669" t="s">
        <v>3705</v>
      </c>
      <c r="B3669" s="1">
        <v>45048</v>
      </c>
      <c r="C3669" t="s">
        <v>10</v>
      </c>
      <c r="D3669" t="s">
        <v>62</v>
      </c>
      <c r="E3669" t="s">
        <v>27</v>
      </c>
      <c r="F3669">
        <v>715.16</v>
      </c>
      <c r="G3669">
        <v>109.35</v>
      </c>
      <c r="H3669" t="s">
        <v>19</v>
      </c>
      <c r="I3669" t="s">
        <v>34</v>
      </c>
    </row>
    <row r="3670" spans="1:9" x14ac:dyDescent="0.35">
      <c r="A3670" t="s">
        <v>3706</v>
      </c>
      <c r="B3670" s="1">
        <v>45058</v>
      </c>
      <c r="C3670" t="s">
        <v>10</v>
      </c>
      <c r="D3670" t="s">
        <v>57</v>
      </c>
      <c r="E3670" t="s">
        <v>27</v>
      </c>
      <c r="F3670">
        <v>1791.05</v>
      </c>
      <c r="G3670">
        <v>319.74</v>
      </c>
      <c r="H3670" t="s">
        <v>28</v>
      </c>
      <c r="I3670" t="s">
        <v>14</v>
      </c>
    </row>
    <row r="3671" spans="1:9" x14ac:dyDescent="0.35">
      <c r="A3671" t="s">
        <v>3707</v>
      </c>
      <c r="B3671" s="1">
        <v>44761</v>
      </c>
      <c r="C3671" t="s">
        <v>10</v>
      </c>
      <c r="D3671" t="s">
        <v>50</v>
      </c>
      <c r="E3671" t="s">
        <v>12</v>
      </c>
      <c r="F3671">
        <v>233.85</v>
      </c>
      <c r="G3671">
        <v>68.97</v>
      </c>
      <c r="H3671" t="s">
        <v>13</v>
      </c>
      <c r="I3671" t="s">
        <v>29</v>
      </c>
    </row>
    <row r="3672" spans="1:9" x14ac:dyDescent="0.35">
      <c r="A3672" t="s">
        <v>3708</v>
      </c>
      <c r="B3672" s="1">
        <v>44574</v>
      </c>
      <c r="C3672" t="s">
        <v>25</v>
      </c>
      <c r="D3672" t="s">
        <v>97</v>
      </c>
      <c r="E3672" t="s">
        <v>27</v>
      </c>
      <c r="F3672">
        <v>1346.5</v>
      </c>
      <c r="G3672">
        <v>100.3</v>
      </c>
      <c r="H3672" t="s">
        <v>28</v>
      </c>
      <c r="I3672" t="s">
        <v>29</v>
      </c>
    </row>
    <row r="3673" spans="1:9" x14ac:dyDescent="0.35">
      <c r="A3673" t="s">
        <v>3709</v>
      </c>
      <c r="B3673" s="1">
        <v>44768</v>
      </c>
      <c r="C3673" t="s">
        <v>10</v>
      </c>
      <c r="D3673" t="s">
        <v>97</v>
      </c>
      <c r="E3673" t="s">
        <v>27</v>
      </c>
      <c r="F3673">
        <v>1388.96</v>
      </c>
      <c r="G3673">
        <v>169.16</v>
      </c>
      <c r="H3673" t="s">
        <v>19</v>
      </c>
      <c r="I3673" t="s">
        <v>14</v>
      </c>
    </row>
    <row r="3674" spans="1:9" x14ac:dyDescent="0.35">
      <c r="A3674" t="s">
        <v>3710</v>
      </c>
      <c r="B3674" s="1">
        <v>45565</v>
      </c>
      <c r="C3674" t="s">
        <v>25</v>
      </c>
      <c r="D3674" t="s">
        <v>11</v>
      </c>
      <c r="E3674" t="s">
        <v>12</v>
      </c>
      <c r="F3674">
        <v>615.44000000000005</v>
      </c>
      <c r="G3674">
        <v>183.48</v>
      </c>
      <c r="H3674" t="s">
        <v>13</v>
      </c>
      <c r="I3674" t="s">
        <v>14</v>
      </c>
    </row>
    <row r="3675" spans="1:9" x14ac:dyDescent="0.35">
      <c r="A3675" t="s">
        <v>3711</v>
      </c>
      <c r="B3675" s="1">
        <v>45563</v>
      </c>
      <c r="C3675" t="s">
        <v>10</v>
      </c>
      <c r="D3675" t="s">
        <v>31</v>
      </c>
      <c r="E3675" t="s">
        <v>12</v>
      </c>
      <c r="F3675">
        <v>1702.32</v>
      </c>
      <c r="G3675">
        <v>458.9</v>
      </c>
      <c r="H3675" t="s">
        <v>13</v>
      </c>
      <c r="I3675" t="s">
        <v>14</v>
      </c>
    </row>
    <row r="3676" spans="1:9" x14ac:dyDescent="0.35">
      <c r="A3676" t="s">
        <v>3712</v>
      </c>
      <c r="B3676" s="1">
        <v>44584</v>
      </c>
      <c r="C3676" t="s">
        <v>25</v>
      </c>
      <c r="D3676" t="s">
        <v>31</v>
      </c>
      <c r="E3676" t="s">
        <v>12</v>
      </c>
      <c r="F3676">
        <v>1707.06</v>
      </c>
      <c r="G3676">
        <v>133.84</v>
      </c>
      <c r="H3676" t="s">
        <v>28</v>
      </c>
      <c r="I3676" t="s">
        <v>20</v>
      </c>
    </row>
    <row r="3677" spans="1:9" x14ac:dyDescent="0.35">
      <c r="A3677" t="s">
        <v>3713</v>
      </c>
      <c r="B3677" s="1">
        <v>44631</v>
      </c>
      <c r="C3677" t="s">
        <v>10</v>
      </c>
      <c r="D3677" t="s">
        <v>38</v>
      </c>
      <c r="E3677" t="s">
        <v>12</v>
      </c>
      <c r="F3677">
        <v>832.26</v>
      </c>
      <c r="G3677">
        <v>95.81</v>
      </c>
      <c r="H3677" t="s">
        <v>19</v>
      </c>
      <c r="I3677" t="s">
        <v>29</v>
      </c>
    </row>
    <row r="3678" spans="1:9" x14ac:dyDescent="0.35">
      <c r="A3678" t="s">
        <v>3714</v>
      </c>
      <c r="B3678" s="1">
        <v>44810</v>
      </c>
      <c r="C3678" t="s">
        <v>16</v>
      </c>
      <c r="D3678" t="s">
        <v>31</v>
      </c>
      <c r="E3678" t="s">
        <v>12</v>
      </c>
      <c r="F3678">
        <v>1033.67</v>
      </c>
      <c r="G3678">
        <v>67.23</v>
      </c>
      <c r="H3678" t="s">
        <v>19</v>
      </c>
      <c r="I3678" t="s">
        <v>20</v>
      </c>
    </row>
    <row r="3679" spans="1:9" x14ac:dyDescent="0.35">
      <c r="A3679" t="s">
        <v>3715</v>
      </c>
      <c r="B3679" s="1">
        <v>45423</v>
      </c>
      <c r="C3679" t="s">
        <v>16</v>
      </c>
      <c r="D3679" t="s">
        <v>57</v>
      </c>
      <c r="E3679" t="s">
        <v>27</v>
      </c>
      <c r="F3679">
        <v>1398.98</v>
      </c>
      <c r="G3679">
        <v>188.85</v>
      </c>
      <c r="H3679" t="s">
        <v>13</v>
      </c>
      <c r="I3679" t="s">
        <v>20</v>
      </c>
    </row>
    <row r="3680" spans="1:9" x14ac:dyDescent="0.35">
      <c r="A3680" t="s">
        <v>3716</v>
      </c>
      <c r="B3680" s="1">
        <v>44776</v>
      </c>
      <c r="C3680" t="s">
        <v>22</v>
      </c>
      <c r="D3680" t="s">
        <v>73</v>
      </c>
      <c r="E3680" t="s">
        <v>27</v>
      </c>
      <c r="F3680">
        <v>1738.52</v>
      </c>
      <c r="G3680">
        <v>395.92</v>
      </c>
      <c r="H3680" t="s">
        <v>19</v>
      </c>
      <c r="I3680" t="s">
        <v>14</v>
      </c>
    </row>
    <row r="3681" spans="1:9" x14ac:dyDescent="0.35">
      <c r="A3681" t="s">
        <v>3717</v>
      </c>
      <c r="B3681" s="1">
        <v>44670</v>
      </c>
      <c r="C3681" t="s">
        <v>16</v>
      </c>
      <c r="D3681" t="s">
        <v>95</v>
      </c>
      <c r="E3681" t="s">
        <v>18</v>
      </c>
      <c r="F3681">
        <v>643.86</v>
      </c>
      <c r="G3681">
        <v>159.6</v>
      </c>
      <c r="H3681" t="s">
        <v>28</v>
      </c>
      <c r="I3681" t="s">
        <v>14</v>
      </c>
    </row>
    <row r="3682" spans="1:9" x14ac:dyDescent="0.35">
      <c r="A3682" t="s">
        <v>3718</v>
      </c>
      <c r="B3682" s="1">
        <v>45408</v>
      </c>
      <c r="C3682" t="s">
        <v>10</v>
      </c>
      <c r="D3682" t="s">
        <v>11</v>
      </c>
      <c r="E3682" t="s">
        <v>12</v>
      </c>
      <c r="F3682">
        <v>58.96</v>
      </c>
      <c r="G3682">
        <v>14.71</v>
      </c>
      <c r="H3682" t="s">
        <v>13</v>
      </c>
      <c r="I3682" t="s">
        <v>29</v>
      </c>
    </row>
    <row r="3683" spans="1:9" x14ac:dyDescent="0.35">
      <c r="A3683" t="s">
        <v>3719</v>
      </c>
      <c r="B3683" s="1">
        <v>45223</v>
      </c>
      <c r="C3683" t="s">
        <v>22</v>
      </c>
      <c r="D3683" t="s">
        <v>23</v>
      </c>
      <c r="E3683" t="s">
        <v>18</v>
      </c>
      <c r="F3683">
        <v>454.12</v>
      </c>
      <c r="G3683">
        <v>31.71</v>
      </c>
      <c r="H3683" t="s">
        <v>19</v>
      </c>
      <c r="I3683" t="s">
        <v>14</v>
      </c>
    </row>
    <row r="3684" spans="1:9" x14ac:dyDescent="0.35">
      <c r="A3684" t="s">
        <v>3720</v>
      </c>
      <c r="B3684" s="1">
        <v>45061</v>
      </c>
      <c r="C3684" t="s">
        <v>22</v>
      </c>
      <c r="D3684" t="s">
        <v>95</v>
      </c>
      <c r="E3684" t="s">
        <v>18</v>
      </c>
      <c r="F3684">
        <v>1561.54</v>
      </c>
      <c r="G3684">
        <v>392.57</v>
      </c>
      <c r="H3684" t="s">
        <v>13</v>
      </c>
      <c r="I3684" t="s">
        <v>29</v>
      </c>
    </row>
    <row r="3685" spans="1:9" x14ac:dyDescent="0.35">
      <c r="A3685" t="s">
        <v>3721</v>
      </c>
      <c r="B3685" s="1">
        <v>44597</v>
      </c>
      <c r="C3685" t="s">
        <v>25</v>
      </c>
      <c r="D3685" t="s">
        <v>33</v>
      </c>
      <c r="E3685" t="s">
        <v>18</v>
      </c>
      <c r="F3685">
        <v>1451.05</v>
      </c>
      <c r="G3685">
        <v>399.4</v>
      </c>
      <c r="H3685" t="s">
        <v>28</v>
      </c>
      <c r="I3685" t="s">
        <v>20</v>
      </c>
    </row>
    <row r="3686" spans="1:9" x14ac:dyDescent="0.35">
      <c r="A3686" t="s">
        <v>3722</v>
      </c>
      <c r="B3686" s="1">
        <v>45639</v>
      </c>
      <c r="C3686" t="s">
        <v>22</v>
      </c>
      <c r="D3686" t="s">
        <v>31</v>
      </c>
      <c r="E3686" t="s">
        <v>12</v>
      </c>
      <c r="F3686">
        <v>1321.65</v>
      </c>
      <c r="G3686">
        <v>350.2</v>
      </c>
      <c r="H3686" t="s">
        <v>28</v>
      </c>
      <c r="I3686" t="s">
        <v>29</v>
      </c>
    </row>
    <row r="3687" spans="1:9" x14ac:dyDescent="0.35">
      <c r="A3687" t="s">
        <v>3723</v>
      </c>
      <c r="B3687" s="1">
        <v>45534</v>
      </c>
      <c r="C3687" t="s">
        <v>16</v>
      </c>
      <c r="D3687" t="s">
        <v>17</v>
      </c>
      <c r="E3687" t="s">
        <v>18</v>
      </c>
      <c r="F3687">
        <v>439.12</v>
      </c>
      <c r="G3687">
        <v>117.94</v>
      </c>
      <c r="H3687" t="s">
        <v>28</v>
      </c>
      <c r="I3687" t="s">
        <v>34</v>
      </c>
    </row>
    <row r="3688" spans="1:9" x14ac:dyDescent="0.35">
      <c r="A3688" t="s">
        <v>3724</v>
      </c>
      <c r="B3688" s="1">
        <v>44604</v>
      </c>
      <c r="C3688" t="s">
        <v>22</v>
      </c>
      <c r="D3688" t="s">
        <v>46</v>
      </c>
      <c r="E3688" t="s">
        <v>18</v>
      </c>
      <c r="F3688">
        <v>667.8</v>
      </c>
      <c r="G3688">
        <v>72.430000000000007</v>
      </c>
      <c r="H3688" t="s">
        <v>28</v>
      </c>
      <c r="I3688" t="s">
        <v>20</v>
      </c>
    </row>
    <row r="3689" spans="1:9" x14ac:dyDescent="0.35">
      <c r="A3689" t="s">
        <v>3725</v>
      </c>
      <c r="B3689" s="1">
        <v>45344</v>
      </c>
      <c r="C3689" t="s">
        <v>10</v>
      </c>
      <c r="D3689" t="s">
        <v>17</v>
      </c>
      <c r="E3689" t="s">
        <v>18</v>
      </c>
      <c r="F3689">
        <v>853.37</v>
      </c>
      <c r="G3689">
        <v>86.81</v>
      </c>
      <c r="H3689" t="s">
        <v>28</v>
      </c>
      <c r="I3689" t="s">
        <v>20</v>
      </c>
    </row>
    <row r="3690" spans="1:9" x14ac:dyDescent="0.35">
      <c r="A3690" t="s">
        <v>3726</v>
      </c>
      <c r="B3690" s="1">
        <v>44894</v>
      </c>
      <c r="C3690" t="s">
        <v>10</v>
      </c>
      <c r="D3690" t="s">
        <v>46</v>
      </c>
      <c r="E3690" t="s">
        <v>18</v>
      </c>
      <c r="F3690">
        <v>531.79</v>
      </c>
      <c r="G3690">
        <v>49.87</v>
      </c>
      <c r="H3690" t="s">
        <v>28</v>
      </c>
      <c r="I3690" t="s">
        <v>29</v>
      </c>
    </row>
    <row r="3691" spans="1:9" x14ac:dyDescent="0.35">
      <c r="A3691" t="s">
        <v>3727</v>
      </c>
      <c r="B3691" s="1">
        <v>45498</v>
      </c>
      <c r="C3691" t="s">
        <v>16</v>
      </c>
      <c r="D3691" t="s">
        <v>57</v>
      </c>
      <c r="E3691" t="s">
        <v>27</v>
      </c>
      <c r="F3691">
        <v>445.16</v>
      </c>
      <c r="G3691">
        <v>113.83</v>
      </c>
      <c r="H3691" t="s">
        <v>13</v>
      </c>
      <c r="I3691" t="s">
        <v>20</v>
      </c>
    </row>
    <row r="3692" spans="1:9" x14ac:dyDescent="0.35">
      <c r="A3692" t="s">
        <v>3728</v>
      </c>
      <c r="B3692" s="1">
        <v>45033</v>
      </c>
      <c r="C3692" t="s">
        <v>16</v>
      </c>
      <c r="D3692" t="s">
        <v>46</v>
      </c>
      <c r="E3692" t="s">
        <v>18</v>
      </c>
      <c r="F3692">
        <v>875.8</v>
      </c>
      <c r="G3692">
        <v>183.95</v>
      </c>
      <c r="H3692" t="s">
        <v>19</v>
      </c>
      <c r="I3692" t="s">
        <v>29</v>
      </c>
    </row>
    <row r="3693" spans="1:9" x14ac:dyDescent="0.35">
      <c r="A3693" t="s">
        <v>3729</v>
      </c>
      <c r="B3693" s="1">
        <v>45256</v>
      </c>
      <c r="C3693" t="s">
        <v>10</v>
      </c>
      <c r="D3693" t="s">
        <v>95</v>
      </c>
      <c r="E3693" t="s">
        <v>18</v>
      </c>
      <c r="F3693">
        <v>1071.4100000000001</v>
      </c>
      <c r="G3693">
        <v>69.77</v>
      </c>
      <c r="H3693" t="s">
        <v>19</v>
      </c>
      <c r="I3693" t="s">
        <v>14</v>
      </c>
    </row>
    <row r="3694" spans="1:9" x14ac:dyDescent="0.35">
      <c r="A3694" t="s">
        <v>3730</v>
      </c>
      <c r="B3694" s="1">
        <v>44672</v>
      </c>
      <c r="C3694" t="s">
        <v>10</v>
      </c>
      <c r="D3694" t="s">
        <v>23</v>
      </c>
      <c r="E3694" t="s">
        <v>18</v>
      </c>
      <c r="F3694">
        <v>722.11</v>
      </c>
      <c r="G3694">
        <v>122.46</v>
      </c>
      <c r="H3694" t="s">
        <v>19</v>
      </c>
      <c r="I3694" t="s">
        <v>29</v>
      </c>
    </row>
    <row r="3695" spans="1:9" x14ac:dyDescent="0.35">
      <c r="A3695" t="s">
        <v>3731</v>
      </c>
      <c r="B3695" s="1">
        <v>44806</v>
      </c>
      <c r="C3695" t="s">
        <v>16</v>
      </c>
      <c r="D3695" t="s">
        <v>38</v>
      </c>
      <c r="E3695" t="s">
        <v>12</v>
      </c>
      <c r="F3695">
        <v>153.6</v>
      </c>
      <c r="G3695">
        <v>19.3</v>
      </c>
      <c r="H3695" t="s">
        <v>19</v>
      </c>
      <c r="I3695" t="s">
        <v>14</v>
      </c>
    </row>
    <row r="3696" spans="1:9" x14ac:dyDescent="0.35">
      <c r="A3696" t="s">
        <v>3732</v>
      </c>
      <c r="B3696" s="1">
        <v>45021</v>
      </c>
      <c r="C3696" t="s">
        <v>10</v>
      </c>
      <c r="D3696" t="s">
        <v>57</v>
      </c>
      <c r="E3696" t="s">
        <v>27</v>
      </c>
      <c r="F3696">
        <v>993.52</v>
      </c>
      <c r="G3696">
        <v>113.32</v>
      </c>
      <c r="H3696" t="s">
        <v>28</v>
      </c>
      <c r="I3696" t="s">
        <v>29</v>
      </c>
    </row>
    <row r="3697" spans="1:9" x14ac:dyDescent="0.35">
      <c r="A3697" t="s">
        <v>3733</v>
      </c>
      <c r="B3697" s="1">
        <v>45389</v>
      </c>
      <c r="C3697" t="s">
        <v>10</v>
      </c>
      <c r="D3697" t="s">
        <v>33</v>
      </c>
      <c r="E3697" t="s">
        <v>18</v>
      </c>
      <c r="F3697">
        <v>470.43</v>
      </c>
      <c r="G3697">
        <v>133.66</v>
      </c>
      <c r="H3697" t="s">
        <v>13</v>
      </c>
      <c r="I3697" t="s">
        <v>14</v>
      </c>
    </row>
    <row r="3698" spans="1:9" x14ac:dyDescent="0.35">
      <c r="A3698" t="s">
        <v>3734</v>
      </c>
      <c r="B3698" s="1">
        <v>45431</v>
      </c>
      <c r="C3698" t="s">
        <v>22</v>
      </c>
      <c r="D3698" t="s">
        <v>73</v>
      </c>
      <c r="E3698" t="s">
        <v>27</v>
      </c>
      <c r="F3698">
        <v>434.68</v>
      </c>
      <c r="G3698">
        <v>31.87</v>
      </c>
      <c r="H3698" t="s">
        <v>28</v>
      </c>
      <c r="I3698" t="s">
        <v>34</v>
      </c>
    </row>
    <row r="3699" spans="1:9" x14ac:dyDescent="0.35">
      <c r="A3699" t="s">
        <v>3735</v>
      </c>
      <c r="B3699" s="1">
        <v>44829</v>
      </c>
      <c r="C3699" t="s">
        <v>25</v>
      </c>
      <c r="D3699" t="s">
        <v>23</v>
      </c>
      <c r="E3699" t="s">
        <v>18</v>
      </c>
      <c r="F3699">
        <v>458.46</v>
      </c>
      <c r="G3699">
        <v>48.85</v>
      </c>
      <c r="H3699" t="s">
        <v>13</v>
      </c>
      <c r="I3699" t="s">
        <v>20</v>
      </c>
    </row>
    <row r="3700" spans="1:9" x14ac:dyDescent="0.35">
      <c r="A3700" t="s">
        <v>3736</v>
      </c>
      <c r="B3700" s="1">
        <v>45272</v>
      </c>
      <c r="C3700" t="s">
        <v>22</v>
      </c>
      <c r="D3700" t="s">
        <v>31</v>
      </c>
      <c r="E3700" t="s">
        <v>12</v>
      </c>
      <c r="F3700">
        <v>1131.6600000000001</v>
      </c>
      <c r="G3700">
        <v>238.19</v>
      </c>
      <c r="H3700" t="s">
        <v>28</v>
      </c>
      <c r="I3700" t="s">
        <v>34</v>
      </c>
    </row>
    <row r="3701" spans="1:9" x14ac:dyDescent="0.35">
      <c r="A3701" t="s">
        <v>3737</v>
      </c>
      <c r="B3701" s="1">
        <v>45410</v>
      </c>
      <c r="C3701" t="s">
        <v>25</v>
      </c>
      <c r="D3701" t="s">
        <v>31</v>
      </c>
      <c r="E3701" t="s">
        <v>12</v>
      </c>
      <c r="F3701">
        <v>1209.74</v>
      </c>
      <c r="G3701">
        <v>129.91</v>
      </c>
      <c r="H3701" t="s">
        <v>13</v>
      </c>
      <c r="I3701" t="s">
        <v>14</v>
      </c>
    </row>
    <row r="3702" spans="1:9" x14ac:dyDescent="0.35">
      <c r="A3702" t="s">
        <v>3738</v>
      </c>
      <c r="B3702" s="1">
        <v>45207</v>
      </c>
      <c r="C3702" t="s">
        <v>22</v>
      </c>
      <c r="D3702" t="s">
        <v>33</v>
      </c>
      <c r="E3702" t="s">
        <v>18</v>
      </c>
      <c r="F3702">
        <v>1009.89</v>
      </c>
      <c r="G3702">
        <v>297.17</v>
      </c>
      <c r="H3702" t="s">
        <v>28</v>
      </c>
      <c r="I3702" t="s">
        <v>29</v>
      </c>
    </row>
    <row r="3703" spans="1:9" x14ac:dyDescent="0.35">
      <c r="A3703" t="s">
        <v>3739</v>
      </c>
      <c r="B3703" s="1">
        <v>45195</v>
      </c>
      <c r="C3703" t="s">
        <v>10</v>
      </c>
      <c r="D3703" t="s">
        <v>73</v>
      </c>
      <c r="E3703" t="s">
        <v>27</v>
      </c>
      <c r="F3703">
        <v>253.78</v>
      </c>
      <c r="G3703">
        <v>38.86</v>
      </c>
      <c r="H3703" t="s">
        <v>13</v>
      </c>
      <c r="I3703" t="s">
        <v>34</v>
      </c>
    </row>
    <row r="3704" spans="1:9" x14ac:dyDescent="0.35">
      <c r="A3704" t="s">
        <v>3740</v>
      </c>
      <c r="B3704" s="1">
        <v>44589</v>
      </c>
      <c r="C3704" t="s">
        <v>16</v>
      </c>
      <c r="D3704" t="s">
        <v>38</v>
      </c>
      <c r="E3704" t="s">
        <v>12</v>
      </c>
      <c r="F3704">
        <v>810.3</v>
      </c>
      <c r="G3704">
        <v>133.13999999999999</v>
      </c>
      <c r="H3704" t="s">
        <v>13</v>
      </c>
      <c r="I3704" t="s">
        <v>14</v>
      </c>
    </row>
    <row r="3705" spans="1:9" x14ac:dyDescent="0.35">
      <c r="A3705" t="s">
        <v>3741</v>
      </c>
      <c r="B3705" s="1">
        <v>44862</v>
      </c>
      <c r="C3705" t="s">
        <v>25</v>
      </c>
      <c r="D3705" t="s">
        <v>41</v>
      </c>
      <c r="E3705" t="s">
        <v>12</v>
      </c>
      <c r="F3705">
        <v>525.99</v>
      </c>
      <c r="G3705">
        <v>145.29</v>
      </c>
      <c r="H3705" t="s">
        <v>13</v>
      </c>
      <c r="I3705" t="s">
        <v>14</v>
      </c>
    </row>
    <row r="3706" spans="1:9" x14ac:dyDescent="0.35">
      <c r="A3706" t="s">
        <v>3742</v>
      </c>
      <c r="B3706" s="1">
        <v>45649</v>
      </c>
      <c r="C3706" t="s">
        <v>25</v>
      </c>
      <c r="D3706" t="s">
        <v>38</v>
      </c>
      <c r="E3706" t="s">
        <v>12</v>
      </c>
      <c r="F3706">
        <v>518.39</v>
      </c>
      <c r="G3706">
        <v>54.97</v>
      </c>
      <c r="H3706" t="s">
        <v>19</v>
      </c>
      <c r="I3706" t="s">
        <v>29</v>
      </c>
    </row>
    <row r="3707" spans="1:9" x14ac:dyDescent="0.35">
      <c r="A3707" t="s">
        <v>3743</v>
      </c>
      <c r="B3707" s="1">
        <v>45469</v>
      </c>
      <c r="C3707" t="s">
        <v>10</v>
      </c>
      <c r="D3707" t="s">
        <v>33</v>
      </c>
      <c r="E3707" t="s">
        <v>18</v>
      </c>
      <c r="F3707">
        <v>1184.24</v>
      </c>
      <c r="G3707">
        <v>72.97</v>
      </c>
      <c r="H3707" t="s">
        <v>28</v>
      </c>
      <c r="I3707" t="s">
        <v>14</v>
      </c>
    </row>
    <row r="3708" spans="1:9" x14ac:dyDescent="0.35">
      <c r="A3708" t="s">
        <v>3744</v>
      </c>
      <c r="B3708" s="1">
        <v>45277</v>
      </c>
      <c r="C3708" t="s">
        <v>22</v>
      </c>
      <c r="D3708" t="s">
        <v>17</v>
      </c>
      <c r="E3708" t="s">
        <v>18</v>
      </c>
      <c r="F3708">
        <v>1100.04</v>
      </c>
      <c r="G3708">
        <v>150.55000000000001</v>
      </c>
      <c r="H3708" t="s">
        <v>19</v>
      </c>
      <c r="I3708" t="s">
        <v>20</v>
      </c>
    </row>
    <row r="3709" spans="1:9" x14ac:dyDescent="0.35">
      <c r="A3709" t="s">
        <v>3745</v>
      </c>
      <c r="B3709" s="1">
        <v>45392</v>
      </c>
      <c r="C3709" t="s">
        <v>22</v>
      </c>
      <c r="D3709" t="s">
        <v>31</v>
      </c>
      <c r="E3709" t="s">
        <v>12</v>
      </c>
      <c r="F3709">
        <v>1858.94</v>
      </c>
      <c r="G3709">
        <v>149.56</v>
      </c>
      <c r="H3709" t="s">
        <v>13</v>
      </c>
      <c r="I3709" t="s">
        <v>34</v>
      </c>
    </row>
    <row r="3710" spans="1:9" x14ac:dyDescent="0.35">
      <c r="A3710" t="s">
        <v>3746</v>
      </c>
      <c r="B3710" s="1">
        <v>45037</v>
      </c>
      <c r="C3710" t="s">
        <v>16</v>
      </c>
      <c r="D3710" t="s">
        <v>73</v>
      </c>
      <c r="E3710" t="s">
        <v>27</v>
      </c>
      <c r="F3710">
        <v>1855.78</v>
      </c>
      <c r="G3710">
        <v>259.51</v>
      </c>
      <c r="H3710" t="s">
        <v>19</v>
      </c>
      <c r="I3710" t="s">
        <v>29</v>
      </c>
    </row>
    <row r="3711" spans="1:9" x14ac:dyDescent="0.35">
      <c r="A3711" t="s">
        <v>3747</v>
      </c>
      <c r="B3711" s="1">
        <v>44773</v>
      </c>
      <c r="C3711" t="s">
        <v>16</v>
      </c>
      <c r="D3711" t="s">
        <v>46</v>
      </c>
      <c r="E3711" t="s">
        <v>18</v>
      </c>
      <c r="F3711">
        <v>1008.63</v>
      </c>
      <c r="G3711">
        <v>125.56</v>
      </c>
      <c r="H3711" t="s">
        <v>13</v>
      </c>
      <c r="I3711" t="s">
        <v>29</v>
      </c>
    </row>
    <row r="3712" spans="1:9" x14ac:dyDescent="0.35">
      <c r="A3712" t="s">
        <v>3748</v>
      </c>
      <c r="B3712" s="1">
        <v>44665</v>
      </c>
      <c r="C3712" t="s">
        <v>22</v>
      </c>
      <c r="D3712" t="s">
        <v>11</v>
      </c>
      <c r="E3712" t="s">
        <v>12</v>
      </c>
      <c r="F3712">
        <v>1237.46</v>
      </c>
      <c r="G3712">
        <v>366.57</v>
      </c>
      <c r="H3712" t="s">
        <v>19</v>
      </c>
      <c r="I3712" t="s">
        <v>34</v>
      </c>
    </row>
    <row r="3713" spans="1:9" x14ac:dyDescent="0.35">
      <c r="A3713" t="s">
        <v>3749</v>
      </c>
      <c r="B3713" s="1">
        <v>45475</v>
      </c>
      <c r="C3713" t="s">
        <v>22</v>
      </c>
      <c r="D3713" t="s">
        <v>73</v>
      </c>
      <c r="E3713" t="s">
        <v>27</v>
      </c>
      <c r="F3713">
        <v>740.78</v>
      </c>
      <c r="G3713">
        <v>196.26</v>
      </c>
      <c r="H3713" t="s">
        <v>13</v>
      </c>
      <c r="I3713" t="s">
        <v>29</v>
      </c>
    </row>
    <row r="3714" spans="1:9" x14ac:dyDescent="0.35">
      <c r="A3714" t="s">
        <v>3750</v>
      </c>
      <c r="B3714" s="1">
        <v>45540</v>
      </c>
      <c r="C3714" t="s">
        <v>25</v>
      </c>
      <c r="D3714" t="s">
        <v>73</v>
      </c>
      <c r="E3714" t="s">
        <v>27</v>
      </c>
      <c r="F3714">
        <v>529</v>
      </c>
      <c r="G3714">
        <v>137.62</v>
      </c>
      <c r="H3714" t="s">
        <v>19</v>
      </c>
      <c r="I3714" t="s">
        <v>14</v>
      </c>
    </row>
    <row r="3715" spans="1:9" x14ac:dyDescent="0.35">
      <c r="A3715" t="s">
        <v>3751</v>
      </c>
      <c r="B3715" s="1">
        <v>44997</v>
      </c>
      <c r="C3715" t="s">
        <v>22</v>
      </c>
      <c r="D3715" t="s">
        <v>23</v>
      </c>
      <c r="E3715" t="s">
        <v>18</v>
      </c>
      <c r="F3715">
        <v>1060.4100000000001</v>
      </c>
      <c r="G3715">
        <v>212.35</v>
      </c>
      <c r="H3715" t="s">
        <v>19</v>
      </c>
      <c r="I3715" t="s">
        <v>14</v>
      </c>
    </row>
    <row r="3716" spans="1:9" x14ac:dyDescent="0.35">
      <c r="A3716" t="s">
        <v>3752</v>
      </c>
      <c r="B3716" s="1">
        <v>45054</v>
      </c>
      <c r="C3716" t="s">
        <v>10</v>
      </c>
      <c r="D3716" t="s">
        <v>11</v>
      </c>
      <c r="E3716" t="s">
        <v>12</v>
      </c>
      <c r="F3716">
        <v>865.93</v>
      </c>
      <c r="G3716">
        <v>92.27</v>
      </c>
      <c r="H3716" t="s">
        <v>28</v>
      </c>
      <c r="I3716" t="s">
        <v>29</v>
      </c>
    </row>
    <row r="3717" spans="1:9" x14ac:dyDescent="0.35">
      <c r="A3717" t="s">
        <v>3753</v>
      </c>
      <c r="B3717" s="1">
        <v>44942</v>
      </c>
      <c r="C3717" t="s">
        <v>25</v>
      </c>
      <c r="D3717" t="s">
        <v>38</v>
      </c>
      <c r="E3717" t="s">
        <v>12</v>
      </c>
      <c r="F3717">
        <v>1446.19</v>
      </c>
      <c r="G3717">
        <v>361.55</v>
      </c>
      <c r="H3717" t="s">
        <v>19</v>
      </c>
      <c r="I3717" t="s">
        <v>20</v>
      </c>
    </row>
    <row r="3718" spans="1:9" x14ac:dyDescent="0.35">
      <c r="A3718" t="s">
        <v>3754</v>
      </c>
      <c r="B3718" s="1">
        <v>44756</v>
      </c>
      <c r="C3718" t="s">
        <v>22</v>
      </c>
      <c r="D3718" t="s">
        <v>95</v>
      </c>
      <c r="E3718" t="s">
        <v>18</v>
      </c>
      <c r="F3718">
        <v>1569.4</v>
      </c>
      <c r="G3718">
        <v>287.39999999999998</v>
      </c>
      <c r="H3718" t="s">
        <v>13</v>
      </c>
      <c r="I3718" t="s">
        <v>20</v>
      </c>
    </row>
    <row r="3719" spans="1:9" x14ac:dyDescent="0.35">
      <c r="A3719" t="s">
        <v>3755</v>
      </c>
      <c r="B3719" s="1">
        <v>45398</v>
      </c>
      <c r="C3719" t="s">
        <v>25</v>
      </c>
      <c r="D3719" t="s">
        <v>62</v>
      </c>
      <c r="E3719" t="s">
        <v>27</v>
      </c>
      <c r="F3719">
        <v>1710.53</v>
      </c>
      <c r="G3719">
        <v>356.38</v>
      </c>
      <c r="H3719" t="s">
        <v>19</v>
      </c>
      <c r="I3719" t="s">
        <v>29</v>
      </c>
    </row>
    <row r="3720" spans="1:9" x14ac:dyDescent="0.35">
      <c r="A3720" t="s">
        <v>3756</v>
      </c>
      <c r="B3720" s="1">
        <v>44830</v>
      </c>
      <c r="C3720" t="s">
        <v>22</v>
      </c>
      <c r="D3720" t="s">
        <v>73</v>
      </c>
      <c r="E3720" t="s">
        <v>27</v>
      </c>
      <c r="F3720">
        <v>1681.14</v>
      </c>
      <c r="G3720">
        <v>493.14</v>
      </c>
      <c r="H3720" t="s">
        <v>19</v>
      </c>
      <c r="I3720" t="s">
        <v>14</v>
      </c>
    </row>
    <row r="3721" spans="1:9" x14ac:dyDescent="0.35">
      <c r="A3721" t="s">
        <v>3757</v>
      </c>
      <c r="B3721" s="1">
        <v>45353</v>
      </c>
      <c r="C3721" t="s">
        <v>10</v>
      </c>
      <c r="D3721" t="s">
        <v>46</v>
      </c>
      <c r="E3721" t="s">
        <v>18</v>
      </c>
      <c r="F3721">
        <v>269.13</v>
      </c>
      <c r="G3721">
        <v>19.420000000000002</v>
      </c>
      <c r="H3721" t="s">
        <v>19</v>
      </c>
      <c r="I3721" t="s">
        <v>29</v>
      </c>
    </row>
    <row r="3722" spans="1:9" x14ac:dyDescent="0.35">
      <c r="A3722" t="s">
        <v>3758</v>
      </c>
      <c r="B3722" s="1">
        <v>45567</v>
      </c>
      <c r="C3722" t="s">
        <v>10</v>
      </c>
      <c r="D3722" t="s">
        <v>26</v>
      </c>
      <c r="E3722" t="s">
        <v>27</v>
      </c>
      <c r="F3722">
        <v>736.25</v>
      </c>
      <c r="G3722">
        <v>49.62</v>
      </c>
      <c r="H3722" t="s">
        <v>28</v>
      </c>
      <c r="I3722" t="s">
        <v>14</v>
      </c>
    </row>
    <row r="3723" spans="1:9" x14ac:dyDescent="0.35">
      <c r="A3723" t="s">
        <v>3759</v>
      </c>
      <c r="B3723" s="1">
        <v>45612</v>
      </c>
      <c r="C3723" t="s">
        <v>10</v>
      </c>
      <c r="D3723" t="s">
        <v>26</v>
      </c>
      <c r="E3723" t="s">
        <v>27</v>
      </c>
      <c r="F3723">
        <v>1222.6099999999999</v>
      </c>
      <c r="G3723">
        <v>139.86000000000001</v>
      </c>
      <c r="H3723" t="s">
        <v>13</v>
      </c>
      <c r="I3723" t="s">
        <v>34</v>
      </c>
    </row>
    <row r="3724" spans="1:9" x14ac:dyDescent="0.35">
      <c r="A3724" t="s">
        <v>3760</v>
      </c>
      <c r="B3724" s="1">
        <v>44745</v>
      </c>
      <c r="C3724" t="s">
        <v>22</v>
      </c>
      <c r="D3724" t="s">
        <v>62</v>
      </c>
      <c r="E3724" t="s">
        <v>27</v>
      </c>
      <c r="F3724">
        <v>81.489999999999995</v>
      </c>
      <c r="G3724">
        <v>10.84</v>
      </c>
      <c r="H3724" t="s">
        <v>19</v>
      </c>
      <c r="I3724" t="s">
        <v>14</v>
      </c>
    </row>
    <row r="3725" spans="1:9" x14ac:dyDescent="0.35">
      <c r="A3725" t="s">
        <v>3761</v>
      </c>
      <c r="B3725" s="1">
        <v>45184</v>
      </c>
      <c r="C3725" t="s">
        <v>16</v>
      </c>
      <c r="D3725" t="s">
        <v>57</v>
      </c>
      <c r="E3725" t="s">
        <v>27</v>
      </c>
      <c r="F3725">
        <v>1473.42</v>
      </c>
      <c r="G3725">
        <v>202.13</v>
      </c>
      <c r="H3725" t="s">
        <v>28</v>
      </c>
      <c r="I3725" t="s">
        <v>14</v>
      </c>
    </row>
    <row r="3726" spans="1:9" x14ac:dyDescent="0.35">
      <c r="A3726" t="s">
        <v>3762</v>
      </c>
      <c r="B3726" s="1">
        <v>45582</v>
      </c>
      <c r="C3726" t="s">
        <v>16</v>
      </c>
      <c r="D3726" t="s">
        <v>95</v>
      </c>
      <c r="E3726" t="s">
        <v>18</v>
      </c>
      <c r="F3726">
        <v>967.34</v>
      </c>
      <c r="G3726">
        <v>258.5</v>
      </c>
      <c r="H3726" t="s">
        <v>28</v>
      </c>
      <c r="I3726" t="s">
        <v>29</v>
      </c>
    </row>
    <row r="3727" spans="1:9" x14ac:dyDescent="0.35">
      <c r="A3727" t="s">
        <v>3763</v>
      </c>
      <c r="B3727" s="1">
        <v>45585</v>
      </c>
      <c r="C3727" t="s">
        <v>25</v>
      </c>
      <c r="D3727" t="s">
        <v>97</v>
      </c>
      <c r="E3727" t="s">
        <v>27</v>
      </c>
      <c r="F3727">
        <v>1400.59</v>
      </c>
      <c r="G3727">
        <v>200.76</v>
      </c>
      <c r="H3727" t="s">
        <v>28</v>
      </c>
      <c r="I3727" t="s">
        <v>29</v>
      </c>
    </row>
    <row r="3728" spans="1:9" x14ac:dyDescent="0.35">
      <c r="A3728" t="s">
        <v>3764</v>
      </c>
      <c r="B3728" s="1">
        <v>45404</v>
      </c>
      <c r="C3728" t="s">
        <v>25</v>
      </c>
      <c r="D3728" t="s">
        <v>41</v>
      </c>
      <c r="E3728" t="s">
        <v>12</v>
      </c>
      <c r="F3728">
        <v>756.84</v>
      </c>
      <c r="G3728">
        <v>87.24</v>
      </c>
      <c r="H3728" t="s">
        <v>19</v>
      </c>
      <c r="I3728" t="s">
        <v>14</v>
      </c>
    </row>
    <row r="3729" spans="1:9" x14ac:dyDescent="0.35">
      <c r="A3729" t="s">
        <v>3765</v>
      </c>
      <c r="B3729" s="1">
        <v>45268</v>
      </c>
      <c r="C3729" t="s">
        <v>16</v>
      </c>
      <c r="D3729" t="s">
        <v>46</v>
      </c>
      <c r="E3729" t="s">
        <v>18</v>
      </c>
      <c r="F3729">
        <v>1938.43</v>
      </c>
      <c r="G3729">
        <v>493.72</v>
      </c>
      <c r="H3729" t="s">
        <v>13</v>
      </c>
      <c r="I3729" t="s">
        <v>34</v>
      </c>
    </row>
    <row r="3730" spans="1:9" x14ac:dyDescent="0.35">
      <c r="A3730" t="s">
        <v>3766</v>
      </c>
      <c r="B3730" s="1">
        <v>45212</v>
      </c>
      <c r="C3730" t="s">
        <v>25</v>
      </c>
      <c r="D3730" t="s">
        <v>31</v>
      </c>
      <c r="E3730" t="s">
        <v>12</v>
      </c>
      <c r="F3730">
        <v>828.36</v>
      </c>
      <c r="G3730">
        <v>198.79</v>
      </c>
      <c r="H3730" t="s">
        <v>19</v>
      </c>
      <c r="I3730" t="s">
        <v>20</v>
      </c>
    </row>
    <row r="3731" spans="1:9" x14ac:dyDescent="0.35">
      <c r="A3731" t="s">
        <v>3767</v>
      </c>
      <c r="B3731" s="1">
        <v>45323</v>
      </c>
      <c r="C3731" t="s">
        <v>25</v>
      </c>
      <c r="D3731" t="s">
        <v>97</v>
      </c>
      <c r="E3731" t="s">
        <v>27</v>
      </c>
      <c r="F3731">
        <v>1476.62</v>
      </c>
      <c r="G3731">
        <v>293.14</v>
      </c>
      <c r="H3731" t="s">
        <v>28</v>
      </c>
      <c r="I3731" t="s">
        <v>20</v>
      </c>
    </row>
    <row r="3732" spans="1:9" x14ac:dyDescent="0.35">
      <c r="A3732" t="s">
        <v>3768</v>
      </c>
      <c r="B3732" s="1">
        <v>44871</v>
      </c>
      <c r="C3732" t="s">
        <v>10</v>
      </c>
      <c r="D3732" t="s">
        <v>11</v>
      </c>
      <c r="E3732" t="s">
        <v>12</v>
      </c>
      <c r="F3732">
        <v>1246.1400000000001</v>
      </c>
      <c r="G3732">
        <v>190.53</v>
      </c>
      <c r="H3732" t="s">
        <v>19</v>
      </c>
      <c r="I3732" t="s">
        <v>20</v>
      </c>
    </row>
    <row r="3733" spans="1:9" x14ac:dyDescent="0.35">
      <c r="A3733" t="s">
        <v>3769</v>
      </c>
      <c r="B3733" s="1">
        <v>44602</v>
      </c>
      <c r="C3733" t="s">
        <v>25</v>
      </c>
      <c r="D3733" t="s">
        <v>41</v>
      </c>
      <c r="E3733" t="s">
        <v>12</v>
      </c>
      <c r="F3733">
        <v>1163.9000000000001</v>
      </c>
      <c r="G3733">
        <v>336.38</v>
      </c>
      <c r="H3733" t="s">
        <v>13</v>
      </c>
      <c r="I3733" t="s">
        <v>29</v>
      </c>
    </row>
    <row r="3734" spans="1:9" x14ac:dyDescent="0.35">
      <c r="A3734" t="s">
        <v>3770</v>
      </c>
      <c r="B3734" s="1">
        <v>45289</v>
      </c>
      <c r="C3734" t="s">
        <v>10</v>
      </c>
      <c r="D3734" t="s">
        <v>73</v>
      </c>
      <c r="E3734" t="s">
        <v>27</v>
      </c>
      <c r="F3734">
        <v>1160.21</v>
      </c>
      <c r="G3734">
        <v>71.209999999999994</v>
      </c>
      <c r="H3734" t="s">
        <v>19</v>
      </c>
      <c r="I3734" t="s">
        <v>20</v>
      </c>
    </row>
    <row r="3735" spans="1:9" x14ac:dyDescent="0.35">
      <c r="A3735" t="s">
        <v>3771</v>
      </c>
      <c r="B3735" s="1">
        <v>45376</v>
      </c>
      <c r="C3735" t="s">
        <v>10</v>
      </c>
      <c r="D3735" t="s">
        <v>31</v>
      </c>
      <c r="E3735" t="s">
        <v>12</v>
      </c>
      <c r="F3735">
        <v>1446.92</v>
      </c>
      <c r="G3735">
        <v>355.38</v>
      </c>
      <c r="H3735" t="s">
        <v>13</v>
      </c>
      <c r="I3735" t="s">
        <v>14</v>
      </c>
    </row>
    <row r="3736" spans="1:9" x14ac:dyDescent="0.35">
      <c r="A3736" t="s">
        <v>3772</v>
      </c>
      <c r="B3736" s="1">
        <v>45006</v>
      </c>
      <c r="C3736" t="s">
        <v>10</v>
      </c>
      <c r="D3736" t="s">
        <v>46</v>
      </c>
      <c r="E3736" t="s">
        <v>18</v>
      </c>
      <c r="F3736">
        <v>932.61</v>
      </c>
      <c r="G3736">
        <v>150.02000000000001</v>
      </c>
      <c r="H3736" t="s">
        <v>13</v>
      </c>
      <c r="I3736" t="s">
        <v>14</v>
      </c>
    </row>
    <row r="3737" spans="1:9" x14ac:dyDescent="0.35">
      <c r="A3737" t="s">
        <v>3773</v>
      </c>
      <c r="B3737" s="1">
        <v>45613</v>
      </c>
      <c r="C3737" t="s">
        <v>10</v>
      </c>
      <c r="D3737" t="s">
        <v>31</v>
      </c>
      <c r="E3737" t="s">
        <v>12</v>
      </c>
      <c r="F3737">
        <v>1232.6300000000001</v>
      </c>
      <c r="G3737">
        <v>255.1</v>
      </c>
      <c r="H3737" t="s">
        <v>13</v>
      </c>
      <c r="I3737" t="s">
        <v>20</v>
      </c>
    </row>
    <row r="3738" spans="1:9" x14ac:dyDescent="0.35">
      <c r="A3738" t="s">
        <v>3774</v>
      </c>
      <c r="B3738" s="1">
        <v>44659</v>
      </c>
      <c r="C3738" t="s">
        <v>25</v>
      </c>
      <c r="D3738" t="s">
        <v>50</v>
      </c>
      <c r="E3738" t="s">
        <v>12</v>
      </c>
      <c r="F3738">
        <v>1043.24</v>
      </c>
      <c r="G3738">
        <v>112.18</v>
      </c>
      <c r="H3738" t="s">
        <v>19</v>
      </c>
      <c r="I3738" t="s">
        <v>34</v>
      </c>
    </row>
    <row r="3739" spans="1:9" x14ac:dyDescent="0.35">
      <c r="A3739" t="s">
        <v>3775</v>
      </c>
      <c r="B3739" s="1">
        <v>45520</v>
      </c>
      <c r="C3739" t="s">
        <v>10</v>
      </c>
      <c r="D3739" t="s">
        <v>38</v>
      </c>
      <c r="E3739" t="s">
        <v>12</v>
      </c>
      <c r="F3739">
        <v>1443.75</v>
      </c>
      <c r="G3739">
        <v>210.09</v>
      </c>
      <c r="H3739" t="s">
        <v>13</v>
      </c>
      <c r="I3739" t="s">
        <v>20</v>
      </c>
    </row>
    <row r="3740" spans="1:9" x14ac:dyDescent="0.35">
      <c r="A3740" t="s">
        <v>3776</v>
      </c>
      <c r="B3740" s="1">
        <v>45145</v>
      </c>
      <c r="C3740" t="s">
        <v>22</v>
      </c>
      <c r="D3740" t="s">
        <v>33</v>
      </c>
      <c r="E3740" t="s">
        <v>18</v>
      </c>
      <c r="F3740">
        <v>1106.29</v>
      </c>
      <c r="G3740">
        <v>228.95</v>
      </c>
      <c r="H3740" t="s">
        <v>13</v>
      </c>
      <c r="I3740" t="s">
        <v>14</v>
      </c>
    </row>
    <row r="3741" spans="1:9" x14ac:dyDescent="0.35">
      <c r="A3741" t="s">
        <v>3777</v>
      </c>
      <c r="B3741" s="1">
        <v>45115</v>
      </c>
      <c r="C3741" t="s">
        <v>16</v>
      </c>
      <c r="D3741" t="s">
        <v>41</v>
      </c>
      <c r="E3741" t="s">
        <v>12</v>
      </c>
      <c r="F3741">
        <v>1682.1</v>
      </c>
      <c r="G3741">
        <v>117.58</v>
      </c>
      <c r="H3741" t="s">
        <v>13</v>
      </c>
      <c r="I3741" t="s">
        <v>20</v>
      </c>
    </row>
    <row r="3742" spans="1:9" x14ac:dyDescent="0.35">
      <c r="A3742" t="s">
        <v>3778</v>
      </c>
      <c r="B3742" s="1">
        <v>44822</v>
      </c>
      <c r="C3742" t="s">
        <v>22</v>
      </c>
      <c r="D3742" t="s">
        <v>33</v>
      </c>
      <c r="E3742" t="s">
        <v>18</v>
      </c>
      <c r="F3742">
        <v>329.66</v>
      </c>
      <c r="G3742">
        <v>28.32</v>
      </c>
      <c r="H3742" t="s">
        <v>28</v>
      </c>
      <c r="I3742" t="s">
        <v>20</v>
      </c>
    </row>
    <row r="3743" spans="1:9" x14ac:dyDescent="0.35">
      <c r="A3743" t="s">
        <v>3779</v>
      </c>
      <c r="B3743" s="1">
        <v>44750</v>
      </c>
      <c r="C3743" t="s">
        <v>25</v>
      </c>
      <c r="D3743" t="s">
        <v>62</v>
      </c>
      <c r="E3743" t="s">
        <v>27</v>
      </c>
      <c r="F3743">
        <v>867.43</v>
      </c>
      <c r="G3743">
        <v>127.78</v>
      </c>
      <c r="H3743" t="s">
        <v>28</v>
      </c>
      <c r="I3743" t="s">
        <v>34</v>
      </c>
    </row>
    <row r="3744" spans="1:9" x14ac:dyDescent="0.35">
      <c r="A3744" t="s">
        <v>3780</v>
      </c>
      <c r="B3744" s="1">
        <v>45473</v>
      </c>
      <c r="C3744" t="s">
        <v>25</v>
      </c>
      <c r="D3744" t="s">
        <v>31</v>
      </c>
      <c r="E3744" t="s">
        <v>12</v>
      </c>
      <c r="F3744">
        <v>1241.1199999999999</v>
      </c>
      <c r="G3744">
        <v>62.92</v>
      </c>
      <c r="H3744" t="s">
        <v>13</v>
      </c>
      <c r="I3744" t="s">
        <v>14</v>
      </c>
    </row>
    <row r="3745" spans="1:9" x14ac:dyDescent="0.35">
      <c r="A3745" t="s">
        <v>3781</v>
      </c>
      <c r="B3745" s="1">
        <v>44907</v>
      </c>
      <c r="C3745" t="s">
        <v>25</v>
      </c>
      <c r="D3745" t="s">
        <v>97</v>
      </c>
      <c r="E3745" t="s">
        <v>27</v>
      </c>
      <c r="F3745">
        <v>1377.69</v>
      </c>
      <c r="G3745">
        <v>155.54</v>
      </c>
      <c r="H3745" t="s">
        <v>28</v>
      </c>
      <c r="I3745" t="s">
        <v>14</v>
      </c>
    </row>
    <row r="3746" spans="1:9" x14ac:dyDescent="0.35">
      <c r="A3746" t="s">
        <v>3782</v>
      </c>
      <c r="B3746" s="1">
        <v>44877</v>
      </c>
      <c r="C3746" t="s">
        <v>25</v>
      </c>
      <c r="D3746" t="s">
        <v>50</v>
      </c>
      <c r="E3746" t="s">
        <v>12</v>
      </c>
      <c r="F3746">
        <v>486.18</v>
      </c>
      <c r="G3746">
        <v>60.09</v>
      </c>
      <c r="H3746" t="s">
        <v>28</v>
      </c>
      <c r="I3746" t="s">
        <v>20</v>
      </c>
    </row>
    <row r="3747" spans="1:9" x14ac:dyDescent="0.35">
      <c r="A3747" t="s">
        <v>3783</v>
      </c>
      <c r="B3747" s="1">
        <v>45053</v>
      </c>
      <c r="C3747" t="s">
        <v>10</v>
      </c>
      <c r="D3747" t="s">
        <v>11</v>
      </c>
      <c r="E3747" t="s">
        <v>12</v>
      </c>
      <c r="F3747">
        <v>1625.39</v>
      </c>
      <c r="G3747">
        <v>478.82</v>
      </c>
      <c r="H3747" t="s">
        <v>28</v>
      </c>
      <c r="I3747" t="s">
        <v>14</v>
      </c>
    </row>
    <row r="3748" spans="1:9" x14ac:dyDescent="0.35">
      <c r="A3748" t="s">
        <v>3784</v>
      </c>
      <c r="B3748" s="1">
        <v>44700</v>
      </c>
      <c r="C3748" t="s">
        <v>16</v>
      </c>
      <c r="D3748" t="s">
        <v>11</v>
      </c>
      <c r="E3748" t="s">
        <v>12</v>
      </c>
      <c r="F3748">
        <v>114.88</v>
      </c>
      <c r="G3748">
        <v>13.67</v>
      </c>
      <c r="H3748" t="s">
        <v>19</v>
      </c>
      <c r="I3748" t="s">
        <v>20</v>
      </c>
    </row>
    <row r="3749" spans="1:9" x14ac:dyDescent="0.35">
      <c r="A3749" t="s">
        <v>3785</v>
      </c>
      <c r="B3749" s="1">
        <v>45000</v>
      </c>
      <c r="C3749" t="s">
        <v>25</v>
      </c>
      <c r="D3749" t="s">
        <v>73</v>
      </c>
      <c r="E3749" t="s">
        <v>27</v>
      </c>
      <c r="F3749">
        <v>801.97</v>
      </c>
      <c r="G3749">
        <v>112.71</v>
      </c>
      <c r="H3749" t="s">
        <v>19</v>
      </c>
      <c r="I3749" t="s">
        <v>14</v>
      </c>
    </row>
    <row r="3750" spans="1:9" x14ac:dyDescent="0.35">
      <c r="A3750" t="s">
        <v>3786</v>
      </c>
      <c r="B3750" s="1">
        <v>44584</v>
      </c>
      <c r="C3750" t="s">
        <v>16</v>
      </c>
      <c r="D3750" t="s">
        <v>62</v>
      </c>
      <c r="E3750" t="s">
        <v>27</v>
      </c>
      <c r="F3750">
        <v>204.24</v>
      </c>
      <c r="G3750">
        <v>32.74</v>
      </c>
      <c r="H3750" t="s">
        <v>19</v>
      </c>
      <c r="I3750" t="s">
        <v>34</v>
      </c>
    </row>
    <row r="3751" spans="1:9" x14ac:dyDescent="0.35">
      <c r="A3751" t="s">
        <v>3787</v>
      </c>
      <c r="B3751" s="1">
        <v>45059</v>
      </c>
      <c r="C3751" t="s">
        <v>10</v>
      </c>
      <c r="D3751" t="s">
        <v>41</v>
      </c>
      <c r="E3751" t="s">
        <v>12</v>
      </c>
      <c r="F3751">
        <v>1016.25</v>
      </c>
      <c r="G3751">
        <v>239.91</v>
      </c>
      <c r="H3751" t="s">
        <v>19</v>
      </c>
      <c r="I3751" t="s">
        <v>14</v>
      </c>
    </row>
    <row r="3752" spans="1:9" x14ac:dyDescent="0.35">
      <c r="A3752" t="s">
        <v>3788</v>
      </c>
      <c r="B3752" s="1">
        <v>45337</v>
      </c>
      <c r="C3752" t="s">
        <v>22</v>
      </c>
      <c r="D3752" t="s">
        <v>57</v>
      </c>
      <c r="E3752" t="s">
        <v>27</v>
      </c>
      <c r="F3752">
        <v>579.91</v>
      </c>
      <c r="G3752">
        <v>128.80000000000001</v>
      </c>
      <c r="H3752" t="s">
        <v>28</v>
      </c>
      <c r="I3752" t="s">
        <v>14</v>
      </c>
    </row>
    <row r="3753" spans="1:9" x14ac:dyDescent="0.35">
      <c r="A3753" t="s">
        <v>3789</v>
      </c>
      <c r="B3753" s="1">
        <v>45507</v>
      </c>
      <c r="C3753" t="s">
        <v>16</v>
      </c>
      <c r="D3753" t="s">
        <v>31</v>
      </c>
      <c r="E3753" t="s">
        <v>12</v>
      </c>
      <c r="F3753">
        <v>1299.47</v>
      </c>
      <c r="G3753">
        <v>214.52</v>
      </c>
      <c r="H3753" t="s">
        <v>13</v>
      </c>
      <c r="I3753" t="s">
        <v>29</v>
      </c>
    </row>
    <row r="3754" spans="1:9" x14ac:dyDescent="0.35">
      <c r="A3754" t="s">
        <v>3790</v>
      </c>
      <c r="B3754" s="1">
        <v>45249</v>
      </c>
      <c r="C3754" t="s">
        <v>22</v>
      </c>
      <c r="D3754" t="s">
        <v>17</v>
      </c>
      <c r="E3754" t="s">
        <v>18</v>
      </c>
      <c r="F3754">
        <v>1892.29</v>
      </c>
      <c r="G3754">
        <v>288.83</v>
      </c>
      <c r="H3754" t="s">
        <v>13</v>
      </c>
      <c r="I3754" t="s">
        <v>20</v>
      </c>
    </row>
    <row r="3755" spans="1:9" x14ac:dyDescent="0.35">
      <c r="A3755" t="s">
        <v>3791</v>
      </c>
      <c r="B3755" s="1">
        <v>45394</v>
      </c>
      <c r="C3755" t="s">
        <v>10</v>
      </c>
      <c r="D3755" t="s">
        <v>73</v>
      </c>
      <c r="E3755" t="s">
        <v>27</v>
      </c>
      <c r="F3755">
        <v>663.1</v>
      </c>
      <c r="G3755">
        <v>54.23</v>
      </c>
      <c r="H3755" t="s">
        <v>13</v>
      </c>
      <c r="I3755" t="s">
        <v>14</v>
      </c>
    </row>
    <row r="3756" spans="1:9" x14ac:dyDescent="0.35">
      <c r="A3756" t="s">
        <v>3792</v>
      </c>
      <c r="B3756" s="1">
        <v>45539</v>
      </c>
      <c r="C3756" t="s">
        <v>16</v>
      </c>
      <c r="D3756" t="s">
        <v>73</v>
      </c>
      <c r="E3756" t="s">
        <v>27</v>
      </c>
      <c r="F3756">
        <v>1096.3900000000001</v>
      </c>
      <c r="G3756">
        <v>253.21</v>
      </c>
      <c r="H3756" t="s">
        <v>13</v>
      </c>
      <c r="I3756" t="s">
        <v>34</v>
      </c>
    </row>
    <row r="3757" spans="1:9" x14ac:dyDescent="0.35">
      <c r="A3757" t="s">
        <v>3793</v>
      </c>
      <c r="B3757" s="1">
        <v>45049</v>
      </c>
      <c r="C3757" t="s">
        <v>16</v>
      </c>
      <c r="D3757" t="s">
        <v>50</v>
      </c>
      <c r="E3757" t="s">
        <v>12</v>
      </c>
      <c r="F3757">
        <v>1365.95</v>
      </c>
      <c r="G3757">
        <v>346.43</v>
      </c>
      <c r="H3757" t="s">
        <v>28</v>
      </c>
      <c r="I3757" t="s">
        <v>14</v>
      </c>
    </row>
    <row r="3758" spans="1:9" x14ac:dyDescent="0.35">
      <c r="A3758" t="s">
        <v>3794</v>
      </c>
      <c r="B3758" s="1">
        <v>44683</v>
      </c>
      <c r="C3758" t="s">
        <v>22</v>
      </c>
      <c r="D3758" t="s">
        <v>97</v>
      </c>
      <c r="E3758" t="s">
        <v>27</v>
      </c>
      <c r="F3758">
        <v>1772.9</v>
      </c>
      <c r="G3758">
        <v>161.59</v>
      </c>
      <c r="H3758" t="s">
        <v>19</v>
      </c>
      <c r="I3758" t="s">
        <v>14</v>
      </c>
    </row>
    <row r="3759" spans="1:9" x14ac:dyDescent="0.35">
      <c r="A3759" t="s">
        <v>3795</v>
      </c>
      <c r="B3759" s="1">
        <v>45558</v>
      </c>
      <c r="C3759" t="s">
        <v>22</v>
      </c>
      <c r="D3759" t="s">
        <v>17</v>
      </c>
      <c r="E3759" t="s">
        <v>18</v>
      </c>
      <c r="F3759">
        <v>1956.34</v>
      </c>
      <c r="G3759">
        <v>200.73</v>
      </c>
      <c r="H3759" t="s">
        <v>28</v>
      </c>
      <c r="I3759" t="s">
        <v>20</v>
      </c>
    </row>
    <row r="3760" spans="1:9" x14ac:dyDescent="0.35">
      <c r="A3760" t="s">
        <v>3796</v>
      </c>
      <c r="B3760" s="1">
        <v>45080</v>
      </c>
      <c r="C3760" t="s">
        <v>25</v>
      </c>
      <c r="D3760" t="s">
        <v>57</v>
      </c>
      <c r="E3760" t="s">
        <v>27</v>
      </c>
      <c r="F3760">
        <v>300.64</v>
      </c>
      <c r="G3760">
        <v>60.85</v>
      </c>
      <c r="H3760" t="s">
        <v>13</v>
      </c>
      <c r="I3760" t="s">
        <v>29</v>
      </c>
    </row>
    <row r="3761" spans="1:9" x14ac:dyDescent="0.35">
      <c r="A3761" t="s">
        <v>3797</v>
      </c>
      <c r="B3761" s="1">
        <v>45393</v>
      </c>
      <c r="C3761" t="s">
        <v>25</v>
      </c>
      <c r="D3761" t="s">
        <v>17</v>
      </c>
      <c r="E3761" t="s">
        <v>18</v>
      </c>
      <c r="F3761">
        <v>122.95</v>
      </c>
      <c r="G3761">
        <v>17.25</v>
      </c>
      <c r="H3761" t="s">
        <v>28</v>
      </c>
      <c r="I3761" t="s">
        <v>14</v>
      </c>
    </row>
    <row r="3762" spans="1:9" x14ac:dyDescent="0.35">
      <c r="A3762" t="s">
        <v>3798</v>
      </c>
      <c r="B3762" s="1">
        <v>45173</v>
      </c>
      <c r="C3762" t="s">
        <v>10</v>
      </c>
      <c r="D3762" t="s">
        <v>62</v>
      </c>
      <c r="E3762" t="s">
        <v>27</v>
      </c>
      <c r="F3762">
        <v>1837.47</v>
      </c>
      <c r="G3762">
        <v>262.85000000000002</v>
      </c>
      <c r="H3762" t="s">
        <v>19</v>
      </c>
      <c r="I3762" t="s">
        <v>29</v>
      </c>
    </row>
    <row r="3763" spans="1:9" x14ac:dyDescent="0.35">
      <c r="A3763" t="s">
        <v>3799</v>
      </c>
      <c r="B3763" s="1">
        <v>44976</v>
      </c>
      <c r="C3763" t="s">
        <v>22</v>
      </c>
      <c r="D3763" t="s">
        <v>62</v>
      </c>
      <c r="E3763" t="s">
        <v>27</v>
      </c>
      <c r="F3763">
        <v>487.38</v>
      </c>
      <c r="G3763">
        <v>81.25</v>
      </c>
      <c r="H3763" t="s">
        <v>19</v>
      </c>
      <c r="I3763" t="s">
        <v>34</v>
      </c>
    </row>
    <row r="3764" spans="1:9" x14ac:dyDescent="0.35">
      <c r="A3764" t="s">
        <v>3800</v>
      </c>
      <c r="B3764" s="1">
        <v>44941</v>
      </c>
      <c r="C3764" t="s">
        <v>16</v>
      </c>
      <c r="D3764" t="s">
        <v>38</v>
      </c>
      <c r="E3764" t="s">
        <v>12</v>
      </c>
      <c r="F3764">
        <v>529.46</v>
      </c>
      <c r="G3764">
        <v>34.24</v>
      </c>
      <c r="H3764" t="s">
        <v>19</v>
      </c>
      <c r="I3764" t="s">
        <v>14</v>
      </c>
    </row>
    <row r="3765" spans="1:9" x14ac:dyDescent="0.35">
      <c r="A3765" t="s">
        <v>3801</v>
      </c>
      <c r="B3765" s="1">
        <v>45475</v>
      </c>
      <c r="C3765" t="s">
        <v>22</v>
      </c>
      <c r="D3765" t="s">
        <v>41</v>
      </c>
      <c r="E3765" t="s">
        <v>12</v>
      </c>
      <c r="F3765">
        <v>389.24</v>
      </c>
      <c r="G3765">
        <v>24.23</v>
      </c>
      <c r="H3765" t="s">
        <v>19</v>
      </c>
      <c r="I3765" t="s">
        <v>29</v>
      </c>
    </row>
    <row r="3766" spans="1:9" x14ac:dyDescent="0.35">
      <c r="A3766" t="s">
        <v>3802</v>
      </c>
      <c r="B3766" s="1">
        <v>44882</v>
      </c>
      <c r="C3766" t="s">
        <v>16</v>
      </c>
      <c r="D3766" t="s">
        <v>17</v>
      </c>
      <c r="E3766" t="s">
        <v>18</v>
      </c>
      <c r="F3766">
        <v>786.45</v>
      </c>
      <c r="G3766">
        <v>123.79</v>
      </c>
      <c r="H3766" t="s">
        <v>28</v>
      </c>
      <c r="I3766" t="s">
        <v>20</v>
      </c>
    </row>
    <row r="3767" spans="1:9" x14ac:dyDescent="0.35">
      <c r="A3767" t="s">
        <v>3803</v>
      </c>
      <c r="B3767" s="1">
        <v>44677</v>
      </c>
      <c r="C3767" t="s">
        <v>25</v>
      </c>
      <c r="D3767" t="s">
        <v>46</v>
      </c>
      <c r="E3767" t="s">
        <v>18</v>
      </c>
      <c r="F3767">
        <v>1814.93</v>
      </c>
      <c r="G3767">
        <v>467.94</v>
      </c>
      <c r="H3767" t="s">
        <v>28</v>
      </c>
      <c r="I3767" t="s">
        <v>20</v>
      </c>
    </row>
    <row r="3768" spans="1:9" x14ac:dyDescent="0.35">
      <c r="A3768" t="s">
        <v>3804</v>
      </c>
      <c r="B3768" s="1">
        <v>45647</v>
      </c>
      <c r="C3768" t="s">
        <v>25</v>
      </c>
      <c r="D3768" t="s">
        <v>38</v>
      </c>
      <c r="E3768" t="s">
        <v>12</v>
      </c>
      <c r="F3768">
        <v>141.52000000000001</v>
      </c>
      <c r="G3768">
        <v>7.41</v>
      </c>
      <c r="H3768" t="s">
        <v>13</v>
      </c>
      <c r="I3768" t="s">
        <v>20</v>
      </c>
    </row>
    <row r="3769" spans="1:9" x14ac:dyDescent="0.35">
      <c r="A3769" t="s">
        <v>3805</v>
      </c>
      <c r="B3769" s="1">
        <v>45053</v>
      </c>
      <c r="C3769" t="s">
        <v>25</v>
      </c>
      <c r="D3769" t="s">
        <v>11</v>
      </c>
      <c r="E3769" t="s">
        <v>12</v>
      </c>
      <c r="F3769">
        <v>156.44</v>
      </c>
      <c r="G3769">
        <v>46.36</v>
      </c>
      <c r="H3769" t="s">
        <v>13</v>
      </c>
      <c r="I3769" t="s">
        <v>20</v>
      </c>
    </row>
    <row r="3770" spans="1:9" x14ac:dyDescent="0.35">
      <c r="A3770" t="s">
        <v>3806</v>
      </c>
      <c r="B3770" s="1">
        <v>45328</v>
      </c>
      <c r="C3770" t="s">
        <v>10</v>
      </c>
      <c r="D3770" t="s">
        <v>23</v>
      </c>
      <c r="E3770" t="s">
        <v>18</v>
      </c>
      <c r="F3770">
        <v>938.02</v>
      </c>
      <c r="G3770">
        <v>113.24</v>
      </c>
      <c r="H3770" t="s">
        <v>19</v>
      </c>
      <c r="I3770" t="s">
        <v>14</v>
      </c>
    </row>
    <row r="3771" spans="1:9" x14ac:dyDescent="0.35">
      <c r="A3771" t="s">
        <v>3807</v>
      </c>
      <c r="B3771" s="1">
        <v>45267</v>
      </c>
      <c r="C3771" t="s">
        <v>10</v>
      </c>
      <c r="D3771" t="s">
        <v>23</v>
      </c>
      <c r="E3771" t="s">
        <v>18</v>
      </c>
      <c r="F3771">
        <v>1599.16</v>
      </c>
      <c r="G3771">
        <v>174.19</v>
      </c>
      <c r="H3771" t="s">
        <v>13</v>
      </c>
      <c r="I3771" t="s">
        <v>29</v>
      </c>
    </row>
    <row r="3772" spans="1:9" x14ac:dyDescent="0.35">
      <c r="A3772" t="s">
        <v>3808</v>
      </c>
      <c r="B3772" s="1">
        <v>44694</v>
      </c>
      <c r="C3772" t="s">
        <v>16</v>
      </c>
      <c r="D3772" t="s">
        <v>62</v>
      </c>
      <c r="E3772" t="s">
        <v>27</v>
      </c>
      <c r="F3772">
        <v>153.03</v>
      </c>
      <c r="G3772">
        <v>25.42</v>
      </c>
      <c r="H3772" t="s">
        <v>28</v>
      </c>
      <c r="I3772" t="s">
        <v>29</v>
      </c>
    </row>
    <row r="3773" spans="1:9" x14ac:dyDescent="0.35">
      <c r="A3773" t="s">
        <v>3809</v>
      </c>
      <c r="B3773" s="1">
        <v>44855</v>
      </c>
      <c r="C3773" t="s">
        <v>16</v>
      </c>
      <c r="D3773" t="s">
        <v>33</v>
      </c>
      <c r="E3773" t="s">
        <v>18</v>
      </c>
      <c r="F3773">
        <v>920.27</v>
      </c>
      <c r="G3773">
        <v>142.47</v>
      </c>
      <c r="H3773" t="s">
        <v>28</v>
      </c>
      <c r="I3773" t="s">
        <v>34</v>
      </c>
    </row>
    <row r="3774" spans="1:9" x14ac:dyDescent="0.35">
      <c r="A3774" t="s">
        <v>3810</v>
      </c>
      <c r="B3774" s="1">
        <v>45169</v>
      </c>
      <c r="C3774" t="s">
        <v>25</v>
      </c>
      <c r="D3774" t="s">
        <v>57</v>
      </c>
      <c r="E3774" t="s">
        <v>27</v>
      </c>
      <c r="F3774">
        <v>450.72</v>
      </c>
      <c r="G3774">
        <v>49.4</v>
      </c>
      <c r="H3774" t="s">
        <v>19</v>
      </c>
      <c r="I3774" t="s">
        <v>34</v>
      </c>
    </row>
    <row r="3775" spans="1:9" x14ac:dyDescent="0.35">
      <c r="A3775" t="s">
        <v>3811</v>
      </c>
      <c r="B3775" s="1">
        <v>45312</v>
      </c>
      <c r="C3775" t="s">
        <v>25</v>
      </c>
      <c r="D3775" t="s">
        <v>97</v>
      </c>
      <c r="E3775" t="s">
        <v>27</v>
      </c>
      <c r="F3775">
        <v>1282.26</v>
      </c>
      <c r="G3775">
        <v>289.18</v>
      </c>
      <c r="H3775" t="s">
        <v>28</v>
      </c>
      <c r="I3775" t="s">
        <v>29</v>
      </c>
    </row>
    <row r="3776" spans="1:9" x14ac:dyDescent="0.35">
      <c r="A3776" t="s">
        <v>3812</v>
      </c>
      <c r="B3776" s="1">
        <v>45173</v>
      </c>
      <c r="C3776" t="s">
        <v>22</v>
      </c>
      <c r="D3776" t="s">
        <v>26</v>
      </c>
      <c r="E3776" t="s">
        <v>27</v>
      </c>
      <c r="F3776">
        <v>652.96</v>
      </c>
      <c r="G3776">
        <v>33.119999999999997</v>
      </c>
      <c r="H3776" t="s">
        <v>19</v>
      </c>
      <c r="I3776" t="s">
        <v>20</v>
      </c>
    </row>
    <row r="3777" spans="1:9" x14ac:dyDescent="0.35">
      <c r="A3777" t="s">
        <v>3813</v>
      </c>
      <c r="B3777" s="1">
        <v>45263</v>
      </c>
      <c r="C3777" t="s">
        <v>10</v>
      </c>
      <c r="D3777" t="s">
        <v>95</v>
      </c>
      <c r="E3777" t="s">
        <v>18</v>
      </c>
      <c r="F3777">
        <v>956.07</v>
      </c>
      <c r="G3777">
        <v>152.63999999999999</v>
      </c>
      <c r="H3777" t="s">
        <v>28</v>
      </c>
      <c r="I3777" t="s">
        <v>34</v>
      </c>
    </row>
    <row r="3778" spans="1:9" x14ac:dyDescent="0.35">
      <c r="A3778" t="s">
        <v>3814</v>
      </c>
      <c r="B3778" s="1">
        <v>45338</v>
      </c>
      <c r="C3778" t="s">
        <v>25</v>
      </c>
      <c r="D3778" t="s">
        <v>46</v>
      </c>
      <c r="E3778" t="s">
        <v>18</v>
      </c>
      <c r="F3778">
        <v>1650.89</v>
      </c>
      <c r="G3778">
        <v>189.42</v>
      </c>
      <c r="H3778" t="s">
        <v>28</v>
      </c>
      <c r="I3778" t="s">
        <v>20</v>
      </c>
    </row>
    <row r="3779" spans="1:9" x14ac:dyDescent="0.35">
      <c r="A3779" t="s">
        <v>3815</v>
      </c>
      <c r="B3779" s="1">
        <v>44774</v>
      </c>
      <c r="C3779" t="s">
        <v>25</v>
      </c>
      <c r="D3779" t="s">
        <v>38</v>
      </c>
      <c r="E3779" t="s">
        <v>12</v>
      </c>
      <c r="F3779">
        <v>1020.29</v>
      </c>
      <c r="G3779">
        <v>281.42</v>
      </c>
      <c r="H3779" t="s">
        <v>13</v>
      </c>
      <c r="I3779" t="s">
        <v>14</v>
      </c>
    </row>
    <row r="3780" spans="1:9" x14ac:dyDescent="0.35">
      <c r="A3780" t="s">
        <v>3816</v>
      </c>
      <c r="B3780" s="1">
        <v>44860</v>
      </c>
      <c r="C3780" t="s">
        <v>25</v>
      </c>
      <c r="D3780" t="s">
        <v>17</v>
      </c>
      <c r="E3780" t="s">
        <v>18</v>
      </c>
      <c r="F3780">
        <v>1764.62</v>
      </c>
      <c r="G3780">
        <v>169.17</v>
      </c>
      <c r="H3780" t="s">
        <v>19</v>
      </c>
      <c r="I3780" t="s">
        <v>29</v>
      </c>
    </row>
    <row r="3781" spans="1:9" x14ac:dyDescent="0.35">
      <c r="A3781" t="s">
        <v>3817</v>
      </c>
      <c r="B3781" s="1">
        <v>45527</v>
      </c>
      <c r="C3781" t="s">
        <v>22</v>
      </c>
      <c r="D3781" t="s">
        <v>97</v>
      </c>
      <c r="E3781" t="s">
        <v>27</v>
      </c>
      <c r="F3781">
        <v>1295.77</v>
      </c>
      <c r="G3781">
        <v>377.33</v>
      </c>
      <c r="H3781" t="s">
        <v>28</v>
      </c>
      <c r="I3781" t="s">
        <v>34</v>
      </c>
    </row>
    <row r="3782" spans="1:9" x14ac:dyDescent="0.35">
      <c r="A3782" t="s">
        <v>3818</v>
      </c>
      <c r="B3782" s="1">
        <v>44589</v>
      </c>
      <c r="C3782" t="s">
        <v>16</v>
      </c>
      <c r="D3782" t="s">
        <v>57</v>
      </c>
      <c r="E3782" t="s">
        <v>27</v>
      </c>
      <c r="F3782">
        <v>726.05</v>
      </c>
      <c r="G3782">
        <v>164.92</v>
      </c>
      <c r="H3782" t="s">
        <v>13</v>
      </c>
      <c r="I3782" t="s">
        <v>34</v>
      </c>
    </row>
    <row r="3783" spans="1:9" x14ac:dyDescent="0.35">
      <c r="A3783" t="s">
        <v>3819</v>
      </c>
      <c r="B3783" s="1">
        <v>45132</v>
      </c>
      <c r="C3783" t="s">
        <v>16</v>
      </c>
      <c r="D3783" t="s">
        <v>38</v>
      </c>
      <c r="E3783" t="s">
        <v>12</v>
      </c>
      <c r="F3783">
        <v>1426.78</v>
      </c>
      <c r="G3783">
        <v>217.9</v>
      </c>
      <c r="H3783" t="s">
        <v>28</v>
      </c>
      <c r="I3783" t="s">
        <v>20</v>
      </c>
    </row>
    <row r="3784" spans="1:9" x14ac:dyDescent="0.35">
      <c r="A3784" t="s">
        <v>3820</v>
      </c>
      <c r="B3784" s="1">
        <v>44870</v>
      </c>
      <c r="C3784" t="s">
        <v>10</v>
      </c>
      <c r="D3784" t="s">
        <v>73</v>
      </c>
      <c r="E3784" t="s">
        <v>27</v>
      </c>
      <c r="F3784">
        <v>483.38</v>
      </c>
      <c r="G3784">
        <v>62.14</v>
      </c>
      <c r="H3784" t="s">
        <v>19</v>
      </c>
      <c r="I3784" t="s">
        <v>14</v>
      </c>
    </row>
    <row r="3785" spans="1:9" x14ac:dyDescent="0.35">
      <c r="A3785" t="s">
        <v>3821</v>
      </c>
      <c r="B3785" s="1">
        <v>44655</v>
      </c>
      <c r="C3785" t="s">
        <v>16</v>
      </c>
      <c r="D3785" t="s">
        <v>50</v>
      </c>
      <c r="E3785" t="s">
        <v>12</v>
      </c>
      <c r="F3785">
        <v>1665.06</v>
      </c>
      <c r="G3785">
        <v>362.18</v>
      </c>
      <c r="H3785" t="s">
        <v>19</v>
      </c>
      <c r="I3785" t="s">
        <v>29</v>
      </c>
    </row>
    <row r="3786" spans="1:9" x14ac:dyDescent="0.35">
      <c r="A3786" t="s">
        <v>3822</v>
      </c>
      <c r="B3786" s="1">
        <v>45131</v>
      </c>
      <c r="C3786" t="s">
        <v>22</v>
      </c>
      <c r="D3786" t="s">
        <v>41</v>
      </c>
      <c r="E3786" t="s">
        <v>12</v>
      </c>
      <c r="F3786">
        <v>1775.77</v>
      </c>
      <c r="G3786">
        <v>219.45</v>
      </c>
      <c r="H3786" t="s">
        <v>19</v>
      </c>
      <c r="I3786" t="s">
        <v>14</v>
      </c>
    </row>
    <row r="3787" spans="1:9" x14ac:dyDescent="0.35">
      <c r="A3787" t="s">
        <v>3823</v>
      </c>
      <c r="B3787" s="1">
        <v>45417</v>
      </c>
      <c r="C3787" t="s">
        <v>22</v>
      </c>
      <c r="D3787" t="s">
        <v>38</v>
      </c>
      <c r="E3787" t="s">
        <v>12</v>
      </c>
      <c r="F3787">
        <v>1992.27</v>
      </c>
      <c r="G3787">
        <v>159.86000000000001</v>
      </c>
      <c r="H3787" t="s">
        <v>13</v>
      </c>
      <c r="I3787" t="s">
        <v>34</v>
      </c>
    </row>
    <row r="3788" spans="1:9" x14ac:dyDescent="0.35">
      <c r="A3788" t="s">
        <v>3824</v>
      </c>
      <c r="B3788" s="1">
        <v>44799</v>
      </c>
      <c r="C3788" t="s">
        <v>10</v>
      </c>
      <c r="D3788" t="s">
        <v>33</v>
      </c>
      <c r="E3788" t="s">
        <v>18</v>
      </c>
      <c r="F3788">
        <v>62.88</v>
      </c>
      <c r="G3788">
        <v>4.21</v>
      </c>
      <c r="H3788" t="s">
        <v>28</v>
      </c>
      <c r="I3788" t="s">
        <v>14</v>
      </c>
    </row>
    <row r="3789" spans="1:9" x14ac:dyDescent="0.35">
      <c r="A3789" t="s">
        <v>3825</v>
      </c>
      <c r="B3789" s="1">
        <v>45231</v>
      </c>
      <c r="C3789" t="s">
        <v>25</v>
      </c>
      <c r="D3789" t="s">
        <v>57</v>
      </c>
      <c r="E3789" t="s">
        <v>27</v>
      </c>
      <c r="F3789">
        <v>627.79</v>
      </c>
      <c r="G3789">
        <v>86.3</v>
      </c>
      <c r="H3789" t="s">
        <v>13</v>
      </c>
      <c r="I3789" t="s">
        <v>20</v>
      </c>
    </row>
    <row r="3790" spans="1:9" x14ac:dyDescent="0.35">
      <c r="A3790" t="s">
        <v>3826</v>
      </c>
      <c r="B3790" s="1">
        <v>44743</v>
      </c>
      <c r="C3790" t="s">
        <v>25</v>
      </c>
      <c r="D3790" t="s">
        <v>57</v>
      </c>
      <c r="E3790" t="s">
        <v>27</v>
      </c>
      <c r="F3790">
        <v>1113.0899999999999</v>
      </c>
      <c r="G3790">
        <v>117.61</v>
      </c>
      <c r="H3790" t="s">
        <v>13</v>
      </c>
      <c r="I3790" t="s">
        <v>34</v>
      </c>
    </row>
    <row r="3791" spans="1:9" x14ac:dyDescent="0.35">
      <c r="A3791" t="s">
        <v>3827</v>
      </c>
      <c r="B3791" s="1">
        <v>45190</v>
      </c>
      <c r="C3791" t="s">
        <v>25</v>
      </c>
      <c r="D3791" t="s">
        <v>97</v>
      </c>
      <c r="E3791" t="s">
        <v>27</v>
      </c>
      <c r="F3791">
        <v>1172.55</v>
      </c>
      <c r="G3791">
        <v>204.48</v>
      </c>
      <c r="H3791" t="s">
        <v>19</v>
      </c>
      <c r="I3791" t="s">
        <v>34</v>
      </c>
    </row>
    <row r="3792" spans="1:9" x14ac:dyDescent="0.35">
      <c r="A3792" t="s">
        <v>3828</v>
      </c>
      <c r="B3792" s="1">
        <v>44811</v>
      </c>
      <c r="C3792" t="s">
        <v>25</v>
      </c>
      <c r="D3792" t="s">
        <v>62</v>
      </c>
      <c r="E3792" t="s">
        <v>27</v>
      </c>
      <c r="F3792">
        <v>651.59</v>
      </c>
      <c r="G3792">
        <v>115.12</v>
      </c>
      <c r="H3792" t="s">
        <v>28</v>
      </c>
      <c r="I3792" t="s">
        <v>20</v>
      </c>
    </row>
    <row r="3793" spans="1:9" x14ac:dyDescent="0.35">
      <c r="A3793" t="s">
        <v>3829</v>
      </c>
      <c r="B3793" s="1">
        <v>44991</v>
      </c>
      <c r="C3793" t="s">
        <v>10</v>
      </c>
      <c r="D3793" t="s">
        <v>33</v>
      </c>
      <c r="E3793" t="s">
        <v>18</v>
      </c>
      <c r="F3793">
        <v>1468.45</v>
      </c>
      <c r="G3793">
        <v>312.7</v>
      </c>
      <c r="H3793" t="s">
        <v>28</v>
      </c>
      <c r="I3793" t="s">
        <v>14</v>
      </c>
    </row>
    <row r="3794" spans="1:9" x14ac:dyDescent="0.35">
      <c r="A3794" t="s">
        <v>3830</v>
      </c>
      <c r="B3794" s="1">
        <v>44905</v>
      </c>
      <c r="C3794" t="s">
        <v>25</v>
      </c>
      <c r="D3794" t="s">
        <v>73</v>
      </c>
      <c r="E3794" t="s">
        <v>27</v>
      </c>
      <c r="F3794">
        <v>853.86</v>
      </c>
      <c r="G3794">
        <v>196.83</v>
      </c>
      <c r="H3794" t="s">
        <v>19</v>
      </c>
      <c r="I3794" t="s">
        <v>29</v>
      </c>
    </row>
    <row r="3795" spans="1:9" x14ac:dyDescent="0.35">
      <c r="A3795" t="s">
        <v>3831</v>
      </c>
      <c r="B3795" s="1">
        <v>45619</v>
      </c>
      <c r="C3795" t="s">
        <v>10</v>
      </c>
      <c r="D3795" t="s">
        <v>38</v>
      </c>
      <c r="E3795" t="s">
        <v>12</v>
      </c>
      <c r="F3795">
        <v>433.74</v>
      </c>
      <c r="G3795">
        <v>68.489999999999995</v>
      </c>
      <c r="H3795" t="s">
        <v>13</v>
      </c>
      <c r="I3795" t="s">
        <v>34</v>
      </c>
    </row>
    <row r="3796" spans="1:9" x14ac:dyDescent="0.35">
      <c r="A3796" t="s">
        <v>3832</v>
      </c>
      <c r="B3796" s="1">
        <v>44948</v>
      </c>
      <c r="C3796" t="s">
        <v>22</v>
      </c>
      <c r="D3796" t="s">
        <v>33</v>
      </c>
      <c r="E3796" t="s">
        <v>18</v>
      </c>
      <c r="F3796">
        <v>1843.48</v>
      </c>
      <c r="G3796">
        <v>133.38999999999999</v>
      </c>
      <c r="H3796" t="s">
        <v>28</v>
      </c>
      <c r="I3796" t="s">
        <v>14</v>
      </c>
    </row>
    <row r="3797" spans="1:9" x14ac:dyDescent="0.35">
      <c r="A3797" t="s">
        <v>3833</v>
      </c>
      <c r="B3797" s="1">
        <v>44646</v>
      </c>
      <c r="C3797" t="s">
        <v>10</v>
      </c>
      <c r="D3797" t="s">
        <v>17</v>
      </c>
      <c r="E3797" t="s">
        <v>18</v>
      </c>
      <c r="F3797">
        <v>606.87</v>
      </c>
      <c r="G3797">
        <v>156.43</v>
      </c>
      <c r="H3797" t="s">
        <v>13</v>
      </c>
      <c r="I3797" t="s">
        <v>14</v>
      </c>
    </row>
    <row r="3798" spans="1:9" x14ac:dyDescent="0.35">
      <c r="A3798" t="s">
        <v>3834</v>
      </c>
      <c r="B3798" s="1">
        <v>45600</v>
      </c>
      <c r="C3798" t="s">
        <v>22</v>
      </c>
      <c r="D3798" t="s">
        <v>62</v>
      </c>
      <c r="E3798" t="s">
        <v>27</v>
      </c>
      <c r="F3798">
        <v>833.28</v>
      </c>
      <c r="G3798">
        <v>193.48</v>
      </c>
      <c r="H3798" t="s">
        <v>19</v>
      </c>
      <c r="I3798" t="s">
        <v>14</v>
      </c>
    </row>
    <row r="3799" spans="1:9" x14ac:dyDescent="0.35">
      <c r="A3799" t="s">
        <v>3835</v>
      </c>
      <c r="B3799" s="1">
        <v>44619</v>
      </c>
      <c r="C3799" t="s">
        <v>16</v>
      </c>
      <c r="D3799" t="s">
        <v>41</v>
      </c>
      <c r="E3799" t="s">
        <v>12</v>
      </c>
      <c r="F3799">
        <v>1722.92</v>
      </c>
      <c r="G3799">
        <v>229.47</v>
      </c>
      <c r="H3799" t="s">
        <v>19</v>
      </c>
      <c r="I3799" t="s">
        <v>20</v>
      </c>
    </row>
    <row r="3800" spans="1:9" x14ac:dyDescent="0.35">
      <c r="A3800" t="s">
        <v>3836</v>
      </c>
      <c r="B3800" s="1">
        <v>45051</v>
      </c>
      <c r="C3800" t="s">
        <v>25</v>
      </c>
      <c r="D3800" t="s">
        <v>33</v>
      </c>
      <c r="E3800" t="s">
        <v>18</v>
      </c>
      <c r="F3800">
        <v>1123.08</v>
      </c>
      <c r="G3800">
        <v>65.81</v>
      </c>
      <c r="H3800" t="s">
        <v>19</v>
      </c>
      <c r="I3800" t="s">
        <v>20</v>
      </c>
    </row>
    <row r="3801" spans="1:9" x14ac:dyDescent="0.35">
      <c r="A3801" t="s">
        <v>3837</v>
      </c>
      <c r="B3801" s="1">
        <v>45061</v>
      </c>
      <c r="C3801" t="s">
        <v>22</v>
      </c>
      <c r="D3801" t="s">
        <v>95</v>
      </c>
      <c r="E3801" t="s">
        <v>18</v>
      </c>
      <c r="F3801">
        <v>1448.9</v>
      </c>
      <c r="G3801">
        <v>98.55</v>
      </c>
      <c r="H3801" t="s">
        <v>19</v>
      </c>
      <c r="I3801" t="s">
        <v>14</v>
      </c>
    </row>
    <row r="3802" spans="1:9" x14ac:dyDescent="0.35">
      <c r="A3802" t="s">
        <v>3838</v>
      </c>
      <c r="B3802" s="1">
        <v>44612</v>
      </c>
      <c r="C3802" t="s">
        <v>25</v>
      </c>
      <c r="D3802" t="s">
        <v>17</v>
      </c>
      <c r="E3802" t="s">
        <v>18</v>
      </c>
      <c r="F3802">
        <v>746.96</v>
      </c>
      <c r="G3802">
        <v>216.6</v>
      </c>
      <c r="H3802" t="s">
        <v>19</v>
      </c>
      <c r="I3802" t="s">
        <v>34</v>
      </c>
    </row>
    <row r="3803" spans="1:9" x14ac:dyDescent="0.35">
      <c r="A3803" t="s">
        <v>3839</v>
      </c>
      <c r="B3803" s="1">
        <v>45411</v>
      </c>
      <c r="C3803" t="s">
        <v>10</v>
      </c>
      <c r="D3803" t="s">
        <v>46</v>
      </c>
      <c r="E3803" t="s">
        <v>18</v>
      </c>
      <c r="F3803">
        <v>820.61</v>
      </c>
      <c r="G3803">
        <v>104.91</v>
      </c>
      <c r="H3803" t="s">
        <v>13</v>
      </c>
      <c r="I3803" t="s">
        <v>14</v>
      </c>
    </row>
    <row r="3804" spans="1:9" x14ac:dyDescent="0.35">
      <c r="A3804" t="s">
        <v>3840</v>
      </c>
      <c r="B3804" s="1">
        <v>45436</v>
      </c>
      <c r="C3804" t="s">
        <v>25</v>
      </c>
      <c r="D3804" t="s">
        <v>26</v>
      </c>
      <c r="E3804" t="s">
        <v>27</v>
      </c>
      <c r="F3804">
        <v>362.16</v>
      </c>
      <c r="G3804">
        <v>66.349999999999994</v>
      </c>
      <c r="H3804" t="s">
        <v>28</v>
      </c>
      <c r="I3804" t="s">
        <v>14</v>
      </c>
    </row>
    <row r="3805" spans="1:9" x14ac:dyDescent="0.35">
      <c r="A3805" t="s">
        <v>3841</v>
      </c>
      <c r="B3805" s="1">
        <v>44639</v>
      </c>
      <c r="C3805" t="s">
        <v>25</v>
      </c>
      <c r="D3805" t="s">
        <v>57</v>
      </c>
      <c r="E3805" t="s">
        <v>27</v>
      </c>
      <c r="F3805">
        <v>152.46</v>
      </c>
      <c r="G3805">
        <v>13.64</v>
      </c>
      <c r="H3805" t="s">
        <v>13</v>
      </c>
      <c r="I3805" t="s">
        <v>29</v>
      </c>
    </row>
    <row r="3806" spans="1:9" x14ac:dyDescent="0.35">
      <c r="A3806" t="s">
        <v>3842</v>
      </c>
      <c r="B3806" s="1">
        <v>44860</v>
      </c>
      <c r="C3806" t="s">
        <v>10</v>
      </c>
      <c r="D3806" t="s">
        <v>26</v>
      </c>
      <c r="E3806" t="s">
        <v>27</v>
      </c>
      <c r="F3806">
        <v>88.88</v>
      </c>
      <c r="G3806">
        <v>23.13</v>
      </c>
      <c r="H3806" t="s">
        <v>19</v>
      </c>
      <c r="I3806" t="s">
        <v>29</v>
      </c>
    </row>
    <row r="3807" spans="1:9" x14ac:dyDescent="0.35">
      <c r="A3807" t="s">
        <v>3843</v>
      </c>
      <c r="B3807" s="1">
        <v>45032</v>
      </c>
      <c r="C3807" t="s">
        <v>22</v>
      </c>
      <c r="D3807" t="s">
        <v>31</v>
      </c>
      <c r="E3807" t="s">
        <v>12</v>
      </c>
      <c r="F3807">
        <v>402.74</v>
      </c>
      <c r="G3807">
        <v>29.04</v>
      </c>
      <c r="H3807" t="s">
        <v>19</v>
      </c>
      <c r="I3807" t="s">
        <v>20</v>
      </c>
    </row>
    <row r="3808" spans="1:9" x14ac:dyDescent="0.35">
      <c r="A3808" t="s">
        <v>3844</v>
      </c>
      <c r="B3808" s="1">
        <v>44718</v>
      </c>
      <c r="C3808" t="s">
        <v>25</v>
      </c>
      <c r="D3808" t="s">
        <v>41</v>
      </c>
      <c r="E3808" t="s">
        <v>12</v>
      </c>
      <c r="F3808">
        <v>1672.94</v>
      </c>
      <c r="G3808">
        <v>407.67</v>
      </c>
      <c r="H3808" t="s">
        <v>28</v>
      </c>
      <c r="I3808" t="s">
        <v>29</v>
      </c>
    </row>
    <row r="3809" spans="1:9" x14ac:dyDescent="0.35">
      <c r="A3809" t="s">
        <v>3845</v>
      </c>
      <c r="B3809" s="1">
        <v>44886</v>
      </c>
      <c r="C3809" t="s">
        <v>22</v>
      </c>
      <c r="D3809" t="s">
        <v>38</v>
      </c>
      <c r="E3809" t="s">
        <v>12</v>
      </c>
      <c r="F3809">
        <v>239.45</v>
      </c>
      <c r="G3809">
        <v>51.28</v>
      </c>
      <c r="H3809" t="s">
        <v>19</v>
      </c>
      <c r="I3809" t="s">
        <v>14</v>
      </c>
    </row>
    <row r="3810" spans="1:9" x14ac:dyDescent="0.35">
      <c r="A3810" t="s">
        <v>3846</v>
      </c>
      <c r="B3810" s="1">
        <v>45426</v>
      </c>
      <c r="C3810" t="s">
        <v>25</v>
      </c>
      <c r="D3810" t="s">
        <v>38</v>
      </c>
      <c r="E3810" t="s">
        <v>12</v>
      </c>
      <c r="F3810">
        <v>854.57</v>
      </c>
      <c r="G3810">
        <v>154.47</v>
      </c>
      <c r="H3810" t="s">
        <v>28</v>
      </c>
      <c r="I3810" t="s">
        <v>34</v>
      </c>
    </row>
    <row r="3811" spans="1:9" x14ac:dyDescent="0.35">
      <c r="A3811" t="s">
        <v>3847</v>
      </c>
      <c r="B3811" s="1">
        <v>44958</v>
      </c>
      <c r="C3811" t="s">
        <v>16</v>
      </c>
      <c r="D3811" t="s">
        <v>33</v>
      </c>
      <c r="E3811" t="s">
        <v>18</v>
      </c>
      <c r="F3811">
        <v>267.85000000000002</v>
      </c>
      <c r="G3811">
        <v>76.989999999999995</v>
      </c>
      <c r="H3811" t="s">
        <v>13</v>
      </c>
      <c r="I3811" t="s">
        <v>29</v>
      </c>
    </row>
    <row r="3812" spans="1:9" x14ac:dyDescent="0.35">
      <c r="A3812" t="s">
        <v>3848</v>
      </c>
      <c r="B3812" s="1">
        <v>44733</v>
      </c>
      <c r="C3812" t="s">
        <v>25</v>
      </c>
      <c r="D3812" t="s">
        <v>17</v>
      </c>
      <c r="E3812" t="s">
        <v>18</v>
      </c>
      <c r="F3812">
        <v>514.99</v>
      </c>
      <c r="G3812">
        <v>93.85</v>
      </c>
      <c r="H3812" t="s">
        <v>19</v>
      </c>
      <c r="I3812" t="s">
        <v>20</v>
      </c>
    </row>
    <row r="3813" spans="1:9" x14ac:dyDescent="0.35">
      <c r="A3813" t="s">
        <v>3849</v>
      </c>
      <c r="B3813" s="1">
        <v>45408</v>
      </c>
      <c r="C3813" t="s">
        <v>16</v>
      </c>
      <c r="D3813" t="s">
        <v>17</v>
      </c>
      <c r="E3813" t="s">
        <v>18</v>
      </c>
      <c r="F3813">
        <v>1649.98</v>
      </c>
      <c r="G3813">
        <v>166.79</v>
      </c>
      <c r="H3813" t="s">
        <v>13</v>
      </c>
      <c r="I3813" t="s">
        <v>20</v>
      </c>
    </row>
    <row r="3814" spans="1:9" x14ac:dyDescent="0.35">
      <c r="A3814" t="s">
        <v>3850</v>
      </c>
      <c r="B3814" s="1">
        <v>45262</v>
      </c>
      <c r="C3814" t="s">
        <v>25</v>
      </c>
      <c r="D3814" t="s">
        <v>31</v>
      </c>
      <c r="E3814" t="s">
        <v>12</v>
      </c>
      <c r="F3814">
        <v>1834.53</v>
      </c>
      <c r="G3814">
        <v>380.23</v>
      </c>
      <c r="H3814" t="s">
        <v>28</v>
      </c>
      <c r="I3814" t="s">
        <v>20</v>
      </c>
    </row>
    <row r="3815" spans="1:9" x14ac:dyDescent="0.35">
      <c r="A3815" t="s">
        <v>3851</v>
      </c>
      <c r="B3815" s="1">
        <v>45076</v>
      </c>
      <c r="C3815" t="s">
        <v>25</v>
      </c>
      <c r="D3815" t="s">
        <v>38</v>
      </c>
      <c r="E3815" t="s">
        <v>12</v>
      </c>
      <c r="F3815">
        <v>702.24</v>
      </c>
      <c r="G3815">
        <v>104.28</v>
      </c>
      <c r="H3815" t="s">
        <v>19</v>
      </c>
      <c r="I3815" t="s">
        <v>34</v>
      </c>
    </row>
    <row r="3816" spans="1:9" x14ac:dyDescent="0.35">
      <c r="A3816" t="s">
        <v>3852</v>
      </c>
      <c r="B3816" s="1">
        <v>44851</v>
      </c>
      <c r="C3816" t="s">
        <v>16</v>
      </c>
      <c r="D3816" t="s">
        <v>95</v>
      </c>
      <c r="E3816" t="s">
        <v>18</v>
      </c>
      <c r="F3816">
        <v>1242.67</v>
      </c>
      <c r="G3816">
        <v>323.23</v>
      </c>
      <c r="H3816" t="s">
        <v>28</v>
      </c>
      <c r="I3816" t="s">
        <v>20</v>
      </c>
    </row>
    <row r="3817" spans="1:9" x14ac:dyDescent="0.35">
      <c r="A3817" t="s">
        <v>3853</v>
      </c>
      <c r="B3817" s="1">
        <v>45125</v>
      </c>
      <c r="C3817" t="s">
        <v>16</v>
      </c>
      <c r="D3817" t="s">
        <v>23</v>
      </c>
      <c r="E3817" t="s">
        <v>18</v>
      </c>
      <c r="F3817">
        <v>1309.6600000000001</v>
      </c>
      <c r="G3817">
        <v>234.81</v>
      </c>
      <c r="H3817" t="s">
        <v>28</v>
      </c>
      <c r="I3817" t="s">
        <v>14</v>
      </c>
    </row>
    <row r="3818" spans="1:9" x14ac:dyDescent="0.35">
      <c r="A3818" t="s">
        <v>3854</v>
      </c>
      <c r="B3818" s="1">
        <v>44957</v>
      </c>
      <c r="C3818" t="s">
        <v>16</v>
      </c>
      <c r="D3818" t="s">
        <v>46</v>
      </c>
      <c r="E3818" t="s">
        <v>18</v>
      </c>
      <c r="F3818">
        <v>1117.0999999999999</v>
      </c>
      <c r="G3818">
        <v>108.1</v>
      </c>
      <c r="H3818" t="s">
        <v>13</v>
      </c>
      <c r="I3818" t="s">
        <v>20</v>
      </c>
    </row>
    <row r="3819" spans="1:9" x14ac:dyDescent="0.35">
      <c r="A3819" t="s">
        <v>3855</v>
      </c>
      <c r="B3819" s="1">
        <v>45615</v>
      </c>
      <c r="C3819" t="s">
        <v>10</v>
      </c>
      <c r="D3819" t="s">
        <v>57</v>
      </c>
      <c r="E3819" t="s">
        <v>27</v>
      </c>
      <c r="F3819">
        <v>485.73</v>
      </c>
      <c r="G3819">
        <v>144.22999999999999</v>
      </c>
      <c r="H3819" t="s">
        <v>13</v>
      </c>
      <c r="I3819" t="s">
        <v>29</v>
      </c>
    </row>
    <row r="3820" spans="1:9" x14ac:dyDescent="0.35">
      <c r="A3820" t="s">
        <v>3856</v>
      </c>
      <c r="B3820" s="1">
        <v>44772</v>
      </c>
      <c r="C3820" t="s">
        <v>22</v>
      </c>
      <c r="D3820" t="s">
        <v>31</v>
      </c>
      <c r="E3820" t="s">
        <v>12</v>
      </c>
      <c r="F3820">
        <v>1312.17</v>
      </c>
      <c r="G3820">
        <v>162.84</v>
      </c>
      <c r="H3820" t="s">
        <v>13</v>
      </c>
      <c r="I3820" t="s">
        <v>29</v>
      </c>
    </row>
    <row r="3821" spans="1:9" x14ac:dyDescent="0.35">
      <c r="A3821" t="s">
        <v>3857</v>
      </c>
      <c r="B3821" s="1">
        <v>45060</v>
      </c>
      <c r="C3821" t="s">
        <v>10</v>
      </c>
      <c r="D3821" t="s">
        <v>38</v>
      </c>
      <c r="E3821" t="s">
        <v>12</v>
      </c>
      <c r="F3821">
        <v>1008.85</v>
      </c>
      <c r="G3821">
        <v>267.51</v>
      </c>
      <c r="H3821" t="s">
        <v>13</v>
      </c>
      <c r="I3821" t="s">
        <v>14</v>
      </c>
    </row>
    <row r="3822" spans="1:9" x14ac:dyDescent="0.35">
      <c r="A3822" t="s">
        <v>3858</v>
      </c>
      <c r="B3822" s="1">
        <v>44964</v>
      </c>
      <c r="C3822" t="s">
        <v>25</v>
      </c>
      <c r="D3822" t="s">
        <v>38</v>
      </c>
      <c r="E3822" t="s">
        <v>12</v>
      </c>
      <c r="F3822">
        <v>1674.08</v>
      </c>
      <c r="G3822">
        <v>442.14</v>
      </c>
      <c r="H3822" t="s">
        <v>28</v>
      </c>
      <c r="I3822" t="s">
        <v>20</v>
      </c>
    </row>
    <row r="3823" spans="1:9" x14ac:dyDescent="0.35">
      <c r="A3823" t="s">
        <v>3859</v>
      </c>
      <c r="B3823" s="1">
        <v>44788</v>
      </c>
      <c r="C3823" t="s">
        <v>16</v>
      </c>
      <c r="D3823" t="s">
        <v>57</v>
      </c>
      <c r="E3823" t="s">
        <v>27</v>
      </c>
      <c r="F3823">
        <v>1468.02</v>
      </c>
      <c r="G3823">
        <v>364.74</v>
      </c>
      <c r="H3823" t="s">
        <v>19</v>
      </c>
      <c r="I3823" t="s">
        <v>29</v>
      </c>
    </row>
    <row r="3824" spans="1:9" x14ac:dyDescent="0.35">
      <c r="A3824" t="s">
        <v>3860</v>
      </c>
      <c r="B3824" s="1">
        <v>44727</v>
      </c>
      <c r="C3824" t="s">
        <v>22</v>
      </c>
      <c r="D3824" t="s">
        <v>50</v>
      </c>
      <c r="E3824" t="s">
        <v>12</v>
      </c>
      <c r="F3824">
        <v>607.45000000000005</v>
      </c>
      <c r="G3824">
        <v>159</v>
      </c>
      <c r="H3824" t="s">
        <v>28</v>
      </c>
      <c r="I3824" t="s">
        <v>34</v>
      </c>
    </row>
    <row r="3825" spans="1:9" x14ac:dyDescent="0.35">
      <c r="A3825" t="s">
        <v>3861</v>
      </c>
      <c r="B3825" s="1">
        <v>44661</v>
      </c>
      <c r="C3825" t="s">
        <v>16</v>
      </c>
      <c r="D3825" t="s">
        <v>97</v>
      </c>
      <c r="E3825" t="s">
        <v>27</v>
      </c>
      <c r="F3825">
        <v>960.8</v>
      </c>
      <c r="G3825">
        <v>182.98</v>
      </c>
      <c r="H3825" t="s">
        <v>13</v>
      </c>
      <c r="I3825" t="s">
        <v>20</v>
      </c>
    </row>
    <row r="3826" spans="1:9" x14ac:dyDescent="0.35">
      <c r="A3826" t="s">
        <v>3862</v>
      </c>
      <c r="B3826" s="1">
        <v>44577</v>
      </c>
      <c r="C3826" t="s">
        <v>22</v>
      </c>
      <c r="D3826" t="s">
        <v>38</v>
      </c>
      <c r="E3826" t="s">
        <v>12</v>
      </c>
      <c r="F3826">
        <v>1292.78</v>
      </c>
      <c r="G3826">
        <v>89.87</v>
      </c>
      <c r="H3826" t="s">
        <v>19</v>
      </c>
      <c r="I3826" t="s">
        <v>29</v>
      </c>
    </row>
    <row r="3827" spans="1:9" x14ac:dyDescent="0.35">
      <c r="A3827" t="s">
        <v>3863</v>
      </c>
      <c r="B3827" s="1">
        <v>45286</v>
      </c>
      <c r="C3827" t="s">
        <v>25</v>
      </c>
      <c r="D3827" t="s">
        <v>95</v>
      </c>
      <c r="E3827" t="s">
        <v>18</v>
      </c>
      <c r="F3827">
        <v>1712.44</v>
      </c>
      <c r="G3827">
        <v>450.08</v>
      </c>
      <c r="H3827" t="s">
        <v>13</v>
      </c>
      <c r="I3827" t="s">
        <v>14</v>
      </c>
    </row>
    <row r="3828" spans="1:9" x14ac:dyDescent="0.35">
      <c r="A3828" t="s">
        <v>3864</v>
      </c>
      <c r="B3828" s="1">
        <v>45647</v>
      </c>
      <c r="C3828" t="s">
        <v>16</v>
      </c>
      <c r="D3828" t="s">
        <v>46</v>
      </c>
      <c r="E3828" t="s">
        <v>18</v>
      </c>
      <c r="F3828">
        <v>1039.6300000000001</v>
      </c>
      <c r="G3828">
        <v>302.45999999999998</v>
      </c>
      <c r="H3828" t="s">
        <v>13</v>
      </c>
      <c r="I3828" t="s">
        <v>34</v>
      </c>
    </row>
    <row r="3829" spans="1:9" x14ac:dyDescent="0.35">
      <c r="A3829" t="s">
        <v>3865</v>
      </c>
      <c r="B3829" s="1">
        <v>45260</v>
      </c>
      <c r="C3829" t="s">
        <v>10</v>
      </c>
      <c r="D3829" t="s">
        <v>46</v>
      </c>
      <c r="E3829" t="s">
        <v>18</v>
      </c>
      <c r="F3829">
        <v>1046.1300000000001</v>
      </c>
      <c r="G3829">
        <v>124.85</v>
      </c>
      <c r="H3829" t="s">
        <v>28</v>
      </c>
      <c r="I3829" t="s">
        <v>34</v>
      </c>
    </row>
    <row r="3830" spans="1:9" x14ac:dyDescent="0.35">
      <c r="A3830" t="s">
        <v>3866</v>
      </c>
      <c r="B3830" s="1">
        <v>45640</v>
      </c>
      <c r="C3830" t="s">
        <v>16</v>
      </c>
      <c r="D3830" t="s">
        <v>11</v>
      </c>
      <c r="E3830" t="s">
        <v>12</v>
      </c>
      <c r="F3830">
        <v>1644.26</v>
      </c>
      <c r="G3830">
        <v>395.71</v>
      </c>
      <c r="H3830" t="s">
        <v>19</v>
      </c>
      <c r="I3830" t="s">
        <v>20</v>
      </c>
    </row>
    <row r="3831" spans="1:9" x14ac:dyDescent="0.35">
      <c r="A3831" t="s">
        <v>3867</v>
      </c>
      <c r="B3831" s="1">
        <v>45081</v>
      </c>
      <c r="C3831" t="s">
        <v>25</v>
      </c>
      <c r="D3831" t="s">
        <v>31</v>
      </c>
      <c r="E3831" t="s">
        <v>12</v>
      </c>
      <c r="F3831">
        <v>1129.8</v>
      </c>
      <c r="G3831">
        <v>283.26</v>
      </c>
      <c r="H3831" t="s">
        <v>13</v>
      </c>
      <c r="I3831" t="s">
        <v>20</v>
      </c>
    </row>
    <row r="3832" spans="1:9" x14ac:dyDescent="0.35">
      <c r="A3832" t="s">
        <v>3868</v>
      </c>
      <c r="B3832" s="1">
        <v>45381</v>
      </c>
      <c r="C3832" t="s">
        <v>10</v>
      </c>
      <c r="D3832" t="s">
        <v>57</v>
      </c>
      <c r="E3832" t="s">
        <v>27</v>
      </c>
      <c r="F3832">
        <v>246.73</v>
      </c>
      <c r="G3832">
        <v>68.13</v>
      </c>
      <c r="H3832" t="s">
        <v>19</v>
      </c>
      <c r="I3832" t="s">
        <v>20</v>
      </c>
    </row>
    <row r="3833" spans="1:9" x14ac:dyDescent="0.35">
      <c r="A3833" t="s">
        <v>3869</v>
      </c>
      <c r="B3833" s="1">
        <v>44781</v>
      </c>
      <c r="C3833" t="s">
        <v>10</v>
      </c>
      <c r="D3833" t="s">
        <v>95</v>
      </c>
      <c r="E3833" t="s">
        <v>18</v>
      </c>
      <c r="F3833">
        <v>848.19</v>
      </c>
      <c r="G3833">
        <v>158.44</v>
      </c>
      <c r="H3833" t="s">
        <v>19</v>
      </c>
      <c r="I3833" t="s">
        <v>14</v>
      </c>
    </row>
    <row r="3834" spans="1:9" x14ac:dyDescent="0.35">
      <c r="A3834" t="s">
        <v>3870</v>
      </c>
      <c r="B3834" s="1">
        <v>45557</v>
      </c>
      <c r="C3834" t="s">
        <v>22</v>
      </c>
      <c r="D3834" t="s">
        <v>97</v>
      </c>
      <c r="E3834" t="s">
        <v>27</v>
      </c>
      <c r="F3834">
        <v>493.24</v>
      </c>
      <c r="G3834">
        <v>90.13</v>
      </c>
      <c r="H3834" t="s">
        <v>19</v>
      </c>
      <c r="I3834" t="s">
        <v>34</v>
      </c>
    </row>
    <row r="3835" spans="1:9" x14ac:dyDescent="0.35">
      <c r="A3835" t="s">
        <v>3871</v>
      </c>
      <c r="B3835" s="1">
        <v>45135</v>
      </c>
      <c r="C3835" t="s">
        <v>25</v>
      </c>
      <c r="D3835" t="s">
        <v>11</v>
      </c>
      <c r="E3835" t="s">
        <v>12</v>
      </c>
      <c r="F3835">
        <v>621.29</v>
      </c>
      <c r="G3835">
        <v>86.09</v>
      </c>
      <c r="H3835" t="s">
        <v>13</v>
      </c>
      <c r="I3835" t="s">
        <v>14</v>
      </c>
    </row>
    <row r="3836" spans="1:9" x14ac:dyDescent="0.35">
      <c r="A3836" t="s">
        <v>3872</v>
      </c>
      <c r="B3836" s="1">
        <v>44879</v>
      </c>
      <c r="C3836" t="s">
        <v>25</v>
      </c>
      <c r="D3836" t="s">
        <v>97</v>
      </c>
      <c r="E3836" t="s">
        <v>27</v>
      </c>
      <c r="F3836">
        <v>1045.03</v>
      </c>
      <c r="G3836">
        <v>91.55</v>
      </c>
      <c r="H3836" t="s">
        <v>13</v>
      </c>
      <c r="I3836" t="s">
        <v>34</v>
      </c>
    </row>
    <row r="3837" spans="1:9" x14ac:dyDescent="0.35">
      <c r="A3837" t="s">
        <v>3873</v>
      </c>
      <c r="B3837" s="1">
        <v>45484</v>
      </c>
      <c r="C3837" t="s">
        <v>25</v>
      </c>
      <c r="D3837" t="s">
        <v>33</v>
      </c>
      <c r="E3837" t="s">
        <v>18</v>
      </c>
      <c r="F3837">
        <v>504.61</v>
      </c>
      <c r="G3837">
        <v>67.69</v>
      </c>
      <c r="H3837" t="s">
        <v>28</v>
      </c>
      <c r="I3837" t="s">
        <v>34</v>
      </c>
    </row>
    <row r="3838" spans="1:9" x14ac:dyDescent="0.35">
      <c r="A3838" t="s">
        <v>3874</v>
      </c>
      <c r="B3838" s="1">
        <v>45322</v>
      </c>
      <c r="C3838" t="s">
        <v>25</v>
      </c>
      <c r="D3838" t="s">
        <v>46</v>
      </c>
      <c r="E3838" t="s">
        <v>18</v>
      </c>
      <c r="F3838">
        <v>1143.9100000000001</v>
      </c>
      <c r="G3838">
        <v>100.61</v>
      </c>
      <c r="H3838" t="s">
        <v>19</v>
      </c>
      <c r="I3838" t="s">
        <v>14</v>
      </c>
    </row>
    <row r="3839" spans="1:9" x14ac:dyDescent="0.35">
      <c r="A3839" t="s">
        <v>3875</v>
      </c>
      <c r="B3839" s="1">
        <v>45606</v>
      </c>
      <c r="C3839" t="s">
        <v>16</v>
      </c>
      <c r="D3839" t="s">
        <v>26</v>
      </c>
      <c r="E3839" t="s">
        <v>27</v>
      </c>
      <c r="F3839">
        <v>137.75</v>
      </c>
      <c r="G3839">
        <v>33.159999999999997</v>
      </c>
      <c r="H3839" t="s">
        <v>28</v>
      </c>
      <c r="I3839" t="s">
        <v>20</v>
      </c>
    </row>
    <row r="3840" spans="1:9" x14ac:dyDescent="0.35">
      <c r="A3840" t="s">
        <v>3876</v>
      </c>
      <c r="B3840" s="1">
        <v>44984</v>
      </c>
      <c r="C3840" t="s">
        <v>22</v>
      </c>
      <c r="D3840" t="s">
        <v>57</v>
      </c>
      <c r="E3840" t="s">
        <v>27</v>
      </c>
      <c r="F3840">
        <v>1983.97</v>
      </c>
      <c r="G3840">
        <v>504.49</v>
      </c>
      <c r="H3840" t="s">
        <v>19</v>
      </c>
      <c r="I3840" t="s">
        <v>14</v>
      </c>
    </row>
    <row r="3841" spans="1:9" x14ac:dyDescent="0.35">
      <c r="A3841" t="s">
        <v>3877</v>
      </c>
      <c r="B3841" s="1">
        <v>45308</v>
      </c>
      <c r="C3841" t="s">
        <v>25</v>
      </c>
      <c r="D3841" t="s">
        <v>17</v>
      </c>
      <c r="E3841" t="s">
        <v>18</v>
      </c>
      <c r="F3841">
        <v>1756.01</v>
      </c>
      <c r="G3841">
        <v>439.25</v>
      </c>
      <c r="H3841" t="s">
        <v>19</v>
      </c>
      <c r="I3841" t="s">
        <v>29</v>
      </c>
    </row>
    <row r="3842" spans="1:9" x14ac:dyDescent="0.35">
      <c r="A3842" t="s">
        <v>3878</v>
      </c>
      <c r="B3842" s="1">
        <v>45012</v>
      </c>
      <c r="C3842" t="s">
        <v>16</v>
      </c>
      <c r="D3842" t="s">
        <v>17</v>
      </c>
      <c r="E3842" t="s">
        <v>18</v>
      </c>
      <c r="F3842">
        <v>1924.14</v>
      </c>
      <c r="G3842">
        <v>164.26</v>
      </c>
      <c r="H3842" t="s">
        <v>13</v>
      </c>
      <c r="I3842" t="s">
        <v>34</v>
      </c>
    </row>
    <row r="3843" spans="1:9" x14ac:dyDescent="0.35">
      <c r="A3843" t="s">
        <v>3879</v>
      </c>
      <c r="B3843" s="1">
        <v>44574</v>
      </c>
      <c r="C3843" t="s">
        <v>16</v>
      </c>
      <c r="D3843" t="s">
        <v>50</v>
      </c>
      <c r="E3843" t="s">
        <v>12</v>
      </c>
      <c r="F3843">
        <v>348.45</v>
      </c>
      <c r="G3843">
        <v>26.6</v>
      </c>
      <c r="H3843" t="s">
        <v>13</v>
      </c>
      <c r="I3843" t="s">
        <v>20</v>
      </c>
    </row>
    <row r="3844" spans="1:9" x14ac:dyDescent="0.35">
      <c r="A3844" t="s">
        <v>3880</v>
      </c>
      <c r="B3844" s="1">
        <v>44910</v>
      </c>
      <c r="C3844" t="s">
        <v>22</v>
      </c>
      <c r="D3844" t="s">
        <v>31</v>
      </c>
      <c r="E3844" t="s">
        <v>12</v>
      </c>
      <c r="F3844">
        <v>1281.54</v>
      </c>
      <c r="G3844">
        <v>362.78</v>
      </c>
      <c r="H3844" t="s">
        <v>13</v>
      </c>
      <c r="I3844" t="s">
        <v>29</v>
      </c>
    </row>
    <row r="3845" spans="1:9" x14ac:dyDescent="0.35">
      <c r="A3845" t="s">
        <v>3881</v>
      </c>
      <c r="B3845" s="1">
        <v>45262</v>
      </c>
      <c r="C3845" t="s">
        <v>16</v>
      </c>
      <c r="D3845" t="s">
        <v>73</v>
      </c>
      <c r="E3845" t="s">
        <v>27</v>
      </c>
      <c r="F3845">
        <v>268.18</v>
      </c>
      <c r="G3845">
        <v>19.399999999999999</v>
      </c>
      <c r="H3845" t="s">
        <v>19</v>
      </c>
      <c r="I3845" t="s">
        <v>14</v>
      </c>
    </row>
    <row r="3846" spans="1:9" x14ac:dyDescent="0.35">
      <c r="A3846" t="s">
        <v>3882</v>
      </c>
      <c r="B3846" s="1">
        <v>45609</v>
      </c>
      <c r="C3846" t="s">
        <v>25</v>
      </c>
      <c r="D3846" t="s">
        <v>31</v>
      </c>
      <c r="E3846" t="s">
        <v>12</v>
      </c>
      <c r="F3846">
        <v>1855.91</v>
      </c>
      <c r="G3846">
        <v>468.59</v>
      </c>
      <c r="H3846" t="s">
        <v>19</v>
      </c>
      <c r="I3846" t="s">
        <v>29</v>
      </c>
    </row>
    <row r="3847" spans="1:9" x14ac:dyDescent="0.35">
      <c r="A3847" t="s">
        <v>3883</v>
      </c>
      <c r="B3847" s="1">
        <v>45584</v>
      </c>
      <c r="C3847" t="s">
        <v>22</v>
      </c>
      <c r="D3847" t="s">
        <v>62</v>
      </c>
      <c r="E3847" t="s">
        <v>27</v>
      </c>
      <c r="F3847">
        <v>494.11</v>
      </c>
      <c r="G3847">
        <v>136.13</v>
      </c>
      <c r="H3847" t="s">
        <v>19</v>
      </c>
      <c r="I3847" t="s">
        <v>34</v>
      </c>
    </row>
    <row r="3848" spans="1:9" x14ac:dyDescent="0.35">
      <c r="A3848" t="s">
        <v>3884</v>
      </c>
      <c r="B3848" s="1">
        <v>44829</v>
      </c>
      <c r="C3848" t="s">
        <v>25</v>
      </c>
      <c r="D3848" t="s">
        <v>23</v>
      </c>
      <c r="E3848" t="s">
        <v>18</v>
      </c>
      <c r="F3848">
        <v>1719.93</v>
      </c>
      <c r="G3848">
        <v>292.16000000000003</v>
      </c>
      <c r="H3848" t="s">
        <v>13</v>
      </c>
      <c r="I3848" t="s">
        <v>14</v>
      </c>
    </row>
    <row r="3849" spans="1:9" x14ac:dyDescent="0.35">
      <c r="A3849" t="s">
        <v>3885</v>
      </c>
      <c r="B3849" s="1">
        <v>45143</v>
      </c>
      <c r="C3849" t="s">
        <v>25</v>
      </c>
      <c r="D3849" t="s">
        <v>23</v>
      </c>
      <c r="E3849" t="s">
        <v>18</v>
      </c>
      <c r="F3849">
        <v>1234.25</v>
      </c>
      <c r="G3849">
        <v>125.78</v>
      </c>
      <c r="H3849" t="s">
        <v>28</v>
      </c>
      <c r="I3849" t="s">
        <v>29</v>
      </c>
    </row>
    <row r="3850" spans="1:9" x14ac:dyDescent="0.35">
      <c r="A3850" t="s">
        <v>3886</v>
      </c>
      <c r="B3850" s="1">
        <v>45177</v>
      </c>
      <c r="C3850" t="s">
        <v>22</v>
      </c>
      <c r="D3850" t="s">
        <v>97</v>
      </c>
      <c r="E3850" t="s">
        <v>27</v>
      </c>
      <c r="F3850">
        <v>384.73</v>
      </c>
      <c r="G3850">
        <v>36.090000000000003</v>
      </c>
      <c r="H3850" t="s">
        <v>19</v>
      </c>
      <c r="I3850" t="s">
        <v>20</v>
      </c>
    </row>
    <row r="3851" spans="1:9" x14ac:dyDescent="0.35">
      <c r="A3851" t="s">
        <v>3887</v>
      </c>
      <c r="B3851" s="1">
        <v>45084</v>
      </c>
      <c r="C3851" t="s">
        <v>10</v>
      </c>
      <c r="D3851" t="s">
        <v>26</v>
      </c>
      <c r="E3851" t="s">
        <v>27</v>
      </c>
      <c r="F3851">
        <v>324.47000000000003</v>
      </c>
      <c r="G3851">
        <v>22.5</v>
      </c>
      <c r="H3851" t="s">
        <v>19</v>
      </c>
      <c r="I3851" t="s">
        <v>34</v>
      </c>
    </row>
    <row r="3852" spans="1:9" x14ac:dyDescent="0.35">
      <c r="A3852" t="s">
        <v>3888</v>
      </c>
      <c r="B3852" s="1">
        <v>45389</v>
      </c>
      <c r="C3852" t="s">
        <v>22</v>
      </c>
      <c r="D3852" t="s">
        <v>95</v>
      </c>
      <c r="E3852" t="s">
        <v>18</v>
      </c>
      <c r="F3852">
        <v>198.89</v>
      </c>
      <c r="G3852">
        <v>20.69</v>
      </c>
      <c r="H3852" t="s">
        <v>28</v>
      </c>
      <c r="I3852" t="s">
        <v>20</v>
      </c>
    </row>
    <row r="3853" spans="1:9" x14ac:dyDescent="0.35">
      <c r="A3853" t="s">
        <v>3889</v>
      </c>
      <c r="B3853" s="1">
        <v>45320</v>
      </c>
      <c r="C3853" t="s">
        <v>10</v>
      </c>
      <c r="D3853" t="s">
        <v>41</v>
      </c>
      <c r="E3853" t="s">
        <v>12</v>
      </c>
      <c r="F3853">
        <v>1684.08</v>
      </c>
      <c r="G3853">
        <v>286.83</v>
      </c>
      <c r="H3853" t="s">
        <v>28</v>
      </c>
      <c r="I3853" t="s">
        <v>20</v>
      </c>
    </row>
    <row r="3854" spans="1:9" x14ac:dyDescent="0.35">
      <c r="A3854" t="s">
        <v>3890</v>
      </c>
      <c r="B3854" s="1">
        <v>44688</v>
      </c>
      <c r="C3854" t="s">
        <v>10</v>
      </c>
      <c r="D3854" t="s">
        <v>33</v>
      </c>
      <c r="E3854" t="s">
        <v>18</v>
      </c>
      <c r="F3854">
        <v>1414.97</v>
      </c>
      <c r="G3854">
        <v>316.7</v>
      </c>
      <c r="H3854" t="s">
        <v>19</v>
      </c>
      <c r="I3854" t="s">
        <v>14</v>
      </c>
    </row>
    <row r="3855" spans="1:9" x14ac:dyDescent="0.35">
      <c r="A3855" t="s">
        <v>3891</v>
      </c>
      <c r="B3855" s="1">
        <v>44962</v>
      </c>
      <c r="C3855" t="s">
        <v>25</v>
      </c>
      <c r="D3855" t="s">
        <v>17</v>
      </c>
      <c r="E3855" t="s">
        <v>18</v>
      </c>
      <c r="F3855">
        <v>1868.27</v>
      </c>
      <c r="G3855">
        <v>181.43</v>
      </c>
      <c r="H3855" t="s">
        <v>13</v>
      </c>
      <c r="I3855" t="s">
        <v>14</v>
      </c>
    </row>
    <row r="3856" spans="1:9" x14ac:dyDescent="0.35">
      <c r="A3856" t="s">
        <v>3892</v>
      </c>
      <c r="B3856" s="1">
        <v>45565</v>
      </c>
      <c r="C3856" t="s">
        <v>22</v>
      </c>
      <c r="D3856" t="s">
        <v>97</v>
      </c>
      <c r="E3856" t="s">
        <v>27</v>
      </c>
      <c r="F3856">
        <v>235.06</v>
      </c>
      <c r="G3856">
        <v>14.16</v>
      </c>
      <c r="H3856" t="s">
        <v>28</v>
      </c>
      <c r="I3856" t="s">
        <v>34</v>
      </c>
    </row>
    <row r="3857" spans="1:9" x14ac:dyDescent="0.35">
      <c r="A3857" t="s">
        <v>3893</v>
      </c>
      <c r="B3857" s="1">
        <v>45373</v>
      </c>
      <c r="C3857" t="s">
        <v>10</v>
      </c>
      <c r="D3857" t="s">
        <v>38</v>
      </c>
      <c r="E3857" t="s">
        <v>12</v>
      </c>
      <c r="F3857">
        <v>1802.17</v>
      </c>
      <c r="G3857">
        <v>529.98</v>
      </c>
      <c r="H3857" t="s">
        <v>13</v>
      </c>
      <c r="I3857" t="s">
        <v>34</v>
      </c>
    </row>
    <row r="3858" spans="1:9" x14ac:dyDescent="0.35">
      <c r="A3858" t="s">
        <v>3894</v>
      </c>
      <c r="B3858" s="1">
        <v>44647</v>
      </c>
      <c r="C3858" t="s">
        <v>22</v>
      </c>
      <c r="D3858" t="s">
        <v>23</v>
      </c>
      <c r="E3858" t="s">
        <v>18</v>
      </c>
      <c r="F3858">
        <v>1901.69</v>
      </c>
      <c r="G3858">
        <v>487.43</v>
      </c>
      <c r="H3858" t="s">
        <v>19</v>
      </c>
      <c r="I3858" t="s">
        <v>34</v>
      </c>
    </row>
    <row r="3859" spans="1:9" x14ac:dyDescent="0.35">
      <c r="A3859" t="s">
        <v>3895</v>
      </c>
      <c r="B3859" s="1">
        <v>45372</v>
      </c>
      <c r="C3859" t="s">
        <v>25</v>
      </c>
      <c r="D3859" t="s">
        <v>38</v>
      </c>
      <c r="E3859" t="s">
        <v>12</v>
      </c>
      <c r="F3859">
        <v>1027.99</v>
      </c>
      <c r="G3859">
        <v>58.24</v>
      </c>
      <c r="H3859" t="s">
        <v>13</v>
      </c>
      <c r="I3859" t="s">
        <v>14</v>
      </c>
    </row>
    <row r="3860" spans="1:9" x14ac:dyDescent="0.35">
      <c r="A3860" t="s">
        <v>3896</v>
      </c>
      <c r="B3860" s="1">
        <v>44958</v>
      </c>
      <c r="C3860" t="s">
        <v>22</v>
      </c>
      <c r="D3860" t="s">
        <v>11</v>
      </c>
      <c r="E3860" t="s">
        <v>12</v>
      </c>
      <c r="F3860">
        <v>1892.01</v>
      </c>
      <c r="G3860">
        <v>261.19</v>
      </c>
      <c r="H3860" t="s">
        <v>13</v>
      </c>
      <c r="I3860" t="s">
        <v>20</v>
      </c>
    </row>
    <row r="3861" spans="1:9" x14ac:dyDescent="0.35">
      <c r="A3861" t="s">
        <v>3897</v>
      </c>
      <c r="B3861" s="1">
        <v>45186</v>
      </c>
      <c r="C3861" t="s">
        <v>22</v>
      </c>
      <c r="D3861" t="s">
        <v>57</v>
      </c>
      <c r="E3861" t="s">
        <v>27</v>
      </c>
      <c r="F3861">
        <v>1489.09</v>
      </c>
      <c r="G3861">
        <v>285.67</v>
      </c>
      <c r="H3861" t="s">
        <v>13</v>
      </c>
      <c r="I3861" t="s">
        <v>34</v>
      </c>
    </row>
    <row r="3862" spans="1:9" x14ac:dyDescent="0.35">
      <c r="A3862" t="s">
        <v>3898</v>
      </c>
      <c r="B3862" s="1">
        <v>45443</v>
      </c>
      <c r="C3862" t="s">
        <v>22</v>
      </c>
      <c r="D3862" t="s">
        <v>62</v>
      </c>
      <c r="E3862" t="s">
        <v>27</v>
      </c>
      <c r="F3862">
        <v>491.2</v>
      </c>
      <c r="G3862">
        <v>89.84</v>
      </c>
      <c r="H3862" t="s">
        <v>13</v>
      </c>
      <c r="I3862" t="s">
        <v>20</v>
      </c>
    </row>
    <row r="3863" spans="1:9" x14ac:dyDescent="0.35">
      <c r="A3863" t="s">
        <v>3899</v>
      </c>
      <c r="B3863" s="1">
        <v>45124</v>
      </c>
      <c r="C3863" t="s">
        <v>10</v>
      </c>
      <c r="D3863" t="s">
        <v>31</v>
      </c>
      <c r="E3863" t="s">
        <v>12</v>
      </c>
      <c r="F3863">
        <v>1212.03</v>
      </c>
      <c r="G3863">
        <v>152.69999999999999</v>
      </c>
      <c r="H3863" t="s">
        <v>28</v>
      </c>
      <c r="I3863" t="s">
        <v>29</v>
      </c>
    </row>
    <row r="3864" spans="1:9" x14ac:dyDescent="0.35">
      <c r="A3864" t="s">
        <v>3900</v>
      </c>
      <c r="B3864" s="1">
        <v>45358</v>
      </c>
      <c r="C3864" t="s">
        <v>25</v>
      </c>
      <c r="D3864" t="s">
        <v>73</v>
      </c>
      <c r="E3864" t="s">
        <v>27</v>
      </c>
      <c r="F3864">
        <v>1686.23</v>
      </c>
      <c r="G3864">
        <v>195.64</v>
      </c>
      <c r="H3864" t="s">
        <v>28</v>
      </c>
      <c r="I3864" t="s">
        <v>29</v>
      </c>
    </row>
    <row r="3865" spans="1:9" x14ac:dyDescent="0.35">
      <c r="A3865" t="s">
        <v>3901</v>
      </c>
      <c r="B3865" s="1">
        <v>44795</v>
      </c>
      <c r="C3865" t="s">
        <v>25</v>
      </c>
      <c r="D3865" t="s">
        <v>31</v>
      </c>
      <c r="E3865" t="s">
        <v>12</v>
      </c>
      <c r="F3865">
        <v>1623.84</v>
      </c>
      <c r="G3865">
        <v>182.49</v>
      </c>
      <c r="H3865" t="s">
        <v>19</v>
      </c>
      <c r="I3865" t="s">
        <v>20</v>
      </c>
    </row>
    <row r="3866" spans="1:9" x14ac:dyDescent="0.35">
      <c r="A3866" t="s">
        <v>3902</v>
      </c>
      <c r="B3866" s="1">
        <v>44846</v>
      </c>
      <c r="C3866" t="s">
        <v>25</v>
      </c>
      <c r="D3866" t="s">
        <v>57</v>
      </c>
      <c r="E3866" t="s">
        <v>27</v>
      </c>
      <c r="F3866">
        <v>431.76</v>
      </c>
      <c r="G3866">
        <v>42.95</v>
      </c>
      <c r="H3866" t="s">
        <v>19</v>
      </c>
      <c r="I3866" t="s">
        <v>14</v>
      </c>
    </row>
    <row r="3867" spans="1:9" x14ac:dyDescent="0.35">
      <c r="A3867" t="s">
        <v>3903</v>
      </c>
      <c r="B3867" s="1">
        <v>44932</v>
      </c>
      <c r="C3867" t="s">
        <v>10</v>
      </c>
      <c r="D3867" t="s">
        <v>41</v>
      </c>
      <c r="E3867" t="s">
        <v>12</v>
      </c>
      <c r="F3867">
        <v>778.41</v>
      </c>
      <c r="G3867">
        <v>51.79</v>
      </c>
      <c r="H3867" t="s">
        <v>19</v>
      </c>
      <c r="I3867" t="s">
        <v>20</v>
      </c>
    </row>
    <row r="3868" spans="1:9" x14ac:dyDescent="0.35">
      <c r="A3868" t="s">
        <v>3904</v>
      </c>
      <c r="B3868" s="1">
        <v>44611</v>
      </c>
      <c r="C3868" t="s">
        <v>22</v>
      </c>
      <c r="D3868" t="s">
        <v>46</v>
      </c>
      <c r="E3868" t="s">
        <v>18</v>
      </c>
      <c r="F3868">
        <v>1708.37</v>
      </c>
      <c r="G3868">
        <v>365.76</v>
      </c>
      <c r="H3868" t="s">
        <v>13</v>
      </c>
      <c r="I3868" t="s">
        <v>34</v>
      </c>
    </row>
    <row r="3869" spans="1:9" x14ac:dyDescent="0.35">
      <c r="A3869" t="s">
        <v>3905</v>
      </c>
      <c r="B3869" s="1">
        <v>45349</v>
      </c>
      <c r="C3869" t="s">
        <v>10</v>
      </c>
      <c r="D3869" t="s">
        <v>38</v>
      </c>
      <c r="E3869" t="s">
        <v>12</v>
      </c>
      <c r="F3869">
        <v>1466.28</v>
      </c>
      <c r="G3869">
        <v>169.53</v>
      </c>
      <c r="H3869" t="s">
        <v>19</v>
      </c>
      <c r="I3869" t="s">
        <v>29</v>
      </c>
    </row>
    <row r="3870" spans="1:9" x14ac:dyDescent="0.35">
      <c r="A3870" t="s">
        <v>3906</v>
      </c>
      <c r="B3870" s="1">
        <v>45414</v>
      </c>
      <c r="C3870" t="s">
        <v>22</v>
      </c>
      <c r="D3870" t="s">
        <v>38</v>
      </c>
      <c r="E3870" t="s">
        <v>12</v>
      </c>
      <c r="F3870">
        <v>176.67</v>
      </c>
      <c r="G3870">
        <v>12.22</v>
      </c>
      <c r="H3870" t="s">
        <v>13</v>
      </c>
      <c r="I3870" t="s">
        <v>29</v>
      </c>
    </row>
    <row r="3871" spans="1:9" x14ac:dyDescent="0.35">
      <c r="A3871" t="s">
        <v>3907</v>
      </c>
      <c r="B3871" s="1">
        <v>45140</v>
      </c>
      <c r="C3871" t="s">
        <v>25</v>
      </c>
      <c r="D3871" t="s">
        <v>41</v>
      </c>
      <c r="E3871" t="s">
        <v>12</v>
      </c>
      <c r="F3871">
        <v>1422.29</v>
      </c>
      <c r="G3871">
        <v>174.68</v>
      </c>
      <c r="H3871" t="s">
        <v>19</v>
      </c>
      <c r="I3871" t="s">
        <v>14</v>
      </c>
    </row>
    <row r="3872" spans="1:9" x14ac:dyDescent="0.35">
      <c r="A3872" t="s">
        <v>3908</v>
      </c>
      <c r="B3872" s="1">
        <v>45590</v>
      </c>
      <c r="C3872" t="s">
        <v>16</v>
      </c>
      <c r="D3872" t="s">
        <v>26</v>
      </c>
      <c r="E3872" t="s">
        <v>27</v>
      </c>
      <c r="F3872">
        <v>529.23</v>
      </c>
      <c r="G3872">
        <v>142.77000000000001</v>
      </c>
      <c r="H3872" t="s">
        <v>13</v>
      </c>
      <c r="I3872" t="s">
        <v>20</v>
      </c>
    </row>
    <row r="3873" spans="1:9" x14ac:dyDescent="0.35">
      <c r="A3873" t="s">
        <v>3909</v>
      </c>
      <c r="B3873" s="1">
        <v>45464</v>
      </c>
      <c r="C3873" t="s">
        <v>25</v>
      </c>
      <c r="D3873" t="s">
        <v>31</v>
      </c>
      <c r="E3873" t="s">
        <v>12</v>
      </c>
      <c r="F3873">
        <v>512.54</v>
      </c>
      <c r="G3873">
        <v>82.37</v>
      </c>
      <c r="H3873" t="s">
        <v>13</v>
      </c>
      <c r="I3873" t="s">
        <v>20</v>
      </c>
    </row>
    <row r="3874" spans="1:9" x14ac:dyDescent="0.35">
      <c r="A3874" t="s">
        <v>3910</v>
      </c>
      <c r="B3874" s="1">
        <v>44608</v>
      </c>
      <c r="C3874" t="s">
        <v>16</v>
      </c>
      <c r="D3874" t="s">
        <v>57</v>
      </c>
      <c r="E3874" t="s">
        <v>27</v>
      </c>
      <c r="F3874">
        <v>1907.06</v>
      </c>
      <c r="G3874">
        <v>482.94</v>
      </c>
      <c r="H3874" t="s">
        <v>28</v>
      </c>
      <c r="I3874" t="s">
        <v>14</v>
      </c>
    </row>
    <row r="3875" spans="1:9" x14ac:dyDescent="0.35">
      <c r="A3875" t="s">
        <v>3911</v>
      </c>
      <c r="B3875" s="1">
        <v>45279</v>
      </c>
      <c r="C3875" t="s">
        <v>25</v>
      </c>
      <c r="D3875" t="s">
        <v>33</v>
      </c>
      <c r="E3875" t="s">
        <v>18</v>
      </c>
      <c r="F3875">
        <v>1209.01</v>
      </c>
      <c r="G3875">
        <v>102.32</v>
      </c>
      <c r="H3875" t="s">
        <v>28</v>
      </c>
      <c r="I3875" t="s">
        <v>20</v>
      </c>
    </row>
    <row r="3876" spans="1:9" x14ac:dyDescent="0.35">
      <c r="A3876" t="s">
        <v>3912</v>
      </c>
      <c r="B3876" s="1">
        <v>44751</v>
      </c>
      <c r="C3876" t="s">
        <v>25</v>
      </c>
      <c r="D3876" t="s">
        <v>23</v>
      </c>
      <c r="E3876" t="s">
        <v>18</v>
      </c>
      <c r="F3876">
        <v>1902.64</v>
      </c>
      <c r="G3876">
        <v>315.47000000000003</v>
      </c>
      <c r="H3876" t="s">
        <v>13</v>
      </c>
      <c r="I3876" t="s">
        <v>29</v>
      </c>
    </row>
    <row r="3877" spans="1:9" x14ac:dyDescent="0.35">
      <c r="A3877" t="s">
        <v>3913</v>
      </c>
      <c r="B3877" s="1">
        <v>44954</v>
      </c>
      <c r="C3877" t="s">
        <v>16</v>
      </c>
      <c r="D3877" t="s">
        <v>11</v>
      </c>
      <c r="E3877" t="s">
        <v>12</v>
      </c>
      <c r="F3877">
        <v>385.38</v>
      </c>
      <c r="G3877">
        <v>77.78</v>
      </c>
      <c r="H3877" t="s">
        <v>13</v>
      </c>
      <c r="I3877" t="s">
        <v>20</v>
      </c>
    </row>
    <row r="3878" spans="1:9" x14ac:dyDescent="0.35">
      <c r="A3878" t="s">
        <v>3914</v>
      </c>
      <c r="B3878" s="1">
        <v>45313</v>
      </c>
      <c r="C3878" t="s">
        <v>10</v>
      </c>
      <c r="D3878" t="s">
        <v>46</v>
      </c>
      <c r="E3878" t="s">
        <v>18</v>
      </c>
      <c r="F3878">
        <v>1638.28</v>
      </c>
      <c r="G3878">
        <v>120.69</v>
      </c>
      <c r="H3878" t="s">
        <v>13</v>
      </c>
      <c r="I3878" t="s">
        <v>29</v>
      </c>
    </row>
    <row r="3879" spans="1:9" x14ac:dyDescent="0.35">
      <c r="A3879" t="s">
        <v>3915</v>
      </c>
      <c r="B3879" s="1">
        <v>45598</v>
      </c>
      <c r="C3879" t="s">
        <v>10</v>
      </c>
      <c r="D3879" t="s">
        <v>50</v>
      </c>
      <c r="E3879" t="s">
        <v>12</v>
      </c>
      <c r="F3879">
        <v>1661.77</v>
      </c>
      <c r="G3879">
        <v>198.71</v>
      </c>
      <c r="H3879" t="s">
        <v>19</v>
      </c>
      <c r="I3879" t="s">
        <v>14</v>
      </c>
    </row>
    <row r="3880" spans="1:9" x14ac:dyDescent="0.35">
      <c r="A3880" t="s">
        <v>3916</v>
      </c>
      <c r="B3880" s="1">
        <v>45312</v>
      </c>
      <c r="C3880" t="s">
        <v>22</v>
      </c>
      <c r="D3880" t="s">
        <v>50</v>
      </c>
      <c r="E3880" t="s">
        <v>12</v>
      </c>
      <c r="F3880">
        <v>64.67</v>
      </c>
      <c r="G3880">
        <v>15.73</v>
      </c>
      <c r="H3880" t="s">
        <v>28</v>
      </c>
      <c r="I3880" t="s">
        <v>29</v>
      </c>
    </row>
    <row r="3881" spans="1:9" x14ac:dyDescent="0.35">
      <c r="A3881" t="s">
        <v>3917</v>
      </c>
      <c r="B3881" s="1">
        <v>44770</v>
      </c>
      <c r="C3881" t="s">
        <v>25</v>
      </c>
      <c r="D3881" t="s">
        <v>26</v>
      </c>
      <c r="E3881" t="s">
        <v>27</v>
      </c>
      <c r="F3881">
        <v>1362.6</v>
      </c>
      <c r="G3881">
        <v>262.41000000000003</v>
      </c>
      <c r="H3881" t="s">
        <v>13</v>
      </c>
      <c r="I3881" t="s">
        <v>29</v>
      </c>
    </row>
    <row r="3882" spans="1:9" x14ac:dyDescent="0.35">
      <c r="A3882" t="s">
        <v>3918</v>
      </c>
      <c r="B3882" s="1">
        <v>45443</v>
      </c>
      <c r="C3882" t="s">
        <v>22</v>
      </c>
      <c r="D3882" t="s">
        <v>62</v>
      </c>
      <c r="E3882" t="s">
        <v>27</v>
      </c>
      <c r="F3882">
        <v>1314.23</v>
      </c>
      <c r="G3882">
        <v>87.38</v>
      </c>
      <c r="H3882" t="s">
        <v>28</v>
      </c>
      <c r="I3882" t="s">
        <v>29</v>
      </c>
    </row>
    <row r="3883" spans="1:9" x14ac:dyDescent="0.35">
      <c r="A3883" t="s">
        <v>3919</v>
      </c>
      <c r="B3883" s="1">
        <v>45645</v>
      </c>
      <c r="C3883" t="s">
        <v>16</v>
      </c>
      <c r="D3883" t="s">
        <v>50</v>
      </c>
      <c r="E3883" t="s">
        <v>12</v>
      </c>
      <c r="F3883">
        <v>1420.92</v>
      </c>
      <c r="G3883">
        <v>100.34</v>
      </c>
      <c r="H3883" t="s">
        <v>13</v>
      </c>
      <c r="I3883" t="s">
        <v>29</v>
      </c>
    </row>
    <row r="3884" spans="1:9" x14ac:dyDescent="0.35">
      <c r="A3884" t="s">
        <v>3920</v>
      </c>
      <c r="B3884" s="1">
        <v>44648</v>
      </c>
      <c r="C3884" t="s">
        <v>16</v>
      </c>
      <c r="D3884" t="s">
        <v>11</v>
      </c>
      <c r="E3884" t="s">
        <v>12</v>
      </c>
      <c r="F3884">
        <v>112.64</v>
      </c>
      <c r="G3884">
        <v>13.15</v>
      </c>
      <c r="H3884" t="s">
        <v>28</v>
      </c>
      <c r="I3884" t="s">
        <v>14</v>
      </c>
    </row>
    <row r="3885" spans="1:9" x14ac:dyDescent="0.35">
      <c r="A3885" t="s">
        <v>3921</v>
      </c>
      <c r="B3885" s="1">
        <v>45613</v>
      </c>
      <c r="C3885" t="s">
        <v>22</v>
      </c>
      <c r="D3885" t="s">
        <v>11</v>
      </c>
      <c r="E3885" t="s">
        <v>12</v>
      </c>
      <c r="F3885">
        <v>977.02</v>
      </c>
      <c r="G3885">
        <v>230.31</v>
      </c>
      <c r="H3885" t="s">
        <v>28</v>
      </c>
      <c r="I3885" t="s">
        <v>29</v>
      </c>
    </row>
    <row r="3886" spans="1:9" x14ac:dyDescent="0.35">
      <c r="A3886" t="s">
        <v>3922</v>
      </c>
      <c r="B3886" s="1">
        <v>45253</v>
      </c>
      <c r="C3886" t="s">
        <v>25</v>
      </c>
      <c r="D3886" t="s">
        <v>41</v>
      </c>
      <c r="E3886" t="s">
        <v>12</v>
      </c>
      <c r="F3886">
        <v>909.52</v>
      </c>
      <c r="G3886">
        <v>206.93</v>
      </c>
      <c r="H3886" t="s">
        <v>28</v>
      </c>
      <c r="I3886" t="s">
        <v>20</v>
      </c>
    </row>
    <row r="3887" spans="1:9" x14ac:dyDescent="0.35">
      <c r="A3887" t="s">
        <v>3923</v>
      </c>
      <c r="B3887" s="1">
        <v>44705</v>
      </c>
      <c r="C3887" t="s">
        <v>22</v>
      </c>
      <c r="D3887" t="s">
        <v>17</v>
      </c>
      <c r="E3887" t="s">
        <v>18</v>
      </c>
      <c r="F3887">
        <v>498.14</v>
      </c>
      <c r="G3887">
        <v>33.04</v>
      </c>
      <c r="H3887" t="s">
        <v>28</v>
      </c>
      <c r="I3887" t="s">
        <v>34</v>
      </c>
    </row>
    <row r="3888" spans="1:9" x14ac:dyDescent="0.35">
      <c r="A3888" t="s">
        <v>3924</v>
      </c>
      <c r="B3888" s="1">
        <v>45002</v>
      </c>
      <c r="C3888" t="s">
        <v>16</v>
      </c>
      <c r="D3888" t="s">
        <v>31</v>
      </c>
      <c r="E3888" t="s">
        <v>12</v>
      </c>
      <c r="F3888">
        <v>1420.07</v>
      </c>
      <c r="G3888">
        <v>400.64</v>
      </c>
      <c r="H3888" t="s">
        <v>13</v>
      </c>
      <c r="I3888" t="s">
        <v>14</v>
      </c>
    </row>
    <row r="3889" spans="1:9" x14ac:dyDescent="0.35">
      <c r="A3889" t="s">
        <v>3925</v>
      </c>
      <c r="B3889" s="1">
        <v>44981</v>
      </c>
      <c r="C3889" t="s">
        <v>10</v>
      </c>
      <c r="D3889" t="s">
        <v>31</v>
      </c>
      <c r="E3889" t="s">
        <v>12</v>
      </c>
      <c r="F3889">
        <v>682.54</v>
      </c>
      <c r="G3889">
        <v>140.05000000000001</v>
      </c>
      <c r="H3889" t="s">
        <v>13</v>
      </c>
      <c r="I3889" t="s">
        <v>20</v>
      </c>
    </row>
    <row r="3890" spans="1:9" x14ac:dyDescent="0.35">
      <c r="A3890" t="s">
        <v>3926</v>
      </c>
      <c r="B3890" s="1">
        <v>44825</v>
      </c>
      <c r="C3890" t="s">
        <v>16</v>
      </c>
      <c r="D3890" t="s">
        <v>57</v>
      </c>
      <c r="E3890" t="s">
        <v>27</v>
      </c>
      <c r="F3890">
        <v>1834.92</v>
      </c>
      <c r="G3890">
        <v>534.14</v>
      </c>
      <c r="H3890" t="s">
        <v>13</v>
      </c>
      <c r="I3890" t="s">
        <v>29</v>
      </c>
    </row>
    <row r="3891" spans="1:9" x14ac:dyDescent="0.35">
      <c r="A3891" t="s">
        <v>3927</v>
      </c>
      <c r="B3891" s="1">
        <v>45470</v>
      </c>
      <c r="C3891" t="s">
        <v>16</v>
      </c>
      <c r="D3891" t="s">
        <v>41</v>
      </c>
      <c r="E3891" t="s">
        <v>12</v>
      </c>
      <c r="F3891">
        <v>770.36</v>
      </c>
      <c r="G3891">
        <v>51.88</v>
      </c>
      <c r="H3891" t="s">
        <v>28</v>
      </c>
      <c r="I3891" t="s">
        <v>20</v>
      </c>
    </row>
    <row r="3892" spans="1:9" x14ac:dyDescent="0.35">
      <c r="A3892" t="s">
        <v>3928</v>
      </c>
      <c r="B3892" s="1">
        <v>44614</v>
      </c>
      <c r="C3892" t="s">
        <v>10</v>
      </c>
      <c r="D3892" t="s">
        <v>46</v>
      </c>
      <c r="E3892" t="s">
        <v>18</v>
      </c>
      <c r="F3892">
        <v>533.69000000000005</v>
      </c>
      <c r="G3892">
        <v>125.05</v>
      </c>
      <c r="H3892" t="s">
        <v>19</v>
      </c>
      <c r="I3892" t="s">
        <v>34</v>
      </c>
    </row>
    <row r="3893" spans="1:9" x14ac:dyDescent="0.35">
      <c r="A3893" t="s">
        <v>3929</v>
      </c>
      <c r="B3893" s="1">
        <v>45218</v>
      </c>
      <c r="C3893" t="s">
        <v>25</v>
      </c>
      <c r="D3893" t="s">
        <v>26</v>
      </c>
      <c r="E3893" t="s">
        <v>27</v>
      </c>
      <c r="F3893">
        <v>1568.42</v>
      </c>
      <c r="G3893">
        <v>166.77</v>
      </c>
      <c r="H3893" t="s">
        <v>28</v>
      </c>
      <c r="I3893" t="s">
        <v>14</v>
      </c>
    </row>
    <row r="3894" spans="1:9" x14ac:dyDescent="0.35">
      <c r="A3894" t="s">
        <v>3930</v>
      </c>
      <c r="B3894" s="1">
        <v>44606</v>
      </c>
      <c r="C3894" t="s">
        <v>22</v>
      </c>
      <c r="D3894" t="s">
        <v>97</v>
      </c>
      <c r="E3894" t="s">
        <v>27</v>
      </c>
      <c r="F3894">
        <v>773.03</v>
      </c>
      <c r="G3894">
        <v>153.11000000000001</v>
      </c>
      <c r="H3894" t="s">
        <v>19</v>
      </c>
      <c r="I3894" t="s">
        <v>14</v>
      </c>
    </row>
    <row r="3895" spans="1:9" x14ac:dyDescent="0.35">
      <c r="A3895" t="s">
        <v>3931</v>
      </c>
      <c r="B3895" s="1">
        <v>44951</v>
      </c>
      <c r="C3895" t="s">
        <v>22</v>
      </c>
      <c r="D3895" t="s">
        <v>57</v>
      </c>
      <c r="E3895" t="s">
        <v>27</v>
      </c>
      <c r="F3895">
        <v>147.01</v>
      </c>
      <c r="G3895">
        <v>33.07</v>
      </c>
      <c r="H3895" t="s">
        <v>13</v>
      </c>
      <c r="I3895" t="s">
        <v>14</v>
      </c>
    </row>
    <row r="3896" spans="1:9" x14ac:dyDescent="0.35">
      <c r="A3896" t="s">
        <v>3932</v>
      </c>
      <c r="B3896" s="1">
        <v>45051</v>
      </c>
      <c r="C3896" t="s">
        <v>25</v>
      </c>
      <c r="D3896" t="s">
        <v>50</v>
      </c>
      <c r="E3896" t="s">
        <v>12</v>
      </c>
      <c r="F3896">
        <v>1286.51</v>
      </c>
      <c r="G3896">
        <v>102.22</v>
      </c>
      <c r="H3896" t="s">
        <v>13</v>
      </c>
      <c r="I3896" t="s">
        <v>34</v>
      </c>
    </row>
    <row r="3897" spans="1:9" x14ac:dyDescent="0.35">
      <c r="A3897" t="s">
        <v>3933</v>
      </c>
      <c r="B3897" s="1">
        <v>45607</v>
      </c>
      <c r="C3897" t="s">
        <v>10</v>
      </c>
      <c r="D3897" t="s">
        <v>95</v>
      </c>
      <c r="E3897" t="s">
        <v>18</v>
      </c>
      <c r="F3897">
        <v>305.08</v>
      </c>
      <c r="G3897">
        <v>67.22</v>
      </c>
      <c r="H3897" t="s">
        <v>28</v>
      </c>
      <c r="I3897" t="s">
        <v>14</v>
      </c>
    </row>
    <row r="3898" spans="1:9" x14ac:dyDescent="0.35">
      <c r="A3898" t="s">
        <v>3934</v>
      </c>
      <c r="B3898" s="1">
        <v>45372</v>
      </c>
      <c r="C3898" t="s">
        <v>16</v>
      </c>
      <c r="D3898" t="s">
        <v>31</v>
      </c>
      <c r="E3898" t="s">
        <v>12</v>
      </c>
      <c r="F3898">
        <v>518.77</v>
      </c>
      <c r="G3898">
        <v>130.07</v>
      </c>
      <c r="H3898" t="s">
        <v>13</v>
      </c>
      <c r="I3898" t="s">
        <v>29</v>
      </c>
    </row>
    <row r="3899" spans="1:9" x14ac:dyDescent="0.35">
      <c r="A3899" t="s">
        <v>3935</v>
      </c>
      <c r="B3899" s="1">
        <v>44827</v>
      </c>
      <c r="C3899" t="s">
        <v>10</v>
      </c>
      <c r="D3899" t="s">
        <v>95</v>
      </c>
      <c r="E3899" t="s">
        <v>18</v>
      </c>
      <c r="F3899">
        <v>171.98</v>
      </c>
      <c r="G3899">
        <v>27.95</v>
      </c>
      <c r="H3899" t="s">
        <v>19</v>
      </c>
      <c r="I3899" t="s">
        <v>29</v>
      </c>
    </row>
    <row r="3900" spans="1:9" x14ac:dyDescent="0.35">
      <c r="A3900" t="s">
        <v>3936</v>
      </c>
      <c r="B3900" s="1">
        <v>45599</v>
      </c>
      <c r="C3900" t="s">
        <v>25</v>
      </c>
      <c r="D3900" t="s">
        <v>31</v>
      </c>
      <c r="E3900" t="s">
        <v>12</v>
      </c>
      <c r="F3900">
        <v>748.81</v>
      </c>
      <c r="G3900">
        <v>152.6</v>
      </c>
      <c r="H3900" t="s">
        <v>19</v>
      </c>
      <c r="I3900" t="s">
        <v>14</v>
      </c>
    </row>
    <row r="3901" spans="1:9" x14ac:dyDescent="0.35">
      <c r="A3901" t="s">
        <v>3937</v>
      </c>
      <c r="B3901" s="1">
        <v>45574</v>
      </c>
      <c r="C3901" t="s">
        <v>16</v>
      </c>
      <c r="D3901" t="s">
        <v>62</v>
      </c>
      <c r="E3901" t="s">
        <v>27</v>
      </c>
      <c r="F3901">
        <v>1393.61</v>
      </c>
      <c r="G3901">
        <v>414.44</v>
      </c>
      <c r="H3901" t="s">
        <v>13</v>
      </c>
      <c r="I3901" t="s">
        <v>34</v>
      </c>
    </row>
    <row r="3902" spans="1:9" x14ac:dyDescent="0.35">
      <c r="A3902" t="s">
        <v>3938</v>
      </c>
      <c r="B3902" s="1">
        <v>44588</v>
      </c>
      <c r="C3902" t="s">
        <v>16</v>
      </c>
      <c r="D3902" t="s">
        <v>57</v>
      </c>
      <c r="E3902" t="s">
        <v>27</v>
      </c>
      <c r="F3902">
        <v>416</v>
      </c>
      <c r="G3902">
        <v>63.81</v>
      </c>
      <c r="H3902" t="s">
        <v>13</v>
      </c>
      <c r="I3902" t="s">
        <v>29</v>
      </c>
    </row>
    <row r="3903" spans="1:9" x14ac:dyDescent="0.35">
      <c r="A3903" t="s">
        <v>3939</v>
      </c>
      <c r="B3903" s="1">
        <v>45524</v>
      </c>
      <c r="C3903" t="s">
        <v>22</v>
      </c>
      <c r="D3903" t="s">
        <v>41</v>
      </c>
      <c r="E3903" t="s">
        <v>12</v>
      </c>
      <c r="F3903">
        <v>211.14</v>
      </c>
      <c r="G3903">
        <v>47.45</v>
      </c>
      <c r="H3903" t="s">
        <v>28</v>
      </c>
      <c r="I3903" t="s">
        <v>29</v>
      </c>
    </row>
    <row r="3904" spans="1:9" x14ac:dyDescent="0.35">
      <c r="A3904" t="s">
        <v>3940</v>
      </c>
      <c r="B3904" s="1">
        <v>44984</v>
      </c>
      <c r="C3904" t="s">
        <v>22</v>
      </c>
      <c r="D3904" t="s">
        <v>17</v>
      </c>
      <c r="E3904" t="s">
        <v>18</v>
      </c>
      <c r="F3904">
        <v>1970.69</v>
      </c>
      <c r="G3904">
        <v>332.06</v>
      </c>
      <c r="H3904" t="s">
        <v>13</v>
      </c>
      <c r="I3904" t="s">
        <v>14</v>
      </c>
    </row>
    <row r="3905" spans="1:9" x14ac:dyDescent="0.35">
      <c r="A3905" t="s">
        <v>3941</v>
      </c>
      <c r="B3905" s="1">
        <v>45651</v>
      </c>
      <c r="C3905" t="s">
        <v>22</v>
      </c>
      <c r="D3905" t="s">
        <v>46</v>
      </c>
      <c r="E3905" t="s">
        <v>18</v>
      </c>
      <c r="F3905">
        <v>979.97</v>
      </c>
      <c r="G3905">
        <v>126.02</v>
      </c>
      <c r="H3905" t="s">
        <v>13</v>
      </c>
      <c r="I3905" t="s">
        <v>34</v>
      </c>
    </row>
    <row r="3906" spans="1:9" x14ac:dyDescent="0.35">
      <c r="A3906" t="s">
        <v>3942</v>
      </c>
      <c r="B3906" s="1">
        <v>44625</v>
      </c>
      <c r="C3906" t="s">
        <v>22</v>
      </c>
      <c r="D3906" t="s">
        <v>97</v>
      </c>
      <c r="E3906" t="s">
        <v>27</v>
      </c>
      <c r="F3906">
        <v>1005.2</v>
      </c>
      <c r="G3906">
        <v>66.28</v>
      </c>
      <c r="H3906" t="s">
        <v>19</v>
      </c>
      <c r="I3906" t="s">
        <v>14</v>
      </c>
    </row>
    <row r="3907" spans="1:9" x14ac:dyDescent="0.35">
      <c r="A3907" t="s">
        <v>3943</v>
      </c>
      <c r="B3907" s="1">
        <v>45558</v>
      </c>
      <c r="C3907" t="s">
        <v>16</v>
      </c>
      <c r="D3907" t="s">
        <v>38</v>
      </c>
      <c r="E3907" t="s">
        <v>12</v>
      </c>
      <c r="F3907">
        <v>522.6</v>
      </c>
      <c r="G3907">
        <v>81.8</v>
      </c>
      <c r="H3907" t="s">
        <v>28</v>
      </c>
      <c r="I3907" t="s">
        <v>34</v>
      </c>
    </row>
    <row r="3908" spans="1:9" x14ac:dyDescent="0.35">
      <c r="A3908" t="s">
        <v>3944</v>
      </c>
      <c r="B3908" s="1">
        <v>45241</v>
      </c>
      <c r="C3908" t="s">
        <v>16</v>
      </c>
      <c r="D3908" t="s">
        <v>11</v>
      </c>
      <c r="E3908" t="s">
        <v>12</v>
      </c>
      <c r="F3908">
        <v>1225.77</v>
      </c>
      <c r="G3908">
        <v>210.9</v>
      </c>
      <c r="H3908" t="s">
        <v>19</v>
      </c>
      <c r="I3908" t="s">
        <v>29</v>
      </c>
    </row>
    <row r="3909" spans="1:9" x14ac:dyDescent="0.35">
      <c r="A3909" t="s">
        <v>3945</v>
      </c>
      <c r="B3909" s="1">
        <v>44630</v>
      </c>
      <c r="C3909" t="s">
        <v>10</v>
      </c>
      <c r="D3909" t="s">
        <v>73</v>
      </c>
      <c r="E3909" t="s">
        <v>27</v>
      </c>
      <c r="F3909">
        <v>405.31</v>
      </c>
      <c r="G3909">
        <v>43.57</v>
      </c>
      <c r="H3909" t="s">
        <v>28</v>
      </c>
      <c r="I3909" t="s">
        <v>29</v>
      </c>
    </row>
    <row r="3910" spans="1:9" x14ac:dyDescent="0.35">
      <c r="A3910" t="s">
        <v>3946</v>
      </c>
      <c r="B3910" s="1">
        <v>45476</v>
      </c>
      <c r="C3910" t="s">
        <v>22</v>
      </c>
      <c r="D3910" t="s">
        <v>46</v>
      </c>
      <c r="E3910" t="s">
        <v>18</v>
      </c>
      <c r="F3910">
        <v>1884.09</v>
      </c>
      <c r="G3910">
        <v>445.29</v>
      </c>
      <c r="H3910" t="s">
        <v>28</v>
      </c>
      <c r="I3910" t="s">
        <v>29</v>
      </c>
    </row>
    <row r="3911" spans="1:9" x14ac:dyDescent="0.35">
      <c r="A3911" t="s">
        <v>3947</v>
      </c>
      <c r="B3911" s="1">
        <v>45310</v>
      </c>
      <c r="C3911" t="s">
        <v>22</v>
      </c>
      <c r="D3911" t="s">
        <v>73</v>
      </c>
      <c r="E3911" t="s">
        <v>27</v>
      </c>
      <c r="F3911">
        <v>338.99</v>
      </c>
      <c r="G3911">
        <v>69.25</v>
      </c>
      <c r="H3911" t="s">
        <v>13</v>
      </c>
      <c r="I3911" t="s">
        <v>34</v>
      </c>
    </row>
    <row r="3912" spans="1:9" x14ac:dyDescent="0.35">
      <c r="A3912" t="s">
        <v>3948</v>
      </c>
      <c r="B3912" s="1">
        <v>45161</v>
      </c>
      <c r="C3912" t="s">
        <v>22</v>
      </c>
      <c r="D3912" t="s">
        <v>46</v>
      </c>
      <c r="E3912" t="s">
        <v>18</v>
      </c>
      <c r="F3912">
        <v>364.92</v>
      </c>
      <c r="G3912">
        <v>94.81</v>
      </c>
      <c r="H3912" t="s">
        <v>28</v>
      </c>
      <c r="I3912" t="s">
        <v>29</v>
      </c>
    </row>
    <row r="3913" spans="1:9" x14ac:dyDescent="0.35">
      <c r="A3913" t="s">
        <v>3949</v>
      </c>
      <c r="B3913" s="1">
        <v>45038</v>
      </c>
      <c r="C3913" t="s">
        <v>22</v>
      </c>
      <c r="D3913" t="s">
        <v>41</v>
      </c>
      <c r="E3913" t="s">
        <v>12</v>
      </c>
      <c r="F3913">
        <v>1151.53</v>
      </c>
      <c r="G3913">
        <v>230.37</v>
      </c>
      <c r="H3913" t="s">
        <v>13</v>
      </c>
      <c r="I3913" t="s">
        <v>34</v>
      </c>
    </row>
    <row r="3914" spans="1:9" x14ac:dyDescent="0.35">
      <c r="A3914" t="s">
        <v>3950</v>
      </c>
      <c r="B3914" s="1">
        <v>44882</v>
      </c>
      <c r="C3914" t="s">
        <v>10</v>
      </c>
      <c r="D3914" t="s">
        <v>73</v>
      </c>
      <c r="E3914" t="s">
        <v>27</v>
      </c>
      <c r="F3914">
        <v>376.22</v>
      </c>
      <c r="G3914">
        <v>24.26</v>
      </c>
      <c r="H3914" t="s">
        <v>13</v>
      </c>
      <c r="I3914" t="s">
        <v>20</v>
      </c>
    </row>
    <row r="3915" spans="1:9" x14ac:dyDescent="0.35">
      <c r="A3915" t="s">
        <v>3951</v>
      </c>
      <c r="B3915" s="1">
        <v>45118</v>
      </c>
      <c r="C3915" t="s">
        <v>16</v>
      </c>
      <c r="D3915" t="s">
        <v>57</v>
      </c>
      <c r="E3915" t="s">
        <v>27</v>
      </c>
      <c r="F3915">
        <v>1437.36</v>
      </c>
      <c r="G3915">
        <v>286.58999999999997</v>
      </c>
      <c r="H3915" t="s">
        <v>19</v>
      </c>
      <c r="I3915" t="s">
        <v>29</v>
      </c>
    </row>
    <row r="3916" spans="1:9" x14ac:dyDescent="0.35">
      <c r="A3916" t="s">
        <v>3952</v>
      </c>
      <c r="B3916" s="1">
        <v>44740</v>
      </c>
      <c r="C3916" t="s">
        <v>16</v>
      </c>
      <c r="D3916" t="s">
        <v>97</v>
      </c>
      <c r="E3916" t="s">
        <v>27</v>
      </c>
      <c r="F3916">
        <v>1364.76</v>
      </c>
      <c r="G3916">
        <v>302.97000000000003</v>
      </c>
      <c r="H3916" t="s">
        <v>13</v>
      </c>
      <c r="I3916" t="s">
        <v>14</v>
      </c>
    </row>
    <row r="3917" spans="1:9" x14ac:dyDescent="0.35">
      <c r="A3917" t="s">
        <v>3953</v>
      </c>
      <c r="B3917" s="1">
        <v>45589</v>
      </c>
      <c r="C3917" t="s">
        <v>22</v>
      </c>
      <c r="D3917" t="s">
        <v>95</v>
      </c>
      <c r="E3917" t="s">
        <v>18</v>
      </c>
      <c r="F3917">
        <v>1893.54</v>
      </c>
      <c r="G3917">
        <v>279.24</v>
      </c>
      <c r="H3917" t="s">
        <v>28</v>
      </c>
      <c r="I3917" t="s">
        <v>14</v>
      </c>
    </row>
    <row r="3918" spans="1:9" x14ac:dyDescent="0.35">
      <c r="A3918" t="s">
        <v>3954</v>
      </c>
      <c r="B3918" s="1">
        <v>45377</v>
      </c>
      <c r="C3918" t="s">
        <v>25</v>
      </c>
      <c r="D3918" t="s">
        <v>23</v>
      </c>
      <c r="E3918" t="s">
        <v>18</v>
      </c>
      <c r="F3918">
        <v>954.6</v>
      </c>
      <c r="G3918">
        <v>131.58000000000001</v>
      </c>
      <c r="H3918" t="s">
        <v>28</v>
      </c>
      <c r="I3918" t="s">
        <v>29</v>
      </c>
    </row>
    <row r="3919" spans="1:9" x14ac:dyDescent="0.35">
      <c r="A3919" t="s">
        <v>3955</v>
      </c>
      <c r="B3919" s="1">
        <v>44563</v>
      </c>
      <c r="C3919" t="s">
        <v>16</v>
      </c>
      <c r="D3919" t="s">
        <v>73</v>
      </c>
      <c r="E3919" t="s">
        <v>27</v>
      </c>
      <c r="F3919">
        <v>1762.11</v>
      </c>
      <c r="G3919">
        <v>204.34</v>
      </c>
      <c r="H3919" t="s">
        <v>28</v>
      </c>
      <c r="I3919" t="s">
        <v>29</v>
      </c>
    </row>
    <row r="3920" spans="1:9" x14ac:dyDescent="0.35">
      <c r="A3920" t="s">
        <v>3956</v>
      </c>
      <c r="B3920" s="1">
        <v>45326</v>
      </c>
      <c r="C3920" t="s">
        <v>10</v>
      </c>
      <c r="D3920" t="s">
        <v>26</v>
      </c>
      <c r="E3920" t="s">
        <v>27</v>
      </c>
      <c r="F3920">
        <v>784.62</v>
      </c>
      <c r="G3920">
        <v>53.04</v>
      </c>
      <c r="H3920" t="s">
        <v>28</v>
      </c>
      <c r="I3920" t="s">
        <v>34</v>
      </c>
    </row>
    <row r="3921" spans="1:9" x14ac:dyDescent="0.35">
      <c r="A3921" t="s">
        <v>3957</v>
      </c>
      <c r="B3921" s="1">
        <v>45555</v>
      </c>
      <c r="C3921" t="s">
        <v>22</v>
      </c>
      <c r="D3921" t="s">
        <v>31</v>
      </c>
      <c r="E3921" t="s">
        <v>12</v>
      </c>
      <c r="F3921">
        <v>1594.04</v>
      </c>
      <c r="G3921">
        <v>380.97</v>
      </c>
      <c r="H3921" t="s">
        <v>28</v>
      </c>
      <c r="I3921" t="s">
        <v>34</v>
      </c>
    </row>
    <row r="3922" spans="1:9" x14ac:dyDescent="0.35">
      <c r="A3922" t="s">
        <v>3958</v>
      </c>
      <c r="B3922" s="1">
        <v>45238</v>
      </c>
      <c r="C3922" t="s">
        <v>22</v>
      </c>
      <c r="D3922" t="s">
        <v>33</v>
      </c>
      <c r="E3922" t="s">
        <v>18</v>
      </c>
      <c r="F3922">
        <v>1970.85</v>
      </c>
      <c r="G3922">
        <v>146.12</v>
      </c>
      <c r="H3922" t="s">
        <v>13</v>
      </c>
      <c r="I3922" t="s">
        <v>29</v>
      </c>
    </row>
    <row r="3923" spans="1:9" x14ac:dyDescent="0.35">
      <c r="A3923" t="s">
        <v>3959</v>
      </c>
      <c r="B3923" s="1">
        <v>44875</v>
      </c>
      <c r="C3923" t="s">
        <v>10</v>
      </c>
      <c r="D3923" t="s">
        <v>73</v>
      </c>
      <c r="E3923" t="s">
        <v>27</v>
      </c>
      <c r="F3923">
        <v>1004.15</v>
      </c>
      <c r="G3923">
        <v>214.84</v>
      </c>
      <c r="H3923" t="s">
        <v>13</v>
      </c>
      <c r="I3923" t="s">
        <v>14</v>
      </c>
    </row>
    <row r="3924" spans="1:9" x14ac:dyDescent="0.35">
      <c r="A3924" t="s">
        <v>3960</v>
      </c>
      <c r="B3924" s="1">
        <v>44926</v>
      </c>
      <c r="C3924" t="s">
        <v>10</v>
      </c>
      <c r="D3924" t="s">
        <v>73</v>
      </c>
      <c r="E3924" t="s">
        <v>27</v>
      </c>
      <c r="F3924">
        <v>948.6</v>
      </c>
      <c r="G3924">
        <v>227.03</v>
      </c>
      <c r="H3924" t="s">
        <v>19</v>
      </c>
      <c r="I3924" t="s">
        <v>20</v>
      </c>
    </row>
    <row r="3925" spans="1:9" x14ac:dyDescent="0.35">
      <c r="A3925" t="s">
        <v>3961</v>
      </c>
      <c r="B3925" s="1">
        <v>44768</v>
      </c>
      <c r="C3925" t="s">
        <v>10</v>
      </c>
      <c r="D3925" t="s">
        <v>97</v>
      </c>
      <c r="E3925" t="s">
        <v>27</v>
      </c>
      <c r="F3925">
        <v>577.16</v>
      </c>
      <c r="G3925">
        <v>58.13</v>
      </c>
      <c r="H3925" t="s">
        <v>13</v>
      </c>
      <c r="I3925" t="s">
        <v>14</v>
      </c>
    </row>
    <row r="3926" spans="1:9" x14ac:dyDescent="0.35">
      <c r="A3926" t="s">
        <v>3962</v>
      </c>
      <c r="B3926" s="1">
        <v>44722</v>
      </c>
      <c r="C3926" t="s">
        <v>25</v>
      </c>
      <c r="D3926" t="s">
        <v>97</v>
      </c>
      <c r="E3926" t="s">
        <v>27</v>
      </c>
      <c r="F3926">
        <v>1802.46</v>
      </c>
      <c r="G3926">
        <v>302.83999999999997</v>
      </c>
      <c r="H3926" t="s">
        <v>19</v>
      </c>
      <c r="I3926" t="s">
        <v>20</v>
      </c>
    </row>
    <row r="3927" spans="1:9" x14ac:dyDescent="0.35">
      <c r="A3927" t="s">
        <v>3963</v>
      </c>
      <c r="B3927" s="1">
        <v>44608</v>
      </c>
      <c r="C3927" t="s">
        <v>25</v>
      </c>
      <c r="D3927" t="s">
        <v>50</v>
      </c>
      <c r="E3927" t="s">
        <v>12</v>
      </c>
      <c r="F3927">
        <v>242.38</v>
      </c>
      <c r="G3927">
        <v>14.72</v>
      </c>
      <c r="H3927" t="s">
        <v>13</v>
      </c>
      <c r="I3927" t="s">
        <v>29</v>
      </c>
    </row>
    <row r="3928" spans="1:9" x14ac:dyDescent="0.35">
      <c r="A3928" t="s">
        <v>3964</v>
      </c>
      <c r="B3928" s="1">
        <v>45409</v>
      </c>
      <c r="C3928" t="s">
        <v>25</v>
      </c>
      <c r="D3928" t="s">
        <v>95</v>
      </c>
      <c r="E3928" t="s">
        <v>18</v>
      </c>
      <c r="F3928">
        <v>1066.6099999999999</v>
      </c>
      <c r="G3928">
        <v>56.04</v>
      </c>
      <c r="H3928" t="s">
        <v>13</v>
      </c>
      <c r="I3928" t="s">
        <v>14</v>
      </c>
    </row>
    <row r="3929" spans="1:9" x14ac:dyDescent="0.35">
      <c r="A3929" t="s">
        <v>3965</v>
      </c>
      <c r="B3929" s="1">
        <v>44778</v>
      </c>
      <c r="C3929" t="s">
        <v>10</v>
      </c>
      <c r="D3929" t="s">
        <v>95</v>
      </c>
      <c r="E3929" t="s">
        <v>18</v>
      </c>
      <c r="F3929">
        <v>1457.93</v>
      </c>
      <c r="G3929">
        <v>74.59</v>
      </c>
      <c r="H3929" t="s">
        <v>28</v>
      </c>
      <c r="I3929" t="s">
        <v>14</v>
      </c>
    </row>
    <row r="3930" spans="1:9" x14ac:dyDescent="0.35">
      <c r="A3930" t="s">
        <v>3966</v>
      </c>
      <c r="B3930" s="1">
        <v>45311</v>
      </c>
      <c r="C3930" t="s">
        <v>25</v>
      </c>
      <c r="D3930" t="s">
        <v>38</v>
      </c>
      <c r="E3930" t="s">
        <v>12</v>
      </c>
      <c r="F3930">
        <v>1344.16</v>
      </c>
      <c r="G3930">
        <v>104.41</v>
      </c>
      <c r="H3930" t="s">
        <v>19</v>
      </c>
      <c r="I3930" t="s">
        <v>29</v>
      </c>
    </row>
    <row r="3931" spans="1:9" x14ac:dyDescent="0.35">
      <c r="A3931" t="s">
        <v>3967</v>
      </c>
      <c r="B3931" s="1">
        <v>45510</v>
      </c>
      <c r="C3931" t="s">
        <v>22</v>
      </c>
      <c r="D3931" t="s">
        <v>57</v>
      </c>
      <c r="E3931" t="s">
        <v>27</v>
      </c>
      <c r="F3931">
        <v>1328.4</v>
      </c>
      <c r="G3931">
        <v>77.8</v>
      </c>
      <c r="H3931" t="s">
        <v>28</v>
      </c>
      <c r="I3931" t="s">
        <v>14</v>
      </c>
    </row>
    <row r="3932" spans="1:9" x14ac:dyDescent="0.35">
      <c r="A3932" t="s">
        <v>3968</v>
      </c>
      <c r="B3932" s="1">
        <v>44952</v>
      </c>
      <c r="C3932" t="s">
        <v>25</v>
      </c>
      <c r="D3932" t="s">
        <v>50</v>
      </c>
      <c r="E3932" t="s">
        <v>12</v>
      </c>
      <c r="F3932">
        <v>591.07000000000005</v>
      </c>
      <c r="G3932">
        <v>54.86</v>
      </c>
      <c r="H3932" t="s">
        <v>19</v>
      </c>
      <c r="I3932" t="s">
        <v>14</v>
      </c>
    </row>
    <row r="3933" spans="1:9" x14ac:dyDescent="0.35">
      <c r="A3933" t="s">
        <v>3969</v>
      </c>
      <c r="B3933" s="1">
        <v>45339</v>
      </c>
      <c r="C3933" t="s">
        <v>25</v>
      </c>
      <c r="D3933" t="s">
        <v>33</v>
      </c>
      <c r="E3933" t="s">
        <v>18</v>
      </c>
      <c r="F3933">
        <v>473.86</v>
      </c>
      <c r="G3933">
        <v>89.06</v>
      </c>
      <c r="H3933" t="s">
        <v>19</v>
      </c>
      <c r="I3933" t="s">
        <v>29</v>
      </c>
    </row>
    <row r="3934" spans="1:9" x14ac:dyDescent="0.35">
      <c r="A3934" t="s">
        <v>3970</v>
      </c>
      <c r="B3934" s="1">
        <v>45020</v>
      </c>
      <c r="C3934" t="s">
        <v>22</v>
      </c>
      <c r="D3934" t="s">
        <v>57</v>
      </c>
      <c r="E3934" t="s">
        <v>27</v>
      </c>
      <c r="F3934">
        <v>580.32000000000005</v>
      </c>
      <c r="G3934">
        <v>89.27</v>
      </c>
      <c r="H3934" t="s">
        <v>19</v>
      </c>
      <c r="I3934" t="s">
        <v>34</v>
      </c>
    </row>
    <row r="3935" spans="1:9" x14ac:dyDescent="0.35">
      <c r="A3935" t="s">
        <v>3971</v>
      </c>
      <c r="B3935" s="1">
        <v>45189</v>
      </c>
      <c r="C3935" t="s">
        <v>16</v>
      </c>
      <c r="D3935" t="s">
        <v>73</v>
      </c>
      <c r="E3935" t="s">
        <v>27</v>
      </c>
      <c r="F3935">
        <v>568.32000000000005</v>
      </c>
      <c r="G3935">
        <v>43.9</v>
      </c>
      <c r="H3935" t="s">
        <v>19</v>
      </c>
      <c r="I3935" t="s">
        <v>14</v>
      </c>
    </row>
    <row r="3936" spans="1:9" x14ac:dyDescent="0.35">
      <c r="A3936" t="s">
        <v>3972</v>
      </c>
      <c r="B3936" s="1">
        <v>44650</v>
      </c>
      <c r="C3936" t="s">
        <v>16</v>
      </c>
      <c r="D3936" t="s">
        <v>23</v>
      </c>
      <c r="E3936" t="s">
        <v>18</v>
      </c>
      <c r="F3936">
        <v>583.86</v>
      </c>
      <c r="G3936">
        <v>48.81</v>
      </c>
      <c r="H3936" t="s">
        <v>28</v>
      </c>
      <c r="I3936" t="s">
        <v>34</v>
      </c>
    </row>
    <row r="3937" spans="1:9" x14ac:dyDescent="0.35">
      <c r="A3937" t="s">
        <v>3973</v>
      </c>
      <c r="B3937" s="1">
        <v>44892</v>
      </c>
      <c r="C3937" t="s">
        <v>16</v>
      </c>
      <c r="D3937" t="s">
        <v>23</v>
      </c>
      <c r="E3937" t="s">
        <v>18</v>
      </c>
      <c r="F3937">
        <v>1594.13</v>
      </c>
      <c r="G3937">
        <v>438.48</v>
      </c>
      <c r="H3937" t="s">
        <v>13</v>
      </c>
      <c r="I3937" t="s">
        <v>34</v>
      </c>
    </row>
    <row r="3938" spans="1:9" x14ac:dyDescent="0.35">
      <c r="A3938" t="s">
        <v>3974</v>
      </c>
      <c r="B3938" s="1">
        <v>45615</v>
      </c>
      <c r="C3938" t="s">
        <v>10</v>
      </c>
      <c r="D3938" t="s">
        <v>17</v>
      </c>
      <c r="E3938" t="s">
        <v>18</v>
      </c>
      <c r="F3938">
        <v>1212.4100000000001</v>
      </c>
      <c r="G3938">
        <v>295.63</v>
      </c>
      <c r="H3938" t="s">
        <v>13</v>
      </c>
      <c r="I3938" t="s">
        <v>14</v>
      </c>
    </row>
    <row r="3939" spans="1:9" x14ac:dyDescent="0.35">
      <c r="A3939" t="s">
        <v>3975</v>
      </c>
      <c r="B3939" s="1">
        <v>45327</v>
      </c>
      <c r="C3939" t="s">
        <v>22</v>
      </c>
      <c r="D3939" t="s">
        <v>57</v>
      </c>
      <c r="E3939" t="s">
        <v>27</v>
      </c>
      <c r="F3939">
        <v>951.58</v>
      </c>
      <c r="G3939">
        <v>268.16000000000003</v>
      </c>
      <c r="H3939" t="s">
        <v>13</v>
      </c>
      <c r="I3939" t="s">
        <v>20</v>
      </c>
    </row>
    <row r="3940" spans="1:9" x14ac:dyDescent="0.35">
      <c r="A3940" t="s">
        <v>3976</v>
      </c>
      <c r="B3940" s="1">
        <v>44647</v>
      </c>
      <c r="C3940" t="s">
        <v>25</v>
      </c>
      <c r="D3940" t="s">
        <v>41</v>
      </c>
      <c r="E3940" t="s">
        <v>12</v>
      </c>
      <c r="F3940">
        <v>1216.9000000000001</v>
      </c>
      <c r="G3940">
        <v>328.82</v>
      </c>
      <c r="H3940" t="s">
        <v>13</v>
      </c>
      <c r="I3940" t="s">
        <v>20</v>
      </c>
    </row>
    <row r="3941" spans="1:9" x14ac:dyDescent="0.35">
      <c r="A3941" t="s">
        <v>3977</v>
      </c>
      <c r="B3941" s="1">
        <v>45640</v>
      </c>
      <c r="C3941" t="s">
        <v>16</v>
      </c>
      <c r="D3941" t="s">
        <v>38</v>
      </c>
      <c r="E3941" t="s">
        <v>12</v>
      </c>
      <c r="F3941">
        <v>888.94</v>
      </c>
      <c r="G3941">
        <v>254.9</v>
      </c>
      <c r="H3941" t="s">
        <v>19</v>
      </c>
      <c r="I3941" t="s">
        <v>20</v>
      </c>
    </row>
    <row r="3942" spans="1:9" x14ac:dyDescent="0.35">
      <c r="A3942" t="s">
        <v>3978</v>
      </c>
      <c r="B3942" s="1">
        <v>45170</v>
      </c>
      <c r="C3942" t="s">
        <v>25</v>
      </c>
      <c r="D3942" t="s">
        <v>33</v>
      </c>
      <c r="E3942" t="s">
        <v>18</v>
      </c>
      <c r="F3942">
        <v>160.9</v>
      </c>
      <c r="G3942">
        <v>20.41</v>
      </c>
      <c r="H3942" t="s">
        <v>13</v>
      </c>
      <c r="I3942" t="s">
        <v>34</v>
      </c>
    </row>
    <row r="3943" spans="1:9" x14ac:dyDescent="0.35">
      <c r="A3943" t="s">
        <v>3979</v>
      </c>
      <c r="B3943" s="1">
        <v>45281</v>
      </c>
      <c r="C3943" t="s">
        <v>25</v>
      </c>
      <c r="D3943" t="s">
        <v>95</v>
      </c>
      <c r="E3943" t="s">
        <v>18</v>
      </c>
      <c r="F3943">
        <v>866.93</v>
      </c>
      <c r="G3943">
        <v>221.41</v>
      </c>
      <c r="H3943" t="s">
        <v>19</v>
      </c>
      <c r="I3943" t="s">
        <v>29</v>
      </c>
    </row>
    <row r="3944" spans="1:9" x14ac:dyDescent="0.35">
      <c r="A3944" t="s">
        <v>3980</v>
      </c>
      <c r="B3944" s="1">
        <v>45638</v>
      </c>
      <c r="C3944" t="s">
        <v>22</v>
      </c>
      <c r="D3944" t="s">
        <v>73</v>
      </c>
      <c r="E3944" t="s">
        <v>27</v>
      </c>
      <c r="F3944">
        <v>1091.1400000000001</v>
      </c>
      <c r="G3944">
        <v>122.47</v>
      </c>
      <c r="H3944" t="s">
        <v>28</v>
      </c>
      <c r="I3944" t="s">
        <v>20</v>
      </c>
    </row>
    <row r="3945" spans="1:9" x14ac:dyDescent="0.35">
      <c r="A3945" t="s">
        <v>3981</v>
      </c>
      <c r="B3945" s="1">
        <v>45490</v>
      </c>
      <c r="C3945" t="s">
        <v>16</v>
      </c>
      <c r="D3945" t="s">
        <v>33</v>
      </c>
      <c r="E3945" t="s">
        <v>18</v>
      </c>
      <c r="F3945">
        <v>834.71</v>
      </c>
      <c r="G3945">
        <v>174.92</v>
      </c>
      <c r="H3945" t="s">
        <v>19</v>
      </c>
      <c r="I3945" t="s">
        <v>14</v>
      </c>
    </row>
    <row r="3946" spans="1:9" x14ac:dyDescent="0.35">
      <c r="A3946" t="s">
        <v>3982</v>
      </c>
      <c r="B3946" s="1">
        <v>45540</v>
      </c>
      <c r="C3946" t="s">
        <v>25</v>
      </c>
      <c r="D3946" t="s">
        <v>33</v>
      </c>
      <c r="E3946" t="s">
        <v>18</v>
      </c>
      <c r="F3946">
        <v>1208.3</v>
      </c>
      <c r="G3946">
        <v>238.98</v>
      </c>
      <c r="H3946" t="s">
        <v>13</v>
      </c>
      <c r="I3946" t="s">
        <v>20</v>
      </c>
    </row>
    <row r="3947" spans="1:9" x14ac:dyDescent="0.35">
      <c r="A3947" t="s">
        <v>3983</v>
      </c>
      <c r="B3947" s="1">
        <v>45502</v>
      </c>
      <c r="C3947" t="s">
        <v>10</v>
      </c>
      <c r="D3947" t="s">
        <v>33</v>
      </c>
      <c r="E3947" t="s">
        <v>18</v>
      </c>
      <c r="F3947">
        <v>1780.93</v>
      </c>
      <c r="G3947">
        <v>206.16</v>
      </c>
      <c r="H3947" t="s">
        <v>19</v>
      </c>
      <c r="I3947" t="s">
        <v>34</v>
      </c>
    </row>
    <row r="3948" spans="1:9" x14ac:dyDescent="0.35">
      <c r="A3948" t="s">
        <v>3984</v>
      </c>
      <c r="B3948" s="1">
        <v>45439</v>
      </c>
      <c r="C3948" t="s">
        <v>16</v>
      </c>
      <c r="D3948" t="s">
        <v>26</v>
      </c>
      <c r="E3948" t="s">
        <v>27</v>
      </c>
      <c r="F3948">
        <v>569.12</v>
      </c>
      <c r="G3948">
        <v>50.27</v>
      </c>
      <c r="H3948" t="s">
        <v>28</v>
      </c>
      <c r="I3948" t="s">
        <v>34</v>
      </c>
    </row>
    <row r="3949" spans="1:9" x14ac:dyDescent="0.35">
      <c r="A3949" t="s">
        <v>3985</v>
      </c>
      <c r="B3949" s="1">
        <v>44719</v>
      </c>
      <c r="C3949" t="s">
        <v>10</v>
      </c>
      <c r="D3949" t="s">
        <v>62</v>
      </c>
      <c r="E3949" t="s">
        <v>27</v>
      </c>
      <c r="F3949">
        <v>511.65</v>
      </c>
      <c r="G3949">
        <v>124.76</v>
      </c>
      <c r="H3949" t="s">
        <v>13</v>
      </c>
      <c r="I3949" t="s">
        <v>14</v>
      </c>
    </row>
    <row r="3950" spans="1:9" x14ac:dyDescent="0.35">
      <c r="A3950" t="s">
        <v>3986</v>
      </c>
      <c r="B3950" s="1">
        <v>44622</v>
      </c>
      <c r="C3950" t="s">
        <v>25</v>
      </c>
      <c r="D3950" t="s">
        <v>38</v>
      </c>
      <c r="E3950" t="s">
        <v>12</v>
      </c>
      <c r="F3950">
        <v>244.84</v>
      </c>
      <c r="G3950">
        <v>23.5</v>
      </c>
      <c r="H3950" t="s">
        <v>19</v>
      </c>
      <c r="I3950" t="s">
        <v>20</v>
      </c>
    </row>
    <row r="3951" spans="1:9" x14ac:dyDescent="0.35">
      <c r="A3951" t="s">
        <v>3987</v>
      </c>
      <c r="B3951" s="1">
        <v>44998</v>
      </c>
      <c r="C3951" t="s">
        <v>16</v>
      </c>
      <c r="D3951" t="s">
        <v>73</v>
      </c>
      <c r="E3951" t="s">
        <v>27</v>
      </c>
      <c r="F3951">
        <v>404.02</v>
      </c>
      <c r="G3951">
        <v>78.87</v>
      </c>
      <c r="H3951" t="s">
        <v>28</v>
      </c>
      <c r="I3951" t="s">
        <v>14</v>
      </c>
    </row>
    <row r="3952" spans="1:9" x14ac:dyDescent="0.35">
      <c r="A3952" t="s">
        <v>3988</v>
      </c>
      <c r="B3952" s="1">
        <v>45108</v>
      </c>
      <c r="C3952" t="s">
        <v>10</v>
      </c>
      <c r="D3952" t="s">
        <v>38</v>
      </c>
      <c r="E3952" t="s">
        <v>12</v>
      </c>
      <c r="F3952">
        <v>904.99</v>
      </c>
      <c r="G3952">
        <v>166.93</v>
      </c>
      <c r="H3952" t="s">
        <v>19</v>
      </c>
      <c r="I3952" t="s">
        <v>29</v>
      </c>
    </row>
    <row r="3953" spans="1:9" x14ac:dyDescent="0.35">
      <c r="A3953" t="s">
        <v>3989</v>
      </c>
      <c r="B3953" s="1">
        <v>45516</v>
      </c>
      <c r="C3953" t="s">
        <v>22</v>
      </c>
      <c r="D3953" t="s">
        <v>11</v>
      </c>
      <c r="E3953" t="s">
        <v>12</v>
      </c>
      <c r="F3953">
        <v>242.71</v>
      </c>
      <c r="G3953">
        <v>14.06</v>
      </c>
      <c r="H3953" t="s">
        <v>13</v>
      </c>
      <c r="I3953" t="s">
        <v>14</v>
      </c>
    </row>
    <row r="3954" spans="1:9" x14ac:dyDescent="0.35">
      <c r="A3954" t="s">
        <v>3990</v>
      </c>
      <c r="B3954" s="1">
        <v>45264</v>
      </c>
      <c r="C3954" t="s">
        <v>25</v>
      </c>
      <c r="D3954" t="s">
        <v>46</v>
      </c>
      <c r="E3954" t="s">
        <v>18</v>
      </c>
      <c r="F3954">
        <v>786.22</v>
      </c>
      <c r="G3954">
        <v>110.38</v>
      </c>
      <c r="H3954" t="s">
        <v>28</v>
      </c>
      <c r="I3954" t="s">
        <v>34</v>
      </c>
    </row>
    <row r="3955" spans="1:9" x14ac:dyDescent="0.35">
      <c r="A3955" t="s">
        <v>3991</v>
      </c>
      <c r="B3955" s="1">
        <v>45622</v>
      </c>
      <c r="C3955" t="s">
        <v>16</v>
      </c>
      <c r="D3955" t="s">
        <v>38</v>
      </c>
      <c r="E3955" t="s">
        <v>12</v>
      </c>
      <c r="F3955">
        <v>1231.8800000000001</v>
      </c>
      <c r="G3955">
        <v>72.44</v>
      </c>
      <c r="H3955" t="s">
        <v>19</v>
      </c>
      <c r="I3955" t="s">
        <v>14</v>
      </c>
    </row>
    <row r="3956" spans="1:9" x14ac:dyDescent="0.35">
      <c r="A3956" t="s">
        <v>3992</v>
      </c>
      <c r="B3956" s="1">
        <v>45574</v>
      </c>
      <c r="C3956" t="s">
        <v>16</v>
      </c>
      <c r="D3956" t="s">
        <v>26</v>
      </c>
      <c r="E3956" t="s">
        <v>27</v>
      </c>
      <c r="F3956">
        <v>432.61</v>
      </c>
      <c r="G3956">
        <v>46.16</v>
      </c>
      <c r="H3956" t="s">
        <v>28</v>
      </c>
      <c r="I3956" t="s">
        <v>14</v>
      </c>
    </row>
    <row r="3957" spans="1:9" x14ac:dyDescent="0.35">
      <c r="A3957" t="s">
        <v>3993</v>
      </c>
      <c r="B3957" s="1">
        <v>45639</v>
      </c>
      <c r="C3957" t="s">
        <v>10</v>
      </c>
      <c r="D3957" t="s">
        <v>97</v>
      </c>
      <c r="E3957" t="s">
        <v>27</v>
      </c>
      <c r="F3957">
        <v>607.29</v>
      </c>
      <c r="G3957">
        <v>155.85</v>
      </c>
      <c r="H3957" t="s">
        <v>13</v>
      </c>
      <c r="I3957" t="s">
        <v>29</v>
      </c>
    </row>
    <row r="3958" spans="1:9" x14ac:dyDescent="0.35">
      <c r="A3958" t="s">
        <v>3994</v>
      </c>
      <c r="B3958" s="1">
        <v>45300</v>
      </c>
      <c r="C3958" t="s">
        <v>25</v>
      </c>
      <c r="D3958" t="s">
        <v>95</v>
      </c>
      <c r="E3958" t="s">
        <v>18</v>
      </c>
      <c r="F3958">
        <v>280.93</v>
      </c>
      <c r="G3958">
        <v>70.989999999999995</v>
      </c>
      <c r="H3958" t="s">
        <v>19</v>
      </c>
      <c r="I3958" t="s">
        <v>14</v>
      </c>
    </row>
    <row r="3959" spans="1:9" x14ac:dyDescent="0.35">
      <c r="A3959" t="s">
        <v>3995</v>
      </c>
      <c r="B3959" s="1">
        <v>44915</v>
      </c>
      <c r="C3959" t="s">
        <v>22</v>
      </c>
      <c r="D3959" t="s">
        <v>23</v>
      </c>
      <c r="E3959" t="s">
        <v>18</v>
      </c>
      <c r="F3959">
        <v>464.17</v>
      </c>
      <c r="G3959">
        <v>65.75</v>
      </c>
      <c r="H3959" t="s">
        <v>28</v>
      </c>
      <c r="I3959" t="s">
        <v>14</v>
      </c>
    </row>
    <row r="3960" spans="1:9" x14ac:dyDescent="0.35">
      <c r="A3960" t="s">
        <v>3996</v>
      </c>
      <c r="B3960" s="1">
        <v>45572</v>
      </c>
      <c r="C3960" t="s">
        <v>10</v>
      </c>
      <c r="D3960" t="s">
        <v>95</v>
      </c>
      <c r="E3960" t="s">
        <v>18</v>
      </c>
      <c r="F3960">
        <v>541.41</v>
      </c>
      <c r="G3960">
        <v>153.49</v>
      </c>
      <c r="H3960" t="s">
        <v>19</v>
      </c>
      <c r="I3960" t="s">
        <v>29</v>
      </c>
    </row>
    <row r="3961" spans="1:9" x14ac:dyDescent="0.35">
      <c r="A3961" t="s">
        <v>3997</v>
      </c>
      <c r="B3961" s="1">
        <v>45404</v>
      </c>
      <c r="C3961" t="s">
        <v>16</v>
      </c>
      <c r="D3961" t="s">
        <v>97</v>
      </c>
      <c r="E3961" t="s">
        <v>27</v>
      </c>
      <c r="F3961">
        <v>1018.95</v>
      </c>
      <c r="G3961">
        <v>105.79</v>
      </c>
      <c r="H3961" t="s">
        <v>19</v>
      </c>
      <c r="I3961" t="s">
        <v>20</v>
      </c>
    </row>
    <row r="3962" spans="1:9" x14ac:dyDescent="0.35">
      <c r="A3962" t="s">
        <v>3998</v>
      </c>
      <c r="B3962" s="1">
        <v>45625</v>
      </c>
      <c r="C3962" t="s">
        <v>22</v>
      </c>
      <c r="D3962" t="s">
        <v>73</v>
      </c>
      <c r="E3962" t="s">
        <v>27</v>
      </c>
      <c r="F3962">
        <v>1731.93</v>
      </c>
      <c r="G3962">
        <v>294.83999999999997</v>
      </c>
      <c r="H3962" t="s">
        <v>19</v>
      </c>
      <c r="I3962" t="s">
        <v>34</v>
      </c>
    </row>
    <row r="3963" spans="1:9" x14ac:dyDescent="0.35">
      <c r="A3963" t="s">
        <v>3999</v>
      </c>
      <c r="B3963" s="1">
        <v>45456</v>
      </c>
      <c r="C3963" t="s">
        <v>10</v>
      </c>
      <c r="D3963" t="s">
        <v>46</v>
      </c>
      <c r="E3963" t="s">
        <v>18</v>
      </c>
      <c r="F3963">
        <v>1129.18</v>
      </c>
      <c r="G3963">
        <v>320.52</v>
      </c>
      <c r="H3963" t="s">
        <v>19</v>
      </c>
      <c r="I3963" t="s">
        <v>34</v>
      </c>
    </row>
    <row r="3964" spans="1:9" x14ac:dyDescent="0.35">
      <c r="A3964" t="s">
        <v>4000</v>
      </c>
      <c r="B3964" s="1">
        <v>45413</v>
      </c>
      <c r="C3964" t="s">
        <v>22</v>
      </c>
      <c r="D3964" t="s">
        <v>23</v>
      </c>
      <c r="E3964" t="s">
        <v>18</v>
      </c>
      <c r="F3964">
        <v>758.64</v>
      </c>
      <c r="G3964">
        <v>55.72</v>
      </c>
      <c r="H3964" t="s">
        <v>13</v>
      </c>
      <c r="I3964" t="s">
        <v>20</v>
      </c>
    </row>
    <row r="3965" spans="1:9" x14ac:dyDescent="0.35">
      <c r="A3965" t="s">
        <v>4001</v>
      </c>
      <c r="B3965" s="1">
        <v>44637</v>
      </c>
      <c r="C3965" t="s">
        <v>25</v>
      </c>
      <c r="D3965" t="s">
        <v>73</v>
      </c>
      <c r="E3965" t="s">
        <v>27</v>
      </c>
      <c r="F3965">
        <v>164.35</v>
      </c>
      <c r="G3965">
        <v>26.76</v>
      </c>
      <c r="H3965" t="s">
        <v>13</v>
      </c>
      <c r="I3965" t="s">
        <v>29</v>
      </c>
    </row>
    <row r="3966" spans="1:9" x14ac:dyDescent="0.35">
      <c r="A3966" t="s">
        <v>4002</v>
      </c>
      <c r="B3966" s="1">
        <v>45297</v>
      </c>
      <c r="C3966" t="s">
        <v>25</v>
      </c>
      <c r="D3966" t="s">
        <v>73</v>
      </c>
      <c r="E3966" t="s">
        <v>27</v>
      </c>
      <c r="F3966">
        <v>392.17</v>
      </c>
      <c r="G3966">
        <v>104.36</v>
      </c>
      <c r="H3966" t="s">
        <v>13</v>
      </c>
      <c r="I3966" t="s">
        <v>14</v>
      </c>
    </row>
    <row r="3967" spans="1:9" x14ac:dyDescent="0.35">
      <c r="A3967" t="s">
        <v>4003</v>
      </c>
      <c r="B3967" s="1">
        <v>45101</v>
      </c>
      <c r="C3967" t="s">
        <v>16</v>
      </c>
      <c r="D3967" t="s">
        <v>31</v>
      </c>
      <c r="E3967" t="s">
        <v>12</v>
      </c>
      <c r="F3967">
        <v>266.33</v>
      </c>
      <c r="G3967">
        <v>70.849999999999994</v>
      </c>
      <c r="H3967" t="s">
        <v>28</v>
      </c>
      <c r="I3967" t="s">
        <v>29</v>
      </c>
    </row>
    <row r="3968" spans="1:9" x14ac:dyDescent="0.35">
      <c r="A3968" t="s">
        <v>4004</v>
      </c>
      <c r="B3968" s="1">
        <v>45101</v>
      </c>
      <c r="C3968" t="s">
        <v>16</v>
      </c>
      <c r="D3968" t="s">
        <v>46</v>
      </c>
      <c r="E3968" t="s">
        <v>18</v>
      </c>
      <c r="F3968">
        <v>1813.58</v>
      </c>
      <c r="G3968">
        <v>344.35</v>
      </c>
      <c r="H3968" t="s">
        <v>28</v>
      </c>
      <c r="I3968" t="s">
        <v>14</v>
      </c>
    </row>
    <row r="3969" spans="1:9" x14ac:dyDescent="0.35">
      <c r="A3969" t="s">
        <v>4005</v>
      </c>
      <c r="B3969" s="1">
        <v>45223</v>
      </c>
      <c r="C3969" t="s">
        <v>16</v>
      </c>
      <c r="D3969" t="s">
        <v>23</v>
      </c>
      <c r="E3969" t="s">
        <v>18</v>
      </c>
      <c r="F3969">
        <v>1665.68</v>
      </c>
      <c r="G3969">
        <v>90.13</v>
      </c>
      <c r="H3969" t="s">
        <v>13</v>
      </c>
      <c r="I3969" t="s">
        <v>20</v>
      </c>
    </row>
    <row r="3970" spans="1:9" x14ac:dyDescent="0.35">
      <c r="A3970" t="s">
        <v>4006</v>
      </c>
      <c r="B3970" s="1">
        <v>45151</v>
      </c>
      <c r="C3970" t="s">
        <v>25</v>
      </c>
      <c r="D3970" t="s">
        <v>23</v>
      </c>
      <c r="E3970" t="s">
        <v>18</v>
      </c>
      <c r="F3970">
        <v>994.57</v>
      </c>
      <c r="G3970">
        <v>202.45</v>
      </c>
      <c r="H3970" t="s">
        <v>13</v>
      </c>
      <c r="I3970" t="s">
        <v>20</v>
      </c>
    </row>
    <row r="3971" spans="1:9" x14ac:dyDescent="0.35">
      <c r="A3971" t="s">
        <v>4007</v>
      </c>
      <c r="B3971" s="1">
        <v>45094</v>
      </c>
      <c r="C3971" t="s">
        <v>10</v>
      </c>
      <c r="D3971" t="s">
        <v>95</v>
      </c>
      <c r="E3971" t="s">
        <v>18</v>
      </c>
      <c r="F3971">
        <v>1780.66</v>
      </c>
      <c r="G3971">
        <v>338.41</v>
      </c>
      <c r="H3971" t="s">
        <v>19</v>
      </c>
      <c r="I3971" t="s">
        <v>14</v>
      </c>
    </row>
    <row r="3972" spans="1:9" x14ac:dyDescent="0.35">
      <c r="A3972" t="s">
        <v>4008</v>
      </c>
      <c r="B3972" s="1">
        <v>45358</v>
      </c>
      <c r="C3972" t="s">
        <v>22</v>
      </c>
      <c r="D3972" t="s">
        <v>50</v>
      </c>
      <c r="E3972" t="s">
        <v>12</v>
      </c>
      <c r="F3972">
        <v>509.72</v>
      </c>
      <c r="G3972">
        <v>57</v>
      </c>
      <c r="H3972" t="s">
        <v>13</v>
      </c>
      <c r="I3972" t="s">
        <v>14</v>
      </c>
    </row>
    <row r="3973" spans="1:9" x14ac:dyDescent="0.35">
      <c r="A3973" t="s">
        <v>4009</v>
      </c>
      <c r="B3973" s="1">
        <v>45460</v>
      </c>
      <c r="C3973" t="s">
        <v>22</v>
      </c>
      <c r="D3973" t="s">
        <v>26</v>
      </c>
      <c r="E3973" t="s">
        <v>27</v>
      </c>
      <c r="F3973">
        <v>378.58</v>
      </c>
      <c r="G3973">
        <v>72.040000000000006</v>
      </c>
      <c r="H3973" t="s">
        <v>19</v>
      </c>
      <c r="I3973" t="s">
        <v>20</v>
      </c>
    </row>
    <row r="3974" spans="1:9" x14ac:dyDescent="0.35">
      <c r="A3974" t="s">
        <v>4010</v>
      </c>
      <c r="B3974" s="1">
        <v>45022</v>
      </c>
      <c r="C3974" t="s">
        <v>16</v>
      </c>
      <c r="D3974" t="s">
        <v>95</v>
      </c>
      <c r="E3974" t="s">
        <v>18</v>
      </c>
      <c r="F3974">
        <v>1832.27</v>
      </c>
      <c r="G3974">
        <v>355.19</v>
      </c>
      <c r="H3974" t="s">
        <v>19</v>
      </c>
      <c r="I3974" t="s">
        <v>29</v>
      </c>
    </row>
    <row r="3975" spans="1:9" x14ac:dyDescent="0.35">
      <c r="A3975" t="s">
        <v>4011</v>
      </c>
      <c r="B3975" s="1">
        <v>44774</v>
      </c>
      <c r="C3975" t="s">
        <v>22</v>
      </c>
      <c r="D3975" t="s">
        <v>23</v>
      </c>
      <c r="E3975" t="s">
        <v>18</v>
      </c>
      <c r="F3975">
        <v>902.27</v>
      </c>
      <c r="G3975">
        <v>62.96</v>
      </c>
      <c r="H3975" t="s">
        <v>19</v>
      </c>
      <c r="I3975" t="s">
        <v>20</v>
      </c>
    </row>
    <row r="3976" spans="1:9" x14ac:dyDescent="0.35">
      <c r="A3976" t="s">
        <v>4012</v>
      </c>
      <c r="B3976" s="1">
        <v>45136</v>
      </c>
      <c r="C3976" t="s">
        <v>22</v>
      </c>
      <c r="D3976" t="s">
        <v>41</v>
      </c>
      <c r="E3976" t="s">
        <v>12</v>
      </c>
      <c r="F3976">
        <v>1553.86</v>
      </c>
      <c r="G3976">
        <v>309.32</v>
      </c>
      <c r="H3976" t="s">
        <v>13</v>
      </c>
      <c r="I3976" t="s">
        <v>34</v>
      </c>
    </row>
    <row r="3977" spans="1:9" x14ac:dyDescent="0.35">
      <c r="A3977" t="s">
        <v>4013</v>
      </c>
      <c r="B3977" s="1">
        <v>45546</v>
      </c>
      <c r="C3977" t="s">
        <v>10</v>
      </c>
      <c r="D3977" t="s">
        <v>62</v>
      </c>
      <c r="E3977" t="s">
        <v>27</v>
      </c>
      <c r="F3977">
        <v>1860.06</v>
      </c>
      <c r="G3977">
        <v>522.91</v>
      </c>
      <c r="H3977" t="s">
        <v>19</v>
      </c>
      <c r="I3977" t="s">
        <v>14</v>
      </c>
    </row>
    <row r="3978" spans="1:9" x14ac:dyDescent="0.35">
      <c r="A3978" t="s">
        <v>4014</v>
      </c>
      <c r="B3978" s="1">
        <v>45097</v>
      </c>
      <c r="C3978" t="s">
        <v>16</v>
      </c>
      <c r="D3978" t="s">
        <v>11</v>
      </c>
      <c r="E3978" t="s">
        <v>12</v>
      </c>
      <c r="F3978">
        <v>1642.29</v>
      </c>
      <c r="G3978">
        <v>109.12</v>
      </c>
      <c r="H3978" t="s">
        <v>28</v>
      </c>
      <c r="I3978" t="s">
        <v>14</v>
      </c>
    </row>
    <row r="3979" spans="1:9" x14ac:dyDescent="0.35">
      <c r="A3979" t="s">
        <v>4015</v>
      </c>
      <c r="B3979" s="1">
        <v>44879</v>
      </c>
      <c r="C3979" t="s">
        <v>16</v>
      </c>
      <c r="D3979" t="s">
        <v>50</v>
      </c>
      <c r="E3979" t="s">
        <v>12</v>
      </c>
      <c r="F3979">
        <v>242.72</v>
      </c>
      <c r="G3979">
        <v>41.44</v>
      </c>
      <c r="H3979" t="s">
        <v>13</v>
      </c>
      <c r="I3979" t="s">
        <v>29</v>
      </c>
    </row>
    <row r="3980" spans="1:9" x14ac:dyDescent="0.35">
      <c r="A3980" t="s">
        <v>4016</v>
      </c>
      <c r="B3980" s="1">
        <v>45339</v>
      </c>
      <c r="C3980" t="s">
        <v>10</v>
      </c>
      <c r="D3980" t="s">
        <v>26</v>
      </c>
      <c r="E3980" t="s">
        <v>27</v>
      </c>
      <c r="F3980">
        <v>1923.87</v>
      </c>
      <c r="G3980">
        <v>116.58</v>
      </c>
      <c r="H3980" t="s">
        <v>13</v>
      </c>
      <c r="I3980" t="s">
        <v>20</v>
      </c>
    </row>
    <row r="3981" spans="1:9" x14ac:dyDescent="0.35">
      <c r="A3981" t="s">
        <v>4017</v>
      </c>
      <c r="B3981" s="1">
        <v>44609</v>
      </c>
      <c r="C3981" t="s">
        <v>22</v>
      </c>
      <c r="D3981" t="s">
        <v>57</v>
      </c>
      <c r="E3981" t="s">
        <v>27</v>
      </c>
      <c r="F3981">
        <v>774.87</v>
      </c>
      <c r="G3981">
        <v>170.04</v>
      </c>
      <c r="H3981" t="s">
        <v>28</v>
      </c>
      <c r="I3981" t="s">
        <v>20</v>
      </c>
    </row>
    <row r="3982" spans="1:9" x14ac:dyDescent="0.35">
      <c r="A3982" t="s">
        <v>4018</v>
      </c>
      <c r="B3982" s="1">
        <v>44895</v>
      </c>
      <c r="C3982" t="s">
        <v>10</v>
      </c>
      <c r="D3982" t="s">
        <v>97</v>
      </c>
      <c r="E3982" t="s">
        <v>27</v>
      </c>
      <c r="F3982">
        <v>85.75</v>
      </c>
      <c r="G3982">
        <v>10.82</v>
      </c>
      <c r="H3982" t="s">
        <v>28</v>
      </c>
      <c r="I3982" t="s">
        <v>20</v>
      </c>
    </row>
    <row r="3983" spans="1:9" x14ac:dyDescent="0.35">
      <c r="A3983" t="s">
        <v>4019</v>
      </c>
      <c r="B3983" s="1">
        <v>44611</v>
      </c>
      <c r="C3983" t="s">
        <v>10</v>
      </c>
      <c r="D3983" t="s">
        <v>73</v>
      </c>
      <c r="E3983" t="s">
        <v>27</v>
      </c>
      <c r="F3983">
        <v>492.13</v>
      </c>
      <c r="G3983">
        <v>31.93</v>
      </c>
      <c r="H3983" t="s">
        <v>19</v>
      </c>
      <c r="I3983" t="s">
        <v>34</v>
      </c>
    </row>
    <row r="3984" spans="1:9" x14ac:dyDescent="0.35">
      <c r="A3984" t="s">
        <v>4020</v>
      </c>
      <c r="B3984" s="1">
        <v>45036</v>
      </c>
      <c r="C3984" t="s">
        <v>22</v>
      </c>
      <c r="D3984" t="s">
        <v>95</v>
      </c>
      <c r="E3984" t="s">
        <v>18</v>
      </c>
      <c r="F3984">
        <v>219.88</v>
      </c>
      <c r="G3984">
        <v>51.92</v>
      </c>
      <c r="H3984" t="s">
        <v>28</v>
      </c>
      <c r="I3984" t="s">
        <v>29</v>
      </c>
    </row>
    <row r="3985" spans="1:9" x14ac:dyDescent="0.35">
      <c r="A3985" t="s">
        <v>4021</v>
      </c>
      <c r="B3985" s="1">
        <v>45130</v>
      </c>
      <c r="C3985" t="s">
        <v>25</v>
      </c>
      <c r="D3985" t="s">
        <v>23</v>
      </c>
      <c r="E3985" t="s">
        <v>18</v>
      </c>
      <c r="F3985">
        <v>203.95</v>
      </c>
      <c r="G3985">
        <v>33.909999999999997</v>
      </c>
      <c r="H3985" t="s">
        <v>19</v>
      </c>
      <c r="I3985" t="s">
        <v>34</v>
      </c>
    </row>
    <row r="3986" spans="1:9" x14ac:dyDescent="0.35">
      <c r="A3986" t="s">
        <v>4022</v>
      </c>
      <c r="B3986" s="1">
        <v>44894</v>
      </c>
      <c r="C3986" t="s">
        <v>10</v>
      </c>
      <c r="D3986" t="s">
        <v>97</v>
      </c>
      <c r="E3986" t="s">
        <v>27</v>
      </c>
      <c r="F3986">
        <v>1517.39</v>
      </c>
      <c r="G3986">
        <v>232.14</v>
      </c>
      <c r="H3986" t="s">
        <v>19</v>
      </c>
      <c r="I3986" t="s">
        <v>14</v>
      </c>
    </row>
    <row r="3987" spans="1:9" x14ac:dyDescent="0.35">
      <c r="A3987" t="s">
        <v>4023</v>
      </c>
      <c r="B3987" s="1">
        <v>45431</v>
      </c>
      <c r="C3987" t="s">
        <v>16</v>
      </c>
      <c r="D3987" t="s">
        <v>11</v>
      </c>
      <c r="E3987" t="s">
        <v>12</v>
      </c>
      <c r="F3987">
        <v>1311.63</v>
      </c>
      <c r="G3987">
        <v>365.44</v>
      </c>
      <c r="H3987" t="s">
        <v>28</v>
      </c>
      <c r="I3987" t="s">
        <v>14</v>
      </c>
    </row>
    <row r="3988" spans="1:9" x14ac:dyDescent="0.35">
      <c r="A3988" t="s">
        <v>4024</v>
      </c>
      <c r="B3988" s="1">
        <v>44836</v>
      </c>
      <c r="C3988" t="s">
        <v>25</v>
      </c>
      <c r="D3988" t="s">
        <v>31</v>
      </c>
      <c r="E3988" t="s">
        <v>12</v>
      </c>
      <c r="F3988">
        <v>817.12</v>
      </c>
      <c r="G3988">
        <v>89.4</v>
      </c>
      <c r="H3988" t="s">
        <v>28</v>
      </c>
      <c r="I3988" t="s">
        <v>20</v>
      </c>
    </row>
    <row r="3989" spans="1:9" x14ac:dyDescent="0.35">
      <c r="A3989" t="s">
        <v>4025</v>
      </c>
      <c r="B3989" s="1">
        <v>44812</v>
      </c>
      <c r="C3989" t="s">
        <v>25</v>
      </c>
      <c r="D3989" t="s">
        <v>97</v>
      </c>
      <c r="E3989" t="s">
        <v>27</v>
      </c>
      <c r="F3989">
        <v>668.66</v>
      </c>
      <c r="G3989">
        <v>168.66</v>
      </c>
      <c r="H3989" t="s">
        <v>28</v>
      </c>
      <c r="I3989" t="s">
        <v>20</v>
      </c>
    </row>
    <row r="3990" spans="1:9" x14ac:dyDescent="0.35">
      <c r="A3990" t="s">
        <v>4026</v>
      </c>
      <c r="B3990" s="1">
        <v>44835</v>
      </c>
      <c r="C3990" t="s">
        <v>25</v>
      </c>
      <c r="D3990" t="s">
        <v>50</v>
      </c>
      <c r="E3990" t="s">
        <v>12</v>
      </c>
      <c r="F3990">
        <v>939.8</v>
      </c>
      <c r="G3990">
        <v>69.650000000000006</v>
      </c>
      <c r="H3990" t="s">
        <v>19</v>
      </c>
      <c r="I3990" t="s">
        <v>34</v>
      </c>
    </row>
    <row r="3991" spans="1:9" x14ac:dyDescent="0.35">
      <c r="A3991" t="s">
        <v>4027</v>
      </c>
      <c r="B3991" s="1">
        <v>44977</v>
      </c>
      <c r="C3991" t="s">
        <v>25</v>
      </c>
      <c r="D3991" t="s">
        <v>97</v>
      </c>
      <c r="E3991" t="s">
        <v>27</v>
      </c>
      <c r="F3991">
        <v>422.48</v>
      </c>
      <c r="G3991">
        <v>45.17</v>
      </c>
      <c r="H3991" t="s">
        <v>28</v>
      </c>
      <c r="I3991" t="s">
        <v>20</v>
      </c>
    </row>
    <row r="3992" spans="1:9" x14ac:dyDescent="0.35">
      <c r="A3992" t="s">
        <v>4028</v>
      </c>
      <c r="B3992" s="1">
        <v>45477</v>
      </c>
      <c r="C3992" t="s">
        <v>16</v>
      </c>
      <c r="D3992" t="s">
        <v>17</v>
      </c>
      <c r="E3992" t="s">
        <v>18</v>
      </c>
      <c r="F3992">
        <v>664.6</v>
      </c>
      <c r="G3992">
        <v>131.74</v>
      </c>
      <c r="H3992" t="s">
        <v>28</v>
      </c>
      <c r="I3992" t="s">
        <v>20</v>
      </c>
    </row>
    <row r="3993" spans="1:9" x14ac:dyDescent="0.35">
      <c r="A3993" t="s">
        <v>4029</v>
      </c>
      <c r="B3993" s="1">
        <v>45482</v>
      </c>
      <c r="C3993" t="s">
        <v>22</v>
      </c>
      <c r="D3993" t="s">
        <v>38</v>
      </c>
      <c r="E3993" t="s">
        <v>12</v>
      </c>
      <c r="F3993">
        <v>882.2</v>
      </c>
      <c r="G3993">
        <v>226.05</v>
      </c>
      <c r="H3993" t="s">
        <v>13</v>
      </c>
      <c r="I3993" t="s">
        <v>29</v>
      </c>
    </row>
    <row r="3994" spans="1:9" x14ac:dyDescent="0.35">
      <c r="A3994" t="s">
        <v>4030</v>
      </c>
      <c r="B3994" s="1">
        <v>45557</v>
      </c>
      <c r="C3994" t="s">
        <v>22</v>
      </c>
      <c r="D3994" t="s">
        <v>62</v>
      </c>
      <c r="E3994" t="s">
        <v>27</v>
      </c>
      <c r="F3994">
        <v>246.49</v>
      </c>
      <c r="G3994">
        <v>50.36</v>
      </c>
      <c r="H3994" t="s">
        <v>13</v>
      </c>
      <c r="I3994" t="s">
        <v>20</v>
      </c>
    </row>
    <row r="3995" spans="1:9" x14ac:dyDescent="0.35">
      <c r="A3995" t="s">
        <v>4031</v>
      </c>
      <c r="B3995" s="1">
        <v>44950</v>
      </c>
      <c r="C3995" t="s">
        <v>22</v>
      </c>
      <c r="D3995" t="s">
        <v>50</v>
      </c>
      <c r="E3995" t="s">
        <v>12</v>
      </c>
      <c r="F3995">
        <v>969.84</v>
      </c>
      <c r="G3995">
        <v>164.82</v>
      </c>
      <c r="H3995" t="s">
        <v>28</v>
      </c>
      <c r="I3995" t="s">
        <v>20</v>
      </c>
    </row>
    <row r="3996" spans="1:9" x14ac:dyDescent="0.35">
      <c r="A3996" t="s">
        <v>4032</v>
      </c>
      <c r="B3996" s="1">
        <v>45141</v>
      </c>
      <c r="C3996" t="s">
        <v>16</v>
      </c>
      <c r="D3996" t="s">
        <v>33</v>
      </c>
      <c r="E3996" t="s">
        <v>18</v>
      </c>
      <c r="F3996">
        <v>1161.8399999999999</v>
      </c>
      <c r="G3996">
        <v>130.59</v>
      </c>
      <c r="H3996" t="s">
        <v>28</v>
      </c>
      <c r="I3996" t="s">
        <v>14</v>
      </c>
    </row>
    <row r="3997" spans="1:9" x14ac:dyDescent="0.35">
      <c r="A3997" t="s">
        <v>4033</v>
      </c>
      <c r="B3997" s="1">
        <v>44735</v>
      </c>
      <c r="C3997" t="s">
        <v>25</v>
      </c>
      <c r="D3997" t="s">
        <v>38</v>
      </c>
      <c r="E3997" t="s">
        <v>12</v>
      </c>
      <c r="F3997">
        <v>1227.0899999999999</v>
      </c>
      <c r="G3997">
        <v>223.35</v>
      </c>
      <c r="H3997" t="s">
        <v>13</v>
      </c>
      <c r="I3997" t="s">
        <v>20</v>
      </c>
    </row>
    <row r="3998" spans="1:9" x14ac:dyDescent="0.35">
      <c r="A3998" t="s">
        <v>4034</v>
      </c>
      <c r="B3998" s="1">
        <v>44922</v>
      </c>
      <c r="C3998" t="s">
        <v>10</v>
      </c>
      <c r="D3998" t="s">
        <v>11</v>
      </c>
      <c r="E3998" t="s">
        <v>12</v>
      </c>
      <c r="F3998">
        <v>1750.06</v>
      </c>
      <c r="G3998">
        <v>371.04</v>
      </c>
      <c r="H3998" t="s">
        <v>19</v>
      </c>
      <c r="I3998" t="s">
        <v>34</v>
      </c>
    </row>
    <row r="3999" spans="1:9" x14ac:dyDescent="0.35">
      <c r="A3999" t="s">
        <v>4035</v>
      </c>
      <c r="B3999" s="1">
        <v>45289</v>
      </c>
      <c r="C3999" t="s">
        <v>22</v>
      </c>
      <c r="D3999" t="s">
        <v>33</v>
      </c>
      <c r="E3999" t="s">
        <v>18</v>
      </c>
      <c r="F3999">
        <v>944.22</v>
      </c>
      <c r="G3999">
        <v>86.48</v>
      </c>
      <c r="H3999" t="s">
        <v>28</v>
      </c>
      <c r="I3999" t="s">
        <v>29</v>
      </c>
    </row>
    <row r="4000" spans="1:9" x14ac:dyDescent="0.35">
      <c r="A4000" t="s">
        <v>4036</v>
      </c>
      <c r="B4000" s="1">
        <v>45135</v>
      </c>
      <c r="C4000" t="s">
        <v>22</v>
      </c>
      <c r="D4000" t="s">
        <v>11</v>
      </c>
      <c r="E4000" t="s">
        <v>12</v>
      </c>
      <c r="F4000">
        <v>1559.42</v>
      </c>
      <c r="G4000">
        <v>95.29</v>
      </c>
      <c r="H4000" t="s">
        <v>19</v>
      </c>
      <c r="I4000" t="s">
        <v>14</v>
      </c>
    </row>
    <row r="4001" spans="1:9" x14ac:dyDescent="0.35">
      <c r="A4001" t="s">
        <v>4037</v>
      </c>
      <c r="B4001" s="1">
        <v>45161</v>
      </c>
      <c r="C4001" t="s">
        <v>22</v>
      </c>
      <c r="D4001" t="s">
        <v>97</v>
      </c>
      <c r="E4001" t="s">
        <v>27</v>
      </c>
      <c r="F4001">
        <v>1998.09</v>
      </c>
      <c r="G4001">
        <v>255.59</v>
      </c>
      <c r="H4001" t="s">
        <v>13</v>
      </c>
      <c r="I4001" t="s">
        <v>14</v>
      </c>
    </row>
    <row r="4002" spans="1:9" x14ac:dyDescent="0.35">
      <c r="A4002" t="s">
        <v>4038</v>
      </c>
      <c r="B4002" s="1">
        <v>44928</v>
      </c>
      <c r="C4002" t="s">
        <v>22</v>
      </c>
      <c r="D4002" t="s">
        <v>33</v>
      </c>
      <c r="E4002" t="s">
        <v>18</v>
      </c>
      <c r="F4002">
        <v>1190.49</v>
      </c>
      <c r="G4002">
        <v>122.35</v>
      </c>
      <c r="H4002" t="s">
        <v>19</v>
      </c>
      <c r="I4002" t="s">
        <v>14</v>
      </c>
    </row>
    <row r="4003" spans="1:9" x14ac:dyDescent="0.35">
      <c r="A4003" t="s">
        <v>4039</v>
      </c>
      <c r="B4003" s="1">
        <v>45137</v>
      </c>
      <c r="C4003" t="s">
        <v>25</v>
      </c>
      <c r="D4003" t="s">
        <v>26</v>
      </c>
      <c r="E4003" t="s">
        <v>27</v>
      </c>
      <c r="F4003">
        <v>94.84</v>
      </c>
      <c r="G4003">
        <v>12.34</v>
      </c>
      <c r="H4003" t="s">
        <v>28</v>
      </c>
      <c r="I4003" t="s">
        <v>20</v>
      </c>
    </row>
    <row r="4004" spans="1:9" x14ac:dyDescent="0.35">
      <c r="A4004" t="s">
        <v>4040</v>
      </c>
      <c r="B4004" s="1">
        <v>45596</v>
      </c>
      <c r="C4004" t="s">
        <v>16</v>
      </c>
      <c r="D4004" t="s">
        <v>33</v>
      </c>
      <c r="E4004" t="s">
        <v>18</v>
      </c>
      <c r="F4004">
        <v>101.03</v>
      </c>
      <c r="G4004">
        <v>28.73</v>
      </c>
      <c r="H4004" t="s">
        <v>19</v>
      </c>
      <c r="I4004" t="s">
        <v>29</v>
      </c>
    </row>
    <row r="4005" spans="1:9" x14ac:dyDescent="0.35">
      <c r="A4005" t="s">
        <v>4041</v>
      </c>
      <c r="B4005" s="1">
        <v>45501</v>
      </c>
      <c r="C4005" t="s">
        <v>10</v>
      </c>
      <c r="D4005" t="s">
        <v>41</v>
      </c>
      <c r="E4005" t="s">
        <v>12</v>
      </c>
      <c r="F4005">
        <v>1214.71</v>
      </c>
      <c r="G4005">
        <v>162.53</v>
      </c>
      <c r="H4005" t="s">
        <v>28</v>
      </c>
      <c r="I4005" t="s">
        <v>20</v>
      </c>
    </row>
    <row r="4006" spans="1:9" x14ac:dyDescent="0.35">
      <c r="A4006" t="s">
        <v>4042</v>
      </c>
      <c r="B4006" s="1">
        <v>44730</v>
      </c>
      <c r="C4006" t="s">
        <v>25</v>
      </c>
      <c r="D4006" t="s">
        <v>97</v>
      </c>
      <c r="E4006" t="s">
        <v>27</v>
      </c>
      <c r="F4006">
        <v>595.99</v>
      </c>
      <c r="G4006">
        <v>146.31</v>
      </c>
      <c r="H4006" t="s">
        <v>19</v>
      </c>
      <c r="I4006" t="s">
        <v>34</v>
      </c>
    </row>
    <row r="4007" spans="1:9" x14ac:dyDescent="0.35">
      <c r="A4007" t="s">
        <v>4043</v>
      </c>
      <c r="B4007" s="1">
        <v>45279</v>
      </c>
      <c r="C4007" t="s">
        <v>25</v>
      </c>
      <c r="D4007" t="s">
        <v>97</v>
      </c>
      <c r="E4007" t="s">
        <v>27</v>
      </c>
      <c r="F4007">
        <v>327.95</v>
      </c>
      <c r="G4007">
        <v>52.62</v>
      </c>
      <c r="H4007" t="s">
        <v>28</v>
      </c>
      <c r="I4007" t="s">
        <v>29</v>
      </c>
    </row>
    <row r="4008" spans="1:9" x14ac:dyDescent="0.35">
      <c r="A4008" t="s">
        <v>4044</v>
      </c>
      <c r="B4008" s="1">
        <v>45340</v>
      </c>
      <c r="C4008" t="s">
        <v>16</v>
      </c>
      <c r="D4008" t="s">
        <v>31</v>
      </c>
      <c r="E4008" t="s">
        <v>12</v>
      </c>
      <c r="F4008">
        <v>1624.21</v>
      </c>
      <c r="G4008">
        <v>315.55</v>
      </c>
      <c r="H4008" t="s">
        <v>13</v>
      </c>
      <c r="I4008" t="s">
        <v>34</v>
      </c>
    </row>
    <row r="4009" spans="1:9" x14ac:dyDescent="0.35">
      <c r="A4009" t="s">
        <v>4045</v>
      </c>
      <c r="B4009" s="1">
        <v>45233</v>
      </c>
      <c r="C4009" t="s">
        <v>25</v>
      </c>
      <c r="D4009" t="s">
        <v>57</v>
      </c>
      <c r="E4009" t="s">
        <v>27</v>
      </c>
      <c r="F4009">
        <v>780.34</v>
      </c>
      <c r="G4009">
        <v>84.27</v>
      </c>
      <c r="H4009" t="s">
        <v>19</v>
      </c>
      <c r="I4009" t="s">
        <v>14</v>
      </c>
    </row>
    <row r="4010" spans="1:9" x14ac:dyDescent="0.35">
      <c r="A4010" t="s">
        <v>4046</v>
      </c>
      <c r="B4010" s="1">
        <v>44729</v>
      </c>
      <c r="C4010" t="s">
        <v>10</v>
      </c>
      <c r="D4010" t="s">
        <v>26</v>
      </c>
      <c r="E4010" t="s">
        <v>27</v>
      </c>
      <c r="F4010">
        <v>120.61</v>
      </c>
      <c r="G4010">
        <v>22.83</v>
      </c>
      <c r="H4010" t="s">
        <v>19</v>
      </c>
      <c r="I4010" t="s">
        <v>29</v>
      </c>
    </row>
    <row r="4011" spans="1:9" x14ac:dyDescent="0.35">
      <c r="A4011" t="s">
        <v>4047</v>
      </c>
      <c r="B4011" s="1">
        <v>45446</v>
      </c>
      <c r="C4011" t="s">
        <v>22</v>
      </c>
      <c r="D4011" t="s">
        <v>41</v>
      </c>
      <c r="E4011" t="s">
        <v>12</v>
      </c>
      <c r="F4011">
        <v>1182.6500000000001</v>
      </c>
      <c r="G4011">
        <v>140.47999999999999</v>
      </c>
      <c r="H4011" t="s">
        <v>19</v>
      </c>
      <c r="I4011" t="s">
        <v>14</v>
      </c>
    </row>
    <row r="4012" spans="1:9" x14ac:dyDescent="0.35">
      <c r="A4012" t="s">
        <v>4048</v>
      </c>
      <c r="B4012" s="1">
        <v>45589</v>
      </c>
      <c r="C4012" t="s">
        <v>25</v>
      </c>
      <c r="D4012" t="s">
        <v>33</v>
      </c>
      <c r="E4012" t="s">
        <v>18</v>
      </c>
      <c r="F4012">
        <v>760.58</v>
      </c>
      <c r="G4012">
        <v>160.02000000000001</v>
      </c>
      <c r="H4012" t="s">
        <v>19</v>
      </c>
      <c r="I4012" t="s">
        <v>34</v>
      </c>
    </row>
    <row r="4013" spans="1:9" x14ac:dyDescent="0.35">
      <c r="A4013" t="s">
        <v>4049</v>
      </c>
      <c r="B4013" s="1">
        <v>45479</v>
      </c>
      <c r="C4013" t="s">
        <v>10</v>
      </c>
      <c r="D4013" t="s">
        <v>38</v>
      </c>
      <c r="E4013" t="s">
        <v>12</v>
      </c>
      <c r="F4013">
        <v>1441.8</v>
      </c>
      <c r="G4013">
        <v>430.06</v>
      </c>
      <c r="H4013" t="s">
        <v>28</v>
      </c>
      <c r="I4013" t="s">
        <v>14</v>
      </c>
    </row>
    <row r="4014" spans="1:9" x14ac:dyDescent="0.35">
      <c r="A4014" t="s">
        <v>4050</v>
      </c>
      <c r="B4014" s="1">
        <v>45590</v>
      </c>
      <c r="C4014" t="s">
        <v>16</v>
      </c>
      <c r="D4014" t="s">
        <v>97</v>
      </c>
      <c r="E4014" t="s">
        <v>27</v>
      </c>
      <c r="F4014">
        <v>665.45</v>
      </c>
      <c r="G4014">
        <v>173.47</v>
      </c>
      <c r="H4014" t="s">
        <v>28</v>
      </c>
      <c r="I4014" t="s">
        <v>20</v>
      </c>
    </row>
    <row r="4015" spans="1:9" x14ac:dyDescent="0.35">
      <c r="A4015" t="s">
        <v>4051</v>
      </c>
      <c r="B4015" s="1">
        <v>45383</v>
      </c>
      <c r="C4015" t="s">
        <v>22</v>
      </c>
      <c r="D4015" t="s">
        <v>50</v>
      </c>
      <c r="E4015" t="s">
        <v>12</v>
      </c>
      <c r="F4015">
        <v>898.12</v>
      </c>
      <c r="G4015">
        <v>246.03</v>
      </c>
      <c r="H4015" t="s">
        <v>19</v>
      </c>
      <c r="I4015" t="s">
        <v>14</v>
      </c>
    </row>
    <row r="4016" spans="1:9" x14ac:dyDescent="0.35">
      <c r="A4016" t="s">
        <v>4052</v>
      </c>
      <c r="B4016" s="1">
        <v>45467</v>
      </c>
      <c r="C4016" t="s">
        <v>16</v>
      </c>
      <c r="D4016" t="s">
        <v>33</v>
      </c>
      <c r="E4016" t="s">
        <v>18</v>
      </c>
      <c r="F4016">
        <v>1099.6500000000001</v>
      </c>
      <c r="G4016">
        <v>246.17</v>
      </c>
      <c r="H4016" t="s">
        <v>28</v>
      </c>
      <c r="I4016" t="s">
        <v>34</v>
      </c>
    </row>
    <row r="4017" spans="1:9" x14ac:dyDescent="0.35">
      <c r="A4017" t="s">
        <v>4053</v>
      </c>
      <c r="B4017" s="1">
        <v>45213</v>
      </c>
      <c r="C4017" t="s">
        <v>22</v>
      </c>
      <c r="D4017" t="s">
        <v>33</v>
      </c>
      <c r="E4017" t="s">
        <v>18</v>
      </c>
      <c r="F4017">
        <v>1864.25</v>
      </c>
      <c r="G4017">
        <v>532.46</v>
      </c>
      <c r="H4017" t="s">
        <v>13</v>
      </c>
      <c r="I4017" t="s">
        <v>34</v>
      </c>
    </row>
    <row r="4018" spans="1:9" x14ac:dyDescent="0.35">
      <c r="A4018" t="s">
        <v>4054</v>
      </c>
      <c r="B4018" s="1">
        <v>45471</v>
      </c>
      <c r="C4018" t="s">
        <v>10</v>
      </c>
      <c r="D4018" t="s">
        <v>50</v>
      </c>
      <c r="E4018" t="s">
        <v>12</v>
      </c>
      <c r="F4018">
        <v>1107.8599999999999</v>
      </c>
      <c r="G4018">
        <v>63.97</v>
      </c>
      <c r="H4018" t="s">
        <v>13</v>
      </c>
      <c r="I4018" t="s">
        <v>29</v>
      </c>
    </row>
    <row r="4019" spans="1:9" x14ac:dyDescent="0.35">
      <c r="A4019" t="s">
        <v>4055</v>
      </c>
      <c r="B4019" s="1">
        <v>45129</v>
      </c>
      <c r="C4019" t="s">
        <v>10</v>
      </c>
      <c r="D4019" t="s">
        <v>41</v>
      </c>
      <c r="E4019" t="s">
        <v>12</v>
      </c>
      <c r="F4019">
        <v>259.95999999999998</v>
      </c>
      <c r="G4019">
        <v>29.64</v>
      </c>
      <c r="H4019" t="s">
        <v>19</v>
      </c>
      <c r="I4019" t="s">
        <v>34</v>
      </c>
    </row>
    <row r="4020" spans="1:9" x14ac:dyDescent="0.35">
      <c r="A4020" t="s">
        <v>4056</v>
      </c>
      <c r="B4020" s="1">
        <v>45281</v>
      </c>
      <c r="C4020" t="s">
        <v>22</v>
      </c>
      <c r="D4020" t="s">
        <v>73</v>
      </c>
      <c r="E4020" t="s">
        <v>27</v>
      </c>
      <c r="F4020">
        <v>322.42</v>
      </c>
      <c r="G4020">
        <v>43.24</v>
      </c>
      <c r="H4020" t="s">
        <v>28</v>
      </c>
      <c r="I4020" t="s">
        <v>34</v>
      </c>
    </row>
    <row r="4021" spans="1:9" x14ac:dyDescent="0.35">
      <c r="A4021" t="s">
        <v>4057</v>
      </c>
      <c r="B4021" s="1">
        <v>45645</v>
      </c>
      <c r="C4021" t="s">
        <v>16</v>
      </c>
      <c r="D4021" t="s">
        <v>95</v>
      </c>
      <c r="E4021" t="s">
        <v>18</v>
      </c>
      <c r="F4021">
        <v>1198.77</v>
      </c>
      <c r="G4021">
        <v>73.510000000000005</v>
      </c>
      <c r="H4021" t="s">
        <v>13</v>
      </c>
      <c r="I4021" t="s">
        <v>20</v>
      </c>
    </row>
    <row r="4022" spans="1:9" x14ac:dyDescent="0.35">
      <c r="A4022" t="s">
        <v>4058</v>
      </c>
      <c r="B4022" s="1">
        <v>45594</v>
      </c>
      <c r="C4022" t="s">
        <v>22</v>
      </c>
      <c r="D4022" t="s">
        <v>11</v>
      </c>
      <c r="E4022" t="s">
        <v>12</v>
      </c>
      <c r="F4022">
        <v>1572</v>
      </c>
      <c r="G4022">
        <v>308.98</v>
      </c>
      <c r="H4022" t="s">
        <v>19</v>
      </c>
      <c r="I4022" t="s">
        <v>34</v>
      </c>
    </row>
    <row r="4023" spans="1:9" x14ac:dyDescent="0.35">
      <c r="A4023" t="s">
        <v>4059</v>
      </c>
      <c r="B4023" s="1">
        <v>44670</v>
      </c>
      <c r="C4023" t="s">
        <v>10</v>
      </c>
      <c r="D4023" t="s">
        <v>41</v>
      </c>
      <c r="E4023" t="s">
        <v>12</v>
      </c>
      <c r="F4023">
        <v>958.02</v>
      </c>
      <c r="G4023">
        <v>263.58</v>
      </c>
      <c r="H4023" t="s">
        <v>28</v>
      </c>
      <c r="I4023" t="s">
        <v>14</v>
      </c>
    </row>
    <row r="4024" spans="1:9" x14ac:dyDescent="0.35">
      <c r="A4024" t="s">
        <v>4060</v>
      </c>
      <c r="B4024" s="1">
        <v>44931</v>
      </c>
      <c r="C4024" t="s">
        <v>16</v>
      </c>
      <c r="D4024" t="s">
        <v>38</v>
      </c>
      <c r="E4024" t="s">
        <v>12</v>
      </c>
      <c r="F4024">
        <v>986.83</v>
      </c>
      <c r="G4024">
        <v>230.04</v>
      </c>
      <c r="H4024" t="s">
        <v>28</v>
      </c>
      <c r="I4024" t="s">
        <v>14</v>
      </c>
    </row>
    <row r="4025" spans="1:9" x14ac:dyDescent="0.35">
      <c r="A4025" t="s">
        <v>4061</v>
      </c>
      <c r="B4025" s="1">
        <v>45329</v>
      </c>
      <c r="C4025" t="s">
        <v>22</v>
      </c>
      <c r="D4025" t="s">
        <v>62</v>
      </c>
      <c r="E4025" t="s">
        <v>27</v>
      </c>
      <c r="F4025">
        <v>944.76</v>
      </c>
      <c r="G4025">
        <v>121.18</v>
      </c>
      <c r="H4025" t="s">
        <v>19</v>
      </c>
      <c r="I4025" t="s">
        <v>14</v>
      </c>
    </row>
    <row r="4026" spans="1:9" x14ac:dyDescent="0.35">
      <c r="A4026" t="s">
        <v>4062</v>
      </c>
      <c r="B4026" s="1">
        <v>45122</v>
      </c>
      <c r="C4026" t="s">
        <v>22</v>
      </c>
      <c r="D4026" t="s">
        <v>46</v>
      </c>
      <c r="E4026" t="s">
        <v>18</v>
      </c>
      <c r="F4026">
        <v>1572.03</v>
      </c>
      <c r="G4026">
        <v>221.33</v>
      </c>
      <c r="H4026" t="s">
        <v>19</v>
      </c>
      <c r="I4026" t="s">
        <v>14</v>
      </c>
    </row>
    <row r="4027" spans="1:9" x14ac:dyDescent="0.35">
      <c r="A4027" t="s">
        <v>4063</v>
      </c>
      <c r="B4027" s="1">
        <v>45414</v>
      </c>
      <c r="C4027" t="s">
        <v>16</v>
      </c>
      <c r="D4027" t="s">
        <v>57</v>
      </c>
      <c r="E4027" t="s">
        <v>27</v>
      </c>
      <c r="F4027">
        <v>688.38</v>
      </c>
      <c r="G4027">
        <v>48.28</v>
      </c>
      <c r="H4027" t="s">
        <v>19</v>
      </c>
      <c r="I4027" t="s">
        <v>29</v>
      </c>
    </row>
    <row r="4028" spans="1:9" x14ac:dyDescent="0.35">
      <c r="A4028" t="s">
        <v>4064</v>
      </c>
      <c r="B4028" s="1">
        <v>45275</v>
      </c>
      <c r="C4028" t="s">
        <v>22</v>
      </c>
      <c r="D4028" t="s">
        <v>95</v>
      </c>
      <c r="E4028" t="s">
        <v>18</v>
      </c>
      <c r="F4028">
        <v>1606.01</v>
      </c>
      <c r="G4028">
        <v>458.05</v>
      </c>
      <c r="H4028" t="s">
        <v>28</v>
      </c>
      <c r="I4028" t="s">
        <v>29</v>
      </c>
    </row>
    <row r="4029" spans="1:9" x14ac:dyDescent="0.35">
      <c r="A4029" t="s">
        <v>4065</v>
      </c>
      <c r="B4029" s="1">
        <v>44593</v>
      </c>
      <c r="C4029" t="s">
        <v>22</v>
      </c>
      <c r="D4029" t="s">
        <v>46</v>
      </c>
      <c r="E4029" t="s">
        <v>18</v>
      </c>
      <c r="F4029">
        <v>1129.24</v>
      </c>
      <c r="G4029">
        <v>99.48</v>
      </c>
      <c r="H4029" t="s">
        <v>13</v>
      </c>
      <c r="I4029" t="s">
        <v>29</v>
      </c>
    </row>
    <row r="4030" spans="1:9" x14ac:dyDescent="0.35">
      <c r="A4030" t="s">
        <v>4066</v>
      </c>
      <c r="B4030" s="1">
        <v>45121</v>
      </c>
      <c r="C4030" t="s">
        <v>10</v>
      </c>
      <c r="D4030" t="s">
        <v>95</v>
      </c>
      <c r="E4030" t="s">
        <v>18</v>
      </c>
      <c r="F4030">
        <v>444.07</v>
      </c>
      <c r="G4030">
        <v>28.69</v>
      </c>
      <c r="H4030" t="s">
        <v>13</v>
      </c>
      <c r="I4030" t="s">
        <v>20</v>
      </c>
    </row>
    <row r="4031" spans="1:9" x14ac:dyDescent="0.35">
      <c r="A4031" t="s">
        <v>4067</v>
      </c>
      <c r="B4031" s="1">
        <v>45602</v>
      </c>
      <c r="C4031" t="s">
        <v>16</v>
      </c>
      <c r="D4031" t="s">
        <v>57</v>
      </c>
      <c r="E4031" t="s">
        <v>27</v>
      </c>
      <c r="F4031">
        <v>209.57</v>
      </c>
      <c r="G4031">
        <v>22.23</v>
      </c>
      <c r="H4031" t="s">
        <v>28</v>
      </c>
      <c r="I4031" t="s">
        <v>34</v>
      </c>
    </row>
    <row r="4032" spans="1:9" x14ac:dyDescent="0.35">
      <c r="A4032" t="s">
        <v>4068</v>
      </c>
      <c r="B4032" s="1">
        <v>45061</v>
      </c>
      <c r="C4032" t="s">
        <v>10</v>
      </c>
      <c r="D4032" t="s">
        <v>11</v>
      </c>
      <c r="E4032" t="s">
        <v>12</v>
      </c>
      <c r="F4032">
        <v>221.29</v>
      </c>
      <c r="G4032">
        <v>19.809999999999999</v>
      </c>
      <c r="H4032" t="s">
        <v>28</v>
      </c>
      <c r="I4032" t="s">
        <v>14</v>
      </c>
    </row>
    <row r="4033" spans="1:9" x14ac:dyDescent="0.35">
      <c r="A4033" t="s">
        <v>4069</v>
      </c>
      <c r="B4033" s="1">
        <v>45272</v>
      </c>
      <c r="C4033" t="s">
        <v>10</v>
      </c>
      <c r="D4033" t="s">
        <v>23</v>
      </c>
      <c r="E4033" t="s">
        <v>18</v>
      </c>
      <c r="F4033">
        <v>1137.95</v>
      </c>
      <c r="G4033">
        <v>150.4</v>
      </c>
      <c r="H4033" t="s">
        <v>13</v>
      </c>
      <c r="I4033" t="s">
        <v>34</v>
      </c>
    </row>
    <row r="4034" spans="1:9" x14ac:dyDescent="0.35">
      <c r="A4034" t="s">
        <v>4070</v>
      </c>
      <c r="B4034" s="1">
        <v>45168</v>
      </c>
      <c r="C4034" t="s">
        <v>10</v>
      </c>
      <c r="D4034" t="s">
        <v>26</v>
      </c>
      <c r="E4034" t="s">
        <v>27</v>
      </c>
      <c r="F4034">
        <v>1801.19</v>
      </c>
      <c r="G4034">
        <v>181.3</v>
      </c>
      <c r="H4034" t="s">
        <v>13</v>
      </c>
      <c r="I4034" t="s">
        <v>14</v>
      </c>
    </row>
    <row r="4035" spans="1:9" x14ac:dyDescent="0.35">
      <c r="A4035" t="s">
        <v>4071</v>
      </c>
      <c r="B4035" s="1">
        <v>44963</v>
      </c>
      <c r="C4035" t="s">
        <v>22</v>
      </c>
      <c r="D4035" t="s">
        <v>31</v>
      </c>
      <c r="E4035" t="s">
        <v>12</v>
      </c>
      <c r="F4035">
        <v>1419.66</v>
      </c>
      <c r="G4035">
        <v>149.04</v>
      </c>
      <c r="H4035" t="s">
        <v>28</v>
      </c>
      <c r="I4035" t="s">
        <v>34</v>
      </c>
    </row>
    <row r="4036" spans="1:9" x14ac:dyDescent="0.35">
      <c r="A4036" t="s">
        <v>4072</v>
      </c>
      <c r="B4036" s="1">
        <v>45077</v>
      </c>
      <c r="C4036" t="s">
        <v>22</v>
      </c>
      <c r="D4036" t="s">
        <v>50</v>
      </c>
      <c r="E4036" t="s">
        <v>12</v>
      </c>
      <c r="F4036">
        <v>219.51</v>
      </c>
      <c r="G4036">
        <v>56.04</v>
      </c>
      <c r="H4036" t="s">
        <v>28</v>
      </c>
      <c r="I4036" t="s">
        <v>14</v>
      </c>
    </row>
    <row r="4037" spans="1:9" x14ac:dyDescent="0.35">
      <c r="A4037" t="s">
        <v>4073</v>
      </c>
      <c r="B4037" s="1">
        <v>44609</v>
      </c>
      <c r="C4037" t="s">
        <v>25</v>
      </c>
      <c r="D4037" t="s">
        <v>26</v>
      </c>
      <c r="E4037" t="s">
        <v>27</v>
      </c>
      <c r="F4037">
        <v>600.96</v>
      </c>
      <c r="G4037">
        <v>43.75</v>
      </c>
      <c r="H4037" t="s">
        <v>13</v>
      </c>
      <c r="I4037" t="s">
        <v>29</v>
      </c>
    </row>
    <row r="4038" spans="1:9" x14ac:dyDescent="0.35">
      <c r="A4038" t="s">
        <v>4074</v>
      </c>
      <c r="B4038" s="1">
        <v>45012</v>
      </c>
      <c r="C4038" t="s">
        <v>22</v>
      </c>
      <c r="D4038" t="s">
        <v>46</v>
      </c>
      <c r="E4038" t="s">
        <v>18</v>
      </c>
      <c r="F4038">
        <v>156.24</v>
      </c>
      <c r="G4038">
        <v>12.22</v>
      </c>
      <c r="H4038" t="s">
        <v>19</v>
      </c>
      <c r="I4038" t="s">
        <v>14</v>
      </c>
    </row>
    <row r="4039" spans="1:9" x14ac:dyDescent="0.35">
      <c r="A4039" t="s">
        <v>4075</v>
      </c>
      <c r="B4039" s="1">
        <v>45459</v>
      </c>
      <c r="C4039" t="s">
        <v>10</v>
      </c>
      <c r="D4039" t="s">
        <v>38</v>
      </c>
      <c r="E4039" t="s">
        <v>12</v>
      </c>
      <c r="F4039">
        <v>1761.56</v>
      </c>
      <c r="G4039">
        <v>447.84</v>
      </c>
      <c r="H4039" t="s">
        <v>28</v>
      </c>
      <c r="I4039" t="s">
        <v>20</v>
      </c>
    </row>
    <row r="4040" spans="1:9" x14ac:dyDescent="0.35">
      <c r="A4040" t="s">
        <v>4076</v>
      </c>
      <c r="B4040" s="1">
        <v>44965</v>
      </c>
      <c r="C4040" t="s">
        <v>10</v>
      </c>
      <c r="D4040" t="s">
        <v>31</v>
      </c>
      <c r="E4040" t="s">
        <v>12</v>
      </c>
      <c r="F4040">
        <v>1877.18</v>
      </c>
      <c r="G4040">
        <v>194.26</v>
      </c>
      <c r="H4040" t="s">
        <v>19</v>
      </c>
      <c r="I4040" t="s">
        <v>20</v>
      </c>
    </row>
    <row r="4041" spans="1:9" x14ac:dyDescent="0.35">
      <c r="A4041" t="s">
        <v>4077</v>
      </c>
      <c r="B4041" s="1">
        <v>45030</v>
      </c>
      <c r="C4041" t="s">
        <v>22</v>
      </c>
      <c r="D4041" t="s">
        <v>38</v>
      </c>
      <c r="E4041" t="s">
        <v>12</v>
      </c>
      <c r="F4041">
        <v>152.09</v>
      </c>
      <c r="G4041">
        <v>9.01</v>
      </c>
      <c r="H4041" t="s">
        <v>13</v>
      </c>
      <c r="I4041" t="s">
        <v>34</v>
      </c>
    </row>
    <row r="4042" spans="1:9" x14ac:dyDescent="0.35">
      <c r="A4042" t="s">
        <v>4078</v>
      </c>
      <c r="B4042" s="1">
        <v>44691</v>
      </c>
      <c r="C4042" t="s">
        <v>25</v>
      </c>
      <c r="D4042" t="s">
        <v>26</v>
      </c>
      <c r="E4042" t="s">
        <v>27</v>
      </c>
      <c r="F4042">
        <v>1335.26</v>
      </c>
      <c r="G4042">
        <v>111.01</v>
      </c>
      <c r="H4042" t="s">
        <v>28</v>
      </c>
      <c r="I4042" t="s">
        <v>29</v>
      </c>
    </row>
    <row r="4043" spans="1:9" x14ac:dyDescent="0.35">
      <c r="A4043" t="s">
        <v>4079</v>
      </c>
      <c r="B4043" s="1">
        <v>45488</v>
      </c>
      <c r="C4043" t="s">
        <v>10</v>
      </c>
      <c r="D4043" t="s">
        <v>57</v>
      </c>
      <c r="E4043" t="s">
        <v>27</v>
      </c>
      <c r="F4043">
        <v>272.07</v>
      </c>
      <c r="G4043">
        <v>46.5</v>
      </c>
      <c r="H4043" t="s">
        <v>13</v>
      </c>
      <c r="I4043" t="s">
        <v>29</v>
      </c>
    </row>
    <row r="4044" spans="1:9" x14ac:dyDescent="0.35">
      <c r="A4044" t="s">
        <v>4080</v>
      </c>
      <c r="B4044" s="1">
        <v>44982</v>
      </c>
      <c r="C4044" t="s">
        <v>16</v>
      </c>
      <c r="D4044" t="s">
        <v>26</v>
      </c>
      <c r="E4044" t="s">
        <v>27</v>
      </c>
      <c r="F4044">
        <v>1410.08</v>
      </c>
      <c r="G4044">
        <v>80.989999999999995</v>
      </c>
      <c r="H4044" t="s">
        <v>28</v>
      </c>
      <c r="I4044" t="s">
        <v>34</v>
      </c>
    </row>
    <row r="4045" spans="1:9" x14ac:dyDescent="0.35">
      <c r="A4045" t="s">
        <v>4081</v>
      </c>
      <c r="B4045" s="1">
        <v>45101</v>
      </c>
      <c r="C4045" t="s">
        <v>22</v>
      </c>
      <c r="D4045" t="s">
        <v>17</v>
      </c>
      <c r="E4045" t="s">
        <v>18</v>
      </c>
      <c r="F4045">
        <v>260.89</v>
      </c>
      <c r="G4045">
        <v>27.61</v>
      </c>
      <c r="H4045" t="s">
        <v>13</v>
      </c>
      <c r="I4045" t="s">
        <v>20</v>
      </c>
    </row>
    <row r="4046" spans="1:9" x14ac:dyDescent="0.35">
      <c r="A4046" t="s">
        <v>4082</v>
      </c>
      <c r="B4046" s="1">
        <v>45353</v>
      </c>
      <c r="C4046" t="s">
        <v>16</v>
      </c>
      <c r="D4046" t="s">
        <v>62</v>
      </c>
      <c r="E4046" t="s">
        <v>27</v>
      </c>
      <c r="F4046">
        <v>190.13</v>
      </c>
      <c r="G4046">
        <v>36.200000000000003</v>
      </c>
      <c r="H4046" t="s">
        <v>19</v>
      </c>
      <c r="I4046" t="s">
        <v>20</v>
      </c>
    </row>
    <row r="4047" spans="1:9" x14ac:dyDescent="0.35">
      <c r="A4047" t="s">
        <v>4083</v>
      </c>
      <c r="B4047" s="1">
        <v>45071</v>
      </c>
      <c r="C4047" t="s">
        <v>16</v>
      </c>
      <c r="D4047" t="s">
        <v>57</v>
      </c>
      <c r="E4047" t="s">
        <v>27</v>
      </c>
      <c r="F4047">
        <v>788.72</v>
      </c>
      <c r="G4047">
        <v>103.74</v>
      </c>
      <c r="H4047" t="s">
        <v>28</v>
      </c>
      <c r="I4047" t="s">
        <v>14</v>
      </c>
    </row>
    <row r="4048" spans="1:9" x14ac:dyDescent="0.35">
      <c r="A4048" t="s">
        <v>4084</v>
      </c>
      <c r="B4048" s="1">
        <v>44747</v>
      </c>
      <c r="C4048" t="s">
        <v>10</v>
      </c>
      <c r="D4048" t="s">
        <v>62</v>
      </c>
      <c r="E4048" t="s">
        <v>27</v>
      </c>
      <c r="F4048">
        <v>371.86</v>
      </c>
      <c r="G4048">
        <v>36.049999999999997</v>
      </c>
      <c r="H4048" t="s">
        <v>28</v>
      </c>
      <c r="I4048" t="s">
        <v>34</v>
      </c>
    </row>
    <row r="4049" spans="1:9" x14ac:dyDescent="0.35">
      <c r="A4049" t="s">
        <v>4085</v>
      </c>
      <c r="B4049" s="1">
        <v>44946</v>
      </c>
      <c r="C4049" t="s">
        <v>16</v>
      </c>
      <c r="D4049" t="s">
        <v>17</v>
      </c>
      <c r="E4049" t="s">
        <v>18</v>
      </c>
      <c r="F4049">
        <v>320.74</v>
      </c>
      <c r="G4049">
        <v>49.8</v>
      </c>
      <c r="H4049" t="s">
        <v>28</v>
      </c>
      <c r="I4049" t="s">
        <v>14</v>
      </c>
    </row>
    <row r="4050" spans="1:9" x14ac:dyDescent="0.35">
      <c r="A4050" t="s">
        <v>4086</v>
      </c>
      <c r="B4050" s="1">
        <v>44810</v>
      </c>
      <c r="C4050" t="s">
        <v>10</v>
      </c>
      <c r="D4050" t="s">
        <v>97</v>
      </c>
      <c r="E4050" t="s">
        <v>27</v>
      </c>
      <c r="F4050">
        <v>1253.3</v>
      </c>
      <c r="G4050">
        <v>167.68</v>
      </c>
      <c r="H4050" t="s">
        <v>13</v>
      </c>
      <c r="I4050" t="s">
        <v>34</v>
      </c>
    </row>
    <row r="4051" spans="1:9" x14ac:dyDescent="0.35">
      <c r="A4051" t="s">
        <v>4087</v>
      </c>
      <c r="B4051" s="1">
        <v>45479</v>
      </c>
      <c r="C4051" t="s">
        <v>25</v>
      </c>
      <c r="D4051" t="s">
        <v>50</v>
      </c>
      <c r="E4051" t="s">
        <v>12</v>
      </c>
      <c r="F4051">
        <v>1947.67</v>
      </c>
      <c r="G4051">
        <v>404.77</v>
      </c>
      <c r="H4051" t="s">
        <v>19</v>
      </c>
      <c r="I4051" t="s">
        <v>34</v>
      </c>
    </row>
    <row r="4052" spans="1:9" x14ac:dyDescent="0.35">
      <c r="A4052" t="s">
        <v>4088</v>
      </c>
      <c r="B4052" s="1">
        <v>44723</v>
      </c>
      <c r="C4052" t="s">
        <v>25</v>
      </c>
      <c r="D4052" t="s">
        <v>41</v>
      </c>
      <c r="E4052" t="s">
        <v>12</v>
      </c>
      <c r="F4052">
        <v>922.67</v>
      </c>
      <c r="G4052">
        <v>95.92</v>
      </c>
      <c r="H4052" t="s">
        <v>28</v>
      </c>
      <c r="I4052" t="s">
        <v>14</v>
      </c>
    </row>
    <row r="4053" spans="1:9" x14ac:dyDescent="0.35">
      <c r="A4053" t="s">
        <v>4089</v>
      </c>
      <c r="B4053" s="1">
        <v>44701</v>
      </c>
      <c r="C4053" t="s">
        <v>25</v>
      </c>
      <c r="D4053" t="s">
        <v>23</v>
      </c>
      <c r="E4053" t="s">
        <v>18</v>
      </c>
      <c r="F4053">
        <v>262.87</v>
      </c>
      <c r="G4053">
        <v>77.599999999999994</v>
      </c>
      <c r="H4053" t="s">
        <v>13</v>
      </c>
      <c r="I4053" t="s">
        <v>34</v>
      </c>
    </row>
    <row r="4054" spans="1:9" x14ac:dyDescent="0.35">
      <c r="A4054" t="s">
        <v>4090</v>
      </c>
      <c r="B4054" s="1">
        <v>45606</v>
      </c>
      <c r="C4054" t="s">
        <v>16</v>
      </c>
      <c r="D4054" t="s">
        <v>97</v>
      </c>
      <c r="E4054" t="s">
        <v>27</v>
      </c>
      <c r="F4054">
        <v>756.06</v>
      </c>
      <c r="G4054">
        <v>58.59</v>
      </c>
      <c r="H4054" t="s">
        <v>13</v>
      </c>
      <c r="I4054" t="s">
        <v>14</v>
      </c>
    </row>
    <row r="4055" spans="1:9" x14ac:dyDescent="0.35">
      <c r="A4055" t="s">
        <v>4091</v>
      </c>
      <c r="B4055" s="1">
        <v>45606</v>
      </c>
      <c r="C4055" t="s">
        <v>16</v>
      </c>
      <c r="D4055" t="s">
        <v>38</v>
      </c>
      <c r="E4055" t="s">
        <v>12</v>
      </c>
      <c r="F4055">
        <v>1672.27</v>
      </c>
      <c r="G4055">
        <v>278.38</v>
      </c>
      <c r="H4055" t="s">
        <v>28</v>
      </c>
      <c r="I4055" t="s">
        <v>29</v>
      </c>
    </row>
    <row r="4056" spans="1:9" x14ac:dyDescent="0.35">
      <c r="A4056" t="s">
        <v>4092</v>
      </c>
      <c r="B4056" s="1">
        <v>44668</v>
      </c>
      <c r="C4056" t="s">
        <v>10</v>
      </c>
      <c r="D4056" t="s">
        <v>17</v>
      </c>
      <c r="E4056" t="s">
        <v>18</v>
      </c>
      <c r="F4056">
        <v>1234.6199999999999</v>
      </c>
      <c r="G4056">
        <v>288.73</v>
      </c>
      <c r="H4056" t="s">
        <v>28</v>
      </c>
      <c r="I4056" t="s">
        <v>29</v>
      </c>
    </row>
    <row r="4057" spans="1:9" x14ac:dyDescent="0.35">
      <c r="A4057" t="s">
        <v>4093</v>
      </c>
      <c r="B4057" s="1">
        <v>44878</v>
      </c>
      <c r="C4057" t="s">
        <v>10</v>
      </c>
      <c r="D4057" t="s">
        <v>73</v>
      </c>
      <c r="E4057" t="s">
        <v>27</v>
      </c>
      <c r="F4057">
        <v>51.15</v>
      </c>
      <c r="G4057">
        <v>5.75</v>
      </c>
      <c r="H4057" t="s">
        <v>13</v>
      </c>
      <c r="I4057" t="s">
        <v>29</v>
      </c>
    </row>
    <row r="4058" spans="1:9" x14ac:dyDescent="0.35">
      <c r="A4058" t="s">
        <v>4094</v>
      </c>
      <c r="B4058" s="1">
        <v>45509</v>
      </c>
      <c r="C4058" t="s">
        <v>25</v>
      </c>
      <c r="D4058" t="s">
        <v>11</v>
      </c>
      <c r="E4058" t="s">
        <v>12</v>
      </c>
      <c r="F4058">
        <v>1132.6600000000001</v>
      </c>
      <c r="G4058">
        <v>242.8</v>
      </c>
      <c r="H4058" t="s">
        <v>28</v>
      </c>
      <c r="I4058" t="s">
        <v>14</v>
      </c>
    </row>
    <row r="4059" spans="1:9" x14ac:dyDescent="0.35">
      <c r="A4059" t="s">
        <v>4095</v>
      </c>
      <c r="B4059" s="1">
        <v>44672</v>
      </c>
      <c r="C4059" t="s">
        <v>10</v>
      </c>
      <c r="D4059" t="s">
        <v>62</v>
      </c>
      <c r="E4059" t="s">
        <v>27</v>
      </c>
      <c r="F4059">
        <v>64.010000000000005</v>
      </c>
      <c r="G4059">
        <v>4.6900000000000004</v>
      </c>
      <c r="H4059" t="s">
        <v>19</v>
      </c>
      <c r="I4059" t="s">
        <v>29</v>
      </c>
    </row>
    <row r="4060" spans="1:9" x14ac:dyDescent="0.35">
      <c r="A4060" t="s">
        <v>4096</v>
      </c>
      <c r="B4060" s="1">
        <v>44575</v>
      </c>
      <c r="C4060" t="s">
        <v>25</v>
      </c>
      <c r="D4060" t="s">
        <v>57</v>
      </c>
      <c r="E4060" t="s">
        <v>27</v>
      </c>
      <c r="F4060">
        <v>310.98</v>
      </c>
      <c r="G4060">
        <v>29.16</v>
      </c>
      <c r="H4060" t="s">
        <v>19</v>
      </c>
      <c r="I4060" t="s">
        <v>14</v>
      </c>
    </row>
    <row r="4061" spans="1:9" x14ac:dyDescent="0.35">
      <c r="A4061" t="s">
        <v>4097</v>
      </c>
      <c r="B4061" s="1">
        <v>45416</v>
      </c>
      <c r="C4061" t="s">
        <v>16</v>
      </c>
      <c r="D4061" t="s">
        <v>73</v>
      </c>
      <c r="E4061" t="s">
        <v>27</v>
      </c>
      <c r="F4061">
        <v>1516.81</v>
      </c>
      <c r="G4061">
        <v>289.86</v>
      </c>
      <c r="H4061" t="s">
        <v>13</v>
      </c>
      <c r="I4061" t="s">
        <v>29</v>
      </c>
    </row>
    <row r="4062" spans="1:9" x14ac:dyDescent="0.35">
      <c r="A4062" t="s">
        <v>4098</v>
      </c>
      <c r="B4062" s="1">
        <v>44978</v>
      </c>
      <c r="C4062" t="s">
        <v>10</v>
      </c>
      <c r="D4062" t="s">
        <v>50</v>
      </c>
      <c r="E4062" t="s">
        <v>12</v>
      </c>
      <c r="F4062">
        <v>257.55</v>
      </c>
      <c r="G4062">
        <v>31.18</v>
      </c>
      <c r="H4062" t="s">
        <v>28</v>
      </c>
      <c r="I4062" t="s">
        <v>34</v>
      </c>
    </row>
    <row r="4063" spans="1:9" x14ac:dyDescent="0.35">
      <c r="A4063" t="s">
        <v>4099</v>
      </c>
      <c r="B4063" s="1">
        <v>44738</v>
      </c>
      <c r="C4063" t="s">
        <v>16</v>
      </c>
      <c r="D4063" t="s">
        <v>23</v>
      </c>
      <c r="E4063" t="s">
        <v>18</v>
      </c>
      <c r="F4063">
        <v>1665.98</v>
      </c>
      <c r="G4063">
        <v>223.46</v>
      </c>
      <c r="H4063" t="s">
        <v>13</v>
      </c>
      <c r="I4063" t="s">
        <v>29</v>
      </c>
    </row>
    <row r="4064" spans="1:9" x14ac:dyDescent="0.35">
      <c r="A4064" t="s">
        <v>4100</v>
      </c>
      <c r="B4064" s="1">
        <v>44826</v>
      </c>
      <c r="C4064" t="s">
        <v>16</v>
      </c>
      <c r="D4064" t="s">
        <v>41</v>
      </c>
      <c r="E4064" t="s">
        <v>12</v>
      </c>
      <c r="F4064">
        <v>1384.55</v>
      </c>
      <c r="G4064">
        <v>279.33999999999997</v>
      </c>
      <c r="H4064" t="s">
        <v>13</v>
      </c>
      <c r="I4064" t="s">
        <v>14</v>
      </c>
    </row>
    <row r="4065" spans="1:9" x14ac:dyDescent="0.35">
      <c r="A4065" t="s">
        <v>4101</v>
      </c>
      <c r="B4065" s="1">
        <v>45366</v>
      </c>
      <c r="C4065" t="s">
        <v>10</v>
      </c>
      <c r="D4065" t="s">
        <v>33</v>
      </c>
      <c r="E4065" t="s">
        <v>18</v>
      </c>
      <c r="F4065">
        <v>94.29</v>
      </c>
      <c r="G4065">
        <v>11.4</v>
      </c>
      <c r="H4065" t="s">
        <v>28</v>
      </c>
      <c r="I4065" t="s">
        <v>14</v>
      </c>
    </row>
    <row r="4066" spans="1:9" x14ac:dyDescent="0.35">
      <c r="A4066" t="s">
        <v>4102</v>
      </c>
      <c r="B4066" s="1">
        <v>45310</v>
      </c>
      <c r="C4066" t="s">
        <v>25</v>
      </c>
      <c r="D4066" t="s">
        <v>46</v>
      </c>
      <c r="E4066" t="s">
        <v>18</v>
      </c>
      <c r="F4066">
        <v>1359.61</v>
      </c>
      <c r="G4066">
        <v>274.27999999999997</v>
      </c>
      <c r="H4066" t="s">
        <v>28</v>
      </c>
      <c r="I4066" t="s">
        <v>34</v>
      </c>
    </row>
    <row r="4067" spans="1:9" x14ac:dyDescent="0.35">
      <c r="A4067" t="s">
        <v>4103</v>
      </c>
      <c r="B4067" s="1">
        <v>45134</v>
      </c>
      <c r="C4067" t="s">
        <v>25</v>
      </c>
      <c r="D4067" t="s">
        <v>57</v>
      </c>
      <c r="E4067" t="s">
        <v>27</v>
      </c>
      <c r="F4067">
        <v>1053.17</v>
      </c>
      <c r="G4067">
        <v>292.07</v>
      </c>
      <c r="H4067" t="s">
        <v>19</v>
      </c>
      <c r="I4067" t="s">
        <v>14</v>
      </c>
    </row>
    <row r="4068" spans="1:9" x14ac:dyDescent="0.35">
      <c r="A4068" t="s">
        <v>4104</v>
      </c>
      <c r="B4068" s="1">
        <v>44877</v>
      </c>
      <c r="C4068" t="s">
        <v>22</v>
      </c>
      <c r="D4068" t="s">
        <v>23</v>
      </c>
      <c r="E4068" t="s">
        <v>18</v>
      </c>
      <c r="F4068">
        <v>792.19</v>
      </c>
      <c r="G4068">
        <v>231.51</v>
      </c>
      <c r="H4068" t="s">
        <v>13</v>
      </c>
      <c r="I4068" t="s">
        <v>34</v>
      </c>
    </row>
    <row r="4069" spans="1:9" x14ac:dyDescent="0.35">
      <c r="A4069" t="s">
        <v>4105</v>
      </c>
      <c r="B4069" s="1">
        <v>45051</v>
      </c>
      <c r="C4069" t="s">
        <v>16</v>
      </c>
      <c r="D4069" t="s">
        <v>50</v>
      </c>
      <c r="E4069" t="s">
        <v>12</v>
      </c>
      <c r="F4069">
        <v>713.18</v>
      </c>
      <c r="G4069">
        <v>103.57</v>
      </c>
      <c r="H4069" t="s">
        <v>13</v>
      </c>
      <c r="I4069" t="s">
        <v>14</v>
      </c>
    </row>
    <row r="4070" spans="1:9" x14ac:dyDescent="0.35">
      <c r="A4070" t="s">
        <v>4106</v>
      </c>
      <c r="B4070" s="1">
        <v>44865</v>
      </c>
      <c r="C4070" t="s">
        <v>22</v>
      </c>
      <c r="D4070" t="s">
        <v>33</v>
      </c>
      <c r="E4070" t="s">
        <v>18</v>
      </c>
      <c r="F4070">
        <v>915.77</v>
      </c>
      <c r="G4070">
        <v>55.35</v>
      </c>
      <c r="H4070" t="s">
        <v>28</v>
      </c>
      <c r="I4070" t="s">
        <v>29</v>
      </c>
    </row>
    <row r="4071" spans="1:9" x14ac:dyDescent="0.35">
      <c r="A4071" t="s">
        <v>4107</v>
      </c>
      <c r="B4071" s="1">
        <v>44933</v>
      </c>
      <c r="C4071" t="s">
        <v>16</v>
      </c>
      <c r="D4071" t="s">
        <v>33</v>
      </c>
      <c r="E4071" t="s">
        <v>18</v>
      </c>
      <c r="F4071">
        <v>1443.76</v>
      </c>
      <c r="G4071">
        <v>150.22</v>
      </c>
      <c r="H4071" t="s">
        <v>13</v>
      </c>
      <c r="I4071" t="s">
        <v>29</v>
      </c>
    </row>
    <row r="4072" spans="1:9" x14ac:dyDescent="0.35">
      <c r="A4072" t="s">
        <v>4108</v>
      </c>
      <c r="B4072" s="1">
        <v>45057</v>
      </c>
      <c r="C4072" t="s">
        <v>16</v>
      </c>
      <c r="D4072" t="s">
        <v>41</v>
      </c>
      <c r="E4072" t="s">
        <v>12</v>
      </c>
      <c r="F4072">
        <v>1362.12</v>
      </c>
      <c r="G4072">
        <v>74.11</v>
      </c>
      <c r="H4072" t="s">
        <v>28</v>
      </c>
      <c r="I4072" t="s">
        <v>29</v>
      </c>
    </row>
    <row r="4073" spans="1:9" x14ac:dyDescent="0.35">
      <c r="A4073" t="s">
        <v>4109</v>
      </c>
      <c r="B4073" s="1">
        <v>45053</v>
      </c>
      <c r="C4073" t="s">
        <v>10</v>
      </c>
      <c r="D4073" t="s">
        <v>11</v>
      </c>
      <c r="E4073" t="s">
        <v>12</v>
      </c>
      <c r="F4073">
        <v>1893.5</v>
      </c>
      <c r="G4073">
        <v>561.30999999999995</v>
      </c>
      <c r="H4073" t="s">
        <v>13</v>
      </c>
      <c r="I4073" t="s">
        <v>29</v>
      </c>
    </row>
    <row r="4074" spans="1:9" x14ac:dyDescent="0.35">
      <c r="A4074" t="s">
        <v>4110</v>
      </c>
      <c r="B4074" s="1">
        <v>44942</v>
      </c>
      <c r="C4074" t="s">
        <v>10</v>
      </c>
      <c r="D4074" t="s">
        <v>46</v>
      </c>
      <c r="E4074" t="s">
        <v>18</v>
      </c>
      <c r="F4074">
        <v>1557.49</v>
      </c>
      <c r="G4074">
        <v>213.13</v>
      </c>
      <c r="H4074" t="s">
        <v>19</v>
      </c>
      <c r="I4074" t="s">
        <v>29</v>
      </c>
    </row>
    <row r="4075" spans="1:9" x14ac:dyDescent="0.35">
      <c r="A4075" t="s">
        <v>4111</v>
      </c>
      <c r="B4075" s="1">
        <v>45034</v>
      </c>
      <c r="C4075" t="s">
        <v>10</v>
      </c>
      <c r="D4075" t="s">
        <v>95</v>
      </c>
      <c r="E4075" t="s">
        <v>18</v>
      </c>
      <c r="F4075">
        <v>1458.27</v>
      </c>
      <c r="G4075">
        <v>374.83</v>
      </c>
      <c r="H4075" t="s">
        <v>28</v>
      </c>
      <c r="I4075" t="s">
        <v>20</v>
      </c>
    </row>
    <row r="4076" spans="1:9" x14ac:dyDescent="0.35">
      <c r="A4076" t="s">
        <v>4112</v>
      </c>
      <c r="B4076" s="1">
        <v>44772</v>
      </c>
      <c r="C4076" t="s">
        <v>22</v>
      </c>
      <c r="D4076" t="s">
        <v>38</v>
      </c>
      <c r="E4076" t="s">
        <v>12</v>
      </c>
      <c r="F4076">
        <v>1948.02</v>
      </c>
      <c r="G4076">
        <v>253.18</v>
      </c>
      <c r="H4076" t="s">
        <v>28</v>
      </c>
      <c r="I4076" t="s">
        <v>29</v>
      </c>
    </row>
    <row r="4077" spans="1:9" x14ac:dyDescent="0.35">
      <c r="A4077" t="s">
        <v>4113</v>
      </c>
      <c r="B4077" s="1">
        <v>45451</v>
      </c>
      <c r="C4077" t="s">
        <v>10</v>
      </c>
      <c r="D4077" t="s">
        <v>17</v>
      </c>
      <c r="E4077" t="s">
        <v>18</v>
      </c>
      <c r="F4077">
        <v>165.6</v>
      </c>
      <c r="G4077">
        <v>35.85</v>
      </c>
      <c r="H4077" t="s">
        <v>19</v>
      </c>
      <c r="I4077" t="s">
        <v>29</v>
      </c>
    </row>
    <row r="4078" spans="1:9" x14ac:dyDescent="0.35">
      <c r="A4078" t="s">
        <v>4114</v>
      </c>
      <c r="B4078" s="1">
        <v>45588</v>
      </c>
      <c r="C4078" t="s">
        <v>10</v>
      </c>
      <c r="D4078" t="s">
        <v>38</v>
      </c>
      <c r="E4078" t="s">
        <v>12</v>
      </c>
      <c r="F4078">
        <v>1280.58</v>
      </c>
      <c r="G4078">
        <v>306.98</v>
      </c>
      <c r="H4078" t="s">
        <v>28</v>
      </c>
      <c r="I4078" t="s">
        <v>29</v>
      </c>
    </row>
    <row r="4079" spans="1:9" x14ac:dyDescent="0.35">
      <c r="A4079" t="s">
        <v>4115</v>
      </c>
      <c r="B4079" s="1">
        <v>45239</v>
      </c>
      <c r="C4079" t="s">
        <v>16</v>
      </c>
      <c r="D4079" t="s">
        <v>11</v>
      </c>
      <c r="E4079" t="s">
        <v>12</v>
      </c>
      <c r="F4079">
        <v>1305.32</v>
      </c>
      <c r="G4079">
        <v>123.54</v>
      </c>
      <c r="H4079" t="s">
        <v>13</v>
      </c>
      <c r="I4079" t="s">
        <v>29</v>
      </c>
    </row>
    <row r="4080" spans="1:9" x14ac:dyDescent="0.35">
      <c r="A4080" t="s">
        <v>4116</v>
      </c>
      <c r="B4080" s="1">
        <v>45565</v>
      </c>
      <c r="C4080" t="s">
        <v>25</v>
      </c>
      <c r="D4080" t="s">
        <v>23</v>
      </c>
      <c r="E4080" t="s">
        <v>18</v>
      </c>
      <c r="F4080">
        <v>967.81</v>
      </c>
      <c r="G4080">
        <v>140</v>
      </c>
      <c r="H4080" t="s">
        <v>19</v>
      </c>
      <c r="I4080" t="s">
        <v>34</v>
      </c>
    </row>
    <row r="4081" spans="1:9" x14ac:dyDescent="0.35">
      <c r="A4081" t="s">
        <v>4117</v>
      </c>
      <c r="B4081" s="1">
        <v>44563</v>
      </c>
      <c r="C4081" t="s">
        <v>22</v>
      </c>
      <c r="D4081" t="s">
        <v>31</v>
      </c>
      <c r="E4081" t="s">
        <v>12</v>
      </c>
      <c r="F4081">
        <v>81.31</v>
      </c>
      <c r="G4081">
        <v>13.28</v>
      </c>
      <c r="H4081" t="s">
        <v>13</v>
      </c>
      <c r="I4081" t="s">
        <v>29</v>
      </c>
    </row>
    <row r="4082" spans="1:9" x14ac:dyDescent="0.35">
      <c r="A4082" t="s">
        <v>4118</v>
      </c>
      <c r="B4082" s="1">
        <v>45406</v>
      </c>
      <c r="C4082" t="s">
        <v>10</v>
      </c>
      <c r="D4082" t="s">
        <v>11</v>
      </c>
      <c r="E4082" t="s">
        <v>12</v>
      </c>
      <c r="F4082">
        <v>1205.6099999999999</v>
      </c>
      <c r="G4082">
        <v>90.86</v>
      </c>
      <c r="H4082" t="s">
        <v>13</v>
      </c>
      <c r="I4082" t="s">
        <v>29</v>
      </c>
    </row>
    <row r="4083" spans="1:9" x14ac:dyDescent="0.35">
      <c r="A4083" t="s">
        <v>4119</v>
      </c>
      <c r="B4083" s="1">
        <v>44685</v>
      </c>
      <c r="C4083" t="s">
        <v>25</v>
      </c>
      <c r="D4083" t="s">
        <v>73</v>
      </c>
      <c r="E4083" t="s">
        <v>27</v>
      </c>
      <c r="F4083">
        <v>1047.71</v>
      </c>
      <c r="G4083">
        <v>178.86</v>
      </c>
      <c r="H4083" t="s">
        <v>19</v>
      </c>
      <c r="I4083" t="s">
        <v>34</v>
      </c>
    </row>
    <row r="4084" spans="1:9" x14ac:dyDescent="0.35">
      <c r="A4084" t="s">
        <v>4120</v>
      </c>
      <c r="B4084" s="1">
        <v>45537</v>
      </c>
      <c r="C4084" t="s">
        <v>22</v>
      </c>
      <c r="D4084" t="s">
        <v>23</v>
      </c>
      <c r="E4084" t="s">
        <v>18</v>
      </c>
      <c r="F4084">
        <v>1515.15</v>
      </c>
      <c r="G4084">
        <v>235.56</v>
      </c>
      <c r="H4084" t="s">
        <v>19</v>
      </c>
      <c r="I4084" t="s">
        <v>34</v>
      </c>
    </row>
    <row r="4085" spans="1:9" x14ac:dyDescent="0.35">
      <c r="A4085" t="s">
        <v>4121</v>
      </c>
      <c r="B4085" s="1">
        <v>45593</v>
      </c>
      <c r="C4085" t="s">
        <v>16</v>
      </c>
      <c r="D4085" t="s">
        <v>17</v>
      </c>
      <c r="E4085" t="s">
        <v>18</v>
      </c>
      <c r="F4085">
        <v>1670.23</v>
      </c>
      <c r="G4085">
        <v>255.64</v>
      </c>
      <c r="H4085" t="s">
        <v>13</v>
      </c>
      <c r="I4085" t="s">
        <v>34</v>
      </c>
    </row>
    <row r="4086" spans="1:9" x14ac:dyDescent="0.35">
      <c r="A4086" t="s">
        <v>4122</v>
      </c>
      <c r="B4086" s="1">
        <v>45593</v>
      </c>
      <c r="C4086" t="s">
        <v>25</v>
      </c>
      <c r="D4086" t="s">
        <v>31</v>
      </c>
      <c r="E4086" t="s">
        <v>12</v>
      </c>
      <c r="F4086">
        <v>1722.76</v>
      </c>
      <c r="G4086">
        <v>368.53</v>
      </c>
      <c r="H4086" t="s">
        <v>19</v>
      </c>
      <c r="I4086" t="s">
        <v>29</v>
      </c>
    </row>
    <row r="4087" spans="1:9" x14ac:dyDescent="0.35">
      <c r="A4087" t="s">
        <v>4123</v>
      </c>
      <c r="B4087" s="1">
        <v>45008</v>
      </c>
      <c r="C4087" t="s">
        <v>10</v>
      </c>
      <c r="D4087" t="s">
        <v>17</v>
      </c>
      <c r="E4087" t="s">
        <v>18</v>
      </c>
      <c r="F4087">
        <v>211.49</v>
      </c>
      <c r="G4087">
        <v>22.96</v>
      </c>
      <c r="H4087" t="s">
        <v>28</v>
      </c>
      <c r="I4087" t="s">
        <v>34</v>
      </c>
    </row>
    <row r="4088" spans="1:9" x14ac:dyDescent="0.35">
      <c r="A4088" t="s">
        <v>4124</v>
      </c>
      <c r="B4088" s="1">
        <v>45544</v>
      </c>
      <c r="C4088" t="s">
        <v>10</v>
      </c>
      <c r="D4088" t="s">
        <v>97</v>
      </c>
      <c r="E4088" t="s">
        <v>27</v>
      </c>
      <c r="F4088">
        <v>773.57</v>
      </c>
      <c r="G4088">
        <v>191.25</v>
      </c>
      <c r="H4088" t="s">
        <v>28</v>
      </c>
      <c r="I4088" t="s">
        <v>34</v>
      </c>
    </row>
    <row r="4089" spans="1:9" x14ac:dyDescent="0.35">
      <c r="A4089" t="s">
        <v>4125</v>
      </c>
      <c r="B4089" s="1">
        <v>45181</v>
      </c>
      <c r="C4089" t="s">
        <v>10</v>
      </c>
      <c r="D4089" t="s">
        <v>31</v>
      </c>
      <c r="E4089" t="s">
        <v>12</v>
      </c>
      <c r="F4089">
        <v>141.66</v>
      </c>
      <c r="G4089">
        <v>9.1300000000000008</v>
      </c>
      <c r="H4089" t="s">
        <v>28</v>
      </c>
      <c r="I4089" t="s">
        <v>20</v>
      </c>
    </row>
    <row r="4090" spans="1:9" x14ac:dyDescent="0.35">
      <c r="A4090" t="s">
        <v>4126</v>
      </c>
      <c r="B4090" s="1">
        <v>45447</v>
      </c>
      <c r="C4090" t="s">
        <v>25</v>
      </c>
      <c r="D4090" t="s">
        <v>23</v>
      </c>
      <c r="E4090" t="s">
        <v>18</v>
      </c>
      <c r="F4090">
        <v>695.92</v>
      </c>
      <c r="G4090">
        <v>208.07</v>
      </c>
      <c r="H4090" t="s">
        <v>28</v>
      </c>
      <c r="I4090" t="s">
        <v>20</v>
      </c>
    </row>
    <row r="4091" spans="1:9" x14ac:dyDescent="0.35">
      <c r="A4091" t="s">
        <v>4127</v>
      </c>
      <c r="B4091" s="1">
        <v>44816</v>
      </c>
      <c r="C4091" t="s">
        <v>22</v>
      </c>
      <c r="D4091" t="s">
        <v>26</v>
      </c>
      <c r="E4091" t="s">
        <v>27</v>
      </c>
      <c r="F4091">
        <v>1842.14</v>
      </c>
      <c r="G4091">
        <v>279.04000000000002</v>
      </c>
      <c r="H4091" t="s">
        <v>28</v>
      </c>
      <c r="I4091" t="s">
        <v>29</v>
      </c>
    </row>
    <row r="4092" spans="1:9" x14ac:dyDescent="0.35">
      <c r="A4092" t="s">
        <v>4128</v>
      </c>
      <c r="B4092" s="1">
        <v>44989</v>
      </c>
      <c r="C4092" t="s">
        <v>25</v>
      </c>
      <c r="D4092" t="s">
        <v>26</v>
      </c>
      <c r="E4092" t="s">
        <v>27</v>
      </c>
      <c r="F4092">
        <v>1279.03</v>
      </c>
      <c r="G4092">
        <v>90.03</v>
      </c>
      <c r="H4092" t="s">
        <v>19</v>
      </c>
      <c r="I4092" t="s">
        <v>20</v>
      </c>
    </row>
    <row r="4093" spans="1:9" x14ac:dyDescent="0.35">
      <c r="A4093" t="s">
        <v>4129</v>
      </c>
      <c r="B4093" s="1">
        <v>45039</v>
      </c>
      <c r="C4093" t="s">
        <v>22</v>
      </c>
      <c r="D4093" t="s">
        <v>46</v>
      </c>
      <c r="E4093" t="s">
        <v>18</v>
      </c>
      <c r="F4093">
        <v>1415.67</v>
      </c>
      <c r="G4093">
        <v>370.51</v>
      </c>
      <c r="H4093" t="s">
        <v>19</v>
      </c>
      <c r="I4093" t="s">
        <v>20</v>
      </c>
    </row>
    <row r="4094" spans="1:9" x14ac:dyDescent="0.35">
      <c r="A4094" t="s">
        <v>4130</v>
      </c>
      <c r="B4094" s="1">
        <v>44663</v>
      </c>
      <c r="C4094" t="s">
        <v>16</v>
      </c>
      <c r="D4094" t="s">
        <v>17</v>
      </c>
      <c r="E4094" t="s">
        <v>18</v>
      </c>
      <c r="F4094">
        <v>1176.22</v>
      </c>
      <c r="G4094">
        <v>267.20999999999998</v>
      </c>
      <c r="H4094" t="s">
        <v>13</v>
      </c>
      <c r="I4094" t="s">
        <v>34</v>
      </c>
    </row>
    <row r="4095" spans="1:9" x14ac:dyDescent="0.35">
      <c r="A4095" t="s">
        <v>4131</v>
      </c>
      <c r="B4095" s="1">
        <v>45331</v>
      </c>
      <c r="C4095" t="s">
        <v>16</v>
      </c>
      <c r="D4095" t="s">
        <v>62</v>
      </c>
      <c r="E4095" t="s">
        <v>27</v>
      </c>
      <c r="F4095">
        <v>1243.53</v>
      </c>
      <c r="G4095">
        <v>362.85</v>
      </c>
      <c r="H4095" t="s">
        <v>19</v>
      </c>
      <c r="I4095" t="s">
        <v>14</v>
      </c>
    </row>
    <row r="4096" spans="1:9" x14ac:dyDescent="0.35">
      <c r="A4096" t="s">
        <v>4132</v>
      </c>
      <c r="B4096" s="1">
        <v>45261</v>
      </c>
      <c r="C4096" t="s">
        <v>16</v>
      </c>
      <c r="D4096" t="s">
        <v>50</v>
      </c>
      <c r="E4096" t="s">
        <v>12</v>
      </c>
      <c r="F4096">
        <v>1336.81</v>
      </c>
      <c r="G4096">
        <v>196.93</v>
      </c>
      <c r="H4096" t="s">
        <v>13</v>
      </c>
      <c r="I4096" t="s">
        <v>20</v>
      </c>
    </row>
    <row r="4097" spans="1:9" x14ac:dyDescent="0.35">
      <c r="A4097" t="s">
        <v>4133</v>
      </c>
      <c r="B4097" s="1">
        <v>45629</v>
      </c>
      <c r="C4097" t="s">
        <v>22</v>
      </c>
      <c r="D4097" t="s">
        <v>33</v>
      </c>
      <c r="E4097" t="s">
        <v>18</v>
      </c>
      <c r="F4097">
        <v>356.28</v>
      </c>
      <c r="G4097">
        <v>98.08</v>
      </c>
      <c r="H4097" t="s">
        <v>28</v>
      </c>
      <c r="I4097" t="s">
        <v>20</v>
      </c>
    </row>
    <row r="4098" spans="1:9" x14ac:dyDescent="0.35">
      <c r="A4098" t="s">
        <v>4134</v>
      </c>
      <c r="B4098" s="1">
        <v>44831</v>
      </c>
      <c r="C4098" t="s">
        <v>25</v>
      </c>
      <c r="D4098" t="s">
        <v>23</v>
      </c>
      <c r="E4098" t="s">
        <v>18</v>
      </c>
      <c r="F4098">
        <v>1222.73</v>
      </c>
      <c r="G4098">
        <v>133.96</v>
      </c>
      <c r="H4098" t="s">
        <v>19</v>
      </c>
      <c r="I4098" t="s">
        <v>14</v>
      </c>
    </row>
    <row r="4099" spans="1:9" x14ac:dyDescent="0.35">
      <c r="A4099" t="s">
        <v>4135</v>
      </c>
      <c r="B4099" s="1">
        <v>45069</v>
      </c>
      <c r="C4099" t="s">
        <v>22</v>
      </c>
      <c r="D4099" t="s">
        <v>41</v>
      </c>
      <c r="E4099" t="s">
        <v>12</v>
      </c>
      <c r="F4099">
        <v>101.47</v>
      </c>
      <c r="G4099">
        <v>24.31</v>
      </c>
      <c r="H4099" t="s">
        <v>28</v>
      </c>
      <c r="I4099" t="s">
        <v>34</v>
      </c>
    </row>
    <row r="4100" spans="1:9" x14ac:dyDescent="0.35">
      <c r="A4100" t="s">
        <v>4136</v>
      </c>
      <c r="B4100" s="1">
        <v>45247</v>
      </c>
      <c r="C4100" t="s">
        <v>16</v>
      </c>
      <c r="D4100" t="s">
        <v>97</v>
      </c>
      <c r="E4100" t="s">
        <v>27</v>
      </c>
      <c r="F4100">
        <v>787.04</v>
      </c>
      <c r="G4100">
        <v>147.44</v>
      </c>
      <c r="H4100" t="s">
        <v>19</v>
      </c>
      <c r="I4100" t="s">
        <v>34</v>
      </c>
    </row>
    <row r="4101" spans="1:9" x14ac:dyDescent="0.35">
      <c r="A4101" t="s">
        <v>4137</v>
      </c>
      <c r="B4101" s="1">
        <v>45117</v>
      </c>
      <c r="C4101" t="s">
        <v>22</v>
      </c>
      <c r="D4101" t="s">
        <v>57</v>
      </c>
      <c r="E4101" t="s">
        <v>27</v>
      </c>
      <c r="F4101">
        <v>577.73</v>
      </c>
      <c r="G4101">
        <v>37.68</v>
      </c>
      <c r="H4101" t="s">
        <v>19</v>
      </c>
      <c r="I4101" t="s">
        <v>20</v>
      </c>
    </row>
    <row r="4102" spans="1:9" x14ac:dyDescent="0.35">
      <c r="A4102" t="s">
        <v>4138</v>
      </c>
      <c r="B4102" s="1">
        <v>44747</v>
      </c>
      <c r="C4102" t="s">
        <v>16</v>
      </c>
      <c r="D4102" t="s">
        <v>62</v>
      </c>
      <c r="E4102" t="s">
        <v>27</v>
      </c>
      <c r="F4102">
        <v>682.83</v>
      </c>
      <c r="G4102">
        <v>41.14</v>
      </c>
      <c r="H4102" t="s">
        <v>19</v>
      </c>
      <c r="I4102" t="s">
        <v>29</v>
      </c>
    </row>
    <row r="4103" spans="1:9" x14ac:dyDescent="0.35">
      <c r="A4103" t="s">
        <v>4139</v>
      </c>
      <c r="B4103" s="1">
        <v>44581</v>
      </c>
      <c r="C4103" t="s">
        <v>16</v>
      </c>
      <c r="D4103" t="s">
        <v>50</v>
      </c>
      <c r="E4103" t="s">
        <v>12</v>
      </c>
      <c r="F4103">
        <v>1084.6300000000001</v>
      </c>
      <c r="G4103">
        <v>54.35</v>
      </c>
      <c r="H4103" t="s">
        <v>19</v>
      </c>
      <c r="I4103" t="s">
        <v>29</v>
      </c>
    </row>
    <row r="4104" spans="1:9" x14ac:dyDescent="0.35">
      <c r="A4104" t="s">
        <v>4140</v>
      </c>
      <c r="B4104" s="1">
        <v>45080</v>
      </c>
      <c r="C4104" t="s">
        <v>22</v>
      </c>
      <c r="D4104" t="s">
        <v>38</v>
      </c>
      <c r="E4104" t="s">
        <v>12</v>
      </c>
      <c r="F4104">
        <v>744.03</v>
      </c>
      <c r="G4104">
        <v>95.22</v>
      </c>
      <c r="H4104" t="s">
        <v>28</v>
      </c>
      <c r="I4104" t="s">
        <v>20</v>
      </c>
    </row>
    <row r="4105" spans="1:9" x14ac:dyDescent="0.35">
      <c r="A4105" t="s">
        <v>4141</v>
      </c>
      <c r="B4105" s="1">
        <v>45579</v>
      </c>
      <c r="C4105" t="s">
        <v>25</v>
      </c>
      <c r="D4105" t="s">
        <v>23</v>
      </c>
      <c r="E4105" t="s">
        <v>18</v>
      </c>
      <c r="F4105">
        <v>1105.06</v>
      </c>
      <c r="G4105">
        <v>251.77</v>
      </c>
      <c r="H4105" t="s">
        <v>28</v>
      </c>
      <c r="I4105" t="s">
        <v>29</v>
      </c>
    </row>
    <row r="4106" spans="1:9" x14ac:dyDescent="0.35">
      <c r="A4106" t="s">
        <v>4142</v>
      </c>
      <c r="B4106" s="1">
        <v>44726</v>
      </c>
      <c r="C4106" t="s">
        <v>16</v>
      </c>
      <c r="D4106" t="s">
        <v>38</v>
      </c>
      <c r="E4106" t="s">
        <v>12</v>
      </c>
      <c r="F4106">
        <v>1338.75</v>
      </c>
      <c r="G4106">
        <v>239.14</v>
      </c>
      <c r="H4106" t="s">
        <v>28</v>
      </c>
      <c r="I4106" t="s">
        <v>29</v>
      </c>
    </row>
    <row r="4107" spans="1:9" x14ac:dyDescent="0.35">
      <c r="A4107" t="s">
        <v>4143</v>
      </c>
      <c r="B4107" s="1">
        <v>44796</v>
      </c>
      <c r="C4107" t="s">
        <v>16</v>
      </c>
      <c r="D4107" t="s">
        <v>97</v>
      </c>
      <c r="E4107" t="s">
        <v>27</v>
      </c>
      <c r="F4107">
        <v>199.36</v>
      </c>
      <c r="G4107">
        <v>25.51</v>
      </c>
      <c r="H4107" t="s">
        <v>28</v>
      </c>
      <c r="I4107" t="s">
        <v>14</v>
      </c>
    </row>
    <row r="4108" spans="1:9" x14ac:dyDescent="0.35">
      <c r="A4108" t="s">
        <v>4144</v>
      </c>
      <c r="B4108" s="1">
        <v>45589</v>
      </c>
      <c r="C4108" t="s">
        <v>22</v>
      </c>
      <c r="D4108" t="s">
        <v>46</v>
      </c>
      <c r="E4108" t="s">
        <v>18</v>
      </c>
      <c r="F4108">
        <v>1746.12</v>
      </c>
      <c r="G4108">
        <v>394.36</v>
      </c>
      <c r="H4108" t="s">
        <v>19</v>
      </c>
      <c r="I4108" t="s">
        <v>34</v>
      </c>
    </row>
    <row r="4109" spans="1:9" x14ac:dyDescent="0.35">
      <c r="A4109" t="s">
        <v>4145</v>
      </c>
      <c r="B4109" s="1">
        <v>45168</v>
      </c>
      <c r="C4109" t="s">
        <v>25</v>
      </c>
      <c r="D4109" t="s">
        <v>95</v>
      </c>
      <c r="E4109" t="s">
        <v>18</v>
      </c>
      <c r="F4109">
        <v>405.17</v>
      </c>
      <c r="G4109">
        <v>27.27</v>
      </c>
      <c r="H4109" t="s">
        <v>19</v>
      </c>
      <c r="I4109" t="s">
        <v>14</v>
      </c>
    </row>
    <row r="4110" spans="1:9" x14ac:dyDescent="0.35">
      <c r="A4110" t="s">
        <v>4146</v>
      </c>
      <c r="B4110" s="1">
        <v>45117</v>
      </c>
      <c r="C4110" t="s">
        <v>10</v>
      </c>
      <c r="D4110" t="s">
        <v>17</v>
      </c>
      <c r="E4110" t="s">
        <v>18</v>
      </c>
      <c r="F4110">
        <v>582.41999999999996</v>
      </c>
      <c r="G4110">
        <v>120.8</v>
      </c>
      <c r="H4110" t="s">
        <v>19</v>
      </c>
      <c r="I4110" t="s">
        <v>20</v>
      </c>
    </row>
    <row r="4111" spans="1:9" x14ac:dyDescent="0.35">
      <c r="A4111" t="s">
        <v>4147</v>
      </c>
      <c r="B4111" s="1">
        <v>45027</v>
      </c>
      <c r="C4111" t="s">
        <v>25</v>
      </c>
      <c r="D4111" t="s">
        <v>31</v>
      </c>
      <c r="E4111" t="s">
        <v>12</v>
      </c>
      <c r="F4111">
        <v>1439.26</v>
      </c>
      <c r="G4111">
        <v>422.7</v>
      </c>
      <c r="H4111" t="s">
        <v>28</v>
      </c>
      <c r="I4111" t="s">
        <v>14</v>
      </c>
    </row>
    <row r="4112" spans="1:9" x14ac:dyDescent="0.35">
      <c r="A4112" t="s">
        <v>4148</v>
      </c>
      <c r="B4112" s="1">
        <v>44613</v>
      </c>
      <c r="C4112" t="s">
        <v>16</v>
      </c>
      <c r="D4112" t="s">
        <v>95</v>
      </c>
      <c r="E4112" t="s">
        <v>18</v>
      </c>
      <c r="F4112">
        <v>1622.78</v>
      </c>
      <c r="G4112">
        <v>383.54</v>
      </c>
      <c r="H4112" t="s">
        <v>28</v>
      </c>
      <c r="I4112" t="s">
        <v>20</v>
      </c>
    </row>
    <row r="4113" spans="1:9" x14ac:dyDescent="0.35">
      <c r="A4113" t="s">
        <v>4149</v>
      </c>
      <c r="B4113" s="1">
        <v>45173</v>
      </c>
      <c r="C4113" t="s">
        <v>10</v>
      </c>
      <c r="D4113" t="s">
        <v>11</v>
      </c>
      <c r="E4113" t="s">
        <v>12</v>
      </c>
      <c r="F4113">
        <v>714.33</v>
      </c>
      <c r="G4113">
        <v>149.99</v>
      </c>
      <c r="H4113" t="s">
        <v>19</v>
      </c>
      <c r="I4113" t="s">
        <v>34</v>
      </c>
    </row>
    <row r="4114" spans="1:9" x14ac:dyDescent="0.35">
      <c r="A4114" t="s">
        <v>4150</v>
      </c>
      <c r="B4114" s="1">
        <v>45053</v>
      </c>
      <c r="C4114" t="s">
        <v>16</v>
      </c>
      <c r="D4114" t="s">
        <v>62</v>
      </c>
      <c r="E4114" t="s">
        <v>27</v>
      </c>
      <c r="F4114">
        <v>1134.4100000000001</v>
      </c>
      <c r="G4114">
        <v>114.01</v>
      </c>
      <c r="H4114" t="s">
        <v>19</v>
      </c>
      <c r="I4114" t="s">
        <v>29</v>
      </c>
    </row>
    <row r="4115" spans="1:9" x14ac:dyDescent="0.35">
      <c r="A4115" t="s">
        <v>4151</v>
      </c>
      <c r="B4115" s="1">
        <v>45529</v>
      </c>
      <c r="C4115" t="s">
        <v>22</v>
      </c>
      <c r="D4115" t="s">
        <v>50</v>
      </c>
      <c r="E4115" t="s">
        <v>12</v>
      </c>
      <c r="F4115">
        <v>1197.55</v>
      </c>
      <c r="G4115">
        <v>297.68</v>
      </c>
      <c r="H4115" t="s">
        <v>19</v>
      </c>
      <c r="I4115" t="s">
        <v>20</v>
      </c>
    </row>
    <row r="4116" spans="1:9" x14ac:dyDescent="0.35">
      <c r="A4116" t="s">
        <v>4152</v>
      </c>
      <c r="B4116" s="1">
        <v>44607</v>
      </c>
      <c r="C4116" t="s">
        <v>16</v>
      </c>
      <c r="D4116" t="s">
        <v>95</v>
      </c>
      <c r="E4116" t="s">
        <v>18</v>
      </c>
      <c r="F4116">
        <v>1932.49</v>
      </c>
      <c r="G4116">
        <v>271.67</v>
      </c>
      <c r="H4116" t="s">
        <v>28</v>
      </c>
      <c r="I4116" t="s">
        <v>29</v>
      </c>
    </row>
    <row r="4117" spans="1:9" x14ac:dyDescent="0.35">
      <c r="A4117" t="s">
        <v>4153</v>
      </c>
      <c r="B4117" s="1">
        <v>45082</v>
      </c>
      <c r="C4117" t="s">
        <v>22</v>
      </c>
      <c r="D4117" t="s">
        <v>46</v>
      </c>
      <c r="E4117" t="s">
        <v>18</v>
      </c>
      <c r="F4117">
        <v>1646.38</v>
      </c>
      <c r="G4117">
        <v>310.11</v>
      </c>
      <c r="H4117" t="s">
        <v>28</v>
      </c>
      <c r="I4117" t="s">
        <v>14</v>
      </c>
    </row>
    <row r="4118" spans="1:9" x14ac:dyDescent="0.35">
      <c r="A4118" t="s">
        <v>4154</v>
      </c>
      <c r="B4118" s="1">
        <v>45292</v>
      </c>
      <c r="C4118" t="s">
        <v>25</v>
      </c>
      <c r="D4118" t="s">
        <v>33</v>
      </c>
      <c r="E4118" t="s">
        <v>18</v>
      </c>
      <c r="F4118">
        <v>1803</v>
      </c>
      <c r="G4118">
        <v>194.11</v>
      </c>
      <c r="H4118" t="s">
        <v>19</v>
      </c>
      <c r="I4118" t="s">
        <v>34</v>
      </c>
    </row>
    <row r="4119" spans="1:9" x14ac:dyDescent="0.35">
      <c r="A4119" t="s">
        <v>4155</v>
      </c>
      <c r="B4119" s="1">
        <v>44868</v>
      </c>
      <c r="C4119" t="s">
        <v>10</v>
      </c>
      <c r="D4119" t="s">
        <v>33</v>
      </c>
      <c r="E4119" t="s">
        <v>18</v>
      </c>
      <c r="F4119">
        <v>711.03</v>
      </c>
      <c r="G4119">
        <v>135.32</v>
      </c>
      <c r="H4119" t="s">
        <v>28</v>
      </c>
      <c r="I4119" t="s">
        <v>14</v>
      </c>
    </row>
    <row r="4120" spans="1:9" x14ac:dyDescent="0.35">
      <c r="A4120" t="s">
        <v>4156</v>
      </c>
      <c r="B4120" s="1">
        <v>44626</v>
      </c>
      <c r="C4120" t="s">
        <v>25</v>
      </c>
      <c r="D4120" t="s">
        <v>73</v>
      </c>
      <c r="E4120" t="s">
        <v>27</v>
      </c>
      <c r="F4120">
        <v>1428.51</v>
      </c>
      <c r="G4120">
        <v>100.78</v>
      </c>
      <c r="H4120" t="s">
        <v>13</v>
      </c>
      <c r="I4120" t="s">
        <v>20</v>
      </c>
    </row>
    <row r="4121" spans="1:9" x14ac:dyDescent="0.35">
      <c r="A4121" t="s">
        <v>4157</v>
      </c>
      <c r="B4121" s="1">
        <v>44775</v>
      </c>
      <c r="C4121" t="s">
        <v>22</v>
      </c>
      <c r="D4121" t="s">
        <v>38</v>
      </c>
      <c r="E4121" t="s">
        <v>12</v>
      </c>
      <c r="F4121">
        <v>1147.55</v>
      </c>
      <c r="G4121">
        <v>255.06</v>
      </c>
      <c r="H4121" t="s">
        <v>28</v>
      </c>
      <c r="I4121" t="s">
        <v>34</v>
      </c>
    </row>
    <row r="4122" spans="1:9" x14ac:dyDescent="0.35">
      <c r="A4122" t="s">
        <v>4158</v>
      </c>
      <c r="B4122" s="1">
        <v>45118</v>
      </c>
      <c r="C4122" t="s">
        <v>25</v>
      </c>
      <c r="D4122" t="s">
        <v>38</v>
      </c>
      <c r="E4122" t="s">
        <v>12</v>
      </c>
      <c r="F4122">
        <v>1823.59</v>
      </c>
      <c r="G4122">
        <v>111.93</v>
      </c>
      <c r="H4122" t="s">
        <v>19</v>
      </c>
      <c r="I4122" t="s">
        <v>20</v>
      </c>
    </row>
    <row r="4123" spans="1:9" x14ac:dyDescent="0.35">
      <c r="A4123" t="s">
        <v>4159</v>
      </c>
      <c r="B4123" s="1">
        <v>44774</v>
      </c>
      <c r="C4123" t="s">
        <v>10</v>
      </c>
      <c r="D4123" t="s">
        <v>11</v>
      </c>
      <c r="E4123" t="s">
        <v>12</v>
      </c>
      <c r="F4123">
        <v>507.71</v>
      </c>
      <c r="G4123">
        <v>28.21</v>
      </c>
      <c r="H4123" t="s">
        <v>28</v>
      </c>
      <c r="I4123" t="s">
        <v>29</v>
      </c>
    </row>
    <row r="4124" spans="1:9" x14ac:dyDescent="0.35">
      <c r="A4124" t="s">
        <v>4160</v>
      </c>
      <c r="B4124" s="1">
        <v>45519</v>
      </c>
      <c r="C4124" t="s">
        <v>25</v>
      </c>
      <c r="D4124" t="s">
        <v>73</v>
      </c>
      <c r="E4124" t="s">
        <v>27</v>
      </c>
      <c r="F4124">
        <v>1390.51</v>
      </c>
      <c r="G4124">
        <v>396.35</v>
      </c>
      <c r="H4124" t="s">
        <v>19</v>
      </c>
      <c r="I4124" t="s">
        <v>29</v>
      </c>
    </row>
    <row r="4125" spans="1:9" x14ac:dyDescent="0.35">
      <c r="A4125" t="s">
        <v>4161</v>
      </c>
      <c r="B4125" s="1">
        <v>45042</v>
      </c>
      <c r="C4125" t="s">
        <v>22</v>
      </c>
      <c r="D4125" t="s">
        <v>57</v>
      </c>
      <c r="E4125" t="s">
        <v>27</v>
      </c>
      <c r="F4125">
        <v>700.6</v>
      </c>
      <c r="G4125">
        <v>59.99</v>
      </c>
      <c r="H4125" t="s">
        <v>13</v>
      </c>
      <c r="I4125" t="s">
        <v>14</v>
      </c>
    </row>
    <row r="4126" spans="1:9" x14ac:dyDescent="0.35">
      <c r="A4126" t="s">
        <v>4162</v>
      </c>
      <c r="B4126" s="1">
        <v>45215</v>
      </c>
      <c r="C4126" t="s">
        <v>22</v>
      </c>
      <c r="D4126" t="s">
        <v>17</v>
      </c>
      <c r="E4126" t="s">
        <v>18</v>
      </c>
      <c r="F4126">
        <v>826.64</v>
      </c>
      <c r="G4126">
        <v>162.24</v>
      </c>
      <c r="H4126" t="s">
        <v>19</v>
      </c>
      <c r="I4126" t="s">
        <v>14</v>
      </c>
    </row>
    <row r="4127" spans="1:9" x14ac:dyDescent="0.35">
      <c r="A4127" t="s">
        <v>4163</v>
      </c>
      <c r="B4127" s="1">
        <v>44833</v>
      </c>
      <c r="C4127" t="s">
        <v>16</v>
      </c>
      <c r="D4127" t="s">
        <v>50</v>
      </c>
      <c r="E4127" t="s">
        <v>12</v>
      </c>
      <c r="F4127">
        <v>1969.18</v>
      </c>
      <c r="G4127">
        <v>397.69</v>
      </c>
      <c r="H4127" t="s">
        <v>13</v>
      </c>
      <c r="I4127" t="s">
        <v>14</v>
      </c>
    </row>
    <row r="4128" spans="1:9" x14ac:dyDescent="0.35">
      <c r="A4128" t="s">
        <v>4164</v>
      </c>
      <c r="B4128" s="1">
        <v>45183</v>
      </c>
      <c r="C4128" t="s">
        <v>25</v>
      </c>
      <c r="D4128" t="s">
        <v>41</v>
      </c>
      <c r="E4128" t="s">
        <v>12</v>
      </c>
      <c r="F4128">
        <v>636.09</v>
      </c>
      <c r="G4128">
        <v>48.32</v>
      </c>
      <c r="H4128" t="s">
        <v>19</v>
      </c>
      <c r="I4128" t="s">
        <v>34</v>
      </c>
    </row>
    <row r="4129" spans="1:9" x14ac:dyDescent="0.35">
      <c r="A4129" t="s">
        <v>4165</v>
      </c>
      <c r="B4129" s="1">
        <v>44815</v>
      </c>
      <c r="C4129" t="s">
        <v>22</v>
      </c>
      <c r="D4129" t="s">
        <v>33</v>
      </c>
      <c r="E4129" t="s">
        <v>18</v>
      </c>
      <c r="F4129">
        <v>1686.83</v>
      </c>
      <c r="G4129">
        <v>472.23</v>
      </c>
      <c r="H4129" t="s">
        <v>19</v>
      </c>
      <c r="I4129" t="s">
        <v>34</v>
      </c>
    </row>
    <row r="4130" spans="1:9" x14ac:dyDescent="0.35">
      <c r="A4130" t="s">
        <v>4166</v>
      </c>
      <c r="B4130" s="1">
        <v>45414</v>
      </c>
      <c r="C4130" t="s">
        <v>16</v>
      </c>
      <c r="D4130" t="s">
        <v>95</v>
      </c>
      <c r="E4130" t="s">
        <v>18</v>
      </c>
      <c r="F4130">
        <v>1795.88</v>
      </c>
      <c r="G4130">
        <v>245.84</v>
      </c>
      <c r="H4130" t="s">
        <v>28</v>
      </c>
      <c r="I4130" t="s">
        <v>34</v>
      </c>
    </row>
    <row r="4131" spans="1:9" x14ac:dyDescent="0.35">
      <c r="A4131" t="s">
        <v>4167</v>
      </c>
      <c r="B4131" s="1">
        <v>44612</v>
      </c>
      <c r="C4131" t="s">
        <v>16</v>
      </c>
      <c r="D4131" t="s">
        <v>31</v>
      </c>
      <c r="E4131" t="s">
        <v>12</v>
      </c>
      <c r="F4131">
        <v>126.28</v>
      </c>
      <c r="G4131">
        <v>7.67</v>
      </c>
      <c r="H4131" t="s">
        <v>19</v>
      </c>
      <c r="I4131" t="s">
        <v>29</v>
      </c>
    </row>
    <row r="4132" spans="1:9" x14ac:dyDescent="0.35">
      <c r="A4132" t="s">
        <v>4168</v>
      </c>
      <c r="B4132" s="1">
        <v>45257</v>
      </c>
      <c r="C4132" t="s">
        <v>10</v>
      </c>
      <c r="D4132" t="s">
        <v>95</v>
      </c>
      <c r="E4132" t="s">
        <v>18</v>
      </c>
      <c r="F4132">
        <v>1822.65</v>
      </c>
      <c r="G4132">
        <v>346.22</v>
      </c>
      <c r="H4132" t="s">
        <v>19</v>
      </c>
      <c r="I4132" t="s">
        <v>29</v>
      </c>
    </row>
    <row r="4133" spans="1:9" x14ac:dyDescent="0.35">
      <c r="A4133" t="s">
        <v>4169</v>
      </c>
      <c r="B4133" s="1">
        <v>45118</v>
      </c>
      <c r="C4133" t="s">
        <v>10</v>
      </c>
      <c r="D4133" t="s">
        <v>26</v>
      </c>
      <c r="E4133" t="s">
        <v>27</v>
      </c>
      <c r="F4133">
        <v>981.65</v>
      </c>
      <c r="G4133">
        <v>142.11000000000001</v>
      </c>
      <c r="H4133" t="s">
        <v>19</v>
      </c>
      <c r="I4133" t="s">
        <v>14</v>
      </c>
    </row>
    <row r="4134" spans="1:9" x14ac:dyDescent="0.35">
      <c r="A4134" t="s">
        <v>4170</v>
      </c>
      <c r="B4134" s="1">
        <v>45066</v>
      </c>
      <c r="C4134" t="s">
        <v>25</v>
      </c>
      <c r="D4134" t="s">
        <v>38</v>
      </c>
      <c r="E4134" t="s">
        <v>12</v>
      </c>
      <c r="F4134">
        <v>1046.6500000000001</v>
      </c>
      <c r="G4134">
        <v>180.48</v>
      </c>
      <c r="H4134" t="s">
        <v>28</v>
      </c>
      <c r="I4134" t="s">
        <v>34</v>
      </c>
    </row>
    <row r="4135" spans="1:9" x14ac:dyDescent="0.35">
      <c r="A4135" t="s">
        <v>4171</v>
      </c>
      <c r="B4135" s="1">
        <v>45648</v>
      </c>
      <c r="C4135" t="s">
        <v>10</v>
      </c>
      <c r="D4135" t="s">
        <v>46</v>
      </c>
      <c r="E4135" t="s">
        <v>18</v>
      </c>
      <c r="F4135">
        <v>1242.42</v>
      </c>
      <c r="G4135">
        <v>192.34</v>
      </c>
      <c r="H4135" t="s">
        <v>28</v>
      </c>
      <c r="I4135" t="s">
        <v>20</v>
      </c>
    </row>
    <row r="4136" spans="1:9" x14ac:dyDescent="0.35">
      <c r="A4136" t="s">
        <v>4172</v>
      </c>
      <c r="B4136" s="1">
        <v>44569</v>
      </c>
      <c r="C4136" t="s">
        <v>22</v>
      </c>
      <c r="D4136" t="s">
        <v>97</v>
      </c>
      <c r="E4136" t="s">
        <v>27</v>
      </c>
      <c r="F4136">
        <v>1329.81</v>
      </c>
      <c r="G4136">
        <v>234.9</v>
      </c>
      <c r="H4136" t="s">
        <v>19</v>
      </c>
      <c r="I4136" t="s">
        <v>14</v>
      </c>
    </row>
    <row r="4137" spans="1:9" x14ac:dyDescent="0.35">
      <c r="A4137" t="s">
        <v>4173</v>
      </c>
      <c r="B4137" s="1">
        <v>45286</v>
      </c>
      <c r="C4137" t="s">
        <v>16</v>
      </c>
      <c r="D4137" t="s">
        <v>62</v>
      </c>
      <c r="E4137" t="s">
        <v>27</v>
      </c>
      <c r="F4137">
        <v>1773.9</v>
      </c>
      <c r="G4137">
        <v>370.9</v>
      </c>
      <c r="H4137" t="s">
        <v>28</v>
      </c>
      <c r="I4137" t="s">
        <v>14</v>
      </c>
    </row>
    <row r="4138" spans="1:9" x14ac:dyDescent="0.35">
      <c r="A4138" t="s">
        <v>4174</v>
      </c>
      <c r="B4138" s="1">
        <v>45424</v>
      </c>
      <c r="C4138" t="s">
        <v>16</v>
      </c>
      <c r="D4138" t="s">
        <v>41</v>
      </c>
      <c r="E4138" t="s">
        <v>12</v>
      </c>
      <c r="F4138">
        <v>259.05</v>
      </c>
      <c r="G4138">
        <v>65.64</v>
      </c>
      <c r="H4138" t="s">
        <v>19</v>
      </c>
      <c r="I4138" t="s">
        <v>14</v>
      </c>
    </row>
    <row r="4139" spans="1:9" x14ac:dyDescent="0.35">
      <c r="A4139" t="s">
        <v>4175</v>
      </c>
      <c r="B4139" s="1">
        <v>45049</v>
      </c>
      <c r="C4139" t="s">
        <v>22</v>
      </c>
      <c r="D4139" t="s">
        <v>57</v>
      </c>
      <c r="E4139" t="s">
        <v>27</v>
      </c>
      <c r="F4139">
        <v>1379.81</v>
      </c>
      <c r="G4139">
        <v>369.11</v>
      </c>
      <c r="H4139" t="s">
        <v>19</v>
      </c>
      <c r="I4139" t="s">
        <v>34</v>
      </c>
    </row>
    <row r="4140" spans="1:9" x14ac:dyDescent="0.35">
      <c r="A4140" t="s">
        <v>4176</v>
      </c>
      <c r="B4140" s="1">
        <v>45258</v>
      </c>
      <c r="C4140" t="s">
        <v>10</v>
      </c>
      <c r="D4140" t="s">
        <v>23</v>
      </c>
      <c r="E4140" t="s">
        <v>18</v>
      </c>
      <c r="F4140">
        <v>269.66000000000003</v>
      </c>
      <c r="G4140">
        <v>28.49</v>
      </c>
      <c r="H4140" t="s">
        <v>13</v>
      </c>
      <c r="I4140" t="s">
        <v>14</v>
      </c>
    </row>
    <row r="4141" spans="1:9" x14ac:dyDescent="0.35">
      <c r="A4141" t="s">
        <v>4177</v>
      </c>
      <c r="B4141" s="1">
        <v>45451</v>
      </c>
      <c r="C4141" t="s">
        <v>25</v>
      </c>
      <c r="D4141" t="s">
        <v>38</v>
      </c>
      <c r="E4141" t="s">
        <v>12</v>
      </c>
      <c r="F4141">
        <v>1149.24</v>
      </c>
      <c r="G4141">
        <v>183.62</v>
      </c>
      <c r="H4141" t="s">
        <v>19</v>
      </c>
      <c r="I4141" t="s">
        <v>20</v>
      </c>
    </row>
    <row r="4142" spans="1:9" x14ac:dyDescent="0.35">
      <c r="A4142" t="s">
        <v>4178</v>
      </c>
      <c r="B4142" s="1">
        <v>45450</v>
      </c>
      <c r="C4142" t="s">
        <v>16</v>
      </c>
      <c r="D4142" t="s">
        <v>95</v>
      </c>
      <c r="E4142" t="s">
        <v>18</v>
      </c>
      <c r="F4142">
        <v>1638.19</v>
      </c>
      <c r="G4142">
        <v>422.64</v>
      </c>
      <c r="H4142" t="s">
        <v>28</v>
      </c>
      <c r="I4142" t="s">
        <v>34</v>
      </c>
    </row>
    <row r="4143" spans="1:9" x14ac:dyDescent="0.35">
      <c r="A4143" t="s">
        <v>4179</v>
      </c>
      <c r="B4143" s="1">
        <v>45146</v>
      </c>
      <c r="C4143" t="s">
        <v>25</v>
      </c>
      <c r="D4143" t="s">
        <v>33</v>
      </c>
      <c r="E4143" t="s">
        <v>18</v>
      </c>
      <c r="F4143">
        <v>467.71</v>
      </c>
      <c r="G4143">
        <v>114.55</v>
      </c>
      <c r="H4143" t="s">
        <v>28</v>
      </c>
      <c r="I4143" t="s">
        <v>29</v>
      </c>
    </row>
    <row r="4144" spans="1:9" x14ac:dyDescent="0.35">
      <c r="A4144" t="s">
        <v>4180</v>
      </c>
      <c r="B4144" s="1">
        <v>44993</v>
      </c>
      <c r="C4144" t="s">
        <v>22</v>
      </c>
      <c r="D4144" t="s">
        <v>95</v>
      </c>
      <c r="E4144" t="s">
        <v>18</v>
      </c>
      <c r="F4144">
        <v>1285.46</v>
      </c>
      <c r="G4144">
        <v>187.64</v>
      </c>
      <c r="H4144" t="s">
        <v>13</v>
      </c>
      <c r="I4144" t="s">
        <v>14</v>
      </c>
    </row>
    <row r="4145" spans="1:9" x14ac:dyDescent="0.35">
      <c r="A4145" t="s">
        <v>4181</v>
      </c>
      <c r="B4145" s="1">
        <v>45464</v>
      </c>
      <c r="C4145" t="s">
        <v>25</v>
      </c>
      <c r="D4145" t="s">
        <v>46</v>
      </c>
      <c r="E4145" t="s">
        <v>18</v>
      </c>
      <c r="F4145">
        <v>1255.4100000000001</v>
      </c>
      <c r="G4145">
        <v>365.91</v>
      </c>
      <c r="H4145" t="s">
        <v>28</v>
      </c>
      <c r="I4145" t="s">
        <v>20</v>
      </c>
    </row>
    <row r="4146" spans="1:9" x14ac:dyDescent="0.35">
      <c r="A4146" t="s">
        <v>4182</v>
      </c>
      <c r="B4146" s="1">
        <v>45331</v>
      </c>
      <c r="C4146" t="s">
        <v>25</v>
      </c>
      <c r="D4146" t="s">
        <v>17</v>
      </c>
      <c r="E4146" t="s">
        <v>18</v>
      </c>
      <c r="F4146">
        <v>1346.19</v>
      </c>
      <c r="G4146">
        <v>177.87</v>
      </c>
      <c r="H4146" t="s">
        <v>28</v>
      </c>
      <c r="I4146" t="s">
        <v>14</v>
      </c>
    </row>
    <row r="4147" spans="1:9" x14ac:dyDescent="0.35">
      <c r="A4147" t="s">
        <v>4183</v>
      </c>
      <c r="B4147" s="1">
        <v>45276</v>
      </c>
      <c r="C4147" t="s">
        <v>22</v>
      </c>
      <c r="D4147" t="s">
        <v>41</v>
      </c>
      <c r="E4147" t="s">
        <v>12</v>
      </c>
      <c r="F4147">
        <v>1287.94</v>
      </c>
      <c r="G4147">
        <v>197.96</v>
      </c>
      <c r="H4147" t="s">
        <v>28</v>
      </c>
      <c r="I4147" t="s">
        <v>20</v>
      </c>
    </row>
    <row r="4148" spans="1:9" x14ac:dyDescent="0.35">
      <c r="A4148" t="s">
        <v>4184</v>
      </c>
      <c r="B4148" s="1">
        <v>45250</v>
      </c>
      <c r="C4148" t="s">
        <v>16</v>
      </c>
      <c r="D4148" t="s">
        <v>31</v>
      </c>
      <c r="E4148" t="s">
        <v>12</v>
      </c>
      <c r="F4148">
        <v>1829.6</v>
      </c>
      <c r="G4148">
        <v>319.63</v>
      </c>
      <c r="H4148" t="s">
        <v>13</v>
      </c>
      <c r="I4148" t="s">
        <v>34</v>
      </c>
    </row>
    <row r="4149" spans="1:9" x14ac:dyDescent="0.35">
      <c r="A4149" t="s">
        <v>4185</v>
      </c>
      <c r="B4149" s="1">
        <v>44644</v>
      </c>
      <c r="C4149" t="s">
        <v>22</v>
      </c>
      <c r="D4149" t="s">
        <v>17</v>
      </c>
      <c r="E4149" t="s">
        <v>18</v>
      </c>
      <c r="F4149">
        <v>1790.01</v>
      </c>
      <c r="G4149">
        <v>503.05</v>
      </c>
      <c r="H4149" t="s">
        <v>13</v>
      </c>
      <c r="I4149" t="s">
        <v>29</v>
      </c>
    </row>
    <row r="4150" spans="1:9" x14ac:dyDescent="0.35">
      <c r="A4150" t="s">
        <v>4186</v>
      </c>
      <c r="B4150" s="1">
        <v>45277</v>
      </c>
      <c r="C4150" t="s">
        <v>22</v>
      </c>
      <c r="D4150" t="s">
        <v>73</v>
      </c>
      <c r="E4150" t="s">
        <v>27</v>
      </c>
      <c r="F4150">
        <v>1550.09</v>
      </c>
      <c r="G4150">
        <v>436.39</v>
      </c>
      <c r="H4150" t="s">
        <v>19</v>
      </c>
      <c r="I4150" t="s">
        <v>20</v>
      </c>
    </row>
    <row r="4151" spans="1:9" x14ac:dyDescent="0.35">
      <c r="A4151" t="s">
        <v>4187</v>
      </c>
      <c r="B4151" s="1">
        <v>45575</v>
      </c>
      <c r="C4151" t="s">
        <v>25</v>
      </c>
      <c r="D4151" t="s">
        <v>17</v>
      </c>
      <c r="E4151" t="s">
        <v>18</v>
      </c>
      <c r="F4151">
        <v>1564.28</v>
      </c>
      <c r="G4151">
        <v>199.03</v>
      </c>
      <c r="H4151" t="s">
        <v>28</v>
      </c>
      <c r="I4151" t="s">
        <v>20</v>
      </c>
    </row>
    <row r="4152" spans="1:9" x14ac:dyDescent="0.35">
      <c r="A4152" t="s">
        <v>4188</v>
      </c>
      <c r="B4152" s="1">
        <v>45401</v>
      </c>
      <c r="C4152" t="s">
        <v>10</v>
      </c>
      <c r="D4152" t="s">
        <v>11</v>
      </c>
      <c r="E4152" t="s">
        <v>12</v>
      </c>
      <c r="F4152">
        <v>1446.28</v>
      </c>
      <c r="G4152">
        <v>375.75</v>
      </c>
      <c r="H4152" t="s">
        <v>28</v>
      </c>
      <c r="I4152" t="s">
        <v>29</v>
      </c>
    </row>
    <row r="4153" spans="1:9" x14ac:dyDescent="0.35">
      <c r="A4153" t="s">
        <v>4189</v>
      </c>
      <c r="B4153" s="1">
        <v>44865</v>
      </c>
      <c r="C4153" t="s">
        <v>16</v>
      </c>
      <c r="D4153" t="s">
        <v>73</v>
      </c>
      <c r="E4153" t="s">
        <v>27</v>
      </c>
      <c r="F4153">
        <v>122.48</v>
      </c>
      <c r="G4153">
        <v>20.82</v>
      </c>
      <c r="H4153" t="s">
        <v>28</v>
      </c>
      <c r="I4153" t="s">
        <v>20</v>
      </c>
    </row>
    <row r="4154" spans="1:9" x14ac:dyDescent="0.35">
      <c r="A4154" t="s">
        <v>4190</v>
      </c>
      <c r="B4154" s="1">
        <v>45122</v>
      </c>
      <c r="C4154" t="s">
        <v>25</v>
      </c>
      <c r="D4154" t="s">
        <v>23</v>
      </c>
      <c r="E4154" t="s">
        <v>18</v>
      </c>
      <c r="F4154">
        <v>311.58</v>
      </c>
      <c r="G4154">
        <v>86.39</v>
      </c>
      <c r="H4154" t="s">
        <v>19</v>
      </c>
      <c r="I4154" t="s">
        <v>29</v>
      </c>
    </row>
    <row r="4155" spans="1:9" x14ac:dyDescent="0.35">
      <c r="A4155" t="s">
        <v>4191</v>
      </c>
      <c r="B4155" s="1">
        <v>44820</v>
      </c>
      <c r="C4155" t="s">
        <v>10</v>
      </c>
      <c r="D4155" t="s">
        <v>17</v>
      </c>
      <c r="E4155" t="s">
        <v>18</v>
      </c>
      <c r="F4155">
        <v>1695.62</v>
      </c>
      <c r="G4155">
        <v>475.53</v>
      </c>
      <c r="H4155" t="s">
        <v>28</v>
      </c>
      <c r="I4155" t="s">
        <v>29</v>
      </c>
    </row>
    <row r="4156" spans="1:9" x14ac:dyDescent="0.35">
      <c r="A4156" t="s">
        <v>4192</v>
      </c>
      <c r="B4156" s="1">
        <v>44694</v>
      </c>
      <c r="C4156" t="s">
        <v>16</v>
      </c>
      <c r="D4156" t="s">
        <v>23</v>
      </c>
      <c r="E4156" t="s">
        <v>18</v>
      </c>
      <c r="F4156">
        <v>1198.5999999999999</v>
      </c>
      <c r="G4156">
        <v>242.75</v>
      </c>
      <c r="H4156" t="s">
        <v>28</v>
      </c>
      <c r="I4156" t="s">
        <v>29</v>
      </c>
    </row>
    <row r="4157" spans="1:9" x14ac:dyDescent="0.35">
      <c r="A4157" t="s">
        <v>4193</v>
      </c>
      <c r="B4157" s="1">
        <v>45106</v>
      </c>
      <c r="C4157" t="s">
        <v>16</v>
      </c>
      <c r="D4157" t="s">
        <v>97</v>
      </c>
      <c r="E4157" t="s">
        <v>27</v>
      </c>
      <c r="F4157">
        <v>1465.73</v>
      </c>
      <c r="G4157">
        <v>120.92</v>
      </c>
      <c r="H4157" t="s">
        <v>28</v>
      </c>
      <c r="I4157" t="s">
        <v>20</v>
      </c>
    </row>
    <row r="4158" spans="1:9" x14ac:dyDescent="0.35">
      <c r="A4158" t="s">
        <v>4194</v>
      </c>
      <c r="B4158" s="1">
        <v>44582</v>
      </c>
      <c r="C4158" t="s">
        <v>16</v>
      </c>
      <c r="D4158" t="s">
        <v>17</v>
      </c>
      <c r="E4158" t="s">
        <v>18</v>
      </c>
      <c r="F4158">
        <v>1000.44</v>
      </c>
      <c r="G4158">
        <v>249.92</v>
      </c>
      <c r="H4158" t="s">
        <v>13</v>
      </c>
      <c r="I4158" t="s">
        <v>29</v>
      </c>
    </row>
    <row r="4159" spans="1:9" x14ac:dyDescent="0.35">
      <c r="A4159" t="s">
        <v>4195</v>
      </c>
      <c r="B4159" s="1">
        <v>45650</v>
      </c>
      <c r="C4159" t="s">
        <v>16</v>
      </c>
      <c r="D4159" t="s">
        <v>41</v>
      </c>
      <c r="E4159" t="s">
        <v>12</v>
      </c>
      <c r="F4159">
        <v>618.14</v>
      </c>
      <c r="G4159">
        <v>57.33</v>
      </c>
      <c r="H4159" t="s">
        <v>13</v>
      </c>
      <c r="I4159" t="s">
        <v>29</v>
      </c>
    </row>
    <row r="4160" spans="1:9" x14ac:dyDescent="0.35">
      <c r="A4160" t="s">
        <v>4196</v>
      </c>
      <c r="B4160" s="1">
        <v>45339</v>
      </c>
      <c r="C4160" t="s">
        <v>10</v>
      </c>
      <c r="D4160" t="s">
        <v>95</v>
      </c>
      <c r="E4160" t="s">
        <v>18</v>
      </c>
      <c r="F4160">
        <v>1168.79</v>
      </c>
      <c r="G4160">
        <v>66.13</v>
      </c>
      <c r="H4160" t="s">
        <v>13</v>
      </c>
      <c r="I4160" t="s">
        <v>20</v>
      </c>
    </row>
    <row r="4161" spans="1:9" x14ac:dyDescent="0.35">
      <c r="A4161" t="s">
        <v>4197</v>
      </c>
      <c r="B4161" s="1">
        <v>45521</v>
      </c>
      <c r="C4161" t="s">
        <v>25</v>
      </c>
      <c r="D4161" t="s">
        <v>95</v>
      </c>
      <c r="E4161" t="s">
        <v>18</v>
      </c>
      <c r="F4161">
        <v>1538.39</v>
      </c>
      <c r="G4161">
        <v>429.77</v>
      </c>
      <c r="H4161" t="s">
        <v>13</v>
      </c>
      <c r="I4161" t="s">
        <v>14</v>
      </c>
    </row>
    <row r="4162" spans="1:9" x14ac:dyDescent="0.35">
      <c r="A4162" t="s">
        <v>4198</v>
      </c>
      <c r="B4162" s="1">
        <v>44884</v>
      </c>
      <c r="C4162" t="s">
        <v>22</v>
      </c>
      <c r="D4162" t="s">
        <v>95</v>
      </c>
      <c r="E4162" t="s">
        <v>18</v>
      </c>
      <c r="F4162">
        <v>180.35</v>
      </c>
      <c r="G4162">
        <v>24.54</v>
      </c>
      <c r="H4162" t="s">
        <v>28</v>
      </c>
      <c r="I4162" t="s">
        <v>29</v>
      </c>
    </row>
    <row r="4163" spans="1:9" x14ac:dyDescent="0.35">
      <c r="A4163" t="s">
        <v>4199</v>
      </c>
      <c r="B4163" s="1">
        <v>45024</v>
      </c>
      <c r="C4163" t="s">
        <v>22</v>
      </c>
      <c r="D4163" t="s">
        <v>23</v>
      </c>
      <c r="E4163" t="s">
        <v>18</v>
      </c>
      <c r="F4163">
        <v>565.28</v>
      </c>
      <c r="G4163">
        <v>135.87</v>
      </c>
      <c r="H4163" t="s">
        <v>13</v>
      </c>
      <c r="I4163" t="s">
        <v>29</v>
      </c>
    </row>
    <row r="4164" spans="1:9" x14ac:dyDescent="0.35">
      <c r="A4164" t="s">
        <v>4200</v>
      </c>
      <c r="B4164" s="1">
        <v>45463</v>
      </c>
      <c r="C4164" t="s">
        <v>22</v>
      </c>
      <c r="D4164" t="s">
        <v>41</v>
      </c>
      <c r="E4164" t="s">
        <v>12</v>
      </c>
      <c r="F4164">
        <v>1400.91</v>
      </c>
      <c r="G4164">
        <v>180.29</v>
      </c>
      <c r="H4164" t="s">
        <v>19</v>
      </c>
      <c r="I4164" t="s">
        <v>34</v>
      </c>
    </row>
    <row r="4165" spans="1:9" x14ac:dyDescent="0.35">
      <c r="A4165" t="s">
        <v>4201</v>
      </c>
      <c r="B4165" s="1">
        <v>45069</v>
      </c>
      <c r="C4165" t="s">
        <v>10</v>
      </c>
      <c r="D4165" t="s">
        <v>46</v>
      </c>
      <c r="E4165" t="s">
        <v>18</v>
      </c>
      <c r="F4165">
        <v>1232.1099999999999</v>
      </c>
      <c r="G4165">
        <v>347.29</v>
      </c>
      <c r="H4165" t="s">
        <v>19</v>
      </c>
      <c r="I4165" t="s">
        <v>34</v>
      </c>
    </row>
    <row r="4166" spans="1:9" x14ac:dyDescent="0.35">
      <c r="A4166" t="s">
        <v>4202</v>
      </c>
      <c r="B4166" s="1">
        <v>45402</v>
      </c>
      <c r="C4166" t="s">
        <v>10</v>
      </c>
      <c r="D4166" t="s">
        <v>23</v>
      </c>
      <c r="E4166" t="s">
        <v>18</v>
      </c>
      <c r="F4166">
        <v>98.45</v>
      </c>
      <c r="G4166">
        <v>19.88</v>
      </c>
      <c r="H4166" t="s">
        <v>13</v>
      </c>
      <c r="I4166" t="s">
        <v>29</v>
      </c>
    </row>
    <row r="4167" spans="1:9" x14ac:dyDescent="0.35">
      <c r="A4167" t="s">
        <v>4203</v>
      </c>
      <c r="B4167" s="1">
        <v>45079</v>
      </c>
      <c r="C4167" t="s">
        <v>10</v>
      </c>
      <c r="D4167" t="s">
        <v>62</v>
      </c>
      <c r="E4167" t="s">
        <v>27</v>
      </c>
      <c r="F4167">
        <v>1878.88</v>
      </c>
      <c r="G4167">
        <v>176.55</v>
      </c>
      <c r="H4167" t="s">
        <v>28</v>
      </c>
      <c r="I4167" t="s">
        <v>14</v>
      </c>
    </row>
    <row r="4168" spans="1:9" x14ac:dyDescent="0.35">
      <c r="A4168" t="s">
        <v>4204</v>
      </c>
      <c r="B4168" s="1">
        <v>44861</v>
      </c>
      <c r="C4168" t="s">
        <v>25</v>
      </c>
      <c r="D4168" t="s">
        <v>38</v>
      </c>
      <c r="E4168" t="s">
        <v>12</v>
      </c>
      <c r="F4168">
        <v>840.44</v>
      </c>
      <c r="G4168">
        <v>101.23</v>
      </c>
      <c r="H4168" t="s">
        <v>28</v>
      </c>
      <c r="I4168" t="s">
        <v>34</v>
      </c>
    </row>
    <row r="4169" spans="1:9" x14ac:dyDescent="0.35">
      <c r="A4169" t="s">
        <v>4205</v>
      </c>
      <c r="B4169" s="1">
        <v>44862</v>
      </c>
      <c r="C4169" t="s">
        <v>22</v>
      </c>
      <c r="D4169" t="s">
        <v>41</v>
      </c>
      <c r="E4169" t="s">
        <v>12</v>
      </c>
      <c r="F4169">
        <v>1445.48</v>
      </c>
      <c r="G4169">
        <v>399.95</v>
      </c>
      <c r="H4169" t="s">
        <v>28</v>
      </c>
      <c r="I4169" t="s">
        <v>34</v>
      </c>
    </row>
    <row r="4170" spans="1:9" x14ac:dyDescent="0.35">
      <c r="A4170" t="s">
        <v>4206</v>
      </c>
      <c r="B4170" s="1">
        <v>44887</v>
      </c>
      <c r="C4170" t="s">
        <v>22</v>
      </c>
      <c r="D4170" t="s">
        <v>50</v>
      </c>
      <c r="E4170" t="s">
        <v>12</v>
      </c>
      <c r="F4170">
        <v>844.06</v>
      </c>
      <c r="G4170">
        <v>175.74</v>
      </c>
      <c r="H4170" t="s">
        <v>28</v>
      </c>
      <c r="I4170" t="s">
        <v>20</v>
      </c>
    </row>
    <row r="4171" spans="1:9" x14ac:dyDescent="0.35">
      <c r="A4171" t="s">
        <v>4207</v>
      </c>
      <c r="B4171" s="1">
        <v>45436</v>
      </c>
      <c r="C4171" t="s">
        <v>10</v>
      </c>
      <c r="D4171" t="s">
        <v>31</v>
      </c>
      <c r="E4171" t="s">
        <v>12</v>
      </c>
      <c r="F4171">
        <v>1982.42</v>
      </c>
      <c r="G4171">
        <v>582.67999999999995</v>
      </c>
      <c r="H4171" t="s">
        <v>13</v>
      </c>
      <c r="I4171" t="s">
        <v>29</v>
      </c>
    </row>
    <row r="4172" spans="1:9" x14ac:dyDescent="0.35">
      <c r="A4172" t="s">
        <v>4208</v>
      </c>
      <c r="B4172" s="1">
        <v>45063</v>
      </c>
      <c r="C4172" t="s">
        <v>25</v>
      </c>
      <c r="D4172" t="s">
        <v>33</v>
      </c>
      <c r="E4172" t="s">
        <v>18</v>
      </c>
      <c r="F4172">
        <v>901.11</v>
      </c>
      <c r="G4172">
        <v>89.13</v>
      </c>
      <c r="H4172" t="s">
        <v>28</v>
      </c>
      <c r="I4172" t="s">
        <v>14</v>
      </c>
    </row>
    <row r="4173" spans="1:9" x14ac:dyDescent="0.35">
      <c r="A4173" t="s">
        <v>4209</v>
      </c>
      <c r="B4173" s="1">
        <v>45445</v>
      </c>
      <c r="C4173" t="s">
        <v>10</v>
      </c>
      <c r="D4173" t="s">
        <v>95</v>
      </c>
      <c r="E4173" t="s">
        <v>18</v>
      </c>
      <c r="F4173">
        <v>869.76</v>
      </c>
      <c r="G4173">
        <v>210.25</v>
      </c>
      <c r="H4173" t="s">
        <v>13</v>
      </c>
      <c r="I4173" t="s">
        <v>20</v>
      </c>
    </row>
    <row r="4174" spans="1:9" x14ac:dyDescent="0.35">
      <c r="A4174" t="s">
        <v>4210</v>
      </c>
      <c r="B4174" s="1">
        <v>45022</v>
      </c>
      <c r="C4174" t="s">
        <v>10</v>
      </c>
      <c r="D4174" t="s">
        <v>50</v>
      </c>
      <c r="E4174" t="s">
        <v>12</v>
      </c>
      <c r="F4174">
        <v>1659.6</v>
      </c>
      <c r="G4174">
        <v>159.96</v>
      </c>
      <c r="H4174" t="s">
        <v>13</v>
      </c>
      <c r="I4174" t="s">
        <v>20</v>
      </c>
    </row>
    <row r="4175" spans="1:9" x14ac:dyDescent="0.35">
      <c r="A4175" t="s">
        <v>4211</v>
      </c>
      <c r="B4175" s="1">
        <v>45040</v>
      </c>
      <c r="C4175" t="s">
        <v>10</v>
      </c>
      <c r="D4175" t="s">
        <v>33</v>
      </c>
      <c r="E4175" t="s">
        <v>18</v>
      </c>
      <c r="F4175">
        <v>359.47</v>
      </c>
      <c r="G4175">
        <v>23.6</v>
      </c>
      <c r="H4175" t="s">
        <v>13</v>
      </c>
      <c r="I4175" t="s">
        <v>14</v>
      </c>
    </row>
    <row r="4176" spans="1:9" x14ac:dyDescent="0.35">
      <c r="A4176" t="s">
        <v>4212</v>
      </c>
      <c r="B4176" s="1">
        <v>45035</v>
      </c>
      <c r="C4176" t="s">
        <v>10</v>
      </c>
      <c r="D4176" t="s">
        <v>26</v>
      </c>
      <c r="E4176" t="s">
        <v>27</v>
      </c>
      <c r="F4176">
        <v>1701.27</v>
      </c>
      <c r="G4176">
        <v>188.21</v>
      </c>
      <c r="H4176" t="s">
        <v>19</v>
      </c>
      <c r="I4176" t="s">
        <v>20</v>
      </c>
    </row>
    <row r="4177" spans="1:9" x14ac:dyDescent="0.35">
      <c r="A4177" t="s">
        <v>4213</v>
      </c>
      <c r="B4177" s="1">
        <v>45289</v>
      </c>
      <c r="C4177" t="s">
        <v>16</v>
      </c>
      <c r="D4177" t="s">
        <v>46</v>
      </c>
      <c r="E4177" t="s">
        <v>18</v>
      </c>
      <c r="F4177">
        <v>943</v>
      </c>
      <c r="G4177">
        <v>97.68</v>
      </c>
      <c r="H4177" t="s">
        <v>13</v>
      </c>
      <c r="I4177" t="s">
        <v>14</v>
      </c>
    </row>
    <row r="4178" spans="1:9" x14ac:dyDescent="0.35">
      <c r="A4178" t="s">
        <v>4214</v>
      </c>
      <c r="B4178" s="1">
        <v>44572</v>
      </c>
      <c r="C4178" t="s">
        <v>25</v>
      </c>
      <c r="D4178" t="s">
        <v>38</v>
      </c>
      <c r="E4178" t="s">
        <v>12</v>
      </c>
      <c r="F4178">
        <v>1103.07</v>
      </c>
      <c r="G4178">
        <v>155.38</v>
      </c>
      <c r="H4178" t="s">
        <v>19</v>
      </c>
      <c r="I4178" t="s">
        <v>14</v>
      </c>
    </row>
    <row r="4179" spans="1:9" x14ac:dyDescent="0.35">
      <c r="A4179" t="s">
        <v>4215</v>
      </c>
      <c r="B4179" s="1">
        <v>44722</v>
      </c>
      <c r="C4179" t="s">
        <v>25</v>
      </c>
      <c r="D4179" t="s">
        <v>41</v>
      </c>
      <c r="E4179" t="s">
        <v>12</v>
      </c>
      <c r="F4179">
        <v>1484.79</v>
      </c>
      <c r="G4179">
        <v>337.97</v>
      </c>
      <c r="H4179" t="s">
        <v>13</v>
      </c>
      <c r="I4179" t="s">
        <v>29</v>
      </c>
    </row>
    <row r="4180" spans="1:9" x14ac:dyDescent="0.35">
      <c r="A4180" t="s">
        <v>4216</v>
      </c>
      <c r="B4180" s="1">
        <v>45425</v>
      </c>
      <c r="C4180" t="s">
        <v>16</v>
      </c>
      <c r="D4180" t="s">
        <v>17</v>
      </c>
      <c r="E4180" t="s">
        <v>18</v>
      </c>
      <c r="F4180">
        <v>679.74</v>
      </c>
      <c r="G4180">
        <v>153.59</v>
      </c>
      <c r="H4180" t="s">
        <v>13</v>
      </c>
      <c r="I4180" t="s">
        <v>14</v>
      </c>
    </row>
    <row r="4181" spans="1:9" x14ac:dyDescent="0.35">
      <c r="A4181" t="s">
        <v>4217</v>
      </c>
      <c r="B4181" s="1">
        <v>45293</v>
      </c>
      <c r="C4181" t="s">
        <v>10</v>
      </c>
      <c r="D4181" t="s">
        <v>17</v>
      </c>
      <c r="E4181" t="s">
        <v>18</v>
      </c>
      <c r="F4181">
        <v>1107.5</v>
      </c>
      <c r="G4181">
        <v>192.8</v>
      </c>
      <c r="H4181" t="s">
        <v>13</v>
      </c>
      <c r="I4181" t="s">
        <v>14</v>
      </c>
    </row>
    <row r="4182" spans="1:9" x14ac:dyDescent="0.35">
      <c r="A4182" t="s">
        <v>4218</v>
      </c>
      <c r="B4182" s="1">
        <v>45330</v>
      </c>
      <c r="C4182" t="s">
        <v>25</v>
      </c>
      <c r="D4182" t="s">
        <v>73</v>
      </c>
      <c r="E4182" t="s">
        <v>27</v>
      </c>
      <c r="F4182">
        <v>1103.03</v>
      </c>
      <c r="G4182">
        <v>290.81</v>
      </c>
      <c r="H4182" t="s">
        <v>19</v>
      </c>
      <c r="I4182" t="s">
        <v>14</v>
      </c>
    </row>
    <row r="4183" spans="1:9" x14ac:dyDescent="0.35">
      <c r="A4183" t="s">
        <v>4219</v>
      </c>
      <c r="B4183" s="1">
        <v>44842</v>
      </c>
      <c r="C4183" t="s">
        <v>10</v>
      </c>
      <c r="D4183" t="s">
        <v>26</v>
      </c>
      <c r="E4183" t="s">
        <v>27</v>
      </c>
      <c r="F4183">
        <v>1699.63</v>
      </c>
      <c r="G4183">
        <v>253.89</v>
      </c>
      <c r="H4183" t="s">
        <v>19</v>
      </c>
      <c r="I4183" t="s">
        <v>34</v>
      </c>
    </row>
    <row r="4184" spans="1:9" x14ac:dyDescent="0.35">
      <c r="A4184" t="s">
        <v>4220</v>
      </c>
      <c r="B4184" s="1">
        <v>45306</v>
      </c>
      <c r="C4184" t="s">
        <v>10</v>
      </c>
      <c r="D4184" t="s">
        <v>57</v>
      </c>
      <c r="E4184" t="s">
        <v>27</v>
      </c>
      <c r="F4184">
        <v>1848.52</v>
      </c>
      <c r="G4184">
        <v>442.79</v>
      </c>
      <c r="H4184" t="s">
        <v>28</v>
      </c>
      <c r="I4184" t="s">
        <v>14</v>
      </c>
    </row>
    <row r="4185" spans="1:9" x14ac:dyDescent="0.35">
      <c r="A4185" t="s">
        <v>4221</v>
      </c>
      <c r="B4185" s="1">
        <v>45290</v>
      </c>
      <c r="C4185" t="s">
        <v>22</v>
      </c>
      <c r="D4185" t="s">
        <v>38</v>
      </c>
      <c r="E4185" t="s">
        <v>12</v>
      </c>
      <c r="F4185">
        <v>481.69</v>
      </c>
      <c r="G4185">
        <v>47.07</v>
      </c>
      <c r="H4185" t="s">
        <v>28</v>
      </c>
      <c r="I4185" t="s">
        <v>29</v>
      </c>
    </row>
    <row r="4186" spans="1:9" x14ac:dyDescent="0.35">
      <c r="A4186" t="s">
        <v>4222</v>
      </c>
      <c r="B4186" s="1">
        <v>45649</v>
      </c>
      <c r="C4186" t="s">
        <v>25</v>
      </c>
      <c r="D4186" t="s">
        <v>46</v>
      </c>
      <c r="E4186" t="s">
        <v>18</v>
      </c>
      <c r="F4186">
        <v>308.7</v>
      </c>
      <c r="G4186">
        <v>42.5</v>
      </c>
      <c r="H4186" t="s">
        <v>13</v>
      </c>
      <c r="I4186" t="s">
        <v>29</v>
      </c>
    </row>
    <row r="4187" spans="1:9" x14ac:dyDescent="0.35">
      <c r="A4187" t="s">
        <v>4223</v>
      </c>
      <c r="B4187" s="1">
        <v>45255</v>
      </c>
      <c r="C4187" t="s">
        <v>22</v>
      </c>
      <c r="D4187" t="s">
        <v>33</v>
      </c>
      <c r="E4187" t="s">
        <v>18</v>
      </c>
      <c r="F4187">
        <v>1982.6</v>
      </c>
      <c r="G4187">
        <v>328.07</v>
      </c>
      <c r="H4187" t="s">
        <v>13</v>
      </c>
      <c r="I4187" t="s">
        <v>34</v>
      </c>
    </row>
    <row r="4188" spans="1:9" x14ac:dyDescent="0.35">
      <c r="A4188" t="s">
        <v>4224</v>
      </c>
      <c r="B4188" s="1">
        <v>45040</v>
      </c>
      <c r="C4188" t="s">
        <v>16</v>
      </c>
      <c r="D4188" t="s">
        <v>57</v>
      </c>
      <c r="E4188" t="s">
        <v>27</v>
      </c>
      <c r="F4188">
        <v>1598.12</v>
      </c>
      <c r="G4188">
        <v>403.59</v>
      </c>
      <c r="H4188" t="s">
        <v>28</v>
      </c>
      <c r="I4188" t="s">
        <v>14</v>
      </c>
    </row>
    <row r="4189" spans="1:9" x14ac:dyDescent="0.35">
      <c r="A4189" t="s">
        <v>4225</v>
      </c>
      <c r="B4189" s="1">
        <v>44758</v>
      </c>
      <c r="C4189" t="s">
        <v>22</v>
      </c>
      <c r="D4189" t="s">
        <v>57</v>
      </c>
      <c r="E4189" t="s">
        <v>27</v>
      </c>
      <c r="F4189">
        <v>1509.91</v>
      </c>
      <c r="G4189">
        <v>387.29</v>
      </c>
      <c r="H4189" t="s">
        <v>19</v>
      </c>
      <c r="I4189" t="s">
        <v>29</v>
      </c>
    </row>
    <row r="4190" spans="1:9" x14ac:dyDescent="0.35">
      <c r="A4190" t="s">
        <v>4226</v>
      </c>
      <c r="B4190" s="1">
        <v>44633</v>
      </c>
      <c r="C4190" t="s">
        <v>22</v>
      </c>
      <c r="D4190" t="s">
        <v>50</v>
      </c>
      <c r="E4190" t="s">
        <v>12</v>
      </c>
      <c r="F4190">
        <v>135.63</v>
      </c>
      <c r="G4190">
        <v>13.44</v>
      </c>
      <c r="H4190" t="s">
        <v>28</v>
      </c>
      <c r="I4190" t="s">
        <v>34</v>
      </c>
    </row>
    <row r="4191" spans="1:9" x14ac:dyDescent="0.35">
      <c r="A4191" t="s">
        <v>4227</v>
      </c>
      <c r="B4191" s="1">
        <v>45189</v>
      </c>
      <c r="C4191" t="s">
        <v>10</v>
      </c>
      <c r="D4191" t="s">
        <v>26</v>
      </c>
      <c r="E4191" t="s">
        <v>27</v>
      </c>
      <c r="F4191">
        <v>1432.32</v>
      </c>
      <c r="G4191">
        <v>129.83000000000001</v>
      </c>
      <c r="H4191" t="s">
        <v>19</v>
      </c>
      <c r="I4191" t="s">
        <v>20</v>
      </c>
    </row>
    <row r="4192" spans="1:9" x14ac:dyDescent="0.35">
      <c r="A4192" t="s">
        <v>4228</v>
      </c>
      <c r="B4192" s="1">
        <v>45447</v>
      </c>
      <c r="C4192" t="s">
        <v>16</v>
      </c>
      <c r="D4192" t="s">
        <v>38</v>
      </c>
      <c r="E4192" t="s">
        <v>12</v>
      </c>
      <c r="F4192">
        <v>1450.06</v>
      </c>
      <c r="G4192">
        <v>170.39</v>
      </c>
      <c r="H4192" t="s">
        <v>19</v>
      </c>
      <c r="I4192" t="s">
        <v>34</v>
      </c>
    </row>
    <row r="4193" spans="1:9" x14ac:dyDescent="0.35">
      <c r="A4193" t="s">
        <v>4229</v>
      </c>
      <c r="B4193" s="1">
        <v>44624</v>
      </c>
      <c r="C4193" t="s">
        <v>16</v>
      </c>
      <c r="D4193" t="s">
        <v>38</v>
      </c>
      <c r="E4193" t="s">
        <v>12</v>
      </c>
      <c r="F4193">
        <v>1167.26</v>
      </c>
      <c r="G4193">
        <v>301.89999999999998</v>
      </c>
      <c r="H4193" t="s">
        <v>19</v>
      </c>
      <c r="I4193" t="s">
        <v>14</v>
      </c>
    </row>
    <row r="4194" spans="1:9" x14ac:dyDescent="0.35">
      <c r="A4194" t="s">
        <v>4230</v>
      </c>
      <c r="B4194" s="1">
        <v>45411</v>
      </c>
      <c r="C4194" t="s">
        <v>25</v>
      </c>
      <c r="D4194" t="s">
        <v>11</v>
      </c>
      <c r="E4194" t="s">
        <v>12</v>
      </c>
      <c r="F4194">
        <v>1996.34</v>
      </c>
      <c r="G4194">
        <v>229.78</v>
      </c>
      <c r="H4194" t="s">
        <v>19</v>
      </c>
      <c r="I4194" t="s">
        <v>34</v>
      </c>
    </row>
    <row r="4195" spans="1:9" x14ac:dyDescent="0.35">
      <c r="A4195" t="s">
        <v>4231</v>
      </c>
      <c r="B4195" s="1">
        <v>44600</v>
      </c>
      <c r="C4195" t="s">
        <v>10</v>
      </c>
      <c r="D4195" t="s">
        <v>73</v>
      </c>
      <c r="E4195" t="s">
        <v>27</v>
      </c>
      <c r="F4195">
        <v>1229.54</v>
      </c>
      <c r="G4195">
        <v>339.91</v>
      </c>
      <c r="H4195" t="s">
        <v>28</v>
      </c>
      <c r="I4195" t="s">
        <v>20</v>
      </c>
    </row>
    <row r="4196" spans="1:9" x14ac:dyDescent="0.35">
      <c r="A4196" t="s">
        <v>4232</v>
      </c>
      <c r="B4196" s="1">
        <v>44692</v>
      </c>
      <c r="C4196" t="s">
        <v>16</v>
      </c>
      <c r="D4196" t="s">
        <v>11</v>
      </c>
      <c r="E4196" t="s">
        <v>12</v>
      </c>
      <c r="F4196">
        <v>919.2</v>
      </c>
      <c r="G4196">
        <v>235.52</v>
      </c>
      <c r="H4196" t="s">
        <v>13</v>
      </c>
      <c r="I4196" t="s">
        <v>20</v>
      </c>
    </row>
    <row r="4197" spans="1:9" x14ac:dyDescent="0.35">
      <c r="A4197" t="s">
        <v>4233</v>
      </c>
      <c r="B4197" s="1">
        <v>45372</v>
      </c>
      <c r="C4197" t="s">
        <v>22</v>
      </c>
      <c r="D4197" t="s">
        <v>26</v>
      </c>
      <c r="E4197" t="s">
        <v>27</v>
      </c>
      <c r="F4197">
        <v>1794.13</v>
      </c>
      <c r="G4197">
        <v>290.77</v>
      </c>
      <c r="H4197" t="s">
        <v>28</v>
      </c>
      <c r="I4197" t="s">
        <v>29</v>
      </c>
    </row>
    <row r="4198" spans="1:9" x14ac:dyDescent="0.35">
      <c r="A4198" t="s">
        <v>4234</v>
      </c>
      <c r="B4198" s="1">
        <v>44939</v>
      </c>
      <c r="C4198" t="s">
        <v>25</v>
      </c>
      <c r="D4198" t="s">
        <v>17</v>
      </c>
      <c r="E4198" t="s">
        <v>18</v>
      </c>
      <c r="F4198">
        <v>1386.01</v>
      </c>
      <c r="G4198">
        <v>124.72</v>
      </c>
      <c r="H4198" t="s">
        <v>28</v>
      </c>
      <c r="I4198" t="s">
        <v>14</v>
      </c>
    </row>
    <row r="4199" spans="1:9" x14ac:dyDescent="0.35">
      <c r="A4199" t="s">
        <v>4235</v>
      </c>
      <c r="B4199" s="1">
        <v>44988</v>
      </c>
      <c r="C4199" t="s">
        <v>10</v>
      </c>
      <c r="D4199" t="s">
        <v>33</v>
      </c>
      <c r="E4199" t="s">
        <v>18</v>
      </c>
      <c r="F4199">
        <v>1619.7</v>
      </c>
      <c r="G4199">
        <v>201.1</v>
      </c>
      <c r="H4199" t="s">
        <v>13</v>
      </c>
      <c r="I4199" t="s">
        <v>14</v>
      </c>
    </row>
    <row r="4200" spans="1:9" x14ac:dyDescent="0.35">
      <c r="A4200" t="s">
        <v>4236</v>
      </c>
      <c r="B4200" s="1">
        <v>45264</v>
      </c>
      <c r="C4200" t="s">
        <v>22</v>
      </c>
      <c r="D4200" t="s">
        <v>46</v>
      </c>
      <c r="E4200" t="s">
        <v>18</v>
      </c>
      <c r="F4200">
        <v>1831.12</v>
      </c>
      <c r="G4200">
        <v>125.24</v>
      </c>
      <c r="H4200" t="s">
        <v>13</v>
      </c>
      <c r="I4200" t="s">
        <v>20</v>
      </c>
    </row>
    <row r="4201" spans="1:9" x14ac:dyDescent="0.35">
      <c r="A4201" t="s">
        <v>4237</v>
      </c>
      <c r="B4201" s="1">
        <v>44687</v>
      </c>
      <c r="C4201" t="s">
        <v>10</v>
      </c>
      <c r="D4201" t="s">
        <v>73</v>
      </c>
      <c r="E4201" t="s">
        <v>27</v>
      </c>
      <c r="F4201">
        <v>267.54000000000002</v>
      </c>
      <c r="G4201">
        <v>27.17</v>
      </c>
      <c r="H4201" t="s">
        <v>13</v>
      </c>
      <c r="I4201" t="s">
        <v>34</v>
      </c>
    </row>
    <row r="4202" spans="1:9" x14ac:dyDescent="0.35">
      <c r="A4202" t="s">
        <v>4238</v>
      </c>
      <c r="B4202" s="1">
        <v>45576</v>
      </c>
      <c r="C4202" t="s">
        <v>25</v>
      </c>
      <c r="D4202" t="s">
        <v>41</v>
      </c>
      <c r="E4202" t="s">
        <v>12</v>
      </c>
      <c r="F4202">
        <v>1436.86</v>
      </c>
      <c r="G4202">
        <v>82.24</v>
      </c>
      <c r="H4202" t="s">
        <v>28</v>
      </c>
      <c r="I4202" t="s">
        <v>34</v>
      </c>
    </row>
    <row r="4203" spans="1:9" x14ac:dyDescent="0.35">
      <c r="A4203" t="s">
        <v>4239</v>
      </c>
      <c r="B4203" s="1">
        <v>44826</v>
      </c>
      <c r="C4203" t="s">
        <v>10</v>
      </c>
      <c r="D4203" t="s">
        <v>11</v>
      </c>
      <c r="E4203" t="s">
        <v>12</v>
      </c>
      <c r="F4203">
        <v>1907.09</v>
      </c>
      <c r="G4203">
        <v>241.05</v>
      </c>
      <c r="H4203" t="s">
        <v>13</v>
      </c>
      <c r="I4203" t="s">
        <v>14</v>
      </c>
    </row>
    <row r="4204" spans="1:9" x14ac:dyDescent="0.35">
      <c r="A4204" t="s">
        <v>4240</v>
      </c>
      <c r="B4204" s="1">
        <v>44765</v>
      </c>
      <c r="C4204" t="s">
        <v>16</v>
      </c>
      <c r="D4204" t="s">
        <v>31</v>
      </c>
      <c r="E4204" t="s">
        <v>12</v>
      </c>
      <c r="F4204">
        <v>1741.25</v>
      </c>
      <c r="G4204">
        <v>243.14</v>
      </c>
      <c r="H4204" t="s">
        <v>13</v>
      </c>
      <c r="I4204" t="s">
        <v>29</v>
      </c>
    </row>
    <row r="4205" spans="1:9" x14ac:dyDescent="0.35">
      <c r="A4205" t="s">
        <v>4241</v>
      </c>
      <c r="B4205" s="1">
        <v>44589</v>
      </c>
      <c r="C4205" t="s">
        <v>16</v>
      </c>
      <c r="D4205" t="s">
        <v>11</v>
      </c>
      <c r="E4205" t="s">
        <v>12</v>
      </c>
      <c r="F4205">
        <v>1277.8699999999999</v>
      </c>
      <c r="G4205">
        <v>284.32</v>
      </c>
      <c r="H4205" t="s">
        <v>13</v>
      </c>
      <c r="I4205" t="s">
        <v>29</v>
      </c>
    </row>
    <row r="4206" spans="1:9" x14ac:dyDescent="0.35">
      <c r="A4206" t="s">
        <v>4242</v>
      </c>
      <c r="B4206" s="1">
        <v>44809</v>
      </c>
      <c r="C4206" t="s">
        <v>16</v>
      </c>
      <c r="D4206" t="s">
        <v>38</v>
      </c>
      <c r="E4206" t="s">
        <v>12</v>
      </c>
      <c r="F4206">
        <v>656.37</v>
      </c>
      <c r="G4206">
        <v>75.930000000000007</v>
      </c>
      <c r="H4206" t="s">
        <v>13</v>
      </c>
      <c r="I4206" t="s">
        <v>34</v>
      </c>
    </row>
    <row r="4207" spans="1:9" x14ac:dyDescent="0.35">
      <c r="A4207" t="s">
        <v>4243</v>
      </c>
      <c r="B4207" s="1">
        <v>45168</v>
      </c>
      <c r="C4207" t="s">
        <v>10</v>
      </c>
      <c r="D4207" t="s">
        <v>11</v>
      </c>
      <c r="E4207" t="s">
        <v>12</v>
      </c>
      <c r="F4207">
        <v>936.53</v>
      </c>
      <c r="G4207">
        <v>188.38</v>
      </c>
      <c r="H4207" t="s">
        <v>13</v>
      </c>
      <c r="I4207" t="s">
        <v>14</v>
      </c>
    </row>
    <row r="4208" spans="1:9" x14ac:dyDescent="0.35">
      <c r="A4208" t="s">
        <v>4244</v>
      </c>
      <c r="B4208" s="1">
        <v>45263</v>
      </c>
      <c r="C4208" t="s">
        <v>22</v>
      </c>
      <c r="D4208" t="s">
        <v>73</v>
      </c>
      <c r="E4208" t="s">
        <v>27</v>
      </c>
      <c r="F4208">
        <v>841.63</v>
      </c>
      <c r="G4208">
        <v>196.41</v>
      </c>
      <c r="H4208" t="s">
        <v>13</v>
      </c>
      <c r="I4208" t="s">
        <v>14</v>
      </c>
    </row>
    <row r="4209" spans="1:9" x14ac:dyDescent="0.35">
      <c r="A4209" t="s">
        <v>4245</v>
      </c>
      <c r="B4209" s="1">
        <v>45045</v>
      </c>
      <c r="C4209" t="s">
        <v>10</v>
      </c>
      <c r="D4209" t="s">
        <v>11</v>
      </c>
      <c r="E4209" t="s">
        <v>12</v>
      </c>
      <c r="F4209">
        <v>133.63999999999999</v>
      </c>
      <c r="G4209">
        <v>34.619999999999997</v>
      </c>
      <c r="H4209" t="s">
        <v>19</v>
      </c>
      <c r="I4209" t="s">
        <v>29</v>
      </c>
    </row>
    <row r="4210" spans="1:9" x14ac:dyDescent="0.35">
      <c r="A4210" t="s">
        <v>4246</v>
      </c>
      <c r="B4210" s="1">
        <v>44705</v>
      </c>
      <c r="C4210" t="s">
        <v>25</v>
      </c>
      <c r="D4210" t="s">
        <v>46</v>
      </c>
      <c r="E4210" t="s">
        <v>18</v>
      </c>
      <c r="F4210">
        <v>657.27</v>
      </c>
      <c r="G4210">
        <v>71.23</v>
      </c>
      <c r="H4210" t="s">
        <v>13</v>
      </c>
      <c r="I4210" t="s">
        <v>14</v>
      </c>
    </row>
    <row r="4211" spans="1:9" x14ac:dyDescent="0.35">
      <c r="A4211" t="s">
        <v>4247</v>
      </c>
      <c r="B4211" s="1">
        <v>45183</v>
      </c>
      <c r="C4211" t="s">
        <v>22</v>
      </c>
      <c r="D4211" t="s">
        <v>23</v>
      </c>
      <c r="E4211" t="s">
        <v>18</v>
      </c>
      <c r="F4211">
        <v>384.91</v>
      </c>
      <c r="G4211">
        <v>72.55</v>
      </c>
      <c r="H4211" t="s">
        <v>19</v>
      </c>
      <c r="I4211" t="s">
        <v>20</v>
      </c>
    </row>
    <row r="4212" spans="1:9" x14ac:dyDescent="0.35">
      <c r="A4212" t="s">
        <v>4248</v>
      </c>
      <c r="B4212" s="1">
        <v>45524</v>
      </c>
      <c r="C4212" t="s">
        <v>16</v>
      </c>
      <c r="D4212" t="s">
        <v>31</v>
      </c>
      <c r="E4212" t="s">
        <v>12</v>
      </c>
      <c r="F4212">
        <v>254.38</v>
      </c>
      <c r="G4212">
        <v>22.91</v>
      </c>
      <c r="H4212" t="s">
        <v>28</v>
      </c>
      <c r="I4212" t="s">
        <v>34</v>
      </c>
    </row>
    <row r="4213" spans="1:9" x14ac:dyDescent="0.35">
      <c r="A4213" t="s">
        <v>4249</v>
      </c>
      <c r="B4213" s="1">
        <v>45211</v>
      </c>
      <c r="C4213" t="s">
        <v>10</v>
      </c>
      <c r="D4213" t="s">
        <v>95</v>
      </c>
      <c r="E4213" t="s">
        <v>18</v>
      </c>
      <c r="F4213">
        <v>947.22</v>
      </c>
      <c r="G4213">
        <v>115.02</v>
      </c>
      <c r="H4213" t="s">
        <v>13</v>
      </c>
      <c r="I4213" t="s">
        <v>34</v>
      </c>
    </row>
    <row r="4214" spans="1:9" x14ac:dyDescent="0.35">
      <c r="A4214" t="s">
        <v>4250</v>
      </c>
      <c r="B4214" s="1">
        <v>44656</v>
      </c>
      <c r="C4214" t="s">
        <v>25</v>
      </c>
      <c r="D4214" t="s">
        <v>33</v>
      </c>
      <c r="E4214" t="s">
        <v>18</v>
      </c>
      <c r="F4214">
        <v>920.18</v>
      </c>
      <c r="G4214">
        <v>247.45</v>
      </c>
      <c r="H4214" t="s">
        <v>13</v>
      </c>
      <c r="I4214" t="s">
        <v>34</v>
      </c>
    </row>
    <row r="4215" spans="1:9" x14ac:dyDescent="0.35">
      <c r="A4215" t="s">
        <v>4251</v>
      </c>
      <c r="B4215" s="1">
        <v>45583</v>
      </c>
      <c r="C4215" t="s">
        <v>16</v>
      </c>
      <c r="D4215" t="s">
        <v>73</v>
      </c>
      <c r="E4215" t="s">
        <v>27</v>
      </c>
      <c r="F4215">
        <v>968.78</v>
      </c>
      <c r="G4215">
        <v>158.19</v>
      </c>
      <c r="H4215" t="s">
        <v>28</v>
      </c>
      <c r="I4215" t="s">
        <v>14</v>
      </c>
    </row>
    <row r="4216" spans="1:9" x14ac:dyDescent="0.35">
      <c r="A4216" t="s">
        <v>4252</v>
      </c>
      <c r="B4216" s="1">
        <v>44668</v>
      </c>
      <c r="C4216" t="s">
        <v>22</v>
      </c>
      <c r="D4216" t="s">
        <v>17</v>
      </c>
      <c r="E4216" t="s">
        <v>18</v>
      </c>
      <c r="F4216">
        <v>366.19</v>
      </c>
      <c r="G4216">
        <v>99.94</v>
      </c>
      <c r="H4216" t="s">
        <v>19</v>
      </c>
      <c r="I4216" t="s">
        <v>20</v>
      </c>
    </row>
    <row r="4217" spans="1:9" x14ac:dyDescent="0.35">
      <c r="A4217" t="s">
        <v>4253</v>
      </c>
      <c r="B4217" s="1">
        <v>44812</v>
      </c>
      <c r="C4217" t="s">
        <v>22</v>
      </c>
      <c r="D4217" t="s">
        <v>50</v>
      </c>
      <c r="E4217" t="s">
        <v>12</v>
      </c>
      <c r="F4217">
        <v>1415.03</v>
      </c>
      <c r="G4217">
        <v>295.69</v>
      </c>
      <c r="H4217" t="s">
        <v>19</v>
      </c>
      <c r="I4217" t="s">
        <v>34</v>
      </c>
    </row>
    <row r="4218" spans="1:9" x14ac:dyDescent="0.35">
      <c r="A4218" t="s">
        <v>4254</v>
      </c>
      <c r="B4218" s="1">
        <v>45604</v>
      </c>
      <c r="C4218" t="s">
        <v>16</v>
      </c>
      <c r="D4218" t="s">
        <v>73</v>
      </c>
      <c r="E4218" t="s">
        <v>27</v>
      </c>
      <c r="F4218">
        <v>894.65</v>
      </c>
      <c r="G4218">
        <v>245.58</v>
      </c>
      <c r="H4218" t="s">
        <v>19</v>
      </c>
      <c r="I4218" t="s">
        <v>34</v>
      </c>
    </row>
    <row r="4219" spans="1:9" x14ac:dyDescent="0.35">
      <c r="A4219" t="s">
        <v>4255</v>
      </c>
      <c r="B4219" s="1">
        <v>45299</v>
      </c>
      <c r="C4219" t="s">
        <v>10</v>
      </c>
      <c r="D4219" t="s">
        <v>46</v>
      </c>
      <c r="E4219" t="s">
        <v>18</v>
      </c>
      <c r="F4219">
        <v>1659.2</v>
      </c>
      <c r="G4219">
        <v>186.41</v>
      </c>
      <c r="H4219" t="s">
        <v>28</v>
      </c>
      <c r="I4219" t="s">
        <v>20</v>
      </c>
    </row>
    <row r="4220" spans="1:9" x14ac:dyDescent="0.35">
      <c r="A4220" t="s">
        <v>4256</v>
      </c>
      <c r="B4220" s="1">
        <v>45313</v>
      </c>
      <c r="C4220" t="s">
        <v>25</v>
      </c>
      <c r="D4220" t="s">
        <v>26</v>
      </c>
      <c r="E4220" t="s">
        <v>27</v>
      </c>
      <c r="F4220">
        <v>592.1</v>
      </c>
      <c r="G4220">
        <v>47.16</v>
      </c>
      <c r="H4220" t="s">
        <v>19</v>
      </c>
      <c r="I4220" t="s">
        <v>14</v>
      </c>
    </row>
    <row r="4221" spans="1:9" x14ac:dyDescent="0.35">
      <c r="A4221" t="s">
        <v>4257</v>
      </c>
      <c r="B4221" s="1">
        <v>44853</v>
      </c>
      <c r="C4221" t="s">
        <v>25</v>
      </c>
      <c r="D4221" t="s">
        <v>17</v>
      </c>
      <c r="E4221" t="s">
        <v>18</v>
      </c>
      <c r="F4221">
        <v>1266.1600000000001</v>
      </c>
      <c r="G4221">
        <v>102.32</v>
      </c>
      <c r="H4221" t="s">
        <v>19</v>
      </c>
      <c r="I4221" t="s">
        <v>14</v>
      </c>
    </row>
    <row r="4222" spans="1:9" x14ac:dyDescent="0.35">
      <c r="A4222" t="s">
        <v>4258</v>
      </c>
      <c r="B4222" s="1">
        <v>44632</v>
      </c>
      <c r="C4222" t="s">
        <v>22</v>
      </c>
      <c r="D4222" t="s">
        <v>41</v>
      </c>
      <c r="E4222" t="s">
        <v>12</v>
      </c>
      <c r="F4222">
        <v>859.15</v>
      </c>
      <c r="G4222">
        <v>189.94</v>
      </c>
      <c r="H4222" t="s">
        <v>28</v>
      </c>
      <c r="I4222" t="s">
        <v>14</v>
      </c>
    </row>
    <row r="4223" spans="1:9" x14ac:dyDescent="0.35">
      <c r="A4223" t="s">
        <v>4259</v>
      </c>
      <c r="B4223" s="1">
        <v>44998</v>
      </c>
      <c r="C4223" t="s">
        <v>25</v>
      </c>
      <c r="D4223" t="s">
        <v>62</v>
      </c>
      <c r="E4223" t="s">
        <v>27</v>
      </c>
      <c r="F4223">
        <v>1532.57</v>
      </c>
      <c r="G4223">
        <v>138.22999999999999</v>
      </c>
      <c r="H4223" t="s">
        <v>28</v>
      </c>
      <c r="I4223" t="s">
        <v>29</v>
      </c>
    </row>
    <row r="4224" spans="1:9" x14ac:dyDescent="0.35">
      <c r="A4224" t="s">
        <v>4260</v>
      </c>
      <c r="B4224" s="1">
        <v>44969</v>
      </c>
      <c r="C4224" t="s">
        <v>25</v>
      </c>
      <c r="D4224" t="s">
        <v>57</v>
      </c>
      <c r="E4224" t="s">
        <v>27</v>
      </c>
      <c r="F4224">
        <v>1583.66</v>
      </c>
      <c r="G4224">
        <v>332.96</v>
      </c>
      <c r="H4224" t="s">
        <v>28</v>
      </c>
      <c r="I4224" t="s">
        <v>20</v>
      </c>
    </row>
    <row r="4225" spans="1:9" x14ac:dyDescent="0.35">
      <c r="A4225" t="s">
        <v>4261</v>
      </c>
      <c r="B4225" s="1">
        <v>45286</v>
      </c>
      <c r="C4225" t="s">
        <v>25</v>
      </c>
      <c r="D4225" t="s">
        <v>97</v>
      </c>
      <c r="E4225" t="s">
        <v>27</v>
      </c>
      <c r="F4225">
        <v>605.17999999999995</v>
      </c>
      <c r="G4225">
        <v>167.94</v>
      </c>
      <c r="H4225" t="s">
        <v>19</v>
      </c>
      <c r="I4225" t="s">
        <v>34</v>
      </c>
    </row>
    <row r="4226" spans="1:9" x14ac:dyDescent="0.35">
      <c r="A4226" t="s">
        <v>4262</v>
      </c>
      <c r="B4226" s="1">
        <v>44805</v>
      </c>
      <c r="C4226" t="s">
        <v>25</v>
      </c>
      <c r="D4226" t="s">
        <v>38</v>
      </c>
      <c r="E4226" t="s">
        <v>12</v>
      </c>
      <c r="F4226">
        <v>316.99</v>
      </c>
      <c r="G4226">
        <v>55.18</v>
      </c>
      <c r="H4226" t="s">
        <v>13</v>
      </c>
      <c r="I4226" t="s">
        <v>29</v>
      </c>
    </row>
    <row r="4227" spans="1:9" x14ac:dyDescent="0.35">
      <c r="A4227" t="s">
        <v>4263</v>
      </c>
      <c r="B4227" s="1">
        <v>45154</v>
      </c>
      <c r="C4227" t="s">
        <v>16</v>
      </c>
      <c r="D4227" t="s">
        <v>73</v>
      </c>
      <c r="E4227" t="s">
        <v>27</v>
      </c>
      <c r="F4227">
        <v>1439.41</v>
      </c>
      <c r="G4227">
        <v>217.36</v>
      </c>
      <c r="H4227" t="s">
        <v>19</v>
      </c>
      <c r="I4227" t="s">
        <v>34</v>
      </c>
    </row>
    <row r="4228" spans="1:9" x14ac:dyDescent="0.35">
      <c r="A4228" t="s">
        <v>4264</v>
      </c>
      <c r="B4228" s="1">
        <v>44579</v>
      </c>
      <c r="C4228" t="s">
        <v>16</v>
      </c>
      <c r="D4228" t="s">
        <v>50</v>
      </c>
      <c r="E4228" t="s">
        <v>12</v>
      </c>
      <c r="F4228">
        <v>1730.01</v>
      </c>
      <c r="G4228">
        <v>420.1</v>
      </c>
      <c r="H4228" t="s">
        <v>13</v>
      </c>
      <c r="I4228" t="s">
        <v>29</v>
      </c>
    </row>
    <row r="4229" spans="1:9" x14ac:dyDescent="0.35">
      <c r="A4229" t="s">
        <v>4265</v>
      </c>
      <c r="B4229" s="1">
        <v>45501</v>
      </c>
      <c r="C4229" t="s">
        <v>16</v>
      </c>
      <c r="D4229" t="s">
        <v>95</v>
      </c>
      <c r="E4229" t="s">
        <v>18</v>
      </c>
      <c r="F4229">
        <v>1276.0899999999999</v>
      </c>
      <c r="G4229">
        <v>255.21</v>
      </c>
      <c r="H4229" t="s">
        <v>13</v>
      </c>
      <c r="I4229" t="s">
        <v>14</v>
      </c>
    </row>
    <row r="4230" spans="1:9" x14ac:dyDescent="0.35">
      <c r="A4230" t="s">
        <v>4266</v>
      </c>
      <c r="B4230" s="1">
        <v>45233</v>
      </c>
      <c r="C4230" t="s">
        <v>10</v>
      </c>
      <c r="D4230" t="s">
        <v>11</v>
      </c>
      <c r="E4230" t="s">
        <v>12</v>
      </c>
      <c r="F4230">
        <v>335.61</v>
      </c>
      <c r="G4230">
        <v>24.26</v>
      </c>
      <c r="H4230" t="s">
        <v>19</v>
      </c>
      <c r="I4230" t="s">
        <v>34</v>
      </c>
    </row>
    <row r="4231" spans="1:9" x14ac:dyDescent="0.35">
      <c r="A4231" t="s">
        <v>4267</v>
      </c>
      <c r="B4231" s="1">
        <v>45400</v>
      </c>
      <c r="C4231" t="s">
        <v>16</v>
      </c>
      <c r="D4231" t="s">
        <v>23</v>
      </c>
      <c r="E4231" t="s">
        <v>18</v>
      </c>
      <c r="F4231">
        <v>1210.6300000000001</v>
      </c>
      <c r="G4231">
        <v>337.4</v>
      </c>
      <c r="H4231" t="s">
        <v>19</v>
      </c>
      <c r="I4231" t="s">
        <v>14</v>
      </c>
    </row>
    <row r="4232" spans="1:9" x14ac:dyDescent="0.35">
      <c r="A4232" t="s">
        <v>4268</v>
      </c>
      <c r="B4232" s="1">
        <v>44853</v>
      </c>
      <c r="C4232" t="s">
        <v>16</v>
      </c>
      <c r="D4232" t="s">
        <v>17</v>
      </c>
      <c r="E4232" t="s">
        <v>18</v>
      </c>
      <c r="F4232">
        <v>939.99</v>
      </c>
      <c r="G4232">
        <v>140.15</v>
      </c>
      <c r="H4232" t="s">
        <v>13</v>
      </c>
      <c r="I4232" t="s">
        <v>20</v>
      </c>
    </row>
    <row r="4233" spans="1:9" x14ac:dyDescent="0.35">
      <c r="A4233" t="s">
        <v>4269</v>
      </c>
      <c r="B4233" s="1">
        <v>45005</v>
      </c>
      <c r="C4233" t="s">
        <v>10</v>
      </c>
      <c r="D4233" t="s">
        <v>31</v>
      </c>
      <c r="E4233" t="s">
        <v>12</v>
      </c>
      <c r="F4233">
        <v>776.67</v>
      </c>
      <c r="G4233">
        <v>174.07</v>
      </c>
      <c r="H4233" t="s">
        <v>13</v>
      </c>
      <c r="I4233" t="s">
        <v>14</v>
      </c>
    </row>
    <row r="4234" spans="1:9" x14ac:dyDescent="0.35">
      <c r="A4234" t="s">
        <v>4270</v>
      </c>
      <c r="B4234" s="1">
        <v>44892</v>
      </c>
      <c r="C4234" t="s">
        <v>22</v>
      </c>
      <c r="D4234" t="s">
        <v>95</v>
      </c>
      <c r="E4234" t="s">
        <v>18</v>
      </c>
      <c r="F4234">
        <v>1915.74</v>
      </c>
      <c r="G4234">
        <v>182.47</v>
      </c>
      <c r="H4234" t="s">
        <v>28</v>
      </c>
      <c r="I4234" t="s">
        <v>29</v>
      </c>
    </row>
    <row r="4235" spans="1:9" x14ac:dyDescent="0.35">
      <c r="A4235" t="s">
        <v>4271</v>
      </c>
      <c r="B4235" s="1">
        <v>45161</v>
      </c>
      <c r="C4235" t="s">
        <v>16</v>
      </c>
      <c r="D4235" t="s">
        <v>95</v>
      </c>
      <c r="E4235" t="s">
        <v>18</v>
      </c>
      <c r="F4235">
        <v>1199.52</v>
      </c>
      <c r="G4235">
        <v>158.84</v>
      </c>
      <c r="H4235" t="s">
        <v>28</v>
      </c>
      <c r="I4235" t="s">
        <v>34</v>
      </c>
    </row>
    <row r="4236" spans="1:9" x14ac:dyDescent="0.35">
      <c r="A4236" t="s">
        <v>4272</v>
      </c>
      <c r="B4236" s="1">
        <v>44809</v>
      </c>
      <c r="C4236" t="s">
        <v>10</v>
      </c>
      <c r="D4236" t="s">
        <v>17</v>
      </c>
      <c r="E4236" t="s">
        <v>18</v>
      </c>
      <c r="F4236">
        <v>772.85</v>
      </c>
      <c r="G4236">
        <v>104.64</v>
      </c>
      <c r="H4236" t="s">
        <v>28</v>
      </c>
      <c r="I4236" t="s">
        <v>34</v>
      </c>
    </row>
    <row r="4237" spans="1:9" x14ac:dyDescent="0.35">
      <c r="A4237" t="s">
        <v>4273</v>
      </c>
      <c r="B4237" s="1">
        <v>45091</v>
      </c>
      <c r="C4237" t="s">
        <v>16</v>
      </c>
      <c r="D4237" t="s">
        <v>50</v>
      </c>
      <c r="E4237" t="s">
        <v>12</v>
      </c>
      <c r="F4237">
        <v>1620.94</v>
      </c>
      <c r="G4237">
        <v>104.06</v>
      </c>
      <c r="H4237" t="s">
        <v>19</v>
      </c>
      <c r="I4237" t="s">
        <v>29</v>
      </c>
    </row>
    <row r="4238" spans="1:9" x14ac:dyDescent="0.35">
      <c r="A4238" t="s">
        <v>4274</v>
      </c>
      <c r="B4238" s="1">
        <v>44993</v>
      </c>
      <c r="C4238" t="s">
        <v>10</v>
      </c>
      <c r="D4238" t="s">
        <v>26</v>
      </c>
      <c r="E4238" t="s">
        <v>27</v>
      </c>
      <c r="F4238">
        <v>1189.74</v>
      </c>
      <c r="G4238">
        <v>344.26</v>
      </c>
      <c r="H4238" t="s">
        <v>19</v>
      </c>
      <c r="I4238" t="s">
        <v>20</v>
      </c>
    </row>
    <row r="4239" spans="1:9" x14ac:dyDescent="0.35">
      <c r="A4239" t="s">
        <v>4275</v>
      </c>
      <c r="B4239" s="1">
        <v>45196</v>
      </c>
      <c r="C4239" t="s">
        <v>25</v>
      </c>
      <c r="D4239" t="s">
        <v>17</v>
      </c>
      <c r="E4239" t="s">
        <v>18</v>
      </c>
      <c r="F4239">
        <v>1182.81</v>
      </c>
      <c r="G4239">
        <v>177.48</v>
      </c>
      <c r="H4239" t="s">
        <v>28</v>
      </c>
      <c r="I4239" t="s">
        <v>20</v>
      </c>
    </row>
    <row r="4240" spans="1:9" x14ac:dyDescent="0.35">
      <c r="A4240" t="s">
        <v>4276</v>
      </c>
      <c r="B4240" s="1">
        <v>45635</v>
      </c>
      <c r="C4240" t="s">
        <v>10</v>
      </c>
      <c r="D4240" t="s">
        <v>62</v>
      </c>
      <c r="E4240" t="s">
        <v>27</v>
      </c>
      <c r="F4240">
        <v>1695.95</v>
      </c>
      <c r="G4240">
        <v>255.42</v>
      </c>
      <c r="H4240" t="s">
        <v>19</v>
      </c>
      <c r="I4240" t="s">
        <v>34</v>
      </c>
    </row>
    <row r="4241" spans="1:9" x14ac:dyDescent="0.35">
      <c r="A4241" t="s">
        <v>4277</v>
      </c>
      <c r="B4241" s="1">
        <v>45529</v>
      </c>
      <c r="C4241" t="s">
        <v>22</v>
      </c>
      <c r="D4241" t="s">
        <v>97</v>
      </c>
      <c r="E4241" t="s">
        <v>27</v>
      </c>
      <c r="F4241">
        <v>1051.8499999999999</v>
      </c>
      <c r="G4241">
        <v>185.03</v>
      </c>
      <c r="H4241" t="s">
        <v>13</v>
      </c>
      <c r="I4241" t="s">
        <v>14</v>
      </c>
    </row>
    <row r="4242" spans="1:9" x14ac:dyDescent="0.35">
      <c r="A4242" t="s">
        <v>4278</v>
      </c>
      <c r="B4242" s="1">
        <v>44630</v>
      </c>
      <c r="C4242" t="s">
        <v>25</v>
      </c>
      <c r="D4242" t="s">
        <v>62</v>
      </c>
      <c r="E4242" t="s">
        <v>27</v>
      </c>
      <c r="F4242">
        <v>1281.3800000000001</v>
      </c>
      <c r="G4242">
        <v>148.61000000000001</v>
      </c>
      <c r="H4242" t="s">
        <v>13</v>
      </c>
      <c r="I4242" t="s">
        <v>34</v>
      </c>
    </row>
    <row r="4243" spans="1:9" x14ac:dyDescent="0.35">
      <c r="A4243" t="s">
        <v>4279</v>
      </c>
      <c r="B4243" s="1">
        <v>44789</v>
      </c>
      <c r="C4243" t="s">
        <v>22</v>
      </c>
      <c r="D4243" t="s">
        <v>26</v>
      </c>
      <c r="E4243" t="s">
        <v>27</v>
      </c>
      <c r="F4243">
        <v>1264.8</v>
      </c>
      <c r="G4243">
        <v>97.07</v>
      </c>
      <c r="H4243" t="s">
        <v>19</v>
      </c>
      <c r="I4243" t="s">
        <v>34</v>
      </c>
    </row>
    <row r="4244" spans="1:9" x14ac:dyDescent="0.35">
      <c r="A4244" t="s">
        <v>4280</v>
      </c>
      <c r="B4244" s="1">
        <v>45148</v>
      </c>
      <c r="C4244" t="s">
        <v>10</v>
      </c>
      <c r="D4244" t="s">
        <v>17</v>
      </c>
      <c r="E4244" t="s">
        <v>18</v>
      </c>
      <c r="F4244">
        <v>1582.47</v>
      </c>
      <c r="G4244">
        <v>405.74</v>
      </c>
      <c r="H4244" t="s">
        <v>19</v>
      </c>
      <c r="I4244" t="s">
        <v>29</v>
      </c>
    </row>
    <row r="4245" spans="1:9" x14ac:dyDescent="0.35">
      <c r="A4245" t="s">
        <v>4281</v>
      </c>
      <c r="B4245" s="1">
        <v>44605</v>
      </c>
      <c r="C4245" t="s">
        <v>25</v>
      </c>
      <c r="D4245" t="s">
        <v>57</v>
      </c>
      <c r="E4245" t="s">
        <v>27</v>
      </c>
      <c r="F4245">
        <v>1557.48</v>
      </c>
      <c r="G4245">
        <v>144.44</v>
      </c>
      <c r="H4245" t="s">
        <v>28</v>
      </c>
      <c r="I4245" t="s">
        <v>14</v>
      </c>
    </row>
    <row r="4246" spans="1:9" x14ac:dyDescent="0.35">
      <c r="A4246" t="s">
        <v>4282</v>
      </c>
      <c r="B4246" s="1">
        <v>44572</v>
      </c>
      <c r="C4246" t="s">
        <v>22</v>
      </c>
      <c r="D4246" t="s">
        <v>57</v>
      </c>
      <c r="E4246" t="s">
        <v>27</v>
      </c>
      <c r="F4246">
        <v>270.13</v>
      </c>
      <c r="G4246">
        <v>21.63</v>
      </c>
      <c r="H4246" t="s">
        <v>28</v>
      </c>
      <c r="I4246" t="s">
        <v>29</v>
      </c>
    </row>
    <row r="4247" spans="1:9" x14ac:dyDescent="0.35">
      <c r="A4247" t="s">
        <v>4283</v>
      </c>
      <c r="B4247" s="1">
        <v>44745</v>
      </c>
      <c r="C4247" t="s">
        <v>22</v>
      </c>
      <c r="D4247" t="s">
        <v>23</v>
      </c>
      <c r="E4247" t="s">
        <v>18</v>
      </c>
      <c r="F4247">
        <v>801.55</v>
      </c>
      <c r="G4247">
        <v>40.53</v>
      </c>
      <c r="H4247" t="s">
        <v>28</v>
      </c>
      <c r="I4247" t="s">
        <v>34</v>
      </c>
    </row>
    <row r="4248" spans="1:9" x14ac:dyDescent="0.35">
      <c r="A4248" t="s">
        <v>4284</v>
      </c>
      <c r="B4248" s="1">
        <v>45127</v>
      </c>
      <c r="C4248" t="s">
        <v>16</v>
      </c>
      <c r="D4248" t="s">
        <v>26</v>
      </c>
      <c r="E4248" t="s">
        <v>27</v>
      </c>
      <c r="F4248">
        <v>1542.91</v>
      </c>
      <c r="G4248">
        <v>335.38</v>
      </c>
      <c r="H4248" t="s">
        <v>13</v>
      </c>
      <c r="I4248" t="s">
        <v>14</v>
      </c>
    </row>
    <row r="4249" spans="1:9" x14ac:dyDescent="0.35">
      <c r="A4249" t="s">
        <v>4285</v>
      </c>
      <c r="B4249" s="1">
        <v>44762</v>
      </c>
      <c r="C4249" t="s">
        <v>10</v>
      </c>
      <c r="D4249" t="s">
        <v>95</v>
      </c>
      <c r="E4249" t="s">
        <v>18</v>
      </c>
      <c r="F4249">
        <v>151.41</v>
      </c>
      <c r="G4249">
        <v>33.68</v>
      </c>
      <c r="H4249" t="s">
        <v>19</v>
      </c>
      <c r="I4249" t="s">
        <v>14</v>
      </c>
    </row>
    <row r="4250" spans="1:9" x14ac:dyDescent="0.35">
      <c r="A4250" t="s">
        <v>4286</v>
      </c>
      <c r="B4250" s="1">
        <v>45419</v>
      </c>
      <c r="C4250" t="s">
        <v>25</v>
      </c>
      <c r="D4250" t="s">
        <v>41</v>
      </c>
      <c r="E4250" t="s">
        <v>12</v>
      </c>
      <c r="F4250">
        <v>1721.38</v>
      </c>
      <c r="G4250">
        <v>489.31</v>
      </c>
      <c r="H4250" t="s">
        <v>13</v>
      </c>
      <c r="I4250" t="s">
        <v>34</v>
      </c>
    </row>
    <row r="4251" spans="1:9" x14ac:dyDescent="0.35">
      <c r="A4251" t="s">
        <v>4287</v>
      </c>
      <c r="B4251" s="1">
        <v>44728</v>
      </c>
      <c r="C4251" t="s">
        <v>25</v>
      </c>
      <c r="D4251" t="s">
        <v>95</v>
      </c>
      <c r="E4251" t="s">
        <v>18</v>
      </c>
      <c r="F4251">
        <v>803.85</v>
      </c>
      <c r="G4251">
        <v>144.12</v>
      </c>
      <c r="H4251" t="s">
        <v>28</v>
      </c>
      <c r="I4251" t="s">
        <v>20</v>
      </c>
    </row>
    <row r="4252" spans="1:9" x14ac:dyDescent="0.35">
      <c r="A4252" t="s">
        <v>4288</v>
      </c>
      <c r="B4252" s="1">
        <v>45411</v>
      </c>
      <c r="C4252" t="s">
        <v>22</v>
      </c>
      <c r="D4252" t="s">
        <v>97</v>
      </c>
      <c r="E4252" t="s">
        <v>27</v>
      </c>
      <c r="F4252">
        <v>1815.45</v>
      </c>
      <c r="G4252">
        <v>129.32</v>
      </c>
      <c r="H4252" t="s">
        <v>28</v>
      </c>
      <c r="I4252" t="s">
        <v>20</v>
      </c>
    </row>
    <row r="4253" spans="1:9" x14ac:dyDescent="0.35">
      <c r="A4253" t="s">
        <v>4289</v>
      </c>
      <c r="B4253" s="1">
        <v>45476</v>
      </c>
      <c r="C4253" t="s">
        <v>10</v>
      </c>
      <c r="D4253" t="s">
        <v>33</v>
      </c>
      <c r="E4253" t="s">
        <v>18</v>
      </c>
      <c r="F4253">
        <v>1911.09</v>
      </c>
      <c r="G4253">
        <v>123.58</v>
      </c>
      <c r="H4253" t="s">
        <v>28</v>
      </c>
      <c r="I4253" t="s">
        <v>20</v>
      </c>
    </row>
    <row r="4254" spans="1:9" x14ac:dyDescent="0.35">
      <c r="A4254" t="s">
        <v>4290</v>
      </c>
      <c r="B4254" s="1">
        <v>45119</v>
      </c>
      <c r="C4254" t="s">
        <v>16</v>
      </c>
      <c r="D4254" t="s">
        <v>17</v>
      </c>
      <c r="E4254" t="s">
        <v>18</v>
      </c>
      <c r="F4254">
        <v>491.67</v>
      </c>
      <c r="G4254">
        <v>29.75</v>
      </c>
      <c r="H4254" t="s">
        <v>13</v>
      </c>
      <c r="I4254" t="s">
        <v>34</v>
      </c>
    </row>
    <row r="4255" spans="1:9" x14ac:dyDescent="0.35">
      <c r="A4255" t="s">
        <v>4291</v>
      </c>
      <c r="B4255" s="1">
        <v>44651</v>
      </c>
      <c r="C4255" t="s">
        <v>10</v>
      </c>
      <c r="D4255" t="s">
        <v>46</v>
      </c>
      <c r="E4255" t="s">
        <v>18</v>
      </c>
      <c r="F4255">
        <v>1668.1</v>
      </c>
      <c r="G4255">
        <v>397.53</v>
      </c>
      <c r="H4255" t="s">
        <v>19</v>
      </c>
      <c r="I4255" t="s">
        <v>29</v>
      </c>
    </row>
    <row r="4256" spans="1:9" x14ac:dyDescent="0.35">
      <c r="A4256" t="s">
        <v>4292</v>
      </c>
      <c r="B4256" s="1">
        <v>45059</v>
      </c>
      <c r="C4256" t="s">
        <v>16</v>
      </c>
      <c r="D4256" t="s">
        <v>57</v>
      </c>
      <c r="E4256" t="s">
        <v>27</v>
      </c>
      <c r="F4256">
        <v>933.26</v>
      </c>
      <c r="G4256">
        <v>244.97</v>
      </c>
      <c r="H4256" t="s">
        <v>13</v>
      </c>
      <c r="I4256" t="s">
        <v>14</v>
      </c>
    </row>
    <row r="4257" spans="1:9" x14ac:dyDescent="0.35">
      <c r="A4257" t="s">
        <v>4293</v>
      </c>
      <c r="B4257" s="1">
        <v>45268</v>
      </c>
      <c r="C4257" t="s">
        <v>10</v>
      </c>
      <c r="D4257" t="s">
        <v>57</v>
      </c>
      <c r="E4257" t="s">
        <v>27</v>
      </c>
      <c r="F4257">
        <v>377.17</v>
      </c>
      <c r="G4257">
        <v>88.16</v>
      </c>
      <c r="H4257" t="s">
        <v>19</v>
      </c>
      <c r="I4257" t="s">
        <v>34</v>
      </c>
    </row>
    <row r="4258" spans="1:9" x14ac:dyDescent="0.35">
      <c r="A4258" t="s">
        <v>4294</v>
      </c>
      <c r="B4258" s="1">
        <v>45481</v>
      </c>
      <c r="C4258" t="s">
        <v>16</v>
      </c>
      <c r="D4258" t="s">
        <v>26</v>
      </c>
      <c r="E4258" t="s">
        <v>27</v>
      </c>
      <c r="F4258">
        <v>1764.78</v>
      </c>
      <c r="G4258">
        <v>380.95</v>
      </c>
      <c r="H4258" t="s">
        <v>19</v>
      </c>
      <c r="I4258" t="s">
        <v>29</v>
      </c>
    </row>
    <row r="4259" spans="1:9" x14ac:dyDescent="0.35">
      <c r="A4259" t="s">
        <v>4295</v>
      </c>
      <c r="B4259" s="1">
        <v>45440</v>
      </c>
      <c r="C4259" t="s">
        <v>16</v>
      </c>
      <c r="D4259" t="s">
        <v>23</v>
      </c>
      <c r="E4259" t="s">
        <v>18</v>
      </c>
      <c r="F4259">
        <v>809.28</v>
      </c>
      <c r="G4259">
        <v>236.88</v>
      </c>
      <c r="H4259" t="s">
        <v>19</v>
      </c>
      <c r="I4259" t="s">
        <v>29</v>
      </c>
    </row>
    <row r="4260" spans="1:9" x14ac:dyDescent="0.35">
      <c r="A4260" t="s">
        <v>4296</v>
      </c>
      <c r="B4260" s="1">
        <v>44797</v>
      </c>
      <c r="C4260" t="s">
        <v>25</v>
      </c>
      <c r="D4260" t="s">
        <v>73</v>
      </c>
      <c r="E4260" t="s">
        <v>27</v>
      </c>
      <c r="F4260">
        <v>573.22</v>
      </c>
      <c r="G4260">
        <v>85.65</v>
      </c>
      <c r="H4260" t="s">
        <v>13</v>
      </c>
      <c r="I4260" t="s">
        <v>14</v>
      </c>
    </row>
    <row r="4261" spans="1:9" x14ac:dyDescent="0.35">
      <c r="A4261" t="s">
        <v>4297</v>
      </c>
      <c r="B4261" s="1">
        <v>45475</v>
      </c>
      <c r="C4261" t="s">
        <v>16</v>
      </c>
      <c r="D4261" t="s">
        <v>73</v>
      </c>
      <c r="E4261" t="s">
        <v>27</v>
      </c>
      <c r="F4261">
        <v>1700.68</v>
      </c>
      <c r="G4261">
        <v>203.37</v>
      </c>
      <c r="H4261" t="s">
        <v>13</v>
      </c>
      <c r="I4261" t="s">
        <v>20</v>
      </c>
    </row>
    <row r="4262" spans="1:9" x14ac:dyDescent="0.35">
      <c r="A4262" t="s">
        <v>4298</v>
      </c>
      <c r="B4262" s="1">
        <v>45276</v>
      </c>
      <c r="C4262" t="s">
        <v>25</v>
      </c>
      <c r="D4262" t="s">
        <v>62</v>
      </c>
      <c r="E4262" t="s">
        <v>27</v>
      </c>
      <c r="F4262">
        <v>1068.83</v>
      </c>
      <c r="G4262">
        <v>260.31</v>
      </c>
      <c r="H4262" t="s">
        <v>13</v>
      </c>
      <c r="I4262" t="s">
        <v>20</v>
      </c>
    </row>
    <row r="4263" spans="1:9" x14ac:dyDescent="0.35">
      <c r="A4263" t="s">
        <v>4299</v>
      </c>
      <c r="B4263" s="1">
        <v>45534</v>
      </c>
      <c r="C4263" t="s">
        <v>25</v>
      </c>
      <c r="D4263" t="s">
        <v>97</v>
      </c>
      <c r="E4263" t="s">
        <v>27</v>
      </c>
      <c r="F4263">
        <v>1565.57</v>
      </c>
      <c r="G4263">
        <v>348.18</v>
      </c>
      <c r="H4263" t="s">
        <v>13</v>
      </c>
      <c r="I4263" t="s">
        <v>34</v>
      </c>
    </row>
    <row r="4264" spans="1:9" x14ac:dyDescent="0.35">
      <c r="A4264" t="s">
        <v>4300</v>
      </c>
      <c r="B4264" s="1">
        <v>45033</v>
      </c>
      <c r="C4264" t="s">
        <v>10</v>
      </c>
      <c r="D4264" t="s">
        <v>95</v>
      </c>
      <c r="E4264" t="s">
        <v>18</v>
      </c>
      <c r="F4264">
        <v>1335.97</v>
      </c>
      <c r="G4264">
        <v>221.23</v>
      </c>
      <c r="H4264" t="s">
        <v>13</v>
      </c>
      <c r="I4264" t="s">
        <v>14</v>
      </c>
    </row>
    <row r="4265" spans="1:9" x14ac:dyDescent="0.35">
      <c r="A4265" t="s">
        <v>4301</v>
      </c>
      <c r="B4265" s="1">
        <v>45128</v>
      </c>
      <c r="C4265" t="s">
        <v>10</v>
      </c>
      <c r="D4265" t="s">
        <v>17</v>
      </c>
      <c r="E4265" t="s">
        <v>18</v>
      </c>
      <c r="F4265">
        <v>904.44</v>
      </c>
      <c r="G4265">
        <v>137.61000000000001</v>
      </c>
      <c r="H4265" t="s">
        <v>13</v>
      </c>
      <c r="I4265" t="s">
        <v>29</v>
      </c>
    </row>
    <row r="4266" spans="1:9" x14ac:dyDescent="0.35">
      <c r="A4266" t="s">
        <v>4302</v>
      </c>
      <c r="B4266" s="1">
        <v>45407</v>
      </c>
      <c r="C4266" t="s">
        <v>22</v>
      </c>
      <c r="D4266" t="s">
        <v>50</v>
      </c>
      <c r="E4266" t="s">
        <v>12</v>
      </c>
      <c r="F4266">
        <v>1040.1400000000001</v>
      </c>
      <c r="G4266">
        <v>146.28</v>
      </c>
      <c r="H4266" t="s">
        <v>28</v>
      </c>
      <c r="I4266" t="s">
        <v>29</v>
      </c>
    </row>
    <row r="4267" spans="1:9" x14ac:dyDescent="0.35">
      <c r="A4267" t="s">
        <v>4303</v>
      </c>
      <c r="B4267" s="1">
        <v>44833</v>
      </c>
      <c r="C4267" t="s">
        <v>22</v>
      </c>
      <c r="D4267" t="s">
        <v>17</v>
      </c>
      <c r="E4267" t="s">
        <v>18</v>
      </c>
      <c r="F4267">
        <v>1793.43</v>
      </c>
      <c r="G4267">
        <v>113.08</v>
      </c>
      <c r="H4267" t="s">
        <v>13</v>
      </c>
      <c r="I4267" t="s">
        <v>29</v>
      </c>
    </row>
    <row r="4268" spans="1:9" x14ac:dyDescent="0.35">
      <c r="A4268" t="s">
        <v>4304</v>
      </c>
      <c r="B4268" s="1">
        <v>44879</v>
      </c>
      <c r="C4268" t="s">
        <v>16</v>
      </c>
      <c r="D4268" t="s">
        <v>26</v>
      </c>
      <c r="E4268" t="s">
        <v>27</v>
      </c>
      <c r="F4268">
        <v>1749.99</v>
      </c>
      <c r="G4268">
        <v>135.5</v>
      </c>
      <c r="H4268" t="s">
        <v>13</v>
      </c>
      <c r="I4268" t="s">
        <v>29</v>
      </c>
    </row>
    <row r="4269" spans="1:9" x14ac:dyDescent="0.35">
      <c r="A4269" t="s">
        <v>4305</v>
      </c>
      <c r="B4269" s="1">
        <v>44791</v>
      </c>
      <c r="C4269" t="s">
        <v>10</v>
      </c>
      <c r="D4269" t="s">
        <v>31</v>
      </c>
      <c r="E4269" t="s">
        <v>12</v>
      </c>
      <c r="F4269">
        <v>428.39</v>
      </c>
      <c r="G4269">
        <v>63.69</v>
      </c>
      <c r="H4269" t="s">
        <v>28</v>
      </c>
      <c r="I4269" t="s">
        <v>34</v>
      </c>
    </row>
    <row r="4270" spans="1:9" x14ac:dyDescent="0.35">
      <c r="A4270" t="s">
        <v>4306</v>
      </c>
      <c r="B4270" s="1">
        <v>45218</v>
      </c>
      <c r="C4270" t="s">
        <v>22</v>
      </c>
      <c r="D4270" t="s">
        <v>33</v>
      </c>
      <c r="E4270" t="s">
        <v>18</v>
      </c>
      <c r="F4270">
        <v>1995.87</v>
      </c>
      <c r="G4270">
        <v>544.45000000000005</v>
      </c>
      <c r="H4270" t="s">
        <v>28</v>
      </c>
      <c r="I4270" t="s">
        <v>29</v>
      </c>
    </row>
    <row r="4271" spans="1:9" x14ac:dyDescent="0.35">
      <c r="A4271" t="s">
        <v>4307</v>
      </c>
      <c r="B4271" s="1">
        <v>45583</v>
      </c>
      <c r="C4271" t="s">
        <v>25</v>
      </c>
      <c r="D4271" t="s">
        <v>97</v>
      </c>
      <c r="E4271" t="s">
        <v>27</v>
      </c>
      <c r="F4271">
        <v>849.91</v>
      </c>
      <c r="G4271">
        <v>176.58</v>
      </c>
      <c r="H4271" t="s">
        <v>13</v>
      </c>
      <c r="I4271" t="s">
        <v>34</v>
      </c>
    </row>
    <row r="4272" spans="1:9" x14ac:dyDescent="0.35">
      <c r="A4272" t="s">
        <v>4308</v>
      </c>
      <c r="B4272" s="1">
        <v>45529</v>
      </c>
      <c r="C4272" t="s">
        <v>22</v>
      </c>
      <c r="D4272" t="s">
        <v>17</v>
      </c>
      <c r="E4272" t="s">
        <v>18</v>
      </c>
      <c r="F4272">
        <v>171.22</v>
      </c>
      <c r="G4272">
        <v>23.18</v>
      </c>
      <c r="H4272" t="s">
        <v>19</v>
      </c>
      <c r="I4272" t="s">
        <v>29</v>
      </c>
    </row>
    <row r="4273" spans="1:9" x14ac:dyDescent="0.35">
      <c r="A4273" t="s">
        <v>4309</v>
      </c>
      <c r="B4273" s="1">
        <v>45636</v>
      </c>
      <c r="C4273" t="s">
        <v>22</v>
      </c>
      <c r="D4273" t="s">
        <v>33</v>
      </c>
      <c r="E4273" t="s">
        <v>18</v>
      </c>
      <c r="F4273">
        <v>1754.85</v>
      </c>
      <c r="G4273">
        <v>439.68</v>
      </c>
      <c r="H4273" t="s">
        <v>28</v>
      </c>
      <c r="I4273" t="s">
        <v>29</v>
      </c>
    </row>
    <row r="4274" spans="1:9" x14ac:dyDescent="0.35">
      <c r="A4274" t="s">
        <v>4310</v>
      </c>
      <c r="B4274" s="1">
        <v>44764</v>
      </c>
      <c r="C4274" t="s">
        <v>16</v>
      </c>
      <c r="D4274" t="s">
        <v>17</v>
      </c>
      <c r="E4274" t="s">
        <v>18</v>
      </c>
      <c r="F4274">
        <v>619.51</v>
      </c>
      <c r="G4274">
        <v>77.09</v>
      </c>
      <c r="H4274" t="s">
        <v>19</v>
      </c>
      <c r="I4274" t="s">
        <v>34</v>
      </c>
    </row>
    <row r="4275" spans="1:9" x14ac:dyDescent="0.35">
      <c r="A4275" t="s">
        <v>4311</v>
      </c>
      <c r="B4275" s="1">
        <v>45472</v>
      </c>
      <c r="C4275" t="s">
        <v>10</v>
      </c>
      <c r="D4275" t="s">
        <v>57</v>
      </c>
      <c r="E4275" t="s">
        <v>27</v>
      </c>
      <c r="F4275">
        <v>124.38</v>
      </c>
      <c r="G4275">
        <v>15.76</v>
      </c>
      <c r="H4275" t="s">
        <v>28</v>
      </c>
      <c r="I4275" t="s">
        <v>14</v>
      </c>
    </row>
    <row r="4276" spans="1:9" x14ac:dyDescent="0.35">
      <c r="A4276" t="s">
        <v>4312</v>
      </c>
      <c r="B4276" s="1">
        <v>45035</v>
      </c>
      <c r="C4276" t="s">
        <v>25</v>
      </c>
      <c r="D4276" t="s">
        <v>26</v>
      </c>
      <c r="E4276" t="s">
        <v>27</v>
      </c>
      <c r="F4276">
        <v>1813.54</v>
      </c>
      <c r="G4276">
        <v>138.72</v>
      </c>
      <c r="H4276" t="s">
        <v>19</v>
      </c>
      <c r="I4276" t="s">
        <v>20</v>
      </c>
    </row>
    <row r="4277" spans="1:9" x14ac:dyDescent="0.35">
      <c r="A4277" t="s">
        <v>4313</v>
      </c>
      <c r="B4277" s="1">
        <v>44858</v>
      </c>
      <c r="C4277" t="s">
        <v>22</v>
      </c>
      <c r="D4277" t="s">
        <v>97</v>
      </c>
      <c r="E4277" t="s">
        <v>27</v>
      </c>
      <c r="F4277">
        <v>1566.52</v>
      </c>
      <c r="G4277">
        <v>292.06</v>
      </c>
      <c r="H4277" t="s">
        <v>28</v>
      </c>
      <c r="I4277" t="s">
        <v>14</v>
      </c>
    </row>
    <row r="4278" spans="1:9" x14ac:dyDescent="0.35">
      <c r="A4278" t="s">
        <v>4314</v>
      </c>
      <c r="B4278" s="1">
        <v>45312</v>
      </c>
      <c r="C4278" t="s">
        <v>25</v>
      </c>
      <c r="D4278" t="s">
        <v>50</v>
      </c>
      <c r="E4278" t="s">
        <v>12</v>
      </c>
      <c r="F4278">
        <v>1248.1400000000001</v>
      </c>
      <c r="G4278">
        <v>321.52</v>
      </c>
      <c r="H4278" t="s">
        <v>13</v>
      </c>
      <c r="I4278" t="s">
        <v>20</v>
      </c>
    </row>
    <row r="4279" spans="1:9" x14ac:dyDescent="0.35">
      <c r="A4279" t="s">
        <v>4315</v>
      </c>
      <c r="B4279" s="1">
        <v>44873</v>
      </c>
      <c r="C4279" t="s">
        <v>25</v>
      </c>
      <c r="D4279" t="s">
        <v>57</v>
      </c>
      <c r="E4279" t="s">
        <v>27</v>
      </c>
      <c r="F4279">
        <v>337.55</v>
      </c>
      <c r="G4279">
        <v>27.8</v>
      </c>
      <c r="H4279" t="s">
        <v>19</v>
      </c>
      <c r="I4279" t="s">
        <v>34</v>
      </c>
    </row>
    <row r="4280" spans="1:9" x14ac:dyDescent="0.35">
      <c r="A4280" t="s">
        <v>4316</v>
      </c>
      <c r="B4280" s="1">
        <v>44568</v>
      </c>
      <c r="C4280" t="s">
        <v>25</v>
      </c>
      <c r="D4280" t="s">
        <v>46</v>
      </c>
      <c r="E4280" t="s">
        <v>18</v>
      </c>
      <c r="F4280">
        <v>530.89</v>
      </c>
      <c r="G4280">
        <v>46.19</v>
      </c>
      <c r="H4280" t="s">
        <v>28</v>
      </c>
      <c r="I4280" t="s">
        <v>14</v>
      </c>
    </row>
    <row r="4281" spans="1:9" x14ac:dyDescent="0.35">
      <c r="A4281" t="s">
        <v>4317</v>
      </c>
      <c r="B4281" s="1">
        <v>45335</v>
      </c>
      <c r="C4281" t="s">
        <v>16</v>
      </c>
      <c r="D4281" t="s">
        <v>95</v>
      </c>
      <c r="E4281" t="s">
        <v>18</v>
      </c>
      <c r="F4281">
        <v>305.93</v>
      </c>
      <c r="G4281">
        <v>19.71</v>
      </c>
      <c r="H4281" t="s">
        <v>13</v>
      </c>
      <c r="I4281" t="s">
        <v>14</v>
      </c>
    </row>
    <row r="4282" spans="1:9" x14ac:dyDescent="0.35">
      <c r="A4282" t="s">
        <v>4318</v>
      </c>
      <c r="B4282" s="1">
        <v>45049</v>
      </c>
      <c r="C4282" t="s">
        <v>25</v>
      </c>
      <c r="D4282" t="s">
        <v>97</v>
      </c>
      <c r="E4282" t="s">
        <v>27</v>
      </c>
      <c r="F4282">
        <v>603.76</v>
      </c>
      <c r="G4282">
        <v>125.21</v>
      </c>
      <c r="H4282" t="s">
        <v>13</v>
      </c>
      <c r="I4282" t="s">
        <v>34</v>
      </c>
    </row>
    <row r="4283" spans="1:9" x14ac:dyDescent="0.35">
      <c r="A4283" t="s">
        <v>4319</v>
      </c>
      <c r="B4283" s="1">
        <v>45349</v>
      </c>
      <c r="C4283" t="s">
        <v>25</v>
      </c>
      <c r="D4283" t="s">
        <v>73</v>
      </c>
      <c r="E4283" t="s">
        <v>27</v>
      </c>
      <c r="F4283">
        <v>988.49</v>
      </c>
      <c r="G4283">
        <v>141.54</v>
      </c>
      <c r="H4283" t="s">
        <v>28</v>
      </c>
      <c r="I4283" t="s">
        <v>29</v>
      </c>
    </row>
    <row r="4284" spans="1:9" x14ac:dyDescent="0.35">
      <c r="A4284" t="s">
        <v>4320</v>
      </c>
      <c r="B4284" s="1">
        <v>45430</v>
      </c>
      <c r="C4284" t="s">
        <v>10</v>
      </c>
      <c r="D4284" t="s">
        <v>62</v>
      </c>
      <c r="E4284" t="s">
        <v>27</v>
      </c>
      <c r="F4284">
        <v>325.60000000000002</v>
      </c>
      <c r="G4284">
        <v>83.52</v>
      </c>
      <c r="H4284" t="s">
        <v>28</v>
      </c>
      <c r="I4284" t="s">
        <v>34</v>
      </c>
    </row>
    <row r="4285" spans="1:9" x14ac:dyDescent="0.35">
      <c r="A4285" t="s">
        <v>4321</v>
      </c>
      <c r="B4285" s="1">
        <v>45605</v>
      </c>
      <c r="C4285" t="s">
        <v>10</v>
      </c>
      <c r="D4285" t="s">
        <v>17</v>
      </c>
      <c r="E4285" t="s">
        <v>18</v>
      </c>
      <c r="F4285">
        <v>1773.48</v>
      </c>
      <c r="G4285">
        <v>305.18</v>
      </c>
      <c r="H4285" t="s">
        <v>28</v>
      </c>
      <c r="I4285" t="s">
        <v>34</v>
      </c>
    </row>
    <row r="4286" spans="1:9" x14ac:dyDescent="0.35">
      <c r="A4286" t="s">
        <v>4322</v>
      </c>
      <c r="B4286" s="1">
        <v>45029</v>
      </c>
      <c r="C4286" t="s">
        <v>16</v>
      </c>
      <c r="D4286" t="s">
        <v>17</v>
      </c>
      <c r="E4286" t="s">
        <v>18</v>
      </c>
      <c r="F4286">
        <v>776.51</v>
      </c>
      <c r="G4286">
        <v>101.15</v>
      </c>
      <c r="H4286" t="s">
        <v>19</v>
      </c>
      <c r="I4286" t="s">
        <v>29</v>
      </c>
    </row>
    <row r="4287" spans="1:9" x14ac:dyDescent="0.35">
      <c r="A4287" t="s">
        <v>4323</v>
      </c>
      <c r="B4287" s="1">
        <v>44645</v>
      </c>
      <c r="C4287" t="s">
        <v>10</v>
      </c>
      <c r="D4287" t="s">
        <v>57</v>
      </c>
      <c r="E4287" t="s">
        <v>27</v>
      </c>
      <c r="F4287">
        <v>940.43</v>
      </c>
      <c r="G4287">
        <v>223.09</v>
      </c>
      <c r="H4287" t="s">
        <v>28</v>
      </c>
      <c r="I4287" t="s">
        <v>14</v>
      </c>
    </row>
    <row r="4288" spans="1:9" x14ac:dyDescent="0.35">
      <c r="A4288" t="s">
        <v>4324</v>
      </c>
      <c r="B4288" s="1">
        <v>45629</v>
      </c>
      <c r="C4288" t="s">
        <v>22</v>
      </c>
      <c r="D4288" t="s">
        <v>11</v>
      </c>
      <c r="E4288" t="s">
        <v>12</v>
      </c>
      <c r="F4288">
        <v>1662.68</v>
      </c>
      <c r="G4288">
        <v>384.09</v>
      </c>
      <c r="H4288" t="s">
        <v>13</v>
      </c>
      <c r="I4288" t="s">
        <v>20</v>
      </c>
    </row>
    <row r="4289" spans="1:9" x14ac:dyDescent="0.35">
      <c r="A4289" t="s">
        <v>4325</v>
      </c>
      <c r="B4289" s="1">
        <v>44799</v>
      </c>
      <c r="C4289" t="s">
        <v>25</v>
      </c>
      <c r="D4289" t="s">
        <v>62</v>
      </c>
      <c r="E4289" t="s">
        <v>27</v>
      </c>
      <c r="F4289">
        <v>825.27</v>
      </c>
      <c r="G4289">
        <v>146.11000000000001</v>
      </c>
      <c r="H4289" t="s">
        <v>19</v>
      </c>
      <c r="I4289" t="s">
        <v>29</v>
      </c>
    </row>
    <row r="4290" spans="1:9" x14ac:dyDescent="0.35">
      <c r="A4290" t="s">
        <v>4326</v>
      </c>
      <c r="B4290" s="1">
        <v>44847</v>
      </c>
      <c r="C4290" t="s">
        <v>22</v>
      </c>
      <c r="D4290" t="s">
        <v>57</v>
      </c>
      <c r="E4290" t="s">
        <v>27</v>
      </c>
      <c r="F4290">
        <v>382.75</v>
      </c>
      <c r="G4290">
        <v>105.98</v>
      </c>
      <c r="H4290" t="s">
        <v>28</v>
      </c>
      <c r="I4290" t="s">
        <v>29</v>
      </c>
    </row>
    <row r="4291" spans="1:9" x14ac:dyDescent="0.35">
      <c r="A4291" t="s">
        <v>4327</v>
      </c>
      <c r="B4291" s="1">
        <v>45116</v>
      </c>
      <c r="C4291" t="s">
        <v>10</v>
      </c>
      <c r="D4291" t="s">
        <v>46</v>
      </c>
      <c r="E4291" t="s">
        <v>18</v>
      </c>
      <c r="F4291">
        <v>247.37</v>
      </c>
      <c r="G4291">
        <v>28.84</v>
      </c>
      <c r="H4291" t="s">
        <v>28</v>
      </c>
      <c r="I4291" t="s">
        <v>20</v>
      </c>
    </row>
    <row r="4292" spans="1:9" x14ac:dyDescent="0.35">
      <c r="A4292" t="s">
        <v>4328</v>
      </c>
      <c r="B4292" s="1">
        <v>45405</v>
      </c>
      <c r="C4292" t="s">
        <v>16</v>
      </c>
      <c r="D4292" t="s">
        <v>31</v>
      </c>
      <c r="E4292" t="s">
        <v>12</v>
      </c>
      <c r="F4292">
        <v>1256.8800000000001</v>
      </c>
      <c r="G4292">
        <v>197.62</v>
      </c>
      <c r="H4292" t="s">
        <v>28</v>
      </c>
      <c r="I4292" t="s">
        <v>29</v>
      </c>
    </row>
    <row r="4293" spans="1:9" x14ac:dyDescent="0.35">
      <c r="A4293" t="s">
        <v>4329</v>
      </c>
      <c r="B4293" s="1">
        <v>45015</v>
      </c>
      <c r="C4293" t="s">
        <v>16</v>
      </c>
      <c r="D4293" t="s">
        <v>57</v>
      </c>
      <c r="E4293" t="s">
        <v>27</v>
      </c>
      <c r="F4293">
        <v>1466.48</v>
      </c>
      <c r="G4293">
        <v>134.22999999999999</v>
      </c>
      <c r="H4293" t="s">
        <v>19</v>
      </c>
      <c r="I4293" t="s">
        <v>14</v>
      </c>
    </row>
    <row r="4294" spans="1:9" x14ac:dyDescent="0.35">
      <c r="A4294" t="s">
        <v>4330</v>
      </c>
      <c r="B4294" s="1">
        <v>44987</v>
      </c>
      <c r="C4294" t="s">
        <v>10</v>
      </c>
      <c r="D4294" t="s">
        <v>46</v>
      </c>
      <c r="E4294" t="s">
        <v>18</v>
      </c>
      <c r="F4294">
        <v>1718.72</v>
      </c>
      <c r="G4294">
        <v>511.03</v>
      </c>
      <c r="H4294" t="s">
        <v>13</v>
      </c>
      <c r="I4294" t="s">
        <v>14</v>
      </c>
    </row>
    <row r="4295" spans="1:9" x14ac:dyDescent="0.35">
      <c r="A4295" t="s">
        <v>4331</v>
      </c>
      <c r="B4295" s="1">
        <v>45441</v>
      </c>
      <c r="C4295" t="s">
        <v>25</v>
      </c>
      <c r="D4295" t="s">
        <v>33</v>
      </c>
      <c r="E4295" t="s">
        <v>18</v>
      </c>
      <c r="F4295">
        <v>1802.65</v>
      </c>
      <c r="G4295">
        <v>285.01</v>
      </c>
      <c r="H4295" t="s">
        <v>13</v>
      </c>
      <c r="I4295" t="s">
        <v>20</v>
      </c>
    </row>
    <row r="4296" spans="1:9" x14ac:dyDescent="0.35">
      <c r="A4296" t="s">
        <v>4332</v>
      </c>
      <c r="B4296" s="1">
        <v>45361</v>
      </c>
      <c r="C4296" t="s">
        <v>10</v>
      </c>
      <c r="D4296" t="s">
        <v>57</v>
      </c>
      <c r="E4296" t="s">
        <v>27</v>
      </c>
      <c r="F4296">
        <v>1171.8900000000001</v>
      </c>
      <c r="G4296">
        <v>334.13</v>
      </c>
      <c r="H4296" t="s">
        <v>13</v>
      </c>
      <c r="I4296" t="s">
        <v>20</v>
      </c>
    </row>
    <row r="4297" spans="1:9" x14ac:dyDescent="0.35">
      <c r="A4297" t="s">
        <v>4333</v>
      </c>
      <c r="B4297" s="1">
        <v>45317</v>
      </c>
      <c r="C4297" t="s">
        <v>25</v>
      </c>
      <c r="D4297" t="s">
        <v>11</v>
      </c>
      <c r="E4297" t="s">
        <v>12</v>
      </c>
      <c r="F4297">
        <v>939.16</v>
      </c>
      <c r="G4297">
        <v>64.83</v>
      </c>
      <c r="H4297" t="s">
        <v>13</v>
      </c>
      <c r="I4297" t="s">
        <v>20</v>
      </c>
    </row>
    <row r="4298" spans="1:9" x14ac:dyDescent="0.35">
      <c r="A4298" t="s">
        <v>4334</v>
      </c>
      <c r="B4298" s="1">
        <v>44949</v>
      </c>
      <c r="C4298" t="s">
        <v>25</v>
      </c>
      <c r="D4298" t="s">
        <v>11</v>
      </c>
      <c r="E4298" t="s">
        <v>12</v>
      </c>
      <c r="F4298">
        <v>598.21</v>
      </c>
      <c r="G4298">
        <v>142.66999999999999</v>
      </c>
      <c r="H4298" t="s">
        <v>19</v>
      </c>
      <c r="I4298" t="s">
        <v>20</v>
      </c>
    </row>
    <row r="4299" spans="1:9" x14ac:dyDescent="0.35">
      <c r="A4299" t="s">
        <v>4335</v>
      </c>
      <c r="B4299" s="1">
        <v>44769</v>
      </c>
      <c r="C4299" t="s">
        <v>10</v>
      </c>
      <c r="D4299" t="s">
        <v>46</v>
      </c>
      <c r="E4299" t="s">
        <v>18</v>
      </c>
      <c r="F4299">
        <v>1795.21</v>
      </c>
      <c r="G4299">
        <v>109.56</v>
      </c>
      <c r="H4299" t="s">
        <v>28</v>
      </c>
      <c r="I4299" t="s">
        <v>14</v>
      </c>
    </row>
    <row r="4300" spans="1:9" x14ac:dyDescent="0.35">
      <c r="A4300" t="s">
        <v>4336</v>
      </c>
      <c r="B4300" s="1">
        <v>44629</v>
      </c>
      <c r="C4300" t="s">
        <v>22</v>
      </c>
      <c r="D4300" t="s">
        <v>97</v>
      </c>
      <c r="E4300" t="s">
        <v>27</v>
      </c>
      <c r="F4300">
        <v>431.78</v>
      </c>
      <c r="G4300">
        <v>28.6</v>
      </c>
      <c r="H4300" t="s">
        <v>13</v>
      </c>
      <c r="I4300" t="s">
        <v>20</v>
      </c>
    </row>
    <row r="4301" spans="1:9" x14ac:dyDescent="0.35">
      <c r="A4301" t="s">
        <v>4337</v>
      </c>
      <c r="B4301" s="1">
        <v>45280</v>
      </c>
      <c r="C4301" t="s">
        <v>25</v>
      </c>
      <c r="D4301" t="s">
        <v>17</v>
      </c>
      <c r="E4301" t="s">
        <v>18</v>
      </c>
      <c r="F4301">
        <v>1036.72</v>
      </c>
      <c r="G4301">
        <v>116.52</v>
      </c>
      <c r="H4301" t="s">
        <v>13</v>
      </c>
      <c r="I4301" t="s">
        <v>20</v>
      </c>
    </row>
    <row r="4302" spans="1:9" x14ac:dyDescent="0.35">
      <c r="A4302" t="s">
        <v>4338</v>
      </c>
      <c r="B4302" s="1">
        <v>44624</v>
      </c>
      <c r="C4302" t="s">
        <v>10</v>
      </c>
      <c r="D4302" t="s">
        <v>97</v>
      </c>
      <c r="E4302" t="s">
        <v>27</v>
      </c>
      <c r="F4302">
        <v>126.41</v>
      </c>
      <c r="G4302">
        <v>32.619999999999997</v>
      </c>
      <c r="H4302" t="s">
        <v>19</v>
      </c>
      <c r="I4302" t="s">
        <v>34</v>
      </c>
    </row>
    <row r="4303" spans="1:9" x14ac:dyDescent="0.35">
      <c r="A4303" t="s">
        <v>4339</v>
      </c>
      <c r="B4303" s="1">
        <v>45601</v>
      </c>
      <c r="C4303" t="s">
        <v>22</v>
      </c>
      <c r="D4303" t="s">
        <v>38</v>
      </c>
      <c r="E4303" t="s">
        <v>12</v>
      </c>
      <c r="F4303">
        <v>1694.09</v>
      </c>
      <c r="G4303">
        <v>353.79</v>
      </c>
      <c r="H4303" t="s">
        <v>13</v>
      </c>
      <c r="I4303" t="s">
        <v>14</v>
      </c>
    </row>
    <row r="4304" spans="1:9" x14ac:dyDescent="0.35">
      <c r="A4304" t="s">
        <v>4340</v>
      </c>
      <c r="B4304" s="1">
        <v>44985</v>
      </c>
      <c r="C4304" t="s">
        <v>16</v>
      </c>
      <c r="D4304" t="s">
        <v>50</v>
      </c>
      <c r="E4304" t="s">
        <v>12</v>
      </c>
      <c r="F4304">
        <v>1494.63</v>
      </c>
      <c r="G4304">
        <v>421.48</v>
      </c>
      <c r="H4304" t="s">
        <v>13</v>
      </c>
      <c r="I4304" t="s">
        <v>14</v>
      </c>
    </row>
    <row r="4305" spans="1:9" x14ac:dyDescent="0.35">
      <c r="A4305" t="s">
        <v>4341</v>
      </c>
      <c r="B4305" s="1">
        <v>45198</v>
      </c>
      <c r="C4305" t="s">
        <v>25</v>
      </c>
      <c r="D4305" t="s">
        <v>11</v>
      </c>
      <c r="E4305" t="s">
        <v>12</v>
      </c>
      <c r="F4305">
        <v>1428.12</v>
      </c>
      <c r="G4305">
        <v>203.39</v>
      </c>
      <c r="H4305" t="s">
        <v>13</v>
      </c>
      <c r="I4305" t="s">
        <v>34</v>
      </c>
    </row>
    <row r="4306" spans="1:9" x14ac:dyDescent="0.35">
      <c r="A4306" t="s">
        <v>4342</v>
      </c>
      <c r="B4306" s="1">
        <v>45352</v>
      </c>
      <c r="C4306" t="s">
        <v>16</v>
      </c>
      <c r="D4306" t="s">
        <v>41</v>
      </c>
      <c r="E4306" t="s">
        <v>12</v>
      </c>
      <c r="F4306">
        <v>852.21</v>
      </c>
      <c r="G4306">
        <v>84.1</v>
      </c>
      <c r="H4306" t="s">
        <v>13</v>
      </c>
      <c r="I4306" t="s">
        <v>14</v>
      </c>
    </row>
    <row r="4307" spans="1:9" x14ac:dyDescent="0.35">
      <c r="A4307" t="s">
        <v>4343</v>
      </c>
      <c r="B4307" s="1">
        <v>44944</v>
      </c>
      <c r="C4307" t="s">
        <v>25</v>
      </c>
      <c r="D4307" t="s">
        <v>11</v>
      </c>
      <c r="E4307" t="s">
        <v>12</v>
      </c>
      <c r="F4307">
        <v>1943.92</v>
      </c>
      <c r="G4307">
        <v>527.83000000000004</v>
      </c>
      <c r="H4307" t="s">
        <v>19</v>
      </c>
      <c r="I4307" t="s">
        <v>29</v>
      </c>
    </row>
    <row r="4308" spans="1:9" x14ac:dyDescent="0.35">
      <c r="A4308" t="s">
        <v>4344</v>
      </c>
      <c r="B4308" s="1">
        <v>44636</v>
      </c>
      <c r="C4308" t="s">
        <v>10</v>
      </c>
      <c r="D4308" t="s">
        <v>33</v>
      </c>
      <c r="E4308" t="s">
        <v>18</v>
      </c>
      <c r="F4308">
        <v>320.82</v>
      </c>
      <c r="G4308">
        <v>16.91</v>
      </c>
      <c r="H4308" t="s">
        <v>28</v>
      </c>
      <c r="I4308" t="s">
        <v>29</v>
      </c>
    </row>
    <row r="4309" spans="1:9" x14ac:dyDescent="0.35">
      <c r="A4309" t="s">
        <v>4345</v>
      </c>
      <c r="B4309" s="1">
        <v>45104</v>
      </c>
      <c r="C4309" t="s">
        <v>22</v>
      </c>
      <c r="D4309" t="s">
        <v>97</v>
      </c>
      <c r="E4309" t="s">
        <v>27</v>
      </c>
      <c r="F4309">
        <v>605.77</v>
      </c>
      <c r="G4309">
        <v>32.659999999999997</v>
      </c>
      <c r="H4309" t="s">
        <v>28</v>
      </c>
      <c r="I4309" t="s">
        <v>20</v>
      </c>
    </row>
    <row r="4310" spans="1:9" x14ac:dyDescent="0.35">
      <c r="A4310" t="s">
        <v>4346</v>
      </c>
      <c r="B4310" s="1">
        <v>45601</v>
      </c>
      <c r="C4310" t="s">
        <v>10</v>
      </c>
      <c r="D4310" t="s">
        <v>38</v>
      </c>
      <c r="E4310" t="s">
        <v>12</v>
      </c>
      <c r="F4310">
        <v>1418.71</v>
      </c>
      <c r="G4310">
        <v>338.49</v>
      </c>
      <c r="H4310" t="s">
        <v>19</v>
      </c>
      <c r="I4310" t="s">
        <v>29</v>
      </c>
    </row>
    <row r="4311" spans="1:9" x14ac:dyDescent="0.35">
      <c r="A4311" t="s">
        <v>4347</v>
      </c>
      <c r="B4311" s="1">
        <v>45452</v>
      </c>
      <c r="C4311" t="s">
        <v>22</v>
      </c>
      <c r="D4311" t="s">
        <v>26</v>
      </c>
      <c r="E4311" t="s">
        <v>27</v>
      </c>
      <c r="F4311">
        <v>603.51</v>
      </c>
      <c r="G4311">
        <v>92.97</v>
      </c>
      <c r="H4311" t="s">
        <v>19</v>
      </c>
      <c r="I4311" t="s">
        <v>34</v>
      </c>
    </row>
    <row r="4312" spans="1:9" x14ac:dyDescent="0.35">
      <c r="A4312" t="s">
        <v>4348</v>
      </c>
      <c r="B4312" s="1">
        <v>44609</v>
      </c>
      <c r="C4312" t="s">
        <v>25</v>
      </c>
      <c r="D4312" t="s">
        <v>50</v>
      </c>
      <c r="E4312" t="s">
        <v>12</v>
      </c>
      <c r="F4312">
        <v>371.72</v>
      </c>
      <c r="G4312">
        <v>55.2</v>
      </c>
      <c r="H4312" t="s">
        <v>28</v>
      </c>
      <c r="I4312" t="s">
        <v>34</v>
      </c>
    </row>
    <row r="4313" spans="1:9" x14ac:dyDescent="0.35">
      <c r="A4313" t="s">
        <v>4349</v>
      </c>
      <c r="B4313" s="1">
        <v>45143</v>
      </c>
      <c r="C4313" t="s">
        <v>16</v>
      </c>
      <c r="D4313" t="s">
        <v>26</v>
      </c>
      <c r="E4313" t="s">
        <v>27</v>
      </c>
      <c r="F4313">
        <v>1062.6199999999999</v>
      </c>
      <c r="G4313">
        <v>66.28</v>
      </c>
      <c r="H4313" t="s">
        <v>28</v>
      </c>
      <c r="I4313" t="s">
        <v>20</v>
      </c>
    </row>
    <row r="4314" spans="1:9" x14ac:dyDescent="0.35">
      <c r="A4314" t="s">
        <v>4350</v>
      </c>
      <c r="B4314" s="1">
        <v>45371</v>
      </c>
      <c r="C4314" t="s">
        <v>10</v>
      </c>
      <c r="D4314" t="s">
        <v>31</v>
      </c>
      <c r="E4314" t="s">
        <v>12</v>
      </c>
      <c r="F4314">
        <v>1204.23</v>
      </c>
      <c r="G4314">
        <v>356.1</v>
      </c>
      <c r="H4314" t="s">
        <v>19</v>
      </c>
      <c r="I4314" t="s">
        <v>14</v>
      </c>
    </row>
    <row r="4315" spans="1:9" x14ac:dyDescent="0.35">
      <c r="A4315" t="s">
        <v>4351</v>
      </c>
      <c r="B4315" s="1">
        <v>45174</v>
      </c>
      <c r="C4315" t="s">
        <v>10</v>
      </c>
      <c r="D4315" t="s">
        <v>41</v>
      </c>
      <c r="E4315" t="s">
        <v>12</v>
      </c>
      <c r="F4315">
        <v>221.3</v>
      </c>
      <c r="G4315">
        <v>33.47</v>
      </c>
      <c r="H4315" t="s">
        <v>28</v>
      </c>
      <c r="I4315" t="s">
        <v>29</v>
      </c>
    </row>
    <row r="4316" spans="1:9" x14ac:dyDescent="0.35">
      <c r="A4316" t="s">
        <v>4352</v>
      </c>
      <c r="B4316" s="1">
        <v>45135</v>
      </c>
      <c r="C4316" t="s">
        <v>25</v>
      </c>
      <c r="D4316" t="s">
        <v>57</v>
      </c>
      <c r="E4316" t="s">
        <v>27</v>
      </c>
      <c r="F4316">
        <v>827.74</v>
      </c>
      <c r="G4316">
        <v>128.11000000000001</v>
      </c>
      <c r="H4316" t="s">
        <v>19</v>
      </c>
      <c r="I4316" t="s">
        <v>20</v>
      </c>
    </row>
    <row r="4317" spans="1:9" x14ac:dyDescent="0.35">
      <c r="A4317" t="s">
        <v>4353</v>
      </c>
      <c r="B4317" s="1">
        <v>45651</v>
      </c>
      <c r="C4317" t="s">
        <v>25</v>
      </c>
      <c r="D4317" t="s">
        <v>62</v>
      </c>
      <c r="E4317" t="s">
        <v>27</v>
      </c>
      <c r="F4317">
        <v>1261.45</v>
      </c>
      <c r="G4317">
        <v>156.46</v>
      </c>
      <c r="H4317" t="s">
        <v>13</v>
      </c>
      <c r="I4317" t="s">
        <v>20</v>
      </c>
    </row>
    <row r="4318" spans="1:9" x14ac:dyDescent="0.35">
      <c r="A4318" t="s">
        <v>4354</v>
      </c>
      <c r="B4318" s="1">
        <v>45109</v>
      </c>
      <c r="C4318" t="s">
        <v>16</v>
      </c>
      <c r="D4318" t="s">
        <v>38</v>
      </c>
      <c r="E4318" t="s">
        <v>12</v>
      </c>
      <c r="F4318">
        <v>704.33</v>
      </c>
      <c r="G4318">
        <v>101.81</v>
      </c>
      <c r="H4318" t="s">
        <v>28</v>
      </c>
      <c r="I4318" t="s">
        <v>34</v>
      </c>
    </row>
    <row r="4319" spans="1:9" x14ac:dyDescent="0.35">
      <c r="A4319" t="s">
        <v>4355</v>
      </c>
      <c r="B4319" s="1">
        <v>45531</v>
      </c>
      <c r="C4319" t="s">
        <v>22</v>
      </c>
      <c r="D4319" t="s">
        <v>17</v>
      </c>
      <c r="E4319" t="s">
        <v>18</v>
      </c>
      <c r="F4319">
        <v>1500.09</v>
      </c>
      <c r="G4319">
        <v>244.21</v>
      </c>
      <c r="H4319" t="s">
        <v>19</v>
      </c>
      <c r="I4319" t="s">
        <v>34</v>
      </c>
    </row>
    <row r="4320" spans="1:9" x14ac:dyDescent="0.35">
      <c r="A4320" t="s">
        <v>4356</v>
      </c>
      <c r="B4320" s="1">
        <v>45044</v>
      </c>
      <c r="C4320" t="s">
        <v>22</v>
      </c>
      <c r="D4320" t="s">
        <v>50</v>
      </c>
      <c r="E4320" t="s">
        <v>12</v>
      </c>
      <c r="F4320">
        <v>476.46</v>
      </c>
      <c r="G4320">
        <v>53.29</v>
      </c>
      <c r="H4320" t="s">
        <v>19</v>
      </c>
      <c r="I4320" t="s">
        <v>34</v>
      </c>
    </row>
    <row r="4321" spans="1:9" x14ac:dyDescent="0.35">
      <c r="A4321" t="s">
        <v>4357</v>
      </c>
      <c r="B4321" s="1">
        <v>44568</v>
      </c>
      <c r="C4321" t="s">
        <v>25</v>
      </c>
      <c r="D4321" t="s">
        <v>46</v>
      </c>
      <c r="E4321" t="s">
        <v>18</v>
      </c>
      <c r="F4321">
        <v>619.42999999999995</v>
      </c>
      <c r="G4321">
        <v>153.03</v>
      </c>
      <c r="H4321" t="s">
        <v>28</v>
      </c>
      <c r="I4321" t="s">
        <v>20</v>
      </c>
    </row>
    <row r="4322" spans="1:9" x14ac:dyDescent="0.35">
      <c r="A4322" t="s">
        <v>4358</v>
      </c>
      <c r="B4322" s="1">
        <v>45324</v>
      </c>
      <c r="C4322" t="s">
        <v>25</v>
      </c>
      <c r="D4322" t="s">
        <v>26</v>
      </c>
      <c r="E4322" t="s">
        <v>27</v>
      </c>
      <c r="F4322">
        <v>1732.94</v>
      </c>
      <c r="G4322">
        <v>491.79</v>
      </c>
      <c r="H4322" t="s">
        <v>13</v>
      </c>
      <c r="I4322" t="s">
        <v>14</v>
      </c>
    </row>
    <row r="4323" spans="1:9" x14ac:dyDescent="0.35">
      <c r="A4323" t="s">
        <v>4359</v>
      </c>
      <c r="B4323" s="1">
        <v>44847</v>
      </c>
      <c r="C4323" t="s">
        <v>25</v>
      </c>
      <c r="D4323" t="s">
        <v>23</v>
      </c>
      <c r="E4323" t="s">
        <v>18</v>
      </c>
      <c r="F4323">
        <v>1794.8</v>
      </c>
      <c r="G4323">
        <v>182.56</v>
      </c>
      <c r="H4323" t="s">
        <v>19</v>
      </c>
      <c r="I4323" t="s">
        <v>29</v>
      </c>
    </row>
    <row r="4324" spans="1:9" x14ac:dyDescent="0.35">
      <c r="A4324" t="s">
        <v>4360</v>
      </c>
      <c r="B4324" s="1">
        <v>45288</v>
      </c>
      <c r="C4324" t="s">
        <v>25</v>
      </c>
      <c r="D4324" t="s">
        <v>38</v>
      </c>
      <c r="E4324" t="s">
        <v>12</v>
      </c>
      <c r="F4324">
        <v>1327.76</v>
      </c>
      <c r="G4324">
        <v>67.62</v>
      </c>
      <c r="H4324" t="s">
        <v>28</v>
      </c>
      <c r="I4324" t="s">
        <v>34</v>
      </c>
    </row>
    <row r="4325" spans="1:9" x14ac:dyDescent="0.35">
      <c r="A4325" t="s">
        <v>4361</v>
      </c>
      <c r="B4325" s="1">
        <v>44819</v>
      </c>
      <c r="C4325" t="s">
        <v>10</v>
      </c>
      <c r="D4325" t="s">
        <v>50</v>
      </c>
      <c r="E4325" t="s">
        <v>12</v>
      </c>
      <c r="F4325">
        <v>797.76</v>
      </c>
      <c r="G4325">
        <v>139.06</v>
      </c>
      <c r="H4325" t="s">
        <v>13</v>
      </c>
      <c r="I4325" t="s">
        <v>20</v>
      </c>
    </row>
    <row r="4326" spans="1:9" x14ac:dyDescent="0.35">
      <c r="A4326" t="s">
        <v>4362</v>
      </c>
      <c r="B4326" s="1">
        <v>44853</v>
      </c>
      <c r="C4326" t="s">
        <v>25</v>
      </c>
      <c r="D4326" t="s">
        <v>97</v>
      </c>
      <c r="E4326" t="s">
        <v>27</v>
      </c>
      <c r="F4326">
        <v>1500.12</v>
      </c>
      <c r="G4326">
        <v>234.73</v>
      </c>
      <c r="H4326" t="s">
        <v>28</v>
      </c>
      <c r="I4326" t="s">
        <v>34</v>
      </c>
    </row>
    <row r="4327" spans="1:9" x14ac:dyDescent="0.35">
      <c r="A4327" t="s">
        <v>4363</v>
      </c>
      <c r="B4327" s="1">
        <v>45507</v>
      </c>
      <c r="C4327" t="s">
        <v>10</v>
      </c>
      <c r="D4327" t="s">
        <v>46</v>
      </c>
      <c r="E4327" t="s">
        <v>18</v>
      </c>
      <c r="F4327">
        <v>1663.67</v>
      </c>
      <c r="G4327">
        <v>174.46</v>
      </c>
      <c r="H4327" t="s">
        <v>19</v>
      </c>
      <c r="I4327" t="s">
        <v>14</v>
      </c>
    </row>
    <row r="4328" spans="1:9" x14ac:dyDescent="0.35">
      <c r="A4328" t="s">
        <v>4364</v>
      </c>
      <c r="B4328" s="1">
        <v>45200</v>
      </c>
      <c r="C4328" t="s">
        <v>25</v>
      </c>
      <c r="D4328" t="s">
        <v>31</v>
      </c>
      <c r="E4328" t="s">
        <v>12</v>
      </c>
      <c r="F4328">
        <v>1799.36</v>
      </c>
      <c r="G4328">
        <v>516.09</v>
      </c>
      <c r="H4328" t="s">
        <v>19</v>
      </c>
      <c r="I4328" t="s">
        <v>29</v>
      </c>
    </row>
    <row r="4329" spans="1:9" x14ac:dyDescent="0.35">
      <c r="A4329" t="s">
        <v>4365</v>
      </c>
      <c r="B4329" s="1">
        <v>45156</v>
      </c>
      <c r="C4329" t="s">
        <v>10</v>
      </c>
      <c r="D4329" t="s">
        <v>11</v>
      </c>
      <c r="E4329" t="s">
        <v>12</v>
      </c>
      <c r="F4329">
        <v>1189.43</v>
      </c>
      <c r="G4329">
        <v>123.39</v>
      </c>
      <c r="H4329" t="s">
        <v>19</v>
      </c>
      <c r="I4329" t="s">
        <v>34</v>
      </c>
    </row>
    <row r="4330" spans="1:9" x14ac:dyDescent="0.35">
      <c r="A4330" t="s">
        <v>4366</v>
      </c>
      <c r="B4330" s="1">
        <v>44957</v>
      </c>
      <c r="C4330" t="s">
        <v>16</v>
      </c>
      <c r="D4330" t="s">
        <v>97</v>
      </c>
      <c r="E4330" t="s">
        <v>27</v>
      </c>
      <c r="F4330">
        <v>1795.43</v>
      </c>
      <c r="G4330">
        <v>516.45000000000005</v>
      </c>
      <c r="H4330" t="s">
        <v>19</v>
      </c>
      <c r="I4330" t="s">
        <v>34</v>
      </c>
    </row>
    <row r="4331" spans="1:9" x14ac:dyDescent="0.35">
      <c r="A4331" t="s">
        <v>4367</v>
      </c>
      <c r="B4331" s="1">
        <v>45067</v>
      </c>
      <c r="C4331" t="s">
        <v>16</v>
      </c>
      <c r="D4331" t="s">
        <v>11</v>
      </c>
      <c r="E4331" t="s">
        <v>12</v>
      </c>
      <c r="F4331">
        <v>1351.92</v>
      </c>
      <c r="G4331">
        <v>399.08</v>
      </c>
      <c r="H4331" t="s">
        <v>13</v>
      </c>
      <c r="I4331" t="s">
        <v>29</v>
      </c>
    </row>
    <row r="4332" spans="1:9" x14ac:dyDescent="0.35">
      <c r="A4332" t="s">
        <v>4368</v>
      </c>
      <c r="B4332" s="1">
        <v>44582</v>
      </c>
      <c r="C4332" t="s">
        <v>10</v>
      </c>
      <c r="D4332" t="s">
        <v>95</v>
      </c>
      <c r="E4332" t="s">
        <v>18</v>
      </c>
      <c r="F4332">
        <v>1692.22</v>
      </c>
      <c r="G4332">
        <v>353.41</v>
      </c>
      <c r="H4332" t="s">
        <v>28</v>
      </c>
      <c r="I4332" t="s">
        <v>29</v>
      </c>
    </row>
    <row r="4333" spans="1:9" x14ac:dyDescent="0.35">
      <c r="A4333" t="s">
        <v>4369</v>
      </c>
      <c r="B4333" s="1">
        <v>45577</v>
      </c>
      <c r="C4333" t="s">
        <v>25</v>
      </c>
      <c r="D4333" t="s">
        <v>95</v>
      </c>
      <c r="E4333" t="s">
        <v>18</v>
      </c>
      <c r="F4333">
        <v>885.78</v>
      </c>
      <c r="G4333">
        <v>161.99</v>
      </c>
      <c r="H4333" t="s">
        <v>19</v>
      </c>
      <c r="I4333" t="s">
        <v>14</v>
      </c>
    </row>
    <row r="4334" spans="1:9" x14ac:dyDescent="0.35">
      <c r="A4334" t="s">
        <v>4370</v>
      </c>
      <c r="B4334" s="1">
        <v>45447</v>
      </c>
      <c r="C4334" t="s">
        <v>22</v>
      </c>
      <c r="D4334" t="s">
        <v>95</v>
      </c>
      <c r="E4334" t="s">
        <v>18</v>
      </c>
      <c r="F4334">
        <v>481.56</v>
      </c>
      <c r="G4334">
        <v>55.1</v>
      </c>
      <c r="H4334" t="s">
        <v>19</v>
      </c>
      <c r="I4334" t="s">
        <v>34</v>
      </c>
    </row>
    <row r="4335" spans="1:9" x14ac:dyDescent="0.35">
      <c r="A4335" t="s">
        <v>4371</v>
      </c>
      <c r="B4335" s="1">
        <v>44618</v>
      </c>
      <c r="C4335" t="s">
        <v>22</v>
      </c>
      <c r="D4335" t="s">
        <v>97</v>
      </c>
      <c r="E4335" t="s">
        <v>27</v>
      </c>
      <c r="F4335">
        <v>1575.43</v>
      </c>
      <c r="G4335">
        <v>407.62</v>
      </c>
      <c r="H4335" t="s">
        <v>13</v>
      </c>
      <c r="I4335" t="s">
        <v>29</v>
      </c>
    </row>
    <row r="4336" spans="1:9" x14ac:dyDescent="0.35">
      <c r="A4336" t="s">
        <v>4372</v>
      </c>
      <c r="B4336" s="1">
        <v>45501</v>
      </c>
      <c r="C4336" t="s">
        <v>25</v>
      </c>
      <c r="D4336" t="s">
        <v>41</v>
      </c>
      <c r="E4336" t="s">
        <v>12</v>
      </c>
      <c r="F4336">
        <v>288.8</v>
      </c>
      <c r="G4336">
        <v>56.83</v>
      </c>
      <c r="H4336" t="s">
        <v>13</v>
      </c>
      <c r="I4336" t="s">
        <v>14</v>
      </c>
    </row>
    <row r="4337" spans="1:9" x14ac:dyDescent="0.35">
      <c r="A4337" t="s">
        <v>4373</v>
      </c>
      <c r="B4337" s="1">
        <v>44832</v>
      </c>
      <c r="C4337" t="s">
        <v>25</v>
      </c>
      <c r="D4337" t="s">
        <v>23</v>
      </c>
      <c r="E4337" t="s">
        <v>18</v>
      </c>
      <c r="F4337">
        <v>1655.19</v>
      </c>
      <c r="G4337">
        <v>184.24</v>
      </c>
      <c r="H4337" t="s">
        <v>28</v>
      </c>
      <c r="I4337" t="s">
        <v>20</v>
      </c>
    </row>
    <row r="4338" spans="1:9" x14ac:dyDescent="0.35">
      <c r="A4338" t="s">
        <v>4374</v>
      </c>
      <c r="B4338" s="1">
        <v>44785</v>
      </c>
      <c r="C4338" t="s">
        <v>10</v>
      </c>
      <c r="D4338" t="s">
        <v>11</v>
      </c>
      <c r="E4338" t="s">
        <v>12</v>
      </c>
      <c r="F4338">
        <v>139.63999999999999</v>
      </c>
      <c r="G4338">
        <v>10.41</v>
      </c>
      <c r="H4338" t="s">
        <v>28</v>
      </c>
      <c r="I4338" t="s">
        <v>34</v>
      </c>
    </row>
    <row r="4339" spans="1:9" x14ac:dyDescent="0.35">
      <c r="A4339" t="s">
        <v>4375</v>
      </c>
      <c r="B4339" s="1">
        <v>45109</v>
      </c>
      <c r="C4339" t="s">
        <v>22</v>
      </c>
      <c r="D4339" t="s">
        <v>11</v>
      </c>
      <c r="E4339" t="s">
        <v>12</v>
      </c>
      <c r="F4339">
        <v>1832.79</v>
      </c>
      <c r="G4339">
        <v>217.21</v>
      </c>
      <c r="H4339" t="s">
        <v>28</v>
      </c>
      <c r="I4339" t="s">
        <v>29</v>
      </c>
    </row>
    <row r="4340" spans="1:9" x14ac:dyDescent="0.35">
      <c r="A4340" t="s">
        <v>4376</v>
      </c>
      <c r="B4340" s="1">
        <v>44821</v>
      </c>
      <c r="C4340" t="s">
        <v>16</v>
      </c>
      <c r="D4340" t="s">
        <v>57</v>
      </c>
      <c r="E4340" t="s">
        <v>27</v>
      </c>
      <c r="F4340">
        <v>88.13</v>
      </c>
      <c r="G4340">
        <v>22.89</v>
      </c>
      <c r="H4340" t="s">
        <v>28</v>
      </c>
      <c r="I4340" t="s">
        <v>14</v>
      </c>
    </row>
    <row r="4341" spans="1:9" x14ac:dyDescent="0.35">
      <c r="A4341" t="s">
        <v>4377</v>
      </c>
      <c r="B4341" s="1">
        <v>44841</v>
      </c>
      <c r="C4341" t="s">
        <v>16</v>
      </c>
      <c r="D4341" t="s">
        <v>11</v>
      </c>
      <c r="E4341" t="s">
        <v>12</v>
      </c>
      <c r="F4341">
        <v>1554.36</v>
      </c>
      <c r="G4341">
        <v>123.65</v>
      </c>
      <c r="H4341" t="s">
        <v>28</v>
      </c>
      <c r="I4341" t="s">
        <v>34</v>
      </c>
    </row>
    <row r="4342" spans="1:9" x14ac:dyDescent="0.35">
      <c r="A4342" t="s">
        <v>4378</v>
      </c>
      <c r="B4342" s="1">
        <v>45302</v>
      </c>
      <c r="C4342" t="s">
        <v>25</v>
      </c>
      <c r="D4342" t="s">
        <v>62</v>
      </c>
      <c r="E4342" t="s">
        <v>27</v>
      </c>
      <c r="F4342">
        <v>1596.07</v>
      </c>
      <c r="G4342">
        <v>455.53</v>
      </c>
      <c r="H4342" t="s">
        <v>28</v>
      </c>
      <c r="I4342" t="s">
        <v>14</v>
      </c>
    </row>
    <row r="4343" spans="1:9" x14ac:dyDescent="0.35">
      <c r="A4343" t="s">
        <v>4379</v>
      </c>
      <c r="B4343" s="1">
        <v>45612</v>
      </c>
      <c r="C4343" t="s">
        <v>16</v>
      </c>
      <c r="D4343" t="s">
        <v>50</v>
      </c>
      <c r="E4343" t="s">
        <v>12</v>
      </c>
      <c r="F4343">
        <v>751.22</v>
      </c>
      <c r="G4343">
        <v>55.03</v>
      </c>
      <c r="H4343" t="s">
        <v>28</v>
      </c>
      <c r="I4343" t="s">
        <v>14</v>
      </c>
    </row>
    <row r="4344" spans="1:9" x14ac:dyDescent="0.35">
      <c r="A4344" t="s">
        <v>4380</v>
      </c>
      <c r="B4344" s="1">
        <v>45597</v>
      </c>
      <c r="C4344" t="s">
        <v>16</v>
      </c>
      <c r="D4344" t="s">
        <v>50</v>
      </c>
      <c r="E4344" t="s">
        <v>12</v>
      </c>
      <c r="F4344">
        <v>1452.63</v>
      </c>
      <c r="G4344">
        <v>350.23</v>
      </c>
      <c r="H4344" t="s">
        <v>13</v>
      </c>
      <c r="I4344" t="s">
        <v>20</v>
      </c>
    </row>
    <row r="4345" spans="1:9" x14ac:dyDescent="0.35">
      <c r="A4345" t="s">
        <v>4381</v>
      </c>
      <c r="B4345" s="1">
        <v>44928</v>
      </c>
      <c r="C4345" t="s">
        <v>25</v>
      </c>
      <c r="D4345" t="s">
        <v>26</v>
      </c>
      <c r="E4345" t="s">
        <v>27</v>
      </c>
      <c r="F4345">
        <v>1814.61</v>
      </c>
      <c r="G4345">
        <v>375.68</v>
      </c>
      <c r="H4345" t="s">
        <v>28</v>
      </c>
      <c r="I4345" t="s">
        <v>20</v>
      </c>
    </row>
    <row r="4346" spans="1:9" x14ac:dyDescent="0.35">
      <c r="A4346" t="s">
        <v>4382</v>
      </c>
      <c r="B4346" s="1">
        <v>44576</v>
      </c>
      <c r="C4346" t="s">
        <v>22</v>
      </c>
      <c r="D4346" t="s">
        <v>50</v>
      </c>
      <c r="E4346" t="s">
        <v>12</v>
      </c>
      <c r="F4346">
        <v>802.41</v>
      </c>
      <c r="G4346">
        <v>165.58</v>
      </c>
      <c r="H4346" t="s">
        <v>19</v>
      </c>
      <c r="I4346" t="s">
        <v>29</v>
      </c>
    </row>
    <row r="4347" spans="1:9" x14ac:dyDescent="0.35">
      <c r="A4347" t="s">
        <v>4383</v>
      </c>
      <c r="B4347" s="1">
        <v>44807</v>
      </c>
      <c r="C4347" t="s">
        <v>10</v>
      </c>
      <c r="D4347" t="s">
        <v>73</v>
      </c>
      <c r="E4347" t="s">
        <v>27</v>
      </c>
      <c r="F4347">
        <v>355.06</v>
      </c>
      <c r="G4347">
        <v>39.020000000000003</v>
      </c>
      <c r="H4347" t="s">
        <v>28</v>
      </c>
      <c r="I4347" t="s">
        <v>20</v>
      </c>
    </row>
    <row r="4348" spans="1:9" x14ac:dyDescent="0.35">
      <c r="A4348" t="s">
        <v>4384</v>
      </c>
      <c r="B4348" s="1">
        <v>45051</v>
      </c>
      <c r="C4348" t="s">
        <v>22</v>
      </c>
      <c r="D4348" t="s">
        <v>31</v>
      </c>
      <c r="E4348" t="s">
        <v>12</v>
      </c>
      <c r="F4348">
        <v>484.03</v>
      </c>
      <c r="G4348">
        <v>63.06</v>
      </c>
      <c r="H4348" t="s">
        <v>13</v>
      </c>
      <c r="I4348" t="s">
        <v>29</v>
      </c>
    </row>
    <row r="4349" spans="1:9" x14ac:dyDescent="0.35">
      <c r="A4349" t="s">
        <v>4385</v>
      </c>
      <c r="B4349" s="1">
        <v>45206</v>
      </c>
      <c r="C4349" t="s">
        <v>22</v>
      </c>
      <c r="D4349" t="s">
        <v>38</v>
      </c>
      <c r="E4349" t="s">
        <v>12</v>
      </c>
      <c r="F4349">
        <v>1472.95</v>
      </c>
      <c r="G4349">
        <v>337</v>
      </c>
      <c r="H4349" t="s">
        <v>13</v>
      </c>
      <c r="I4349" t="s">
        <v>29</v>
      </c>
    </row>
    <row r="4350" spans="1:9" x14ac:dyDescent="0.35">
      <c r="A4350" t="s">
        <v>4386</v>
      </c>
      <c r="B4350" s="1">
        <v>44713</v>
      </c>
      <c r="C4350" t="s">
        <v>16</v>
      </c>
      <c r="D4350" t="s">
        <v>38</v>
      </c>
      <c r="E4350" t="s">
        <v>12</v>
      </c>
      <c r="F4350">
        <v>424.04</v>
      </c>
      <c r="G4350">
        <v>89.16</v>
      </c>
      <c r="H4350" t="s">
        <v>19</v>
      </c>
      <c r="I4350" t="s">
        <v>29</v>
      </c>
    </row>
    <row r="4351" spans="1:9" x14ac:dyDescent="0.35">
      <c r="A4351" t="s">
        <v>4387</v>
      </c>
      <c r="B4351" s="1">
        <v>45136</v>
      </c>
      <c r="C4351" t="s">
        <v>25</v>
      </c>
      <c r="D4351" t="s">
        <v>62</v>
      </c>
      <c r="E4351" t="s">
        <v>27</v>
      </c>
      <c r="F4351">
        <v>879.52</v>
      </c>
      <c r="G4351">
        <v>227.02</v>
      </c>
      <c r="H4351" t="s">
        <v>19</v>
      </c>
      <c r="I4351" t="s">
        <v>14</v>
      </c>
    </row>
    <row r="4352" spans="1:9" x14ac:dyDescent="0.35">
      <c r="A4352" t="s">
        <v>4388</v>
      </c>
      <c r="B4352" s="1">
        <v>45638</v>
      </c>
      <c r="C4352" t="s">
        <v>16</v>
      </c>
      <c r="D4352" t="s">
        <v>97</v>
      </c>
      <c r="E4352" t="s">
        <v>27</v>
      </c>
      <c r="F4352">
        <v>411.27</v>
      </c>
      <c r="G4352">
        <v>40.98</v>
      </c>
      <c r="H4352" t="s">
        <v>19</v>
      </c>
      <c r="I4352" t="s">
        <v>34</v>
      </c>
    </row>
    <row r="4353" spans="1:9" x14ac:dyDescent="0.35">
      <c r="A4353" t="s">
        <v>4389</v>
      </c>
      <c r="B4353" s="1">
        <v>44925</v>
      </c>
      <c r="C4353" t="s">
        <v>22</v>
      </c>
      <c r="D4353" t="s">
        <v>26</v>
      </c>
      <c r="E4353" t="s">
        <v>27</v>
      </c>
      <c r="F4353">
        <v>1567.7</v>
      </c>
      <c r="G4353">
        <v>153.61000000000001</v>
      </c>
      <c r="H4353" t="s">
        <v>13</v>
      </c>
      <c r="I4353" t="s">
        <v>14</v>
      </c>
    </row>
    <row r="4354" spans="1:9" x14ac:dyDescent="0.35">
      <c r="A4354" t="s">
        <v>4390</v>
      </c>
      <c r="B4354" s="1">
        <v>45237</v>
      </c>
      <c r="C4354" t="s">
        <v>25</v>
      </c>
      <c r="D4354" t="s">
        <v>26</v>
      </c>
      <c r="E4354" t="s">
        <v>27</v>
      </c>
      <c r="F4354">
        <v>1981.85</v>
      </c>
      <c r="G4354">
        <v>196.3</v>
      </c>
      <c r="H4354" t="s">
        <v>13</v>
      </c>
      <c r="I4354" t="s">
        <v>14</v>
      </c>
    </row>
    <row r="4355" spans="1:9" x14ac:dyDescent="0.35">
      <c r="A4355" t="s">
        <v>4391</v>
      </c>
      <c r="B4355" s="1">
        <v>45083</v>
      </c>
      <c r="C4355" t="s">
        <v>10</v>
      </c>
      <c r="D4355" t="s">
        <v>17</v>
      </c>
      <c r="E4355" t="s">
        <v>18</v>
      </c>
      <c r="F4355">
        <v>936.13</v>
      </c>
      <c r="G4355">
        <v>94.43</v>
      </c>
      <c r="H4355" t="s">
        <v>19</v>
      </c>
      <c r="I4355" t="s">
        <v>29</v>
      </c>
    </row>
    <row r="4356" spans="1:9" x14ac:dyDescent="0.35">
      <c r="A4356" t="s">
        <v>4392</v>
      </c>
      <c r="B4356" s="1">
        <v>44999</v>
      </c>
      <c r="C4356" t="s">
        <v>10</v>
      </c>
      <c r="D4356" t="s">
        <v>26</v>
      </c>
      <c r="E4356" t="s">
        <v>27</v>
      </c>
      <c r="F4356">
        <v>1698.39</v>
      </c>
      <c r="G4356">
        <v>201.51</v>
      </c>
      <c r="H4356" t="s">
        <v>28</v>
      </c>
      <c r="I4356" t="s">
        <v>29</v>
      </c>
    </row>
    <row r="4357" spans="1:9" x14ac:dyDescent="0.35">
      <c r="A4357" t="s">
        <v>4393</v>
      </c>
      <c r="B4357" s="1">
        <v>45571</v>
      </c>
      <c r="C4357" t="s">
        <v>25</v>
      </c>
      <c r="D4357" t="s">
        <v>31</v>
      </c>
      <c r="E4357" t="s">
        <v>12</v>
      </c>
      <c r="F4357">
        <v>711.85</v>
      </c>
      <c r="G4357">
        <v>195.68</v>
      </c>
      <c r="H4357" t="s">
        <v>28</v>
      </c>
      <c r="I4357" t="s">
        <v>29</v>
      </c>
    </row>
    <row r="4358" spans="1:9" x14ac:dyDescent="0.35">
      <c r="A4358" t="s">
        <v>4394</v>
      </c>
      <c r="B4358" s="1">
        <v>44716</v>
      </c>
      <c r="C4358" t="s">
        <v>10</v>
      </c>
      <c r="D4358" t="s">
        <v>17</v>
      </c>
      <c r="E4358" t="s">
        <v>18</v>
      </c>
      <c r="F4358">
        <v>444.68</v>
      </c>
      <c r="G4358">
        <v>73.38</v>
      </c>
      <c r="H4358" t="s">
        <v>13</v>
      </c>
      <c r="I4358" t="s">
        <v>14</v>
      </c>
    </row>
    <row r="4359" spans="1:9" x14ac:dyDescent="0.35">
      <c r="A4359" t="s">
        <v>4395</v>
      </c>
      <c r="B4359" s="1">
        <v>44977</v>
      </c>
      <c r="C4359" t="s">
        <v>25</v>
      </c>
      <c r="D4359" t="s">
        <v>33</v>
      </c>
      <c r="E4359" t="s">
        <v>18</v>
      </c>
      <c r="F4359">
        <v>537.91</v>
      </c>
      <c r="G4359">
        <v>160.68</v>
      </c>
      <c r="H4359" t="s">
        <v>13</v>
      </c>
      <c r="I4359" t="s">
        <v>14</v>
      </c>
    </row>
    <row r="4360" spans="1:9" x14ac:dyDescent="0.35">
      <c r="A4360" t="s">
        <v>4396</v>
      </c>
      <c r="B4360" s="1">
        <v>45295</v>
      </c>
      <c r="C4360" t="s">
        <v>10</v>
      </c>
      <c r="D4360" t="s">
        <v>46</v>
      </c>
      <c r="E4360" t="s">
        <v>18</v>
      </c>
      <c r="F4360">
        <v>295.73</v>
      </c>
      <c r="G4360">
        <v>43.85</v>
      </c>
      <c r="H4360" t="s">
        <v>19</v>
      </c>
      <c r="I4360" t="s">
        <v>29</v>
      </c>
    </row>
    <row r="4361" spans="1:9" x14ac:dyDescent="0.35">
      <c r="A4361" t="s">
        <v>4397</v>
      </c>
      <c r="B4361" s="1">
        <v>44697</v>
      </c>
      <c r="C4361" t="s">
        <v>25</v>
      </c>
      <c r="D4361" t="s">
        <v>38</v>
      </c>
      <c r="E4361" t="s">
        <v>12</v>
      </c>
      <c r="F4361">
        <v>189.98</v>
      </c>
      <c r="G4361">
        <v>10.67</v>
      </c>
      <c r="H4361" t="s">
        <v>19</v>
      </c>
      <c r="I4361" t="s">
        <v>20</v>
      </c>
    </row>
    <row r="4362" spans="1:9" x14ac:dyDescent="0.35">
      <c r="A4362" t="s">
        <v>4398</v>
      </c>
      <c r="B4362" s="1">
        <v>45225</v>
      </c>
      <c r="C4362" t="s">
        <v>10</v>
      </c>
      <c r="D4362" t="s">
        <v>41</v>
      </c>
      <c r="E4362" t="s">
        <v>12</v>
      </c>
      <c r="F4362">
        <v>429.71</v>
      </c>
      <c r="G4362">
        <v>115.9</v>
      </c>
      <c r="H4362" t="s">
        <v>13</v>
      </c>
      <c r="I4362" t="s">
        <v>20</v>
      </c>
    </row>
    <row r="4363" spans="1:9" x14ac:dyDescent="0.35">
      <c r="A4363" t="s">
        <v>4399</v>
      </c>
      <c r="B4363" s="1">
        <v>45606</v>
      </c>
      <c r="C4363" t="s">
        <v>25</v>
      </c>
      <c r="D4363" t="s">
        <v>11</v>
      </c>
      <c r="E4363" t="s">
        <v>12</v>
      </c>
      <c r="F4363">
        <v>417.49</v>
      </c>
      <c r="G4363">
        <v>119.47</v>
      </c>
      <c r="H4363" t="s">
        <v>28</v>
      </c>
      <c r="I4363" t="s">
        <v>20</v>
      </c>
    </row>
    <row r="4364" spans="1:9" x14ac:dyDescent="0.35">
      <c r="A4364" t="s">
        <v>4400</v>
      </c>
      <c r="B4364" s="1">
        <v>45332</v>
      </c>
      <c r="C4364" t="s">
        <v>25</v>
      </c>
      <c r="D4364" t="s">
        <v>41</v>
      </c>
      <c r="E4364" t="s">
        <v>12</v>
      </c>
      <c r="F4364">
        <v>1243.24</v>
      </c>
      <c r="G4364">
        <v>369.87</v>
      </c>
      <c r="H4364" t="s">
        <v>19</v>
      </c>
      <c r="I4364" t="s">
        <v>20</v>
      </c>
    </row>
    <row r="4365" spans="1:9" x14ac:dyDescent="0.35">
      <c r="A4365" t="s">
        <v>4401</v>
      </c>
      <c r="B4365" s="1">
        <v>44806</v>
      </c>
      <c r="C4365" t="s">
        <v>25</v>
      </c>
      <c r="D4365" t="s">
        <v>26</v>
      </c>
      <c r="E4365" t="s">
        <v>27</v>
      </c>
      <c r="F4365">
        <v>1256.79</v>
      </c>
      <c r="G4365">
        <v>345.52</v>
      </c>
      <c r="H4365" t="s">
        <v>19</v>
      </c>
      <c r="I4365" t="s">
        <v>14</v>
      </c>
    </row>
    <row r="4366" spans="1:9" x14ac:dyDescent="0.35">
      <c r="A4366" t="s">
        <v>4402</v>
      </c>
      <c r="B4366" s="1">
        <v>44746</v>
      </c>
      <c r="C4366" t="s">
        <v>16</v>
      </c>
      <c r="D4366" t="s">
        <v>17</v>
      </c>
      <c r="E4366" t="s">
        <v>18</v>
      </c>
      <c r="F4366">
        <v>1673.81</v>
      </c>
      <c r="G4366">
        <v>306.79000000000002</v>
      </c>
      <c r="H4366" t="s">
        <v>19</v>
      </c>
      <c r="I4366" t="s">
        <v>14</v>
      </c>
    </row>
    <row r="4367" spans="1:9" x14ac:dyDescent="0.35">
      <c r="A4367" t="s">
        <v>4403</v>
      </c>
      <c r="B4367" s="1">
        <v>44681</v>
      </c>
      <c r="C4367" t="s">
        <v>16</v>
      </c>
      <c r="D4367" t="s">
        <v>57</v>
      </c>
      <c r="E4367" t="s">
        <v>27</v>
      </c>
      <c r="F4367">
        <v>1818.36</v>
      </c>
      <c r="G4367">
        <v>161.75</v>
      </c>
      <c r="H4367" t="s">
        <v>19</v>
      </c>
      <c r="I4367" t="s">
        <v>14</v>
      </c>
    </row>
    <row r="4368" spans="1:9" x14ac:dyDescent="0.35">
      <c r="A4368" t="s">
        <v>4404</v>
      </c>
      <c r="B4368" s="1">
        <v>45024</v>
      </c>
      <c r="C4368" t="s">
        <v>16</v>
      </c>
      <c r="D4368" t="s">
        <v>62</v>
      </c>
      <c r="E4368" t="s">
        <v>27</v>
      </c>
      <c r="F4368">
        <v>738.54</v>
      </c>
      <c r="G4368">
        <v>194.55</v>
      </c>
      <c r="H4368" t="s">
        <v>28</v>
      </c>
      <c r="I4368" t="s">
        <v>29</v>
      </c>
    </row>
    <row r="4369" spans="1:9" x14ac:dyDescent="0.35">
      <c r="A4369" t="s">
        <v>4405</v>
      </c>
      <c r="B4369" s="1">
        <v>44987</v>
      </c>
      <c r="C4369" t="s">
        <v>16</v>
      </c>
      <c r="D4369" t="s">
        <v>41</v>
      </c>
      <c r="E4369" t="s">
        <v>12</v>
      </c>
      <c r="F4369">
        <v>134.94999999999999</v>
      </c>
      <c r="G4369">
        <v>11.49</v>
      </c>
      <c r="H4369" t="s">
        <v>28</v>
      </c>
      <c r="I4369" t="s">
        <v>14</v>
      </c>
    </row>
    <row r="4370" spans="1:9" x14ac:dyDescent="0.35">
      <c r="A4370" t="s">
        <v>4406</v>
      </c>
      <c r="B4370" s="1">
        <v>45043</v>
      </c>
      <c r="C4370" t="s">
        <v>25</v>
      </c>
      <c r="D4370" t="s">
        <v>41</v>
      </c>
      <c r="E4370" t="s">
        <v>12</v>
      </c>
      <c r="F4370">
        <v>339.23</v>
      </c>
      <c r="G4370">
        <v>53.57</v>
      </c>
      <c r="H4370" t="s">
        <v>19</v>
      </c>
      <c r="I4370" t="s">
        <v>14</v>
      </c>
    </row>
    <row r="4371" spans="1:9" x14ac:dyDescent="0.35">
      <c r="A4371" t="s">
        <v>4407</v>
      </c>
      <c r="B4371" s="1">
        <v>45422</v>
      </c>
      <c r="C4371" t="s">
        <v>16</v>
      </c>
      <c r="D4371" t="s">
        <v>73</v>
      </c>
      <c r="E4371" t="s">
        <v>27</v>
      </c>
      <c r="F4371">
        <v>308.98</v>
      </c>
      <c r="G4371">
        <v>22.65</v>
      </c>
      <c r="H4371" t="s">
        <v>13</v>
      </c>
      <c r="I4371" t="s">
        <v>34</v>
      </c>
    </row>
    <row r="4372" spans="1:9" x14ac:dyDescent="0.35">
      <c r="A4372" t="s">
        <v>4408</v>
      </c>
      <c r="B4372" s="1">
        <v>44858</v>
      </c>
      <c r="C4372" t="s">
        <v>25</v>
      </c>
      <c r="D4372" t="s">
        <v>11</v>
      </c>
      <c r="E4372" t="s">
        <v>12</v>
      </c>
      <c r="F4372">
        <v>327.36</v>
      </c>
      <c r="G4372">
        <v>39.69</v>
      </c>
      <c r="H4372" t="s">
        <v>13</v>
      </c>
      <c r="I4372" t="s">
        <v>14</v>
      </c>
    </row>
    <row r="4373" spans="1:9" x14ac:dyDescent="0.35">
      <c r="A4373" t="s">
        <v>4409</v>
      </c>
      <c r="B4373" s="1">
        <v>44853</v>
      </c>
      <c r="C4373" t="s">
        <v>10</v>
      </c>
      <c r="D4373" t="s">
        <v>50</v>
      </c>
      <c r="E4373" t="s">
        <v>12</v>
      </c>
      <c r="F4373">
        <v>1912.47</v>
      </c>
      <c r="G4373">
        <v>553.54999999999995</v>
      </c>
      <c r="H4373" t="s">
        <v>19</v>
      </c>
      <c r="I4373" t="s">
        <v>14</v>
      </c>
    </row>
    <row r="4374" spans="1:9" x14ac:dyDescent="0.35">
      <c r="A4374" t="s">
        <v>4410</v>
      </c>
      <c r="B4374" s="1">
        <v>44771</v>
      </c>
      <c r="C4374" t="s">
        <v>10</v>
      </c>
      <c r="D4374" t="s">
        <v>97</v>
      </c>
      <c r="E4374" t="s">
        <v>27</v>
      </c>
      <c r="F4374">
        <v>363.89</v>
      </c>
      <c r="G4374">
        <v>108.74</v>
      </c>
      <c r="H4374" t="s">
        <v>13</v>
      </c>
      <c r="I4374" t="s">
        <v>20</v>
      </c>
    </row>
    <row r="4375" spans="1:9" x14ac:dyDescent="0.35">
      <c r="A4375" t="s">
        <v>4411</v>
      </c>
      <c r="B4375" s="1">
        <v>44805</v>
      </c>
      <c r="C4375" t="s">
        <v>10</v>
      </c>
      <c r="D4375" t="s">
        <v>23</v>
      </c>
      <c r="E4375" t="s">
        <v>18</v>
      </c>
      <c r="F4375">
        <v>1449.41</v>
      </c>
      <c r="G4375">
        <v>331.57</v>
      </c>
      <c r="H4375" t="s">
        <v>28</v>
      </c>
      <c r="I4375" t="s">
        <v>34</v>
      </c>
    </row>
    <row r="4376" spans="1:9" x14ac:dyDescent="0.35">
      <c r="A4376" t="s">
        <v>4412</v>
      </c>
      <c r="B4376" s="1">
        <v>45071</v>
      </c>
      <c r="C4376" t="s">
        <v>16</v>
      </c>
      <c r="D4376" t="s">
        <v>23</v>
      </c>
      <c r="E4376" t="s">
        <v>18</v>
      </c>
      <c r="F4376">
        <v>1794.28</v>
      </c>
      <c r="G4376">
        <v>249.05</v>
      </c>
      <c r="H4376" t="s">
        <v>28</v>
      </c>
      <c r="I4376" t="s">
        <v>29</v>
      </c>
    </row>
    <row r="4377" spans="1:9" x14ac:dyDescent="0.35">
      <c r="A4377" t="s">
        <v>4413</v>
      </c>
      <c r="B4377" s="1">
        <v>45052</v>
      </c>
      <c r="C4377" t="s">
        <v>16</v>
      </c>
      <c r="D4377" t="s">
        <v>11</v>
      </c>
      <c r="E4377" t="s">
        <v>12</v>
      </c>
      <c r="F4377">
        <v>1321.18</v>
      </c>
      <c r="G4377">
        <v>266.95999999999998</v>
      </c>
      <c r="H4377" t="s">
        <v>13</v>
      </c>
      <c r="I4377" t="s">
        <v>20</v>
      </c>
    </row>
    <row r="4378" spans="1:9" x14ac:dyDescent="0.35">
      <c r="A4378" t="s">
        <v>4414</v>
      </c>
      <c r="B4378" s="1">
        <v>45625</v>
      </c>
      <c r="C4378" t="s">
        <v>25</v>
      </c>
      <c r="D4378" t="s">
        <v>17</v>
      </c>
      <c r="E4378" t="s">
        <v>18</v>
      </c>
      <c r="F4378">
        <v>1428.85</v>
      </c>
      <c r="G4378">
        <v>331.98</v>
      </c>
      <c r="H4378" t="s">
        <v>28</v>
      </c>
      <c r="I4378" t="s">
        <v>14</v>
      </c>
    </row>
    <row r="4379" spans="1:9" x14ac:dyDescent="0.35">
      <c r="A4379" t="s">
        <v>4415</v>
      </c>
      <c r="B4379" s="1">
        <v>45037</v>
      </c>
      <c r="C4379" t="s">
        <v>10</v>
      </c>
      <c r="D4379" t="s">
        <v>57</v>
      </c>
      <c r="E4379" t="s">
        <v>27</v>
      </c>
      <c r="F4379">
        <v>808.45</v>
      </c>
      <c r="G4379">
        <v>225.06</v>
      </c>
      <c r="H4379" t="s">
        <v>28</v>
      </c>
      <c r="I4379" t="s">
        <v>29</v>
      </c>
    </row>
    <row r="4380" spans="1:9" x14ac:dyDescent="0.35">
      <c r="A4380" t="s">
        <v>4416</v>
      </c>
      <c r="B4380" s="1">
        <v>45622</v>
      </c>
      <c r="C4380" t="s">
        <v>16</v>
      </c>
      <c r="D4380" t="s">
        <v>11</v>
      </c>
      <c r="E4380" t="s">
        <v>12</v>
      </c>
      <c r="F4380">
        <v>375.06</v>
      </c>
      <c r="G4380">
        <v>37.46</v>
      </c>
      <c r="H4380" t="s">
        <v>28</v>
      </c>
      <c r="I4380" t="s">
        <v>14</v>
      </c>
    </row>
    <row r="4381" spans="1:9" x14ac:dyDescent="0.35">
      <c r="A4381" t="s">
        <v>4417</v>
      </c>
      <c r="B4381" s="1">
        <v>45143</v>
      </c>
      <c r="C4381" t="s">
        <v>25</v>
      </c>
      <c r="D4381" t="s">
        <v>57</v>
      </c>
      <c r="E4381" t="s">
        <v>27</v>
      </c>
      <c r="F4381">
        <v>366.83</v>
      </c>
      <c r="G4381">
        <v>73.11</v>
      </c>
      <c r="H4381" t="s">
        <v>19</v>
      </c>
      <c r="I4381" t="s">
        <v>34</v>
      </c>
    </row>
    <row r="4382" spans="1:9" x14ac:dyDescent="0.35">
      <c r="A4382" t="s">
        <v>4418</v>
      </c>
      <c r="B4382" s="1">
        <v>45123</v>
      </c>
      <c r="C4382" t="s">
        <v>16</v>
      </c>
      <c r="D4382" t="s">
        <v>38</v>
      </c>
      <c r="E4382" t="s">
        <v>12</v>
      </c>
      <c r="F4382">
        <v>1509.99</v>
      </c>
      <c r="G4382">
        <v>231.36</v>
      </c>
      <c r="H4382" t="s">
        <v>28</v>
      </c>
      <c r="I4382" t="s">
        <v>34</v>
      </c>
    </row>
    <row r="4383" spans="1:9" x14ac:dyDescent="0.35">
      <c r="A4383" t="s">
        <v>4419</v>
      </c>
      <c r="B4383" s="1">
        <v>44646</v>
      </c>
      <c r="C4383" t="s">
        <v>10</v>
      </c>
      <c r="D4383" t="s">
        <v>31</v>
      </c>
      <c r="E4383" t="s">
        <v>12</v>
      </c>
      <c r="F4383">
        <v>518.11</v>
      </c>
      <c r="G4383">
        <v>70.48</v>
      </c>
      <c r="H4383" t="s">
        <v>13</v>
      </c>
      <c r="I4383" t="s">
        <v>29</v>
      </c>
    </row>
    <row r="4384" spans="1:9" x14ac:dyDescent="0.35">
      <c r="A4384" t="s">
        <v>4420</v>
      </c>
      <c r="B4384" s="1">
        <v>45161</v>
      </c>
      <c r="C4384" t="s">
        <v>25</v>
      </c>
      <c r="D4384" t="s">
        <v>50</v>
      </c>
      <c r="E4384" t="s">
        <v>12</v>
      </c>
      <c r="F4384">
        <v>1831.19</v>
      </c>
      <c r="G4384">
        <v>470.85</v>
      </c>
      <c r="H4384" t="s">
        <v>19</v>
      </c>
      <c r="I4384" t="s">
        <v>34</v>
      </c>
    </row>
    <row r="4385" spans="1:9" x14ac:dyDescent="0.35">
      <c r="A4385" t="s">
        <v>4421</v>
      </c>
      <c r="B4385" s="1">
        <v>45608</v>
      </c>
      <c r="C4385" t="s">
        <v>25</v>
      </c>
      <c r="D4385" t="s">
        <v>46</v>
      </c>
      <c r="E4385" t="s">
        <v>18</v>
      </c>
      <c r="F4385">
        <v>618.83000000000004</v>
      </c>
      <c r="G4385">
        <v>83.34</v>
      </c>
      <c r="H4385" t="s">
        <v>13</v>
      </c>
      <c r="I4385" t="s">
        <v>29</v>
      </c>
    </row>
    <row r="4386" spans="1:9" x14ac:dyDescent="0.35">
      <c r="A4386" t="s">
        <v>4422</v>
      </c>
      <c r="B4386" s="1">
        <v>44913</v>
      </c>
      <c r="C4386" t="s">
        <v>16</v>
      </c>
      <c r="D4386" t="s">
        <v>31</v>
      </c>
      <c r="E4386" t="s">
        <v>12</v>
      </c>
      <c r="F4386">
        <v>221.46</v>
      </c>
      <c r="G4386">
        <v>63.93</v>
      </c>
      <c r="H4386" t="s">
        <v>19</v>
      </c>
      <c r="I4386" t="s">
        <v>34</v>
      </c>
    </row>
    <row r="4387" spans="1:9" x14ac:dyDescent="0.35">
      <c r="A4387" t="s">
        <v>4423</v>
      </c>
      <c r="B4387" s="1">
        <v>44654</v>
      </c>
      <c r="C4387" t="s">
        <v>25</v>
      </c>
      <c r="D4387" t="s">
        <v>38</v>
      </c>
      <c r="E4387" t="s">
        <v>12</v>
      </c>
      <c r="F4387">
        <v>460.3</v>
      </c>
      <c r="G4387">
        <v>62.97</v>
      </c>
      <c r="H4387" t="s">
        <v>13</v>
      </c>
      <c r="I4387" t="s">
        <v>20</v>
      </c>
    </row>
    <row r="4388" spans="1:9" x14ac:dyDescent="0.35">
      <c r="A4388" t="s">
        <v>4424</v>
      </c>
      <c r="B4388" s="1">
        <v>45218</v>
      </c>
      <c r="C4388" t="s">
        <v>16</v>
      </c>
      <c r="D4388" t="s">
        <v>41</v>
      </c>
      <c r="E4388" t="s">
        <v>12</v>
      </c>
      <c r="F4388">
        <v>848.16</v>
      </c>
      <c r="G4388">
        <v>164.72</v>
      </c>
      <c r="H4388" t="s">
        <v>19</v>
      </c>
      <c r="I4388" t="s">
        <v>14</v>
      </c>
    </row>
    <row r="4389" spans="1:9" x14ac:dyDescent="0.35">
      <c r="A4389" t="s">
        <v>4425</v>
      </c>
      <c r="B4389" s="1">
        <v>45267</v>
      </c>
      <c r="C4389" t="s">
        <v>22</v>
      </c>
      <c r="D4389" t="s">
        <v>57</v>
      </c>
      <c r="E4389" t="s">
        <v>27</v>
      </c>
      <c r="F4389">
        <v>558.08000000000004</v>
      </c>
      <c r="G4389">
        <v>104.79</v>
      </c>
      <c r="H4389" t="s">
        <v>13</v>
      </c>
      <c r="I4389" t="s">
        <v>20</v>
      </c>
    </row>
    <row r="4390" spans="1:9" x14ac:dyDescent="0.35">
      <c r="A4390" t="s">
        <v>4426</v>
      </c>
      <c r="B4390" s="1">
        <v>45175</v>
      </c>
      <c r="C4390" t="s">
        <v>10</v>
      </c>
      <c r="D4390" t="s">
        <v>46</v>
      </c>
      <c r="E4390" t="s">
        <v>18</v>
      </c>
      <c r="F4390">
        <v>1990.64</v>
      </c>
      <c r="G4390">
        <v>371.25</v>
      </c>
      <c r="H4390" t="s">
        <v>13</v>
      </c>
      <c r="I4390" t="s">
        <v>29</v>
      </c>
    </row>
    <row r="4391" spans="1:9" x14ac:dyDescent="0.35">
      <c r="A4391" t="s">
        <v>4427</v>
      </c>
      <c r="B4391" s="1">
        <v>45221</v>
      </c>
      <c r="C4391" t="s">
        <v>25</v>
      </c>
      <c r="D4391" t="s">
        <v>41</v>
      </c>
      <c r="E4391" t="s">
        <v>12</v>
      </c>
      <c r="F4391">
        <v>183.09</v>
      </c>
      <c r="G4391">
        <v>51.51</v>
      </c>
      <c r="H4391" t="s">
        <v>28</v>
      </c>
      <c r="I4391" t="s">
        <v>34</v>
      </c>
    </row>
    <row r="4392" spans="1:9" x14ac:dyDescent="0.35">
      <c r="A4392" t="s">
        <v>4428</v>
      </c>
      <c r="B4392" s="1">
        <v>44763</v>
      </c>
      <c r="C4392" t="s">
        <v>22</v>
      </c>
      <c r="D4392" t="s">
        <v>50</v>
      </c>
      <c r="E4392" t="s">
        <v>12</v>
      </c>
      <c r="F4392">
        <v>909.47</v>
      </c>
      <c r="G4392">
        <v>154.30000000000001</v>
      </c>
      <c r="H4392" t="s">
        <v>19</v>
      </c>
      <c r="I4392" t="s">
        <v>34</v>
      </c>
    </row>
    <row r="4393" spans="1:9" x14ac:dyDescent="0.35">
      <c r="A4393" t="s">
        <v>4429</v>
      </c>
      <c r="B4393" s="1">
        <v>45484</v>
      </c>
      <c r="C4393" t="s">
        <v>10</v>
      </c>
      <c r="D4393" t="s">
        <v>17</v>
      </c>
      <c r="E4393" t="s">
        <v>18</v>
      </c>
      <c r="F4393">
        <v>224.05</v>
      </c>
      <c r="G4393">
        <v>63.46</v>
      </c>
      <c r="H4393" t="s">
        <v>28</v>
      </c>
      <c r="I4393" t="s">
        <v>14</v>
      </c>
    </row>
    <row r="4394" spans="1:9" x14ac:dyDescent="0.35">
      <c r="A4394" t="s">
        <v>4430</v>
      </c>
      <c r="B4394" s="1">
        <v>44929</v>
      </c>
      <c r="C4394" t="s">
        <v>25</v>
      </c>
      <c r="D4394" t="s">
        <v>97</v>
      </c>
      <c r="E4394" t="s">
        <v>27</v>
      </c>
      <c r="F4394">
        <v>259.77999999999997</v>
      </c>
      <c r="G4394">
        <v>69.41</v>
      </c>
      <c r="H4394" t="s">
        <v>28</v>
      </c>
      <c r="I4394" t="s">
        <v>34</v>
      </c>
    </row>
    <row r="4395" spans="1:9" x14ac:dyDescent="0.35">
      <c r="A4395" t="s">
        <v>4431</v>
      </c>
      <c r="B4395" s="1">
        <v>44729</v>
      </c>
      <c r="C4395" t="s">
        <v>16</v>
      </c>
      <c r="D4395" t="s">
        <v>57</v>
      </c>
      <c r="E4395" t="s">
        <v>27</v>
      </c>
      <c r="F4395">
        <v>136.74</v>
      </c>
      <c r="G4395">
        <v>25.83</v>
      </c>
      <c r="H4395" t="s">
        <v>19</v>
      </c>
      <c r="I4395" t="s">
        <v>14</v>
      </c>
    </row>
    <row r="4396" spans="1:9" x14ac:dyDescent="0.35">
      <c r="A4396" t="s">
        <v>4432</v>
      </c>
      <c r="B4396" s="1">
        <v>44872</v>
      </c>
      <c r="C4396" t="s">
        <v>16</v>
      </c>
      <c r="D4396" t="s">
        <v>26</v>
      </c>
      <c r="E4396" t="s">
        <v>27</v>
      </c>
      <c r="F4396">
        <v>1209.1500000000001</v>
      </c>
      <c r="G4396">
        <v>91.28</v>
      </c>
      <c r="H4396" t="s">
        <v>28</v>
      </c>
      <c r="I4396" t="s">
        <v>14</v>
      </c>
    </row>
    <row r="4397" spans="1:9" x14ac:dyDescent="0.35">
      <c r="A4397" t="s">
        <v>4433</v>
      </c>
      <c r="B4397" s="1">
        <v>45539</v>
      </c>
      <c r="C4397" t="s">
        <v>16</v>
      </c>
      <c r="D4397" t="s">
        <v>62</v>
      </c>
      <c r="E4397" t="s">
        <v>27</v>
      </c>
      <c r="F4397">
        <v>104.67</v>
      </c>
      <c r="G4397">
        <v>22.86</v>
      </c>
      <c r="H4397" t="s">
        <v>28</v>
      </c>
      <c r="I4397" t="s">
        <v>20</v>
      </c>
    </row>
    <row r="4398" spans="1:9" x14ac:dyDescent="0.35">
      <c r="A4398" t="s">
        <v>4434</v>
      </c>
      <c r="B4398" s="1">
        <v>44823</v>
      </c>
      <c r="C4398" t="s">
        <v>10</v>
      </c>
      <c r="D4398" t="s">
        <v>11</v>
      </c>
      <c r="E4398" t="s">
        <v>12</v>
      </c>
      <c r="F4398">
        <v>515.20000000000005</v>
      </c>
      <c r="G4398">
        <v>35.75</v>
      </c>
      <c r="H4398" t="s">
        <v>28</v>
      </c>
      <c r="I4398" t="s">
        <v>14</v>
      </c>
    </row>
    <row r="4399" spans="1:9" x14ac:dyDescent="0.35">
      <c r="A4399" t="s">
        <v>4435</v>
      </c>
      <c r="B4399" s="1">
        <v>44576</v>
      </c>
      <c r="C4399" t="s">
        <v>22</v>
      </c>
      <c r="D4399" t="s">
        <v>97</v>
      </c>
      <c r="E4399" t="s">
        <v>27</v>
      </c>
      <c r="F4399">
        <v>544.09</v>
      </c>
      <c r="G4399">
        <v>142.69</v>
      </c>
      <c r="H4399" t="s">
        <v>19</v>
      </c>
      <c r="I4399" t="s">
        <v>34</v>
      </c>
    </row>
    <row r="4400" spans="1:9" x14ac:dyDescent="0.35">
      <c r="A4400" t="s">
        <v>4436</v>
      </c>
      <c r="B4400" s="1">
        <v>45025</v>
      </c>
      <c r="C4400" t="s">
        <v>10</v>
      </c>
      <c r="D4400" t="s">
        <v>31</v>
      </c>
      <c r="E4400" t="s">
        <v>12</v>
      </c>
      <c r="F4400">
        <v>1645.19</v>
      </c>
      <c r="G4400">
        <v>186.77</v>
      </c>
      <c r="H4400" t="s">
        <v>19</v>
      </c>
      <c r="I4400" t="s">
        <v>29</v>
      </c>
    </row>
    <row r="4401" spans="1:9" x14ac:dyDescent="0.35">
      <c r="A4401" t="s">
        <v>4437</v>
      </c>
      <c r="B4401" s="1">
        <v>45025</v>
      </c>
      <c r="C4401" t="s">
        <v>10</v>
      </c>
      <c r="D4401" t="s">
        <v>31</v>
      </c>
      <c r="E4401" t="s">
        <v>12</v>
      </c>
      <c r="F4401">
        <v>758.59</v>
      </c>
      <c r="G4401">
        <v>83.15</v>
      </c>
      <c r="H4401" t="s">
        <v>13</v>
      </c>
      <c r="I4401" t="s">
        <v>34</v>
      </c>
    </row>
    <row r="4402" spans="1:9" x14ac:dyDescent="0.35">
      <c r="A4402" t="s">
        <v>4438</v>
      </c>
      <c r="B4402" s="1">
        <v>44688</v>
      </c>
      <c r="C4402" t="s">
        <v>25</v>
      </c>
      <c r="D4402" t="s">
        <v>50</v>
      </c>
      <c r="E4402" t="s">
        <v>12</v>
      </c>
      <c r="F4402">
        <v>1808.74</v>
      </c>
      <c r="G4402">
        <v>490.02</v>
      </c>
      <c r="H4402" t="s">
        <v>19</v>
      </c>
      <c r="I4402" t="s">
        <v>34</v>
      </c>
    </row>
    <row r="4403" spans="1:9" x14ac:dyDescent="0.35">
      <c r="A4403" t="s">
        <v>4439</v>
      </c>
      <c r="B4403" s="1">
        <v>44893</v>
      </c>
      <c r="C4403" t="s">
        <v>22</v>
      </c>
      <c r="D4403" t="s">
        <v>97</v>
      </c>
      <c r="E4403" t="s">
        <v>27</v>
      </c>
      <c r="F4403">
        <v>1117.18</v>
      </c>
      <c r="G4403">
        <v>82.65</v>
      </c>
      <c r="H4403" t="s">
        <v>13</v>
      </c>
      <c r="I4403" t="s">
        <v>14</v>
      </c>
    </row>
    <row r="4404" spans="1:9" x14ac:dyDescent="0.35">
      <c r="A4404" t="s">
        <v>4440</v>
      </c>
      <c r="B4404" s="1">
        <v>45044</v>
      </c>
      <c r="C4404" t="s">
        <v>25</v>
      </c>
      <c r="D4404" t="s">
        <v>31</v>
      </c>
      <c r="E4404" t="s">
        <v>12</v>
      </c>
      <c r="F4404">
        <v>737.51</v>
      </c>
      <c r="G4404">
        <v>210.16</v>
      </c>
      <c r="H4404" t="s">
        <v>19</v>
      </c>
      <c r="I4404" t="s">
        <v>14</v>
      </c>
    </row>
    <row r="4405" spans="1:9" x14ac:dyDescent="0.35">
      <c r="A4405" t="s">
        <v>4441</v>
      </c>
      <c r="B4405" s="1">
        <v>45090</v>
      </c>
      <c r="C4405" t="s">
        <v>10</v>
      </c>
      <c r="D4405" t="s">
        <v>23</v>
      </c>
      <c r="E4405" t="s">
        <v>18</v>
      </c>
      <c r="F4405">
        <v>461.45</v>
      </c>
      <c r="G4405">
        <v>129.72</v>
      </c>
      <c r="H4405" t="s">
        <v>28</v>
      </c>
      <c r="I4405" t="s">
        <v>20</v>
      </c>
    </row>
    <row r="4406" spans="1:9" x14ac:dyDescent="0.35">
      <c r="A4406" t="s">
        <v>4442</v>
      </c>
      <c r="B4406" s="1">
        <v>44789</v>
      </c>
      <c r="C4406" t="s">
        <v>10</v>
      </c>
      <c r="D4406" t="s">
        <v>23</v>
      </c>
      <c r="E4406" t="s">
        <v>18</v>
      </c>
      <c r="F4406">
        <v>328.43</v>
      </c>
      <c r="G4406">
        <v>33.07</v>
      </c>
      <c r="H4406" t="s">
        <v>13</v>
      </c>
      <c r="I4406" t="s">
        <v>20</v>
      </c>
    </row>
    <row r="4407" spans="1:9" x14ac:dyDescent="0.35">
      <c r="A4407" t="s">
        <v>4443</v>
      </c>
      <c r="B4407" s="1">
        <v>45582</v>
      </c>
      <c r="C4407" t="s">
        <v>16</v>
      </c>
      <c r="D4407" t="s">
        <v>17</v>
      </c>
      <c r="E4407" t="s">
        <v>18</v>
      </c>
      <c r="F4407">
        <v>792.02</v>
      </c>
      <c r="G4407">
        <v>68.39</v>
      </c>
      <c r="H4407" t="s">
        <v>13</v>
      </c>
      <c r="I4407" t="s">
        <v>20</v>
      </c>
    </row>
    <row r="4408" spans="1:9" x14ac:dyDescent="0.35">
      <c r="A4408" t="s">
        <v>4444</v>
      </c>
      <c r="B4408" s="1">
        <v>45564</v>
      </c>
      <c r="C4408" t="s">
        <v>16</v>
      </c>
      <c r="D4408" t="s">
        <v>62</v>
      </c>
      <c r="E4408" t="s">
        <v>27</v>
      </c>
      <c r="F4408">
        <v>282.33</v>
      </c>
      <c r="G4408">
        <v>78.3</v>
      </c>
      <c r="H4408" t="s">
        <v>13</v>
      </c>
      <c r="I4408" t="s">
        <v>34</v>
      </c>
    </row>
    <row r="4409" spans="1:9" x14ac:dyDescent="0.35">
      <c r="A4409" t="s">
        <v>4445</v>
      </c>
      <c r="B4409" s="1">
        <v>44971</v>
      </c>
      <c r="C4409" t="s">
        <v>25</v>
      </c>
      <c r="D4409" t="s">
        <v>50</v>
      </c>
      <c r="E4409" t="s">
        <v>12</v>
      </c>
      <c r="F4409">
        <v>1542.5</v>
      </c>
      <c r="G4409">
        <v>334.33</v>
      </c>
      <c r="H4409" t="s">
        <v>13</v>
      </c>
      <c r="I4409" t="s">
        <v>14</v>
      </c>
    </row>
    <row r="4410" spans="1:9" x14ac:dyDescent="0.35">
      <c r="A4410" t="s">
        <v>4446</v>
      </c>
      <c r="B4410" s="1">
        <v>44993</v>
      </c>
      <c r="C4410" t="s">
        <v>16</v>
      </c>
      <c r="D4410" t="s">
        <v>33</v>
      </c>
      <c r="E4410" t="s">
        <v>18</v>
      </c>
      <c r="F4410">
        <v>637.04999999999995</v>
      </c>
      <c r="G4410">
        <v>62.59</v>
      </c>
      <c r="H4410" t="s">
        <v>19</v>
      </c>
      <c r="I4410" t="s">
        <v>29</v>
      </c>
    </row>
    <row r="4411" spans="1:9" x14ac:dyDescent="0.35">
      <c r="A4411" t="s">
        <v>4447</v>
      </c>
      <c r="B4411" s="1">
        <v>45109</v>
      </c>
      <c r="C4411" t="s">
        <v>10</v>
      </c>
      <c r="D4411" t="s">
        <v>97</v>
      </c>
      <c r="E4411" t="s">
        <v>27</v>
      </c>
      <c r="F4411">
        <v>1729.21</v>
      </c>
      <c r="G4411">
        <v>384.07</v>
      </c>
      <c r="H4411" t="s">
        <v>13</v>
      </c>
      <c r="I4411" t="s">
        <v>34</v>
      </c>
    </row>
    <row r="4412" spans="1:9" x14ac:dyDescent="0.35">
      <c r="A4412" t="s">
        <v>4448</v>
      </c>
      <c r="B4412" s="1">
        <v>45085</v>
      </c>
      <c r="C4412" t="s">
        <v>22</v>
      </c>
      <c r="D4412" t="s">
        <v>97</v>
      </c>
      <c r="E4412" t="s">
        <v>27</v>
      </c>
      <c r="F4412">
        <v>1344.56</v>
      </c>
      <c r="G4412">
        <v>281.7</v>
      </c>
      <c r="H4412" t="s">
        <v>19</v>
      </c>
      <c r="I4412" t="s">
        <v>20</v>
      </c>
    </row>
    <row r="4413" spans="1:9" x14ac:dyDescent="0.35">
      <c r="A4413" t="s">
        <v>4449</v>
      </c>
      <c r="B4413" s="1">
        <v>44652</v>
      </c>
      <c r="C4413" t="s">
        <v>22</v>
      </c>
      <c r="D4413" t="s">
        <v>50</v>
      </c>
      <c r="E4413" t="s">
        <v>12</v>
      </c>
      <c r="F4413">
        <v>753.76</v>
      </c>
      <c r="G4413">
        <v>179.9</v>
      </c>
      <c r="H4413" t="s">
        <v>28</v>
      </c>
      <c r="I4413" t="s">
        <v>20</v>
      </c>
    </row>
    <row r="4414" spans="1:9" x14ac:dyDescent="0.35">
      <c r="A4414" t="s">
        <v>4450</v>
      </c>
      <c r="B4414" s="1">
        <v>45289</v>
      </c>
      <c r="C4414" t="s">
        <v>16</v>
      </c>
      <c r="D4414" t="s">
        <v>26</v>
      </c>
      <c r="E4414" t="s">
        <v>27</v>
      </c>
      <c r="F4414">
        <v>257.81</v>
      </c>
      <c r="G4414">
        <v>62.53</v>
      </c>
      <c r="H4414" t="s">
        <v>13</v>
      </c>
      <c r="I4414" t="s">
        <v>14</v>
      </c>
    </row>
    <row r="4415" spans="1:9" x14ac:dyDescent="0.35">
      <c r="A4415" t="s">
        <v>4451</v>
      </c>
      <c r="B4415" s="1">
        <v>45128</v>
      </c>
      <c r="C4415" t="s">
        <v>22</v>
      </c>
      <c r="D4415" t="s">
        <v>73</v>
      </c>
      <c r="E4415" t="s">
        <v>27</v>
      </c>
      <c r="F4415">
        <v>1892.68</v>
      </c>
      <c r="G4415">
        <v>543.20000000000005</v>
      </c>
      <c r="H4415" t="s">
        <v>19</v>
      </c>
      <c r="I4415" t="s">
        <v>14</v>
      </c>
    </row>
    <row r="4416" spans="1:9" x14ac:dyDescent="0.35">
      <c r="A4416" t="s">
        <v>4452</v>
      </c>
      <c r="B4416" s="1">
        <v>45008</v>
      </c>
      <c r="C4416" t="s">
        <v>22</v>
      </c>
      <c r="D4416" t="s">
        <v>97</v>
      </c>
      <c r="E4416" t="s">
        <v>27</v>
      </c>
      <c r="F4416">
        <v>1264.46</v>
      </c>
      <c r="G4416">
        <v>264.54000000000002</v>
      </c>
      <c r="H4416" t="s">
        <v>13</v>
      </c>
      <c r="I4416" t="s">
        <v>34</v>
      </c>
    </row>
    <row r="4417" spans="1:9" x14ac:dyDescent="0.35">
      <c r="A4417" t="s">
        <v>4453</v>
      </c>
      <c r="B4417" s="1">
        <v>44797</v>
      </c>
      <c r="C4417" t="s">
        <v>16</v>
      </c>
      <c r="D4417" t="s">
        <v>41</v>
      </c>
      <c r="E4417" t="s">
        <v>12</v>
      </c>
      <c r="F4417">
        <v>1477.33</v>
      </c>
      <c r="G4417">
        <v>150.08000000000001</v>
      </c>
      <c r="H4417" t="s">
        <v>19</v>
      </c>
      <c r="I4417" t="s">
        <v>20</v>
      </c>
    </row>
    <row r="4418" spans="1:9" x14ac:dyDescent="0.35">
      <c r="A4418" t="s">
        <v>4454</v>
      </c>
      <c r="B4418" s="1">
        <v>44733</v>
      </c>
      <c r="C4418" t="s">
        <v>25</v>
      </c>
      <c r="D4418" t="s">
        <v>33</v>
      </c>
      <c r="E4418" t="s">
        <v>18</v>
      </c>
      <c r="F4418">
        <v>412.15</v>
      </c>
      <c r="G4418">
        <v>67.78</v>
      </c>
      <c r="H4418" t="s">
        <v>19</v>
      </c>
      <c r="I4418" t="s">
        <v>34</v>
      </c>
    </row>
    <row r="4419" spans="1:9" x14ac:dyDescent="0.35">
      <c r="A4419" t="s">
        <v>4455</v>
      </c>
      <c r="B4419" s="1">
        <v>45630</v>
      </c>
      <c r="C4419" t="s">
        <v>10</v>
      </c>
      <c r="D4419" t="s">
        <v>95</v>
      </c>
      <c r="E4419" t="s">
        <v>18</v>
      </c>
      <c r="F4419">
        <v>719.96</v>
      </c>
      <c r="G4419">
        <v>39.869999999999997</v>
      </c>
      <c r="H4419" t="s">
        <v>13</v>
      </c>
      <c r="I4419" t="s">
        <v>29</v>
      </c>
    </row>
    <row r="4420" spans="1:9" x14ac:dyDescent="0.35">
      <c r="A4420" t="s">
        <v>4456</v>
      </c>
      <c r="B4420" s="1">
        <v>45613</v>
      </c>
      <c r="C4420" t="s">
        <v>16</v>
      </c>
      <c r="D4420" t="s">
        <v>11</v>
      </c>
      <c r="E4420" t="s">
        <v>12</v>
      </c>
      <c r="F4420">
        <v>550.23</v>
      </c>
      <c r="G4420">
        <v>128.97999999999999</v>
      </c>
      <c r="H4420" t="s">
        <v>19</v>
      </c>
      <c r="I4420" t="s">
        <v>29</v>
      </c>
    </row>
    <row r="4421" spans="1:9" x14ac:dyDescent="0.35">
      <c r="A4421" t="s">
        <v>4457</v>
      </c>
      <c r="B4421" s="1">
        <v>45466</v>
      </c>
      <c r="C4421" t="s">
        <v>22</v>
      </c>
      <c r="D4421" t="s">
        <v>23</v>
      </c>
      <c r="E4421" t="s">
        <v>18</v>
      </c>
      <c r="F4421">
        <v>183.9</v>
      </c>
      <c r="G4421">
        <v>10.73</v>
      </c>
      <c r="H4421" t="s">
        <v>28</v>
      </c>
      <c r="I4421" t="s">
        <v>14</v>
      </c>
    </row>
    <row r="4422" spans="1:9" x14ac:dyDescent="0.35">
      <c r="A4422" t="s">
        <v>4458</v>
      </c>
      <c r="B4422" s="1">
        <v>45637</v>
      </c>
      <c r="C4422" t="s">
        <v>25</v>
      </c>
      <c r="D4422" t="s">
        <v>26</v>
      </c>
      <c r="E4422" t="s">
        <v>27</v>
      </c>
      <c r="F4422">
        <v>1096.56</v>
      </c>
      <c r="G4422">
        <v>57.93</v>
      </c>
      <c r="H4422" t="s">
        <v>28</v>
      </c>
      <c r="I4422" t="s">
        <v>14</v>
      </c>
    </row>
    <row r="4423" spans="1:9" x14ac:dyDescent="0.35">
      <c r="A4423" t="s">
        <v>4459</v>
      </c>
      <c r="B4423" s="1">
        <v>44777</v>
      </c>
      <c r="C4423" t="s">
        <v>16</v>
      </c>
      <c r="D4423" t="s">
        <v>62</v>
      </c>
      <c r="E4423" t="s">
        <v>27</v>
      </c>
      <c r="F4423">
        <v>1940.49</v>
      </c>
      <c r="G4423">
        <v>121.27</v>
      </c>
      <c r="H4423" t="s">
        <v>28</v>
      </c>
      <c r="I4423" t="s">
        <v>34</v>
      </c>
    </row>
    <row r="4424" spans="1:9" x14ac:dyDescent="0.35">
      <c r="A4424" t="s">
        <v>4460</v>
      </c>
      <c r="B4424" s="1">
        <v>45321</v>
      </c>
      <c r="C4424" t="s">
        <v>10</v>
      </c>
      <c r="D4424" t="s">
        <v>73</v>
      </c>
      <c r="E4424" t="s">
        <v>27</v>
      </c>
      <c r="F4424">
        <v>1695.91</v>
      </c>
      <c r="G4424">
        <v>254.14</v>
      </c>
      <c r="H4424" t="s">
        <v>28</v>
      </c>
      <c r="I4424" t="s">
        <v>14</v>
      </c>
    </row>
    <row r="4425" spans="1:9" x14ac:dyDescent="0.35">
      <c r="A4425" t="s">
        <v>4461</v>
      </c>
      <c r="B4425" s="1">
        <v>45469</v>
      </c>
      <c r="C4425" t="s">
        <v>25</v>
      </c>
      <c r="D4425" t="s">
        <v>26</v>
      </c>
      <c r="E4425" t="s">
        <v>27</v>
      </c>
      <c r="F4425">
        <v>101.11</v>
      </c>
      <c r="G4425">
        <v>20.18</v>
      </c>
      <c r="H4425" t="s">
        <v>28</v>
      </c>
      <c r="I4425" t="s">
        <v>34</v>
      </c>
    </row>
    <row r="4426" spans="1:9" x14ac:dyDescent="0.35">
      <c r="A4426" t="s">
        <v>4462</v>
      </c>
      <c r="B4426" s="1">
        <v>44589</v>
      </c>
      <c r="C4426" t="s">
        <v>25</v>
      </c>
      <c r="D4426" t="s">
        <v>33</v>
      </c>
      <c r="E4426" t="s">
        <v>18</v>
      </c>
      <c r="F4426">
        <v>1184.42</v>
      </c>
      <c r="G4426">
        <v>159.43</v>
      </c>
      <c r="H4426" t="s">
        <v>28</v>
      </c>
      <c r="I4426" t="s">
        <v>14</v>
      </c>
    </row>
    <row r="4427" spans="1:9" x14ac:dyDescent="0.35">
      <c r="A4427" t="s">
        <v>4463</v>
      </c>
      <c r="B4427" s="1">
        <v>45522</v>
      </c>
      <c r="C4427" t="s">
        <v>22</v>
      </c>
      <c r="D4427" t="s">
        <v>23</v>
      </c>
      <c r="E4427" t="s">
        <v>18</v>
      </c>
      <c r="F4427">
        <v>1818.18</v>
      </c>
      <c r="G4427">
        <v>495.25</v>
      </c>
      <c r="H4427" t="s">
        <v>28</v>
      </c>
      <c r="I4427" t="s">
        <v>34</v>
      </c>
    </row>
    <row r="4428" spans="1:9" x14ac:dyDescent="0.35">
      <c r="A4428" t="s">
        <v>4464</v>
      </c>
      <c r="B4428" s="1">
        <v>44736</v>
      </c>
      <c r="C4428" t="s">
        <v>16</v>
      </c>
      <c r="D4428" t="s">
        <v>38</v>
      </c>
      <c r="E4428" t="s">
        <v>12</v>
      </c>
      <c r="F4428">
        <v>1834.55</v>
      </c>
      <c r="G4428">
        <v>535.34</v>
      </c>
      <c r="H4428" t="s">
        <v>13</v>
      </c>
      <c r="I4428" t="s">
        <v>34</v>
      </c>
    </row>
    <row r="4429" spans="1:9" x14ac:dyDescent="0.35">
      <c r="A4429" t="s">
        <v>4465</v>
      </c>
      <c r="B4429" s="1">
        <v>45162</v>
      </c>
      <c r="C4429" t="s">
        <v>10</v>
      </c>
      <c r="D4429" t="s">
        <v>57</v>
      </c>
      <c r="E4429" t="s">
        <v>27</v>
      </c>
      <c r="F4429">
        <v>585.62</v>
      </c>
      <c r="G4429">
        <v>160.84</v>
      </c>
      <c r="H4429" t="s">
        <v>28</v>
      </c>
      <c r="I4429" t="s">
        <v>34</v>
      </c>
    </row>
    <row r="4430" spans="1:9" x14ac:dyDescent="0.35">
      <c r="A4430" t="s">
        <v>4466</v>
      </c>
      <c r="B4430" s="1">
        <v>44715</v>
      </c>
      <c r="C4430" t="s">
        <v>16</v>
      </c>
      <c r="D4430" t="s">
        <v>41</v>
      </c>
      <c r="E4430" t="s">
        <v>12</v>
      </c>
      <c r="F4430">
        <v>574.29</v>
      </c>
      <c r="G4430">
        <v>107.32</v>
      </c>
      <c r="H4430" t="s">
        <v>13</v>
      </c>
      <c r="I4430" t="s">
        <v>34</v>
      </c>
    </row>
    <row r="4431" spans="1:9" x14ac:dyDescent="0.35">
      <c r="A4431" t="s">
        <v>4467</v>
      </c>
      <c r="B4431" s="1">
        <v>44707</v>
      </c>
      <c r="C4431" t="s">
        <v>10</v>
      </c>
      <c r="D4431" t="s">
        <v>73</v>
      </c>
      <c r="E4431" t="s">
        <v>27</v>
      </c>
      <c r="F4431">
        <v>809.99</v>
      </c>
      <c r="G4431">
        <v>89.13</v>
      </c>
      <c r="H4431" t="s">
        <v>28</v>
      </c>
      <c r="I4431" t="s">
        <v>14</v>
      </c>
    </row>
    <row r="4432" spans="1:9" x14ac:dyDescent="0.35">
      <c r="A4432" t="s">
        <v>4468</v>
      </c>
      <c r="B4432" s="1">
        <v>44714</v>
      </c>
      <c r="C4432" t="s">
        <v>16</v>
      </c>
      <c r="D4432" t="s">
        <v>31</v>
      </c>
      <c r="E4432" t="s">
        <v>12</v>
      </c>
      <c r="F4432">
        <v>98.31</v>
      </c>
      <c r="G4432">
        <v>9.92</v>
      </c>
      <c r="H4432" t="s">
        <v>28</v>
      </c>
      <c r="I4432" t="s">
        <v>20</v>
      </c>
    </row>
    <row r="4433" spans="1:9" x14ac:dyDescent="0.35">
      <c r="A4433" t="s">
        <v>4469</v>
      </c>
      <c r="B4433" s="1">
        <v>44951</v>
      </c>
      <c r="C4433" t="s">
        <v>22</v>
      </c>
      <c r="D4433" t="s">
        <v>97</v>
      </c>
      <c r="E4433" t="s">
        <v>27</v>
      </c>
      <c r="F4433">
        <v>114.82</v>
      </c>
      <c r="G4433">
        <v>12.13</v>
      </c>
      <c r="H4433" t="s">
        <v>13</v>
      </c>
      <c r="I4433" t="s">
        <v>29</v>
      </c>
    </row>
    <row r="4434" spans="1:9" x14ac:dyDescent="0.35">
      <c r="A4434" t="s">
        <v>4470</v>
      </c>
      <c r="B4434" s="1">
        <v>44953</v>
      </c>
      <c r="C4434" t="s">
        <v>16</v>
      </c>
      <c r="D4434" t="s">
        <v>95</v>
      </c>
      <c r="E4434" t="s">
        <v>18</v>
      </c>
      <c r="F4434">
        <v>668.91</v>
      </c>
      <c r="G4434">
        <v>86.53</v>
      </c>
      <c r="H4434" t="s">
        <v>13</v>
      </c>
      <c r="I4434" t="s">
        <v>34</v>
      </c>
    </row>
    <row r="4435" spans="1:9" x14ac:dyDescent="0.35">
      <c r="A4435" t="s">
        <v>4471</v>
      </c>
      <c r="B4435" s="1">
        <v>44658</v>
      </c>
      <c r="C4435" t="s">
        <v>25</v>
      </c>
      <c r="D4435" t="s">
        <v>11</v>
      </c>
      <c r="E4435" t="s">
        <v>12</v>
      </c>
      <c r="F4435">
        <v>650.94000000000005</v>
      </c>
      <c r="G4435">
        <v>96.56</v>
      </c>
      <c r="H4435" t="s">
        <v>19</v>
      </c>
      <c r="I4435" t="s">
        <v>34</v>
      </c>
    </row>
    <row r="4436" spans="1:9" x14ac:dyDescent="0.35">
      <c r="A4436" t="s">
        <v>4472</v>
      </c>
      <c r="B4436" s="1">
        <v>44862</v>
      </c>
      <c r="C4436" t="s">
        <v>16</v>
      </c>
      <c r="D4436" t="s">
        <v>73</v>
      </c>
      <c r="E4436" t="s">
        <v>27</v>
      </c>
      <c r="F4436">
        <v>887.89</v>
      </c>
      <c r="G4436">
        <v>101.48</v>
      </c>
      <c r="H4436" t="s">
        <v>13</v>
      </c>
      <c r="I4436" t="s">
        <v>29</v>
      </c>
    </row>
    <row r="4437" spans="1:9" x14ac:dyDescent="0.35">
      <c r="A4437" t="s">
        <v>4473</v>
      </c>
      <c r="B4437" s="1">
        <v>45495</v>
      </c>
      <c r="C4437" t="s">
        <v>22</v>
      </c>
      <c r="D4437" t="s">
        <v>33</v>
      </c>
      <c r="E4437" t="s">
        <v>18</v>
      </c>
      <c r="F4437">
        <v>790.46</v>
      </c>
      <c r="G4437">
        <v>209.79</v>
      </c>
      <c r="H4437" t="s">
        <v>19</v>
      </c>
      <c r="I4437" t="s">
        <v>14</v>
      </c>
    </row>
    <row r="4438" spans="1:9" x14ac:dyDescent="0.35">
      <c r="A4438" t="s">
        <v>4474</v>
      </c>
      <c r="B4438" s="1">
        <v>45505</v>
      </c>
      <c r="C4438" t="s">
        <v>16</v>
      </c>
      <c r="D4438" t="s">
        <v>11</v>
      </c>
      <c r="E4438" t="s">
        <v>12</v>
      </c>
      <c r="F4438">
        <v>1874.66</v>
      </c>
      <c r="G4438">
        <v>406.69</v>
      </c>
      <c r="H4438" t="s">
        <v>13</v>
      </c>
      <c r="I4438" t="s">
        <v>29</v>
      </c>
    </row>
    <row r="4439" spans="1:9" x14ac:dyDescent="0.35">
      <c r="A4439" t="s">
        <v>4475</v>
      </c>
      <c r="B4439" s="1">
        <v>44765</v>
      </c>
      <c r="C4439" t="s">
        <v>10</v>
      </c>
      <c r="D4439" t="s">
        <v>62</v>
      </c>
      <c r="E4439" t="s">
        <v>27</v>
      </c>
      <c r="F4439">
        <v>928.41</v>
      </c>
      <c r="G4439">
        <v>206.24</v>
      </c>
      <c r="H4439" t="s">
        <v>19</v>
      </c>
      <c r="I4439" t="s">
        <v>20</v>
      </c>
    </row>
    <row r="4440" spans="1:9" x14ac:dyDescent="0.35">
      <c r="A4440" t="s">
        <v>4476</v>
      </c>
      <c r="B4440" s="1">
        <v>44966</v>
      </c>
      <c r="C4440" t="s">
        <v>25</v>
      </c>
      <c r="D4440" t="s">
        <v>11</v>
      </c>
      <c r="E4440" t="s">
        <v>12</v>
      </c>
      <c r="F4440">
        <v>1992.46</v>
      </c>
      <c r="G4440">
        <v>479.8</v>
      </c>
      <c r="H4440" t="s">
        <v>13</v>
      </c>
      <c r="I4440" t="s">
        <v>14</v>
      </c>
    </row>
    <row r="4441" spans="1:9" x14ac:dyDescent="0.35">
      <c r="A4441" t="s">
        <v>4477</v>
      </c>
      <c r="B4441" s="1">
        <v>45105</v>
      </c>
      <c r="C4441" t="s">
        <v>25</v>
      </c>
      <c r="D4441" t="s">
        <v>33</v>
      </c>
      <c r="E4441" t="s">
        <v>18</v>
      </c>
      <c r="F4441">
        <v>1839.28</v>
      </c>
      <c r="G4441">
        <v>206.91</v>
      </c>
      <c r="H4441" t="s">
        <v>19</v>
      </c>
      <c r="I4441" t="s">
        <v>14</v>
      </c>
    </row>
    <row r="4442" spans="1:9" x14ac:dyDescent="0.35">
      <c r="A4442" t="s">
        <v>4478</v>
      </c>
      <c r="B4442" s="1">
        <v>44603</v>
      </c>
      <c r="C4442" t="s">
        <v>25</v>
      </c>
      <c r="D4442" t="s">
        <v>57</v>
      </c>
      <c r="E4442" t="s">
        <v>27</v>
      </c>
      <c r="F4442">
        <v>1920.56</v>
      </c>
      <c r="G4442">
        <v>328.12</v>
      </c>
      <c r="H4442" t="s">
        <v>13</v>
      </c>
      <c r="I4442" t="s">
        <v>14</v>
      </c>
    </row>
    <row r="4443" spans="1:9" x14ac:dyDescent="0.35">
      <c r="A4443" t="s">
        <v>4479</v>
      </c>
      <c r="B4443" s="1">
        <v>45351</v>
      </c>
      <c r="C4443" t="s">
        <v>22</v>
      </c>
      <c r="D4443" t="s">
        <v>23</v>
      </c>
      <c r="E4443" t="s">
        <v>18</v>
      </c>
      <c r="F4443">
        <v>856.47</v>
      </c>
      <c r="G4443">
        <v>46.06</v>
      </c>
      <c r="H4443" t="s">
        <v>19</v>
      </c>
      <c r="I4443" t="s">
        <v>29</v>
      </c>
    </row>
    <row r="4444" spans="1:9" x14ac:dyDescent="0.35">
      <c r="A4444" t="s">
        <v>4480</v>
      </c>
      <c r="B4444" s="1">
        <v>45631</v>
      </c>
      <c r="C4444" t="s">
        <v>10</v>
      </c>
      <c r="D4444" t="s">
        <v>23</v>
      </c>
      <c r="E4444" t="s">
        <v>18</v>
      </c>
      <c r="F4444">
        <v>322.32</v>
      </c>
      <c r="G4444">
        <v>70.22</v>
      </c>
      <c r="H4444" t="s">
        <v>13</v>
      </c>
      <c r="I4444" t="s">
        <v>20</v>
      </c>
    </row>
    <row r="4445" spans="1:9" x14ac:dyDescent="0.35">
      <c r="A4445" t="s">
        <v>4481</v>
      </c>
      <c r="B4445" s="1">
        <v>45627</v>
      </c>
      <c r="C4445" t="s">
        <v>16</v>
      </c>
      <c r="D4445" t="s">
        <v>97</v>
      </c>
      <c r="E4445" t="s">
        <v>27</v>
      </c>
      <c r="F4445">
        <v>1113.92</v>
      </c>
      <c r="G4445">
        <v>87.11</v>
      </c>
      <c r="H4445" t="s">
        <v>28</v>
      </c>
      <c r="I4445" t="s">
        <v>14</v>
      </c>
    </row>
    <row r="4446" spans="1:9" x14ac:dyDescent="0.35">
      <c r="A4446" t="s">
        <v>4482</v>
      </c>
      <c r="B4446" s="1">
        <v>44564</v>
      </c>
      <c r="C4446" t="s">
        <v>22</v>
      </c>
      <c r="D4446" t="s">
        <v>46</v>
      </c>
      <c r="E4446" t="s">
        <v>18</v>
      </c>
      <c r="F4446">
        <v>1799.38</v>
      </c>
      <c r="G4446">
        <v>389.53</v>
      </c>
      <c r="H4446" t="s">
        <v>28</v>
      </c>
      <c r="I4446" t="s">
        <v>34</v>
      </c>
    </row>
    <row r="4447" spans="1:9" x14ac:dyDescent="0.35">
      <c r="A4447" t="s">
        <v>4483</v>
      </c>
      <c r="B4447" s="1">
        <v>44591</v>
      </c>
      <c r="C4447" t="s">
        <v>16</v>
      </c>
      <c r="D4447" t="s">
        <v>62</v>
      </c>
      <c r="E4447" t="s">
        <v>27</v>
      </c>
      <c r="F4447">
        <v>1848.94</v>
      </c>
      <c r="G4447">
        <v>204.74</v>
      </c>
      <c r="H4447" t="s">
        <v>28</v>
      </c>
      <c r="I4447" t="s">
        <v>14</v>
      </c>
    </row>
    <row r="4448" spans="1:9" x14ac:dyDescent="0.35">
      <c r="A4448" t="s">
        <v>4484</v>
      </c>
      <c r="B4448" s="1">
        <v>45525</v>
      </c>
      <c r="C4448" t="s">
        <v>25</v>
      </c>
      <c r="D4448" t="s">
        <v>97</v>
      </c>
      <c r="E4448" t="s">
        <v>27</v>
      </c>
      <c r="F4448">
        <v>737.84</v>
      </c>
      <c r="G4448">
        <v>216.22</v>
      </c>
      <c r="H4448" t="s">
        <v>13</v>
      </c>
      <c r="I4448" t="s">
        <v>34</v>
      </c>
    </row>
    <row r="4449" spans="1:9" x14ac:dyDescent="0.35">
      <c r="A4449" t="s">
        <v>4485</v>
      </c>
      <c r="B4449" s="1">
        <v>45304</v>
      </c>
      <c r="C4449" t="s">
        <v>16</v>
      </c>
      <c r="D4449" t="s">
        <v>73</v>
      </c>
      <c r="E4449" t="s">
        <v>27</v>
      </c>
      <c r="F4449">
        <v>1394.77</v>
      </c>
      <c r="G4449">
        <v>347.02</v>
      </c>
      <c r="H4449" t="s">
        <v>19</v>
      </c>
      <c r="I4449" t="s">
        <v>14</v>
      </c>
    </row>
    <row r="4450" spans="1:9" x14ac:dyDescent="0.35">
      <c r="A4450" t="s">
        <v>4486</v>
      </c>
      <c r="B4450" s="1">
        <v>44794</v>
      </c>
      <c r="C4450" t="s">
        <v>10</v>
      </c>
      <c r="D4450" t="s">
        <v>57</v>
      </c>
      <c r="E4450" t="s">
        <v>27</v>
      </c>
      <c r="F4450">
        <v>578.22</v>
      </c>
      <c r="G4450">
        <v>73.33</v>
      </c>
      <c r="H4450" t="s">
        <v>28</v>
      </c>
      <c r="I4450" t="s">
        <v>34</v>
      </c>
    </row>
    <row r="4451" spans="1:9" x14ac:dyDescent="0.35">
      <c r="A4451" t="s">
        <v>4487</v>
      </c>
      <c r="B4451" s="1">
        <v>45185</v>
      </c>
      <c r="C4451" t="s">
        <v>10</v>
      </c>
      <c r="D4451" t="s">
        <v>73</v>
      </c>
      <c r="E4451" t="s">
        <v>27</v>
      </c>
      <c r="F4451">
        <v>918.07</v>
      </c>
      <c r="G4451">
        <v>203.16</v>
      </c>
      <c r="H4451" t="s">
        <v>28</v>
      </c>
      <c r="I4451" t="s">
        <v>34</v>
      </c>
    </row>
    <row r="4452" spans="1:9" x14ac:dyDescent="0.35">
      <c r="A4452" t="s">
        <v>4488</v>
      </c>
      <c r="B4452" s="1">
        <v>45061</v>
      </c>
      <c r="C4452" t="s">
        <v>10</v>
      </c>
      <c r="D4452" t="s">
        <v>62</v>
      </c>
      <c r="E4452" t="s">
        <v>27</v>
      </c>
      <c r="F4452">
        <v>794.77</v>
      </c>
      <c r="G4452">
        <v>129.34</v>
      </c>
      <c r="H4452" t="s">
        <v>13</v>
      </c>
      <c r="I4452" t="s">
        <v>14</v>
      </c>
    </row>
    <row r="4453" spans="1:9" x14ac:dyDescent="0.35">
      <c r="A4453" t="s">
        <v>4489</v>
      </c>
      <c r="B4453" s="1">
        <v>44569</v>
      </c>
      <c r="C4453" t="s">
        <v>16</v>
      </c>
      <c r="D4453" t="s">
        <v>11</v>
      </c>
      <c r="E4453" t="s">
        <v>12</v>
      </c>
      <c r="F4453">
        <v>1592.68</v>
      </c>
      <c r="G4453">
        <v>389.63</v>
      </c>
      <c r="H4453" t="s">
        <v>28</v>
      </c>
      <c r="I4453" t="s">
        <v>20</v>
      </c>
    </row>
    <row r="4454" spans="1:9" x14ac:dyDescent="0.35">
      <c r="A4454" t="s">
        <v>4490</v>
      </c>
      <c r="B4454" s="1">
        <v>45544</v>
      </c>
      <c r="C4454" t="s">
        <v>10</v>
      </c>
      <c r="D4454" t="s">
        <v>41</v>
      </c>
      <c r="E4454" t="s">
        <v>12</v>
      </c>
      <c r="F4454">
        <v>637.75</v>
      </c>
      <c r="G4454">
        <v>124.05</v>
      </c>
      <c r="H4454" t="s">
        <v>19</v>
      </c>
      <c r="I4454" t="s">
        <v>14</v>
      </c>
    </row>
    <row r="4455" spans="1:9" x14ac:dyDescent="0.35">
      <c r="A4455" t="s">
        <v>4491</v>
      </c>
      <c r="B4455" s="1">
        <v>45356</v>
      </c>
      <c r="C4455" t="s">
        <v>22</v>
      </c>
      <c r="D4455" t="s">
        <v>17</v>
      </c>
      <c r="E4455" t="s">
        <v>18</v>
      </c>
      <c r="F4455">
        <v>1388.28</v>
      </c>
      <c r="G4455">
        <v>187.61</v>
      </c>
      <c r="H4455" t="s">
        <v>13</v>
      </c>
      <c r="I4455" t="s">
        <v>20</v>
      </c>
    </row>
    <row r="4456" spans="1:9" x14ac:dyDescent="0.35">
      <c r="A4456" t="s">
        <v>4492</v>
      </c>
      <c r="B4456" s="1">
        <v>45388</v>
      </c>
      <c r="C4456" t="s">
        <v>10</v>
      </c>
      <c r="D4456" t="s">
        <v>46</v>
      </c>
      <c r="E4456" t="s">
        <v>18</v>
      </c>
      <c r="F4456">
        <v>1278.31</v>
      </c>
      <c r="G4456">
        <v>292.12</v>
      </c>
      <c r="H4456" t="s">
        <v>13</v>
      </c>
      <c r="I4456" t="s">
        <v>20</v>
      </c>
    </row>
    <row r="4457" spans="1:9" x14ac:dyDescent="0.35">
      <c r="A4457" t="s">
        <v>4493</v>
      </c>
      <c r="B4457" s="1">
        <v>45402</v>
      </c>
      <c r="C4457" t="s">
        <v>10</v>
      </c>
      <c r="D4457" t="s">
        <v>97</v>
      </c>
      <c r="E4457" t="s">
        <v>27</v>
      </c>
      <c r="F4457">
        <v>1223.1199999999999</v>
      </c>
      <c r="G4457">
        <v>146.87</v>
      </c>
      <c r="H4457" t="s">
        <v>19</v>
      </c>
      <c r="I4457" t="s">
        <v>14</v>
      </c>
    </row>
    <row r="4458" spans="1:9" x14ac:dyDescent="0.35">
      <c r="A4458" t="s">
        <v>4494</v>
      </c>
      <c r="B4458" s="1">
        <v>45590</v>
      </c>
      <c r="C4458" t="s">
        <v>25</v>
      </c>
      <c r="D4458" t="s">
        <v>11</v>
      </c>
      <c r="E4458" t="s">
        <v>12</v>
      </c>
      <c r="F4458">
        <v>1499.07</v>
      </c>
      <c r="G4458">
        <v>105.44</v>
      </c>
      <c r="H4458" t="s">
        <v>13</v>
      </c>
      <c r="I4458" t="s">
        <v>34</v>
      </c>
    </row>
    <row r="4459" spans="1:9" x14ac:dyDescent="0.35">
      <c r="A4459" t="s">
        <v>4495</v>
      </c>
      <c r="B4459" s="1">
        <v>44964</v>
      </c>
      <c r="C4459" t="s">
        <v>16</v>
      </c>
      <c r="D4459" t="s">
        <v>97</v>
      </c>
      <c r="E4459" t="s">
        <v>27</v>
      </c>
      <c r="F4459">
        <v>318.38</v>
      </c>
      <c r="G4459">
        <v>64.23</v>
      </c>
      <c r="H4459" t="s">
        <v>28</v>
      </c>
      <c r="I4459" t="s">
        <v>34</v>
      </c>
    </row>
    <row r="4460" spans="1:9" x14ac:dyDescent="0.35">
      <c r="A4460" t="s">
        <v>4496</v>
      </c>
      <c r="B4460" s="1">
        <v>45570</v>
      </c>
      <c r="C4460" t="s">
        <v>10</v>
      </c>
      <c r="D4460" t="s">
        <v>17</v>
      </c>
      <c r="E4460" t="s">
        <v>18</v>
      </c>
      <c r="F4460">
        <v>616.59</v>
      </c>
      <c r="G4460">
        <v>184.4</v>
      </c>
      <c r="H4460" t="s">
        <v>13</v>
      </c>
      <c r="I4460" t="s">
        <v>20</v>
      </c>
    </row>
    <row r="4461" spans="1:9" x14ac:dyDescent="0.35">
      <c r="A4461" t="s">
        <v>4497</v>
      </c>
      <c r="B4461" s="1">
        <v>44615</v>
      </c>
      <c r="C4461" t="s">
        <v>16</v>
      </c>
      <c r="D4461" t="s">
        <v>57</v>
      </c>
      <c r="E4461" t="s">
        <v>27</v>
      </c>
      <c r="F4461">
        <v>663.45</v>
      </c>
      <c r="G4461">
        <v>91.91</v>
      </c>
      <c r="H4461" t="s">
        <v>13</v>
      </c>
      <c r="I4461" t="s">
        <v>20</v>
      </c>
    </row>
    <row r="4462" spans="1:9" x14ac:dyDescent="0.35">
      <c r="A4462" t="s">
        <v>4498</v>
      </c>
      <c r="B4462" s="1">
        <v>45069</v>
      </c>
      <c r="C4462" t="s">
        <v>22</v>
      </c>
      <c r="D4462" t="s">
        <v>38</v>
      </c>
      <c r="E4462" t="s">
        <v>12</v>
      </c>
      <c r="F4462">
        <v>442.44</v>
      </c>
      <c r="G4462">
        <v>23.21</v>
      </c>
      <c r="H4462" t="s">
        <v>19</v>
      </c>
      <c r="I4462" t="s">
        <v>14</v>
      </c>
    </row>
    <row r="4463" spans="1:9" x14ac:dyDescent="0.35">
      <c r="A4463" t="s">
        <v>4499</v>
      </c>
      <c r="B4463" s="1">
        <v>44812</v>
      </c>
      <c r="C4463" t="s">
        <v>22</v>
      </c>
      <c r="D4463" t="s">
        <v>23</v>
      </c>
      <c r="E4463" t="s">
        <v>18</v>
      </c>
      <c r="F4463">
        <v>1108.47</v>
      </c>
      <c r="G4463">
        <v>146.47</v>
      </c>
      <c r="H4463" t="s">
        <v>19</v>
      </c>
      <c r="I4463" t="s">
        <v>34</v>
      </c>
    </row>
    <row r="4464" spans="1:9" x14ac:dyDescent="0.35">
      <c r="A4464" t="s">
        <v>4500</v>
      </c>
      <c r="B4464" s="1">
        <v>45528</v>
      </c>
      <c r="C4464" t="s">
        <v>16</v>
      </c>
      <c r="D4464" t="s">
        <v>46</v>
      </c>
      <c r="E4464" t="s">
        <v>18</v>
      </c>
      <c r="F4464">
        <v>1836.71</v>
      </c>
      <c r="G4464">
        <v>255.82</v>
      </c>
      <c r="H4464" t="s">
        <v>19</v>
      </c>
      <c r="I4464" t="s">
        <v>14</v>
      </c>
    </row>
    <row r="4465" spans="1:9" x14ac:dyDescent="0.35">
      <c r="A4465" t="s">
        <v>4501</v>
      </c>
      <c r="B4465" s="1">
        <v>45501</v>
      </c>
      <c r="C4465" t="s">
        <v>22</v>
      </c>
      <c r="D4465" t="s">
        <v>11</v>
      </c>
      <c r="E4465" t="s">
        <v>12</v>
      </c>
      <c r="F4465">
        <v>1773.07</v>
      </c>
      <c r="G4465">
        <v>339.96</v>
      </c>
      <c r="H4465" t="s">
        <v>13</v>
      </c>
      <c r="I4465" t="s">
        <v>20</v>
      </c>
    </row>
    <row r="4466" spans="1:9" x14ac:dyDescent="0.35">
      <c r="A4466" t="s">
        <v>4502</v>
      </c>
      <c r="B4466" s="1">
        <v>44705</v>
      </c>
      <c r="C4466" t="s">
        <v>16</v>
      </c>
      <c r="D4466" t="s">
        <v>46</v>
      </c>
      <c r="E4466" t="s">
        <v>18</v>
      </c>
      <c r="F4466">
        <v>1242.0899999999999</v>
      </c>
      <c r="G4466">
        <v>346.5</v>
      </c>
      <c r="H4466" t="s">
        <v>28</v>
      </c>
      <c r="I4466" t="s">
        <v>29</v>
      </c>
    </row>
    <row r="4467" spans="1:9" x14ac:dyDescent="0.35">
      <c r="A4467" t="s">
        <v>4503</v>
      </c>
      <c r="B4467" s="1">
        <v>45342</v>
      </c>
      <c r="C4467" t="s">
        <v>25</v>
      </c>
      <c r="D4467" t="s">
        <v>17</v>
      </c>
      <c r="E4467" t="s">
        <v>18</v>
      </c>
      <c r="F4467">
        <v>59.02</v>
      </c>
      <c r="G4467">
        <v>13.08</v>
      </c>
      <c r="H4467" t="s">
        <v>28</v>
      </c>
      <c r="I4467" t="s">
        <v>34</v>
      </c>
    </row>
    <row r="4468" spans="1:9" x14ac:dyDescent="0.35">
      <c r="A4468" t="s">
        <v>4504</v>
      </c>
      <c r="B4468" s="1">
        <v>45109</v>
      </c>
      <c r="C4468" t="s">
        <v>10</v>
      </c>
      <c r="D4468" t="s">
        <v>73</v>
      </c>
      <c r="E4468" t="s">
        <v>27</v>
      </c>
      <c r="F4468">
        <v>1297.6600000000001</v>
      </c>
      <c r="G4468">
        <v>371.38</v>
      </c>
      <c r="H4468" t="s">
        <v>28</v>
      </c>
      <c r="I4468" t="s">
        <v>20</v>
      </c>
    </row>
    <row r="4469" spans="1:9" x14ac:dyDescent="0.35">
      <c r="A4469" t="s">
        <v>4505</v>
      </c>
      <c r="B4469" s="1">
        <v>45283</v>
      </c>
      <c r="C4469" t="s">
        <v>22</v>
      </c>
      <c r="D4469" t="s">
        <v>57</v>
      </c>
      <c r="E4469" t="s">
        <v>27</v>
      </c>
      <c r="F4469">
        <v>539.70000000000005</v>
      </c>
      <c r="G4469">
        <v>53.15</v>
      </c>
      <c r="H4469" t="s">
        <v>28</v>
      </c>
      <c r="I4469" t="s">
        <v>20</v>
      </c>
    </row>
    <row r="4470" spans="1:9" x14ac:dyDescent="0.35">
      <c r="A4470" t="s">
        <v>4506</v>
      </c>
      <c r="B4470" s="1">
        <v>45580</v>
      </c>
      <c r="C4470" t="s">
        <v>16</v>
      </c>
      <c r="D4470" t="s">
        <v>33</v>
      </c>
      <c r="E4470" t="s">
        <v>18</v>
      </c>
      <c r="F4470">
        <v>1517.53</v>
      </c>
      <c r="G4470">
        <v>213.56</v>
      </c>
      <c r="H4470" t="s">
        <v>13</v>
      </c>
      <c r="I4470" t="s">
        <v>20</v>
      </c>
    </row>
    <row r="4471" spans="1:9" x14ac:dyDescent="0.35">
      <c r="A4471" t="s">
        <v>4507</v>
      </c>
      <c r="B4471" s="1">
        <v>44717</v>
      </c>
      <c r="C4471" t="s">
        <v>10</v>
      </c>
      <c r="D4471" t="s">
        <v>23</v>
      </c>
      <c r="E4471" t="s">
        <v>18</v>
      </c>
      <c r="F4471">
        <v>1497.16</v>
      </c>
      <c r="G4471">
        <v>136.82</v>
      </c>
      <c r="H4471" t="s">
        <v>19</v>
      </c>
      <c r="I4471" t="s">
        <v>20</v>
      </c>
    </row>
    <row r="4472" spans="1:9" x14ac:dyDescent="0.35">
      <c r="A4472" t="s">
        <v>4508</v>
      </c>
      <c r="B4472" s="1">
        <v>45340</v>
      </c>
      <c r="C4472" t="s">
        <v>10</v>
      </c>
      <c r="D4472" t="s">
        <v>95</v>
      </c>
      <c r="E4472" t="s">
        <v>18</v>
      </c>
      <c r="F4472">
        <v>1734.13</v>
      </c>
      <c r="G4472">
        <v>376.47</v>
      </c>
      <c r="H4472" t="s">
        <v>13</v>
      </c>
      <c r="I4472" t="s">
        <v>34</v>
      </c>
    </row>
    <row r="4473" spans="1:9" x14ac:dyDescent="0.35">
      <c r="A4473" t="s">
        <v>4509</v>
      </c>
      <c r="B4473" s="1">
        <v>45570</v>
      </c>
      <c r="C4473" t="s">
        <v>10</v>
      </c>
      <c r="D4473" t="s">
        <v>31</v>
      </c>
      <c r="E4473" t="s">
        <v>12</v>
      </c>
      <c r="F4473">
        <v>1883.62</v>
      </c>
      <c r="G4473">
        <v>420.32</v>
      </c>
      <c r="H4473" t="s">
        <v>28</v>
      </c>
      <c r="I4473" t="s">
        <v>34</v>
      </c>
    </row>
    <row r="4474" spans="1:9" x14ac:dyDescent="0.35">
      <c r="A4474" t="s">
        <v>4510</v>
      </c>
      <c r="B4474" s="1">
        <v>44770</v>
      </c>
      <c r="C4474" t="s">
        <v>22</v>
      </c>
      <c r="D4474" t="s">
        <v>41</v>
      </c>
      <c r="E4474" t="s">
        <v>12</v>
      </c>
      <c r="F4474">
        <v>1331.21</v>
      </c>
      <c r="G4474">
        <v>68.599999999999994</v>
      </c>
      <c r="H4474" t="s">
        <v>13</v>
      </c>
      <c r="I4474" t="s">
        <v>20</v>
      </c>
    </row>
    <row r="4475" spans="1:9" x14ac:dyDescent="0.35">
      <c r="A4475" t="s">
        <v>4511</v>
      </c>
      <c r="B4475" s="1">
        <v>44698</v>
      </c>
      <c r="C4475" t="s">
        <v>10</v>
      </c>
      <c r="D4475" t="s">
        <v>31</v>
      </c>
      <c r="E4475" t="s">
        <v>12</v>
      </c>
      <c r="F4475">
        <v>1455.94</v>
      </c>
      <c r="G4475">
        <v>104.58</v>
      </c>
      <c r="H4475" t="s">
        <v>28</v>
      </c>
      <c r="I4475" t="s">
        <v>14</v>
      </c>
    </row>
    <row r="4476" spans="1:9" x14ac:dyDescent="0.35">
      <c r="A4476" t="s">
        <v>4512</v>
      </c>
      <c r="B4476" s="1">
        <v>44711</v>
      </c>
      <c r="C4476" t="s">
        <v>22</v>
      </c>
      <c r="D4476" t="s">
        <v>31</v>
      </c>
      <c r="E4476" t="s">
        <v>12</v>
      </c>
      <c r="F4476">
        <v>852.79</v>
      </c>
      <c r="G4476">
        <v>105.64</v>
      </c>
      <c r="H4476" t="s">
        <v>19</v>
      </c>
      <c r="I4476" t="s">
        <v>14</v>
      </c>
    </row>
    <row r="4477" spans="1:9" x14ac:dyDescent="0.35">
      <c r="A4477" t="s">
        <v>4513</v>
      </c>
      <c r="B4477" s="1">
        <v>45015</v>
      </c>
      <c r="C4477" t="s">
        <v>25</v>
      </c>
      <c r="D4477" t="s">
        <v>95</v>
      </c>
      <c r="E4477" t="s">
        <v>18</v>
      </c>
      <c r="F4477">
        <v>1983.05</v>
      </c>
      <c r="G4477">
        <v>363.34</v>
      </c>
      <c r="H4477" t="s">
        <v>28</v>
      </c>
      <c r="I4477" t="s">
        <v>29</v>
      </c>
    </row>
    <row r="4478" spans="1:9" x14ac:dyDescent="0.35">
      <c r="A4478" t="s">
        <v>4514</v>
      </c>
      <c r="B4478" s="1">
        <v>45240</v>
      </c>
      <c r="C4478" t="s">
        <v>10</v>
      </c>
      <c r="D4478" t="s">
        <v>46</v>
      </c>
      <c r="E4478" t="s">
        <v>18</v>
      </c>
      <c r="F4478">
        <v>1563.28</v>
      </c>
      <c r="G4478">
        <v>163.53</v>
      </c>
      <c r="H4478" t="s">
        <v>13</v>
      </c>
      <c r="I4478" t="s">
        <v>34</v>
      </c>
    </row>
    <row r="4479" spans="1:9" x14ac:dyDescent="0.35">
      <c r="A4479" t="s">
        <v>4515</v>
      </c>
      <c r="B4479" s="1">
        <v>44951</v>
      </c>
      <c r="C4479" t="s">
        <v>22</v>
      </c>
      <c r="D4479" t="s">
        <v>97</v>
      </c>
      <c r="E4479" t="s">
        <v>27</v>
      </c>
      <c r="F4479">
        <v>460.09</v>
      </c>
      <c r="G4479">
        <v>114.21</v>
      </c>
      <c r="H4479" t="s">
        <v>13</v>
      </c>
      <c r="I4479" t="s">
        <v>20</v>
      </c>
    </row>
    <row r="4480" spans="1:9" x14ac:dyDescent="0.35">
      <c r="A4480" t="s">
        <v>4516</v>
      </c>
      <c r="B4480" s="1">
        <v>45264</v>
      </c>
      <c r="C4480" t="s">
        <v>16</v>
      </c>
      <c r="D4480" t="s">
        <v>17</v>
      </c>
      <c r="E4480" t="s">
        <v>18</v>
      </c>
      <c r="F4480">
        <v>1783.8</v>
      </c>
      <c r="G4480">
        <v>191.62</v>
      </c>
      <c r="H4480" t="s">
        <v>28</v>
      </c>
      <c r="I4480" t="s">
        <v>14</v>
      </c>
    </row>
    <row r="4481" spans="1:9" x14ac:dyDescent="0.35">
      <c r="A4481" t="s">
        <v>4517</v>
      </c>
      <c r="B4481" s="1">
        <v>45404</v>
      </c>
      <c r="C4481" t="s">
        <v>25</v>
      </c>
      <c r="D4481" t="s">
        <v>95</v>
      </c>
      <c r="E4481" t="s">
        <v>18</v>
      </c>
      <c r="F4481">
        <v>1738.75</v>
      </c>
      <c r="G4481">
        <v>92.95</v>
      </c>
      <c r="H4481" t="s">
        <v>28</v>
      </c>
      <c r="I4481" t="s">
        <v>34</v>
      </c>
    </row>
    <row r="4482" spans="1:9" x14ac:dyDescent="0.35">
      <c r="A4482" t="s">
        <v>4518</v>
      </c>
      <c r="B4482" s="1">
        <v>45084</v>
      </c>
      <c r="C4482" t="s">
        <v>22</v>
      </c>
      <c r="D4482" t="s">
        <v>33</v>
      </c>
      <c r="E4482" t="s">
        <v>18</v>
      </c>
      <c r="F4482">
        <v>1917.86</v>
      </c>
      <c r="G4482">
        <v>508.53</v>
      </c>
      <c r="H4482" t="s">
        <v>13</v>
      </c>
      <c r="I4482" t="s">
        <v>34</v>
      </c>
    </row>
    <row r="4483" spans="1:9" x14ac:dyDescent="0.35">
      <c r="A4483" t="s">
        <v>4519</v>
      </c>
      <c r="B4483" s="1">
        <v>45503</v>
      </c>
      <c r="C4483" t="s">
        <v>16</v>
      </c>
      <c r="D4483" t="s">
        <v>17</v>
      </c>
      <c r="E4483" t="s">
        <v>18</v>
      </c>
      <c r="F4483">
        <v>1797.45</v>
      </c>
      <c r="G4483">
        <v>195.7</v>
      </c>
      <c r="H4483" t="s">
        <v>19</v>
      </c>
      <c r="I4483" t="s">
        <v>29</v>
      </c>
    </row>
    <row r="4484" spans="1:9" x14ac:dyDescent="0.35">
      <c r="A4484" t="s">
        <v>4520</v>
      </c>
      <c r="B4484" s="1">
        <v>44706</v>
      </c>
      <c r="C4484" t="s">
        <v>22</v>
      </c>
      <c r="D4484" t="s">
        <v>38</v>
      </c>
      <c r="E4484" t="s">
        <v>12</v>
      </c>
      <c r="F4484">
        <v>1033.47</v>
      </c>
      <c r="G4484">
        <v>226.08</v>
      </c>
      <c r="H4484" t="s">
        <v>13</v>
      </c>
      <c r="I4484" t="s">
        <v>29</v>
      </c>
    </row>
    <row r="4485" spans="1:9" x14ac:dyDescent="0.35">
      <c r="A4485" t="s">
        <v>4521</v>
      </c>
      <c r="B4485" s="1">
        <v>45073</v>
      </c>
      <c r="C4485" t="s">
        <v>22</v>
      </c>
      <c r="D4485" t="s">
        <v>38</v>
      </c>
      <c r="E4485" t="s">
        <v>12</v>
      </c>
      <c r="F4485">
        <v>754.47</v>
      </c>
      <c r="G4485">
        <v>87.53</v>
      </c>
      <c r="H4485" t="s">
        <v>19</v>
      </c>
      <c r="I4485" t="s">
        <v>34</v>
      </c>
    </row>
    <row r="4486" spans="1:9" x14ac:dyDescent="0.35">
      <c r="A4486" t="s">
        <v>4522</v>
      </c>
      <c r="B4486" s="1">
        <v>45657</v>
      </c>
      <c r="C4486" t="s">
        <v>16</v>
      </c>
      <c r="D4486" t="s">
        <v>33</v>
      </c>
      <c r="E4486" t="s">
        <v>18</v>
      </c>
      <c r="F4486">
        <v>341.96</v>
      </c>
      <c r="G4486">
        <v>42.49</v>
      </c>
      <c r="H4486" t="s">
        <v>28</v>
      </c>
      <c r="I4486" t="s">
        <v>14</v>
      </c>
    </row>
    <row r="4487" spans="1:9" x14ac:dyDescent="0.35">
      <c r="A4487" t="s">
        <v>4523</v>
      </c>
      <c r="B4487" s="1">
        <v>45522</v>
      </c>
      <c r="C4487" t="s">
        <v>25</v>
      </c>
      <c r="D4487" t="s">
        <v>17</v>
      </c>
      <c r="E4487" t="s">
        <v>18</v>
      </c>
      <c r="F4487">
        <v>1104.94</v>
      </c>
      <c r="G4487">
        <v>243.99</v>
      </c>
      <c r="H4487" t="s">
        <v>28</v>
      </c>
      <c r="I4487" t="s">
        <v>34</v>
      </c>
    </row>
    <row r="4488" spans="1:9" x14ac:dyDescent="0.35">
      <c r="A4488" t="s">
        <v>4524</v>
      </c>
      <c r="B4488" s="1">
        <v>45115</v>
      </c>
      <c r="C4488" t="s">
        <v>16</v>
      </c>
      <c r="D4488" t="s">
        <v>73</v>
      </c>
      <c r="E4488" t="s">
        <v>27</v>
      </c>
      <c r="F4488">
        <v>603.29</v>
      </c>
      <c r="G4488">
        <v>39.44</v>
      </c>
      <c r="H4488" t="s">
        <v>13</v>
      </c>
      <c r="I4488" t="s">
        <v>34</v>
      </c>
    </row>
    <row r="4489" spans="1:9" x14ac:dyDescent="0.35">
      <c r="A4489" t="s">
        <v>4525</v>
      </c>
      <c r="B4489" s="1">
        <v>45311</v>
      </c>
      <c r="C4489" t="s">
        <v>16</v>
      </c>
      <c r="D4489" t="s">
        <v>23</v>
      </c>
      <c r="E4489" t="s">
        <v>18</v>
      </c>
      <c r="F4489">
        <v>1692.37</v>
      </c>
      <c r="G4489">
        <v>406.11</v>
      </c>
      <c r="H4489" t="s">
        <v>19</v>
      </c>
      <c r="I4489" t="s">
        <v>14</v>
      </c>
    </row>
    <row r="4490" spans="1:9" x14ac:dyDescent="0.35">
      <c r="A4490" t="s">
        <v>4526</v>
      </c>
      <c r="B4490" s="1">
        <v>44899</v>
      </c>
      <c r="C4490" t="s">
        <v>22</v>
      </c>
      <c r="D4490" t="s">
        <v>50</v>
      </c>
      <c r="E4490" t="s">
        <v>12</v>
      </c>
      <c r="F4490">
        <v>154.25</v>
      </c>
      <c r="G4490">
        <v>28.51</v>
      </c>
      <c r="H4490" t="s">
        <v>28</v>
      </c>
      <c r="I4490" t="s">
        <v>34</v>
      </c>
    </row>
    <row r="4491" spans="1:9" x14ac:dyDescent="0.35">
      <c r="A4491" t="s">
        <v>4527</v>
      </c>
      <c r="B4491" s="1">
        <v>45146</v>
      </c>
      <c r="C4491" t="s">
        <v>16</v>
      </c>
      <c r="D4491" t="s">
        <v>73</v>
      </c>
      <c r="E4491" t="s">
        <v>27</v>
      </c>
      <c r="F4491">
        <v>1158.8599999999999</v>
      </c>
      <c r="G4491">
        <v>80.05</v>
      </c>
      <c r="H4491" t="s">
        <v>28</v>
      </c>
      <c r="I4491" t="s">
        <v>20</v>
      </c>
    </row>
    <row r="4492" spans="1:9" x14ac:dyDescent="0.35">
      <c r="A4492" t="s">
        <v>4528</v>
      </c>
      <c r="B4492" s="1">
        <v>45411</v>
      </c>
      <c r="C4492" t="s">
        <v>22</v>
      </c>
      <c r="D4492" t="s">
        <v>57</v>
      </c>
      <c r="E4492" t="s">
        <v>27</v>
      </c>
      <c r="F4492">
        <v>1965.32</v>
      </c>
      <c r="G4492">
        <v>555.77</v>
      </c>
      <c r="H4492" t="s">
        <v>19</v>
      </c>
      <c r="I4492" t="s">
        <v>20</v>
      </c>
    </row>
    <row r="4493" spans="1:9" x14ac:dyDescent="0.35">
      <c r="A4493" t="s">
        <v>4529</v>
      </c>
      <c r="B4493" s="1">
        <v>44861</v>
      </c>
      <c r="C4493" t="s">
        <v>25</v>
      </c>
      <c r="D4493" t="s">
        <v>62</v>
      </c>
      <c r="E4493" t="s">
        <v>27</v>
      </c>
      <c r="F4493">
        <v>1848.21</v>
      </c>
      <c r="G4493">
        <v>524.49</v>
      </c>
      <c r="H4493" t="s">
        <v>19</v>
      </c>
      <c r="I4493" t="s">
        <v>14</v>
      </c>
    </row>
    <row r="4494" spans="1:9" x14ac:dyDescent="0.35">
      <c r="A4494" t="s">
        <v>4530</v>
      </c>
      <c r="B4494" s="1">
        <v>44747</v>
      </c>
      <c r="C4494" t="s">
        <v>22</v>
      </c>
      <c r="D4494" t="s">
        <v>73</v>
      </c>
      <c r="E4494" t="s">
        <v>27</v>
      </c>
      <c r="F4494">
        <v>234.38</v>
      </c>
      <c r="G4494">
        <v>42.95</v>
      </c>
      <c r="H4494" t="s">
        <v>13</v>
      </c>
      <c r="I4494" t="s">
        <v>20</v>
      </c>
    </row>
    <row r="4495" spans="1:9" x14ac:dyDescent="0.35">
      <c r="A4495" t="s">
        <v>4531</v>
      </c>
      <c r="B4495" s="1">
        <v>44910</v>
      </c>
      <c r="C4495" t="s">
        <v>10</v>
      </c>
      <c r="D4495" t="s">
        <v>73</v>
      </c>
      <c r="E4495" t="s">
        <v>27</v>
      </c>
      <c r="F4495">
        <v>596.82000000000005</v>
      </c>
      <c r="G4495">
        <v>51.06</v>
      </c>
      <c r="H4495" t="s">
        <v>19</v>
      </c>
      <c r="I4495" t="s">
        <v>14</v>
      </c>
    </row>
    <row r="4496" spans="1:9" x14ac:dyDescent="0.35">
      <c r="A4496" t="s">
        <v>4532</v>
      </c>
      <c r="B4496" s="1">
        <v>44790</v>
      </c>
      <c r="C4496" t="s">
        <v>22</v>
      </c>
      <c r="D4496" t="s">
        <v>50</v>
      </c>
      <c r="E4496" t="s">
        <v>12</v>
      </c>
      <c r="F4496">
        <v>972.83</v>
      </c>
      <c r="G4496">
        <v>212.08</v>
      </c>
      <c r="H4496" t="s">
        <v>13</v>
      </c>
      <c r="I4496" t="s">
        <v>14</v>
      </c>
    </row>
    <row r="4497" spans="1:9" x14ac:dyDescent="0.35">
      <c r="A4497" t="s">
        <v>4533</v>
      </c>
      <c r="B4497" s="1">
        <v>44981</v>
      </c>
      <c r="C4497" t="s">
        <v>22</v>
      </c>
      <c r="D4497" t="s">
        <v>26</v>
      </c>
      <c r="E4497" t="s">
        <v>27</v>
      </c>
      <c r="F4497">
        <v>1265.1300000000001</v>
      </c>
      <c r="G4497">
        <v>67.98</v>
      </c>
      <c r="H4497" t="s">
        <v>28</v>
      </c>
      <c r="I4497" t="s">
        <v>20</v>
      </c>
    </row>
    <row r="4498" spans="1:9" x14ac:dyDescent="0.35">
      <c r="A4498" t="s">
        <v>4534</v>
      </c>
      <c r="B4498" s="1">
        <v>45150</v>
      </c>
      <c r="C4498" t="s">
        <v>10</v>
      </c>
      <c r="D4498" t="s">
        <v>62</v>
      </c>
      <c r="E4498" t="s">
        <v>27</v>
      </c>
      <c r="F4498">
        <v>1934.1</v>
      </c>
      <c r="G4498">
        <v>138.87</v>
      </c>
      <c r="H4498" t="s">
        <v>19</v>
      </c>
      <c r="I4498" t="s">
        <v>20</v>
      </c>
    </row>
    <row r="4499" spans="1:9" x14ac:dyDescent="0.35">
      <c r="A4499" t="s">
        <v>4535</v>
      </c>
      <c r="B4499" s="1">
        <v>45359</v>
      </c>
      <c r="C4499" t="s">
        <v>10</v>
      </c>
      <c r="D4499" t="s">
        <v>11</v>
      </c>
      <c r="E4499" t="s">
        <v>12</v>
      </c>
      <c r="F4499">
        <v>1369.57</v>
      </c>
      <c r="G4499">
        <v>336.44</v>
      </c>
      <c r="H4499" t="s">
        <v>19</v>
      </c>
      <c r="I4499" t="s">
        <v>34</v>
      </c>
    </row>
    <row r="4500" spans="1:9" x14ac:dyDescent="0.35">
      <c r="A4500" t="s">
        <v>4536</v>
      </c>
      <c r="B4500" s="1">
        <v>45107</v>
      </c>
      <c r="C4500" t="s">
        <v>10</v>
      </c>
      <c r="D4500" t="s">
        <v>46</v>
      </c>
      <c r="E4500" t="s">
        <v>18</v>
      </c>
      <c r="F4500">
        <v>1573.95</v>
      </c>
      <c r="G4500">
        <v>452.52</v>
      </c>
      <c r="H4500" t="s">
        <v>13</v>
      </c>
      <c r="I4500" t="s">
        <v>20</v>
      </c>
    </row>
    <row r="4501" spans="1:9" x14ac:dyDescent="0.35">
      <c r="A4501" t="s">
        <v>4537</v>
      </c>
      <c r="B4501" s="1">
        <v>45220</v>
      </c>
      <c r="C4501" t="s">
        <v>25</v>
      </c>
      <c r="D4501" t="s">
        <v>73</v>
      </c>
      <c r="E4501" t="s">
        <v>27</v>
      </c>
      <c r="F4501">
        <v>911.23</v>
      </c>
      <c r="G4501">
        <v>247.59</v>
      </c>
      <c r="H4501" t="s">
        <v>19</v>
      </c>
      <c r="I4501" t="s">
        <v>14</v>
      </c>
    </row>
    <row r="4502" spans="1:9" x14ac:dyDescent="0.35">
      <c r="A4502" t="s">
        <v>4538</v>
      </c>
      <c r="B4502" s="1">
        <v>45487</v>
      </c>
      <c r="C4502" t="s">
        <v>10</v>
      </c>
      <c r="D4502" t="s">
        <v>62</v>
      </c>
      <c r="E4502" t="s">
        <v>27</v>
      </c>
      <c r="F4502">
        <v>511.66</v>
      </c>
      <c r="G4502">
        <v>111.78</v>
      </c>
      <c r="H4502" t="s">
        <v>28</v>
      </c>
      <c r="I4502" t="s">
        <v>29</v>
      </c>
    </row>
    <row r="4503" spans="1:9" x14ac:dyDescent="0.35">
      <c r="A4503" t="s">
        <v>4539</v>
      </c>
      <c r="B4503" s="1">
        <v>45374</v>
      </c>
      <c r="C4503" t="s">
        <v>25</v>
      </c>
      <c r="D4503" t="s">
        <v>46</v>
      </c>
      <c r="E4503" t="s">
        <v>18</v>
      </c>
      <c r="F4503">
        <v>404</v>
      </c>
      <c r="G4503">
        <v>94.04</v>
      </c>
      <c r="H4503" t="s">
        <v>28</v>
      </c>
      <c r="I4503" t="s">
        <v>29</v>
      </c>
    </row>
    <row r="4504" spans="1:9" x14ac:dyDescent="0.35">
      <c r="A4504" t="s">
        <v>4540</v>
      </c>
      <c r="B4504" s="1">
        <v>44686</v>
      </c>
      <c r="C4504" t="s">
        <v>22</v>
      </c>
      <c r="D4504" t="s">
        <v>41</v>
      </c>
      <c r="E4504" t="s">
        <v>12</v>
      </c>
      <c r="F4504">
        <v>460.59</v>
      </c>
      <c r="G4504">
        <v>45.34</v>
      </c>
      <c r="H4504" t="s">
        <v>19</v>
      </c>
      <c r="I4504" t="s">
        <v>20</v>
      </c>
    </row>
    <row r="4505" spans="1:9" x14ac:dyDescent="0.35">
      <c r="A4505" t="s">
        <v>4541</v>
      </c>
      <c r="B4505" s="1">
        <v>45624</v>
      </c>
      <c r="C4505" t="s">
        <v>22</v>
      </c>
      <c r="D4505" t="s">
        <v>26</v>
      </c>
      <c r="E4505" t="s">
        <v>27</v>
      </c>
      <c r="F4505">
        <v>349.94</v>
      </c>
      <c r="G4505">
        <v>33.53</v>
      </c>
      <c r="H4505" t="s">
        <v>13</v>
      </c>
      <c r="I4505" t="s">
        <v>29</v>
      </c>
    </row>
    <row r="4506" spans="1:9" x14ac:dyDescent="0.35">
      <c r="A4506" t="s">
        <v>4542</v>
      </c>
      <c r="B4506" s="1">
        <v>45037</v>
      </c>
      <c r="C4506" t="s">
        <v>16</v>
      </c>
      <c r="D4506" t="s">
        <v>97</v>
      </c>
      <c r="E4506" t="s">
        <v>27</v>
      </c>
      <c r="F4506">
        <v>300.87</v>
      </c>
      <c r="G4506">
        <v>45.33</v>
      </c>
      <c r="H4506" t="s">
        <v>19</v>
      </c>
      <c r="I4506" t="s">
        <v>14</v>
      </c>
    </row>
    <row r="4507" spans="1:9" x14ac:dyDescent="0.35">
      <c r="A4507" t="s">
        <v>4543</v>
      </c>
      <c r="B4507" s="1">
        <v>45499</v>
      </c>
      <c r="C4507" t="s">
        <v>10</v>
      </c>
      <c r="D4507" t="s">
        <v>33</v>
      </c>
      <c r="E4507" t="s">
        <v>18</v>
      </c>
      <c r="F4507">
        <v>1219.2</v>
      </c>
      <c r="G4507">
        <v>279.47000000000003</v>
      </c>
      <c r="H4507" t="s">
        <v>13</v>
      </c>
      <c r="I4507" t="s">
        <v>34</v>
      </c>
    </row>
    <row r="4508" spans="1:9" x14ac:dyDescent="0.35">
      <c r="A4508" t="s">
        <v>4544</v>
      </c>
      <c r="B4508" s="1">
        <v>45278</v>
      </c>
      <c r="C4508" t="s">
        <v>16</v>
      </c>
      <c r="D4508" t="s">
        <v>73</v>
      </c>
      <c r="E4508" t="s">
        <v>27</v>
      </c>
      <c r="F4508">
        <v>1078.99</v>
      </c>
      <c r="G4508">
        <v>243.82</v>
      </c>
      <c r="H4508" t="s">
        <v>28</v>
      </c>
      <c r="I4508" t="s">
        <v>20</v>
      </c>
    </row>
    <row r="4509" spans="1:9" x14ac:dyDescent="0.35">
      <c r="A4509" t="s">
        <v>4545</v>
      </c>
      <c r="B4509" s="1">
        <v>45009</v>
      </c>
      <c r="C4509" t="s">
        <v>22</v>
      </c>
      <c r="D4509" t="s">
        <v>73</v>
      </c>
      <c r="E4509" t="s">
        <v>27</v>
      </c>
      <c r="F4509">
        <v>582.29999999999995</v>
      </c>
      <c r="G4509">
        <v>70.94</v>
      </c>
      <c r="H4509" t="s">
        <v>28</v>
      </c>
      <c r="I4509" t="s">
        <v>29</v>
      </c>
    </row>
    <row r="4510" spans="1:9" x14ac:dyDescent="0.35">
      <c r="A4510" t="s">
        <v>4546</v>
      </c>
      <c r="B4510" s="1">
        <v>45536</v>
      </c>
      <c r="C4510" t="s">
        <v>16</v>
      </c>
      <c r="D4510" t="s">
        <v>33</v>
      </c>
      <c r="E4510" t="s">
        <v>18</v>
      </c>
      <c r="F4510">
        <v>1443.07</v>
      </c>
      <c r="G4510">
        <v>169.17</v>
      </c>
      <c r="H4510" t="s">
        <v>28</v>
      </c>
      <c r="I4510" t="s">
        <v>14</v>
      </c>
    </row>
    <row r="4511" spans="1:9" x14ac:dyDescent="0.35">
      <c r="A4511" t="s">
        <v>4547</v>
      </c>
      <c r="B4511" s="1">
        <v>44754</v>
      </c>
      <c r="C4511" t="s">
        <v>10</v>
      </c>
      <c r="D4511" t="s">
        <v>46</v>
      </c>
      <c r="E4511" t="s">
        <v>18</v>
      </c>
      <c r="F4511">
        <v>254.82</v>
      </c>
      <c r="G4511">
        <v>50.45</v>
      </c>
      <c r="H4511" t="s">
        <v>13</v>
      </c>
      <c r="I4511" t="s">
        <v>29</v>
      </c>
    </row>
    <row r="4512" spans="1:9" x14ac:dyDescent="0.35">
      <c r="A4512" t="s">
        <v>4548</v>
      </c>
      <c r="B4512" s="1">
        <v>45609</v>
      </c>
      <c r="C4512" t="s">
        <v>25</v>
      </c>
      <c r="D4512" t="s">
        <v>31</v>
      </c>
      <c r="E4512" t="s">
        <v>12</v>
      </c>
      <c r="F4512">
        <v>474.35</v>
      </c>
      <c r="G4512">
        <v>84.52</v>
      </c>
      <c r="H4512" t="s">
        <v>28</v>
      </c>
      <c r="I4512" t="s">
        <v>29</v>
      </c>
    </row>
    <row r="4513" spans="1:9" x14ac:dyDescent="0.35">
      <c r="A4513" t="s">
        <v>4549</v>
      </c>
      <c r="B4513" s="1">
        <v>45180</v>
      </c>
      <c r="C4513" t="s">
        <v>10</v>
      </c>
      <c r="D4513" t="s">
        <v>26</v>
      </c>
      <c r="E4513" t="s">
        <v>27</v>
      </c>
      <c r="F4513">
        <v>660.77</v>
      </c>
      <c r="G4513">
        <v>154.77000000000001</v>
      </c>
      <c r="H4513" t="s">
        <v>19</v>
      </c>
      <c r="I4513" t="s">
        <v>20</v>
      </c>
    </row>
    <row r="4514" spans="1:9" x14ac:dyDescent="0.35">
      <c r="A4514" t="s">
        <v>4550</v>
      </c>
      <c r="B4514" s="1">
        <v>45061</v>
      </c>
      <c r="C4514" t="s">
        <v>22</v>
      </c>
      <c r="D4514" t="s">
        <v>31</v>
      </c>
      <c r="E4514" t="s">
        <v>12</v>
      </c>
      <c r="F4514">
        <v>1628.04</v>
      </c>
      <c r="G4514">
        <v>470.5</v>
      </c>
      <c r="H4514" t="s">
        <v>19</v>
      </c>
      <c r="I4514" t="s">
        <v>29</v>
      </c>
    </row>
    <row r="4515" spans="1:9" x14ac:dyDescent="0.35">
      <c r="A4515" t="s">
        <v>4551</v>
      </c>
      <c r="B4515" s="1">
        <v>44914</v>
      </c>
      <c r="C4515" t="s">
        <v>16</v>
      </c>
      <c r="D4515" t="s">
        <v>62</v>
      </c>
      <c r="E4515" t="s">
        <v>27</v>
      </c>
      <c r="F4515">
        <v>1665.09</v>
      </c>
      <c r="G4515">
        <v>402.25</v>
      </c>
      <c r="H4515" t="s">
        <v>13</v>
      </c>
      <c r="I4515" t="s">
        <v>20</v>
      </c>
    </row>
    <row r="4516" spans="1:9" x14ac:dyDescent="0.35">
      <c r="A4516" t="s">
        <v>4552</v>
      </c>
      <c r="B4516" s="1">
        <v>45592</v>
      </c>
      <c r="C4516" t="s">
        <v>16</v>
      </c>
      <c r="D4516" t="s">
        <v>46</v>
      </c>
      <c r="E4516" t="s">
        <v>18</v>
      </c>
      <c r="F4516">
        <v>934.13</v>
      </c>
      <c r="G4516">
        <v>147.21</v>
      </c>
      <c r="H4516" t="s">
        <v>19</v>
      </c>
      <c r="I4516" t="s">
        <v>20</v>
      </c>
    </row>
    <row r="4517" spans="1:9" x14ac:dyDescent="0.35">
      <c r="A4517" t="s">
        <v>4553</v>
      </c>
      <c r="B4517" s="1">
        <v>45166</v>
      </c>
      <c r="C4517" t="s">
        <v>10</v>
      </c>
      <c r="D4517" t="s">
        <v>17</v>
      </c>
      <c r="E4517" t="s">
        <v>18</v>
      </c>
      <c r="F4517">
        <v>397.13</v>
      </c>
      <c r="G4517">
        <v>110.64</v>
      </c>
      <c r="H4517" t="s">
        <v>13</v>
      </c>
      <c r="I4517" t="s">
        <v>20</v>
      </c>
    </row>
    <row r="4518" spans="1:9" x14ac:dyDescent="0.35">
      <c r="A4518" t="s">
        <v>4554</v>
      </c>
      <c r="B4518" s="1">
        <v>45060</v>
      </c>
      <c r="C4518" t="s">
        <v>10</v>
      </c>
      <c r="D4518" t="s">
        <v>46</v>
      </c>
      <c r="E4518" t="s">
        <v>18</v>
      </c>
      <c r="F4518">
        <v>1987.04</v>
      </c>
      <c r="G4518">
        <v>414.82</v>
      </c>
      <c r="H4518" t="s">
        <v>13</v>
      </c>
      <c r="I4518" t="s">
        <v>34</v>
      </c>
    </row>
    <row r="4519" spans="1:9" x14ac:dyDescent="0.35">
      <c r="A4519" t="s">
        <v>4555</v>
      </c>
      <c r="B4519" s="1">
        <v>44895</v>
      </c>
      <c r="C4519" t="s">
        <v>22</v>
      </c>
      <c r="D4519" t="s">
        <v>73</v>
      </c>
      <c r="E4519" t="s">
        <v>27</v>
      </c>
      <c r="F4519">
        <v>1952.18</v>
      </c>
      <c r="G4519">
        <v>420.59</v>
      </c>
      <c r="H4519" t="s">
        <v>19</v>
      </c>
      <c r="I4519" t="s">
        <v>29</v>
      </c>
    </row>
    <row r="4520" spans="1:9" x14ac:dyDescent="0.35">
      <c r="A4520" t="s">
        <v>4556</v>
      </c>
      <c r="B4520" s="1">
        <v>44852</v>
      </c>
      <c r="C4520" t="s">
        <v>25</v>
      </c>
      <c r="D4520" t="s">
        <v>11</v>
      </c>
      <c r="E4520" t="s">
        <v>12</v>
      </c>
      <c r="F4520">
        <v>1465.61</v>
      </c>
      <c r="G4520">
        <v>332.32</v>
      </c>
      <c r="H4520" t="s">
        <v>28</v>
      </c>
      <c r="I4520" t="s">
        <v>34</v>
      </c>
    </row>
    <row r="4521" spans="1:9" x14ac:dyDescent="0.35">
      <c r="A4521" t="s">
        <v>4557</v>
      </c>
      <c r="B4521" s="1">
        <v>45168</v>
      </c>
      <c r="C4521" t="s">
        <v>10</v>
      </c>
      <c r="D4521" t="s">
        <v>41</v>
      </c>
      <c r="E4521" t="s">
        <v>12</v>
      </c>
      <c r="F4521">
        <v>86.12</v>
      </c>
      <c r="G4521">
        <v>9.1300000000000008</v>
      </c>
      <c r="H4521" t="s">
        <v>19</v>
      </c>
      <c r="I4521" t="s">
        <v>34</v>
      </c>
    </row>
    <row r="4522" spans="1:9" x14ac:dyDescent="0.35">
      <c r="A4522" t="s">
        <v>4558</v>
      </c>
      <c r="B4522" s="1">
        <v>45644</v>
      </c>
      <c r="C4522" t="s">
        <v>25</v>
      </c>
      <c r="D4522" t="s">
        <v>62</v>
      </c>
      <c r="E4522" t="s">
        <v>27</v>
      </c>
      <c r="F4522">
        <v>680.18</v>
      </c>
      <c r="G4522">
        <v>67.97</v>
      </c>
      <c r="H4522" t="s">
        <v>28</v>
      </c>
      <c r="I4522" t="s">
        <v>34</v>
      </c>
    </row>
    <row r="4523" spans="1:9" x14ac:dyDescent="0.35">
      <c r="A4523" t="s">
        <v>4559</v>
      </c>
      <c r="B4523" s="1">
        <v>45516</v>
      </c>
      <c r="C4523" t="s">
        <v>25</v>
      </c>
      <c r="D4523" t="s">
        <v>97</v>
      </c>
      <c r="E4523" t="s">
        <v>27</v>
      </c>
      <c r="F4523">
        <v>1937.59</v>
      </c>
      <c r="G4523">
        <v>495.93</v>
      </c>
      <c r="H4523" t="s">
        <v>19</v>
      </c>
      <c r="I4523" t="s">
        <v>34</v>
      </c>
    </row>
    <row r="4524" spans="1:9" x14ac:dyDescent="0.35">
      <c r="A4524" t="s">
        <v>4560</v>
      </c>
      <c r="B4524" s="1">
        <v>44858</v>
      </c>
      <c r="C4524" t="s">
        <v>22</v>
      </c>
      <c r="D4524" t="s">
        <v>97</v>
      </c>
      <c r="E4524" t="s">
        <v>27</v>
      </c>
      <c r="F4524">
        <v>1231.53</v>
      </c>
      <c r="G4524">
        <v>176.33</v>
      </c>
      <c r="H4524" t="s">
        <v>19</v>
      </c>
      <c r="I4524" t="s">
        <v>29</v>
      </c>
    </row>
    <row r="4525" spans="1:9" x14ac:dyDescent="0.35">
      <c r="A4525" t="s">
        <v>4561</v>
      </c>
      <c r="B4525" s="1">
        <v>44930</v>
      </c>
      <c r="C4525" t="s">
        <v>22</v>
      </c>
      <c r="D4525" t="s">
        <v>11</v>
      </c>
      <c r="E4525" t="s">
        <v>12</v>
      </c>
      <c r="F4525">
        <v>413.92</v>
      </c>
      <c r="G4525">
        <v>72.77</v>
      </c>
      <c r="H4525" t="s">
        <v>19</v>
      </c>
      <c r="I4525" t="s">
        <v>34</v>
      </c>
    </row>
    <row r="4526" spans="1:9" x14ac:dyDescent="0.35">
      <c r="A4526" t="s">
        <v>4562</v>
      </c>
      <c r="B4526" s="1">
        <v>44846</v>
      </c>
      <c r="C4526" t="s">
        <v>22</v>
      </c>
      <c r="D4526" t="s">
        <v>62</v>
      </c>
      <c r="E4526" t="s">
        <v>27</v>
      </c>
      <c r="F4526">
        <v>905.2</v>
      </c>
      <c r="G4526">
        <v>99.36</v>
      </c>
      <c r="H4526" t="s">
        <v>28</v>
      </c>
      <c r="I4526" t="s">
        <v>14</v>
      </c>
    </row>
    <row r="4527" spans="1:9" x14ac:dyDescent="0.35">
      <c r="A4527" t="s">
        <v>4563</v>
      </c>
      <c r="B4527" s="1">
        <v>44720</v>
      </c>
      <c r="C4527" t="s">
        <v>22</v>
      </c>
      <c r="D4527" t="s">
        <v>41</v>
      </c>
      <c r="E4527" t="s">
        <v>12</v>
      </c>
      <c r="F4527">
        <v>1290.03</v>
      </c>
      <c r="G4527">
        <v>325.57</v>
      </c>
      <c r="H4527" t="s">
        <v>28</v>
      </c>
      <c r="I4527" t="s">
        <v>14</v>
      </c>
    </row>
    <row r="4528" spans="1:9" x14ac:dyDescent="0.35">
      <c r="A4528" t="s">
        <v>4564</v>
      </c>
      <c r="B4528" s="1">
        <v>45063</v>
      </c>
      <c r="C4528" t="s">
        <v>10</v>
      </c>
      <c r="D4528" t="s">
        <v>31</v>
      </c>
      <c r="E4528" t="s">
        <v>12</v>
      </c>
      <c r="F4528">
        <v>765.65</v>
      </c>
      <c r="G4528">
        <v>63.39</v>
      </c>
      <c r="H4528" t="s">
        <v>19</v>
      </c>
      <c r="I4528" t="s">
        <v>20</v>
      </c>
    </row>
    <row r="4529" spans="1:9" x14ac:dyDescent="0.35">
      <c r="A4529" t="s">
        <v>4565</v>
      </c>
      <c r="B4529" s="1">
        <v>44871</v>
      </c>
      <c r="C4529" t="s">
        <v>10</v>
      </c>
      <c r="D4529" t="s">
        <v>95</v>
      </c>
      <c r="E4529" t="s">
        <v>18</v>
      </c>
      <c r="F4529">
        <v>382.87</v>
      </c>
      <c r="G4529">
        <v>58.28</v>
      </c>
      <c r="H4529" t="s">
        <v>13</v>
      </c>
      <c r="I4529" t="s">
        <v>34</v>
      </c>
    </row>
    <row r="4530" spans="1:9" x14ac:dyDescent="0.35">
      <c r="A4530" t="s">
        <v>4566</v>
      </c>
      <c r="B4530" s="1">
        <v>45168</v>
      </c>
      <c r="C4530" t="s">
        <v>25</v>
      </c>
      <c r="D4530" t="s">
        <v>38</v>
      </c>
      <c r="E4530" t="s">
        <v>12</v>
      </c>
      <c r="F4530">
        <v>450.58</v>
      </c>
      <c r="G4530">
        <v>42.11</v>
      </c>
      <c r="H4530" t="s">
        <v>13</v>
      </c>
      <c r="I4530" t="s">
        <v>20</v>
      </c>
    </row>
    <row r="4531" spans="1:9" x14ac:dyDescent="0.35">
      <c r="A4531" t="s">
        <v>4567</v>
      </c>
      <c r="B4531" s="1">
        <v>45188</v>
      </c>
      <c r="C4531" t="s">
        <v>10</v>
      </c>
      <c r="D4531" t="s">
        <v>38</v>
      </c>
      <c r="E4531" t="s">
        <v>12</v>
      </c>
      <c r="F4531">
        <v>1691.54</v>
      </c>
      <c r="G4531">
        <v>163.84</v>
      </c>
      <c r="H4531" t="s">
        <v>28</v>
      </c>
      <c r="I4531" t="s">
        <v>29</v>
      </c>
    </row>
    <row r="4532" spans="1:9" x14ac:dyDescent="0.35">
      <c r="A4532" t="s">
        <v>4568</v>
      </c>
      <c r="B4532" s="1">
        <v>45609</v>
      </c>
      <c r="C4532" t="s">
        <v>10</v>
      </c>
      <c r="D4532" t="s">
        <v>38</v>
      </c>
      <c r="E4532" t="s">
        <v>12</v>
      </c>
      <c r="F4532">
        <v>637.44000000000005</v>
      </c>
      <c r="G4532">
        <v>51.66</v>
      </c>
      <c r="H4532" t="s">
        <v>19</v>
      </c>
      <c r="I4532" t="s">
        <v>14</v>
      </c>
    </row>
    <row r="4533" spans="1:9" x14ac:dyDescent="0.35">
      <c r="A4533" t="s">
        <v>4569</v>
      </c>
      <c r="B4533" s="1">
        <v>44716</v>
      </c>
      <c r="C4533" t="s">
        <v>25</v>
      </c>
      <c r="D4533" t="s">
        <v>11</v>
      </c>
      <c r="E4533" t="s">
        <v>12</v>
      </c>
      <c r="F4533">
        <v>853.52</v>
      </c>
      <c r="G4533">
        <v>124.38</v>
      </c>
      <c r="H4533" t="s">
        <v>19</v>
      </c>
      <c r="I4533" t="s">
        <v>14</v>
      </c>
    </row>
    <row r="4534" spans="1:9" x14ac:dyDescent="0.35">
      <c r="A4534" t="s">
        <v>4570</v>
      </c>
      <c r="B4534" s="1">
        <v>44584</v>
      </c>
      <c r="C4534" t="s">
        <v>25</v>
      </c>
      <c r="D4534" t="s">
        <v>23</v>
      </c>
      <c r="E4534" t="s">
        <v>18</v>
      </c>
      <c r="F4534">
        <v>201.38</v>
      </c>
      <c r="G4534">
        <v>56.6</v>
      </c>
      <c r="H4534" t="s">
        <v>19</v>
      </c>
      <c r="I4534" t="s">
        <v>34</v>
      </c>
    </row>
    <row r="4535" spans="1:9" x14ac:dyDescent="0.35">
      <c r="A4535" t="s">
        <v>4571</v>
      </c>
      <c r="B4535" s="1">
        <v>44968</v>
      </c>
      <c r="C4535" t="s">
        <v>16</v>
      </c>
      <c r="D4535" t="s">
        <v>50</v>
      </c>
      <c r="E4535" t="s">
        <v>12</v>
      </c>
      <c r="F4535">
        <v>355.48</v>
      </c>
      <c r="G4535">
        <v>40.68</v>
      </c>
      <c r="H4535" t="s">
        <v>28</v>
      </c>
      <c r="I4535" t="s">
        <v>14</v>
      </c>
    </row>
    <row r="4536" spans="1:9" x14ac:dyDescent="0.35">
      <c r="A4536" t="s">
        <v>4572</v>
      </c>
      <c r="B4536" s="1">
        <v>44606</v>
      </c>
      <c r="C4536" t="s">
        <v>22</v>
      </c>
      <c r="D4536" t="s">
        <v>73</v>
      </c>
      <c r="E4536" t="s">
        <v>27</v>
      </c>
      <c r="F4536">
        <v>1193.8800000000001</v>
      </c>
      <c r="G4536">
        <v>63.15</v>
      </c>
      <c r="H4536" t="s">
        <v>19</v>
      </c>
      <c r="I4536" t="s">
        <v>20</v>
      </c>
    </row>
    <row r="4537" spans="1:9" x14ac:dyDescent="0.35">
      <c r="A4537" t="s">
        <v>4573</v>
      </c>
      <c r="B4537" s="1">
        <v>44596</v>
      </c>
      <c r="C4537" t="s">
        <v>16</v>
      </c>
      <c r="D4537" t="s">
        <v>38</v>
      </c>
      <c r="E4537" t="s">
        <v>12</v>
      </c>
      <c r="F4537">
        <v>1396.23</v>
      </c>
      <c r="G4537">
        <v>145.85</v>
      </c>
      <c r="H4537" t="s">
        <v>13</v>
      </c>
      <c r="I4537" t="s">
        <v>20</v>
      </c>
    </row>
    <row r="4538" spans="1:9" x14ac:dyDescent="0.35">
      <c r="A4538" t="s">
        <v>4574</v>
      </c>
      <c r="B4538" s="1">
        <v>44696</v>
      </c>
      <c r="C4538" t="s">
        <v>10</v>
      </c>
      <c r="D4538" t="s">
        <v>57</v>
      </c>
      <c r="E4538" t="s">
        <v>27</v>
      </c>
      <c r="F4538">
        <v>1535.29</v>
      </c>
      <c r="G4538">
        <v>340.45</v>
      </c>
      <c r="H4538" t="s">
        <v>28</v>
      </c>
      <c r="I4538" t="s">
        <v>14</v>
      </c>
    </row>
    <row r="4539" spans="1:9" x14ac:dyDescent="0.35">
      <c r="A4539" t="s">
        <v>4575</v>
      </c>
      <c r="B4539" s="1">
        <v>45334</v>
      </c>
      <c r="C4539" t="s">
        <v>10</v>
      </c>
      <c r="D4539" t="s">
        <v>62</v>
      </c>
      <c r="E4539" t="s">
        <v>27</v>
      </c>
      <c r="F4539">
        <v>1466.53</v>
      </c>
      <c r="G4539">
        <v>402.61</v>
      </c>
      <c r="H4539" t="s">
        <v>19</v>
      </c>
      <c r="I4539" t="s">
        <v>29</v>
      </c>
    </row>
    <row r="4540" spans="1:9" x14ac:dyDescent="0.35">
      <c r="A4540" t="s">
        <v>4576</v>
      </c>
      <c r="B4540" s="1">
        <v>44845</v>
      </c>
      <c r="C4540" t="s">
        <v>10</v>
      </c>
      <c r="D4540" t="s">
        <v>11</v>
      </c>
      <c r="E4540" t="s">
        <v>12</v>
      </c>
      <c r="F4540">
        <v>1838.56</v>
      </c>
      <c r="G4540">
        <v>144.57</v>
      </c>
      <c r="H4540" t="s">
        <v>28</v>
      </c>
      <c r="I4540" t="s">
        <v>20</v>
      </c>
    </row>
    <row r="4541" spans="1:9" x14ac:dyDescent="0.35">
      <c r="A4541" t="s">
        <v>4577</v>
      </c>
      <c r="B4541" s="1">
        <v>45482</v>
      </c>
      <c r="C4541" t="s">
        <v>22</v>
      </c>
      <c r="D4541" t="s">
        <v>73</v>
      </c>
      <c r="E4541" t="s">
        <v>27</v>
      </c>
      <c r="F4541">
        <v>394.33</v>
      </c>
      <c r="G4541">
        <v>21.62</v>
      </c>
      <c r="H4541" t="s">
        <v>19</v>
      </c>
      <c r="I4541" t="s">
        <v>14</v>
      </c>
    </row>
    <row r="4542" spans="1:9" x14ac:dyDescent="0.35">
      <c r="A4542" t="s">
        <v>4578</v>
      </c>
      <c r="B4542" s="1">
        <v>45522</v>
      </c>
      <c r="C4542" t="s">
        <v>25</v>
      </c>
      <c r="D4542" t="s">
        <v>17</v>
      </c>
      <c r="E4542" t="s">
        <v>18</v>
      </c>
      <c r="F4542">
        <v>1543.35</v>
      </c>
      <c r="G4542">
        <v>275.48</v>
      </c>
      <c r="H4542" t="s">
        <v>28</v>
      </c>
      <c r="I4542" t="s">
        <v>29</v>
      </c>
    </row>
    <row r="4543" spans="1:9" x14ac:dyDescent="0.35">
      <c r="A4543" t="s">
        <v>4579</v>
      </c>
      <c r="B4543" s="1">
        <v>44676</v>
      </c>
      <c r="C4543" t="s">
        <v>16</v>
      </c>
      <c r="D4543" t="s">
        <v>17</v>
      </c>
      <c r="E4543" t="s">
        <v>18</v>
      </c>
      <c r="F4543">
        <v>67.59</v>
      </c>
      <c r="G4543">
        <v>16.47</v>
      </c>
      <c r="H4543" t="s">
        <v>28</v>
      </c>
      <c r="I4543" t="s">
        <v>29</v>
      </c>
    </row>
    <row r="4544" spans="1:9" x14ac:dyDescent="0.35">
      <c r="A4544" t="s">
        <v>4580</v>
      </c>
      <c r="B4544" s="1">
        <v>45398</v>
      </c>
      <c r="C4544" t="s">
        <v>10</v>
      </c>
      <c r="D4544" t="s">
        <v>95</v>
      </c>
      <c r="E4544" t="s">
        <v>18</v>
      </c>
      <c r="F4544">
        <v>973.4</v>
      </c>
      <c r="G4544">
        <v>253.46</v>
      </c>
      <c r="H4544" t="s">
        <v>19</v>
      </c>
      <c r="I4544" t="s">
        <v>14</v>
      </c>
    </row>
    <row r="4545" spans="1:9" x14ac:dyDescent="0.35">
      <c r="A4545" t="s">
        <v>4581</v>
      </c>
      <c r="B4545" s="1">
        <v>44988</v>
      </c>
      <c r="C4545" t="s">
        <v>25</v>
      </c>
      <c r="D4545" t="s">
        <v>38</v>
      </c>
      <c r="E4545" t="s">
        <v>12</v>
      </c>
      <c r="F4545">
        <v>373.33</v>
      </c>
      <c r="G4545">
        <v>99.51</v>
      </c>
      <c r="H4545" t="s">
        <v>28</v>
      </c>
      <c r="I4545" t="s">
        <v>20</v>
      </c>
    </row>
    <row r="4546" spans="1:9" x14ac:dyDescent="0.35">
      <c r="A4546" t="s">
        <v>4582</v>
      </c>
      <c r="B4546" s="1">
        <v>44740</v>
      </c>
      <c r="C4546" t="s">
        <v>25</v>
      </c>
      <c r="D4546" t="s">
        <v>73</v>
      </c>
      <c r="E4546" t="s">
        <v>27</v>
      </c>
      <c r="F4546">
        <v>202.05</v>
      </c>
      <c r="G4546">
        <v>51.82</v>
      </c>
      <c r="H4546" t="s">
        <v>19</v>
      </c>
      <c r="I4546" t="s">
        <v>29</v>
      </c>
    </row>
    <row r="4547" spans="1:9" x14ac:dyDescent="0.35">
      <c r="A4547" t="s">
        <v>4583</v>
      </c>
      <c r="B4547" s="1">
        <v>44802</v>
      </c>
      <c r="C4547" t="s">
        <v>22</v>
      </c>
      <c r="D4547" t="s">
        <v>41</v>
      </c>
      <c r="E4547" t="s">
        <v>12</v>
      </c>
      <c r="F4547">
        <v>1459.24</v>
      </c>
      <c r="G4547">
        <v>433.87</v>
      </c>
      <c r="H4547" t="s">
        <v>13</v>
      </c>
      <c r="I4547" t="s">
        <v>20</v>
      </c>
    </row>
    <row r="4548" spans="1:9" x14ac:dyDescent="0.35">
      <c r="A4548" t="s">
        <v>4584</v>
      </c>
      <c r="B4548" s="1">
        <v>45378</v>
      </c>
      <c r="C4548" t="s">
        <v>16</v>
      </c>
      <c r="D4548" t="s">
        <v>23</v>
      </c>
      <c r="E4548" t="s">
        <v>18</v>
      </c>
      <c r="F4548">
        <v>673.25</v>
      </c>
      <c r="G4548">
        <v>86.39</v>
      </c>
      <c r="H4548" t="s">
        <v>13</v>
      </c>
      <c r="I4548" t="s">
        <v>14</v>
      </c>
    </row>
    <row r="4549" spans="1:9" x14ac:dyDescent="0.35">
      <c r="A4549" t="s">
        <v>4585</v>
      </c>
      <c r="B4549" s="1">
        <v>44734</v>
      </c>
      <c r="C4549" t="s">
        <v>22</v>
      </c>
      <c r="D4549" t="s">
        <v>50</v>
      </c>
      <c r="E4549" t="s">
        <v>12</v>
      </c>
      <c r="F4549">
        <v>1697.9</v>
      </c>
      <c r="G4549">
        <v>235.4</v>
      </c>
      <c r="H4549" t="s">
        <v>13</v>
      </c>
      <c r="I4549" t="s">
        <v>34</v>
      </c>
    </row>
    <row r="4550" spans="1:9" x14ac:dyDescent="0.35">
      <c r="A4550" t="s">
        <v>4586</v>
      </c>
      <c r="B4550" s="1">
        <v>44776</v>
      </c>
      <c r="C4550" t="s">
        <v>25</v>
      </c>
      <c r="D4550" t="s">
        <v>31</v>
      </c>
      <c r="E4550" t="s">
        <v>12</v>
      </c>
      <c r="F4550">
        <v>160.1</v>
      </c>
      <c r="G4550">
        <v>19.93</v>
      </c>
      <c r="H4550" t="s">
        <v>28</v>
      </c>
      <c r="I4550" t="s">
        <v>34</v>
      </c>
    </row>
    <row r="4551" spans="1:9" x14ac:dyDescent="0.35">
      <c r="A4551" t="s">
        <v>4587</v>
      </c>
      <c r="B4551" s="1">
        <v>45607</v>
      </c>
      <c r="C4551" t="s">
        <v>25</v>
      </c>
      <c r="D4551" t="s">
        <v>38</v>
      </c>
      <c r="E4551" t="s">
        <v>12</v>
      </c>
      <c r="F4551">
        <v>1082.72</v>
      </c>
      <c r="G4551">
        <v>190.6</v>
      </c>
      <c r="H4551" t="s">
        <v>13</v>
      </c>
      <c r="I4551" t="s">
        <v>29</v>
      </c>
    </row>
    <row r="4552" spans="1:9" x14ac:dyDescent="0.35">
      <c r="A4552" t="s">
        <v>4588</v>
      </c>
      <c r="B4552" s="1">
        <v>45557</v>
      </c>
      <c r="C4552" t="s">
        <v>16</v>
      </c>
      <c r="D4552" t="s">
        <v>73</v>
      </c>
      <c r="E4552" t="s">
        <v>27</v>
      </c>
      <c r="F4552">
        <v>1613.23</v>
      </c>
      <c r="G4552">
        <v>81.33</v>
      </c>
      <c r="H4552" t="s">
        <v>19</v>
      </c>
      <c r="I4552" t="s">
        <v>29</v>
      </c>
    </row>
    <row r="4553" spans="1:9" x14ac:dyDescent="0.35">
      <c r="A4553" t="s">
        <v>4589</v>
      </c>
      <c r="B4553" s="1">
        <v>45564</v>
      </c>
      <c r="C4553" t="s">
        <v>22</v>
      </c>
      <c r="D4553" t="s">
        <v>95</v>
      </c>
      <c r="E4553" t="s">
        <v>18</v>
      </c>
      <c r="F4553">
        <v>1850.08</v>
      </c>
      <c r="G4553">
        <v>503.87</v>
      </c>
      <c r="H4553" t="s">
        <v>28</v>
      </c>
      <c r="I4553" t="s">
        <v>29</v>
      </c>
    </row>
    <row r="4554" spans="1:9" x14ac:dyDescent="0.35">
      <c r="A4554" t="s">
        <v>4590</v>
      </c>
      <c r="B4554" s="1">
        <v>45431</v>
      </c>
      <c r="C4554" t="s">
        <v>16</v>
      </c>
      <c r="D4554" t="s">
        <v>26</v>
      </c>
      <c r="E4554" t="s">
        <v>27</v>
      </c>
      <c r="F4554">
        <v>1328.2</v>
      </c>
      <c r="G4554">
        <v>86.83</v>
      </c>
      <c r="H4554" t="s">
        <v>13</v>
      </c>
      <c r="I4554" t="s">
        <v>29</v>
      </c>
    </row>
    <row r="4555" spans="1:9" x14ac:dyDescent="0.35">
      <c r="A4555" t="s">
        <v>4591</v>
      </c>
      <c r="B4555" s="1">
        <v>44842</v>
      </c>
      <c r="C4555" t="s">
        <v>22</v>
      </c>
      <c r="D4555" t="s">
        <v>41</v>
      </c>
      <c r="E4555" t="s">
        <v>12</v>
      </c>
      <c r="F4555">
        <v>264.69</v>
      </c>
      <c r="G4555">
        <v>58.93</v>
      </c>
      <c r="H4555" t="s">
        <v>19</v>
      </c>
      <c r="I4555" t="s">
        <v>14</v>
      </c>
    </row>
    <row r="4556" spans="1:9" x14ac:dyDescent="0.35">
      <c r="A4556" t="s">
        <v>4592</v>
      </c>
      <c r="B4556" s="1">
        <v>44895</v>
      </c>
      <c r="C4556" t="s">
        <v>10</v>
      </c>
      <c r="D4556" t="s">
        <v>31</v>
      </c>
      <c r="E4556" t="s">
        <v>12</v>
      </c>
      <c r="F4556">
        <v>1652.33</v>
      </c>
      <c r="G4556">
        <v>297.81</v>
      </c>
      <c r="H4556" t="s">
        <v>28</v>
      </c>
      <c r="I4556" t="s">
        <v>14</v>
      </c>
    </row>
    <row r="4557" spans="1:9" x14ac:dyDescent="0.35">
      <c r="A4557" t="s">
        <v>4593</v>
      </c>
      <c r="B4557" s="1">
        <v>44750</v>
      </c>
      <c r="C4557" t="s">
        <v>22</v>
      </c>
      <c r="D4557" t="s">
        <v>97</v>
      </c>
      <c r="E4557" t="s">
        <v>27</v>
      </c>
      <c r="F4557">
        <v>1698.1</v>
      </c>
      <c r="G4557">
        <v>271.67</v>
      </c>
      <c r="H4557" t="s">
        <v>13</v>
      </c>
      <c r="I4557" t="s">
        <v>29</v>
      </c>
    </row>
    <row r="4558" spans="1:9" x14ac:dyDescent="0.35">
      <c r="A4558" t="s">
        <v>4594</v>
      </c>
      <c r="B4558" s="1">
        <v>45648</v>
      </c>
      <c r="C4558" t="s">
        <v>25</v>
      </c>
      <c r="D4558" t="s">
        <v>41</v>
      </c>
      <c r="E4558" t="s">
        <v>12</v>
      </c>
      <c r="F4558">
        <v>1938.6</v>
      </c>
      <c r="G4558">
        <v>238.56</v>
      </c>
      <c r="H4558" t="s">
        <v>19</v>
      </c>
      <c r="I4558" t="s">
        <v>20</v>
      </c>
    </row>
    <row r="4559" spans="1:9" x14ac:dyDescent="0.35">
      <c r="A4559" t="s">
        <v>4595</v>
      </c>
      <c r="B4559" s="1">
        <v>44573</v>
      </c>
      <c r="C4559" t="s">
        <v>22</v>
      </c>
      <c r="D4559" t="s">
        <v>95</v>
      </c>
      <c r="E4559" t="s">
        <v>18</v>
      </c>
      <c r="F4559">
        <v>1606.49</v>
      </c>
      <c r="G4559">
        <v>116.78</v>
      </c>
      <c r="H4559" t="s">
        <v>28</v>
      </c>
      <c r="I4559" t="s">
        <v>14</v>
      </c>
    </row>
    <row r="4560" spans="1:9" x14ac:dyDescent="0.35">
      <c r="A4560" t="s">
        <v>4596</v>
      </c>
      <c r="B4560" s="1">
        <v>44760</v>
      </c>
      <c r="C4560" t="s">
        <v>10</v>
      </c>
      <c r="D4560" t="s">
        <v>73</v>
      </c>
      <c r="E4560" t="s">
        <v>27</v>
      </c>
      <c r="F4560">
        <v>757.2</v>
      </c>
      <c r="G4560">
        <v>187.12</v>
      </c>
      <c r="H4560" t="s">
        <v>13</v>
      </c>
      <c r="I4560" t="s">
        <v>14</v>
      </c>
    </row>
    <row r="4561" spans="1:9" x14ac:dyDescent="0.35">
      <c r="A4561" t="s">
        <v>4597</v>
      </c>
      <c r="B4561" s="1">
        <v>44792</v>
      </c>
      <c r="C4561" t="s">
        <v>16</v>
      </c>
      <c r="D4561" t="s">
        <v>23</v>
      </c>
      <c r="E4561" t="s">
        <v>18</v>
      </c>
      <c r="F4561">
        <v>1395.99</v>
      </c>
      <c r="G4561">
        <v>325.75</v>
      </c>
      <c r="H4561" t="s">
        <v>28</v>
      </c>
      <c r="I4561" t="s">
        <v>20</v>
      </c>
    </row>
    <row r="4562" spans="1:9" x14ac:dyDescent="0.35">
      <c r="A4562" t="s">
        <v>4598</v>
      </c>
      <c r="B4562" s="1">
        <v>45030</v>
      </c>
      <c r="C4562" t="s">
        <v>10</v>
      </c>
      <c r="D4562" t="s">
        <v>38</v>
      </c>
      <c r="E4562" t="s">
        <v>12</v>
      </c>
      <c r="F4562">
        <v>1783.34</v>
      </c>
      <c r="G4562">
        <v>218.71</v>
      </c>
      <c r="H4562" t="s">
        <v>19</v>
      </c>
      <c r="I4562" t="s">
        <v>14</v>
      </c>
    </row>
    <row r="4563" spans="1:9" x14ac:dyDescent="0.35">
      <c r="A4563" t="s">
        <v>4599</v>
      </c>
      <c r="B4563" s="1">
        <v>45154</v>
      </c>
      <c r="C4563" t="s">
        <v>10</v>
      </c>
      <c r="D4563" t="s">
        <v>38</v>
      </c>
      <c r="E4563" t="s">
        <v>12</v>
      </c>
      <c r="F4563">
        <v>533.84</v>
      </c>
      <c r="G4563">
        <v>52.53</v>
      </c>
      <c r="H4563" t="s">
        <v>28</v>
      </c>
      <c r="I4563" t="s">
        <v>20</v>
      </c>
    </row>
    <row r="4564" spans="1:9" x14ac:dyDescent="0.35">
      <c r="A4564" t="s">
        <v>4600</v>
      </c>
      <c r="B4564" s="1">
        <v>45392</v>
      </c>
      <c r="C4564" t="s">
        <v>25</v>
      </c>
      <c r="D4564" t="s">
        <v>17</v>
      </c>
      <c r="E4564" t="s">
        <v>18</v>
      </c>
      <c r="F4564">
        <v>290.48</v>
      </c>
      <c r="G4564">
        <v>40.79</v>
      </c>
      <c r="H4564" t="s">
        <v>28</v>
      </c>
      <c r="I4564" t="s">
        <v>14</v>
      </c>
    </row>
    <row r="4565" spans="1:9" x14ac:dyDescent="0.35">
      <c r="A4565" t="s">
        <v>4601</v>
      </c>
      <c r="B4565" s="1">
        <v>45377</v>
      </c>
      <c r="C4565" t="s">
        <v>22</v>
      </c>
      <c r="D4565" t="s">
        <v>31</v>
      </c>
      <c r="E4565" t="s">
        <v>12</v>
      </c>
      <c r="F4565">
        <v>1396.55</v>
      </c>
      <c r="G4565">
        <v>203.48</v>
      </c>
      <c r="H4565" t="s">
        <v>19</v>
      </c>
      <c r="I4565" t="s">
        <v>20</v>
      </c>
    </row>
    <row r="4566" spans="1:9" x14ac:dyDescent="0.35">
      <c r="A4566" t="s">
        <v>4602</v>
      </c>
      <c r="B4566" s="1">
        <v>44788</v>
      </c>
      <c r="C4566" t="s">
        <v>16</v>
      </c>
      <c r="D4566" t="s">
        <v>57</v>
      </c>
      <c r="E4566" t="s">
        <v>27</v>
      </c>
      <c r="F4566">
        <v>330.2</v>
      </c>
      <c r="G4566">
        <v>65.099999999999994</v>
      </c>
      <c r="H4566" t="s">
        <v>19</v>
      </c>
      <c r="I4566" t="s">
        <v>14</v>
      </c>
    </row>
    <row r="4567" spans="1:9" x14ac:dyDescent="0.35">
      <c r="A4567" t="s">
        <v>4603</v>
      </c>
      <c r="B4567" s="1">
        <v>45442</v>
      </c>
      <c r="C4567" t="s">
        <v>16</v>
      </c>
      <c r="D4567" t="s">
        <v>33</v>
      </c>
      <c r="E4567" t="s">
        <v>18</v>
      </c>
      <c r="F4567">
        <v>1505.52</v>
      </c>
      <c r="G4567">
        <v>311.63</v>
      </c>
      <c r="H4567" t="s">
        <v>19</v>
      </c>
      <c r="I4567" t="s">
        <v>34</v>
      </c>
    </row>
    <row r="4568" spans="1:9" x14ac:dyDescent="0.35">
      <c r="A4568" t="s">
        <v>4604</v>
      </c>
      <c r="B4568" s="1">
        <v>45607</v>
      </c>
      <c r="C4568" t="s">
        <v>10</v>
      </c>
      <c r="D4568" t="s">
        <v>41</v>
      </c>
      <c r="E4568" t="s">
        <v>12</v>
      </c>
      <c r="F4568">
        <v>1665.19</v>
      </c>
      <c r="G4568">
        <v>485.07</v>
      </c>
      <c r="H4568" t="s">
        <v>13</v>
      </c>
      <c r="I4568" t="s">
        <v>14</v>
      </c>
    </row>
    <row r="4569" spans="1:9" x14ac:dyDescent="0.35">
      <c r="A4569" t="s">
        <v>4605</v>
      </c>
      <c r="B4569" s="1">
        <v>44807</v>
      </c>
      <c r="C4569" t="s">
        <v>10</v>
      </c>
      <c r="D4569" t="s">
        <v>33</v>
      </c>
      <c r="E4569" t="s">
        <v>18</v>
      </c>
      <c r="F4569">
        <v>1335.67</v>
      </c>
      <c r="G4569">
        <v>75.680000000000007</v>
      </c>
      <c r="H4569" t="s">
        <v>28</v>
      </c>
      <c r="I4569" t="s">
        <v>20</v>
      </c>
    </row>
    <row r="4570" spans="1:9" x14ac:dyDescent="0.35">
      <c r="A4570" t="s">
        <v>4606</v>
      </c>
      <c r="B4570" s="1">
        <v>45201</v>
      </c>
      <c r="C4570" t="s">
        <v>16</v>
      </c>
      <c r="D4570" t="s">
        <v>17</v>
      </c>
      <c r="E4570" t="s">
        <v>18</v>
      </c>
      <c r="F4570">
        <v>931.06</v>
      </c>
      <c r="G4570">
        <v>112.61</v>
      </c>
      <c r="H4570" t="s">
        <v>13</v>
      </c>
      <c r="I4570" t="s">
        <v>20</v>
      </c>
    </row>
    <row r="4571" spans="1:9" x14ac:dyDescent="0.35">
      <c r="A4571" t="s">
        <v>4607</v>
      </c>
      <c r="B4571" s="1">
        <v>44765</v>
      </c>
      <c r="C4571" t="s">
        <v>16</v>
      </c>
      <c r="D4571" t="s">
        <v>17</v>
      </c>
      <c r="E4571" t="s">
        <v>18</v>
      </c>
      <c r="F4571">
        <v>1871.91</v>
      </c>
      <c r="G4571">
        <v>147.63</v>
      </c>
      <c r="H4571" t="s">
        <v>13</v>
      </c>
      <c r="I4571" t="s">
        <v>34</v>
      </c>
    </row>
    <row r="4572" spans="1:9" x14ac:dyDescent="0.35">
      <c r="A4572" t="s">
        <v>4608</v>
      </c>
      <c r="B4572" s="1">
        <v>45431</v>
      </c>
      <c r="C4572" t="s">
        <v>10</v>
      </c>
      <c r="D4572" t="s">
        <v>26</v>
      </c>
      <c r="E4572" t="s">
        <v>27</v>
      </c>
      <c r="F4572">
        <v>1607.85</v>
      </c>
      <c r="G4572">
        <v>368.37</v>
      </c>
      <c r="H4572" t="s">
        <v>13</v>
      </c>
      <c r="I4572" t="s">
        <v>29</v>
      </c>
    </row>
    <row r="4573" spans="1:9" x14ac:dyDescent="0.35">
      <c r="A4573" t="s">
        <v>4609</v>
      </c>
      <c r="B4573" s="1">
        <v>45408</v>
      </c>
      <c r="C4573" t="s">
        <v>10</v>
      </c>
      <c r="D4573" t="s">
        <v>73</v>
      </c>
      <c r="E4573" t="s">
        <v>27</v>
      </c>
      <c r="F4573">
        <v>1173.51</v>
      </c>
      <c r="G4573">
        <v>129.33000000000001</v>
      </c>
      <c r="H4573" t="s">
        <v>19</v>
      </c>
      <c r="I4573" t="s">
        <v>20</v>
      </c>
    </row>
    <row r="4574" spans="1:9" x14ac:dyDescent="0.35">
      <c r="A4574" t="s">
        <v>4610</v>
      </c>
      <c r="B4574" s="1">
        <v>44605</v>
      </c>
      <c r="C4574" t="s">
        <v>25</v>
      </c>
      <c r="D4574" t="s">
        <v>23</v>
      </c>
      <c r="E4574" t="s">
        <v>18</v>
      </c>
      <c r="F4574">
        <v>637.98</v>
      </c>
      <c r="G4574">
        <v>49.79</v>
      </c>
      <c r="H4574" t="s">
        <v>28</v>
      </c>
      <c r="I4574" t="s">
        <v>34</v>
      </c>
    </row>
    <row r="4575" spans="1:9" x14ac:dyDescent="0.35">
      <c r="A4575" t="s">
        <v>4611</v>
      </c>
      <c r="B4575" s="1">
        <v>44794</v>
      </c>
      <c r="C4575" t="s">
        <v>25</v>
      </c>
      <c r="D4575" t="s">
        <v>97</v>
      </c>
      <c r="E4575" t="s">
        <v>27</v>
      </c>
      <c r="F4575">
        <v>1950.43</v>
      </c>
      <c r="G4575">
        <v>292.66000000000003</v>
      </c>
      <c r="H4575" t="s">
        <v>28</v>
      </c>
      <c r="I4575" t="s">
        <v>34</v>
      </c>
    </row>
    <row r="4576" spans="1:9" x14ac:dyDescent="0.35">
      <c r="A4576" t="s">
        <v>4612</v>
      </c>
      <c r="B4576" s="1">
        <v>45283</v>
      </c>
      <c r="C4576" t="s">
        <v>16</v>
      </c>
      <c r="D4576" t="s">
        <v>95</v>
      </c>
      <c r="E4576" t="s">
        <v>18</v>
      </c>
      <c r="F4576">
        <v>70.98</v>
      </c>
      <c r="G4576">
        <v>13.02</v>
      </c>
      <c r="H4576" t="s">
        <v>13</v>
      </c>
      <c r="I4576" t="s">
        <v>34</v>
      </c>
    </row>
    <row r="4577" spans="1:9" x14ac:dyDescent="0.35">
      <c r="A4577" t="s">
        <v>4613</v>
      </c>
      <c r="B4577" s="1">
        <v>45138</v>
      </c>
      <c r="C4577" t="s">
        <v>25</v>
      </c>
      <c r="D4577" t="s">
        <v>26</v>
      </c>
      <c r="E4577" t="s">
        <v>27</v>
      </c>
      <c r="F4577">
        <v>1813.93</v>
      </c>
      <c r="G4577">
        <v>298.8</v>
      </c>
      <c r="H4577" t="s">
        <v>13</v>
      </c>
      <c r="I4577" t="s">
        <v>34</v>
      </c>
    </row>
    <row r="4578" spans="1:9" x14ac:dyDescent="0.35">
      <c r="A4578" t="s">
        <v>4614</v>
      </c>
      <c r="B4578" s="1">
        <v>44717</v>
      </c>
      <c r="C4578" t="s">
        <v>25</v>
      </c>
      <c r="D4578" t="s">
        <v>73</v>
      </c>
      <c r="E4578" t="s">
        <v>27</v>
      </c>
      <c r="F4578">
        <v>400.29</v>
      </c>
      <c r="G4578">
        <v>49.43</v>
      </c>
      <c r="H4578" t="s">
        <v>13</v>
      </c>
      <c r="I4578" t="s">
        <v>34</v>
      </c>
    </row>
    <row r="4579" spans="1:9" x14ac:dyDescent="0.35">
      <c r="A4579" t="s">
        <v>4615</v>
      </c>
      <c r="B4579" s="1">
        <v>45277</v>
      </c>
      <c r="C4579" t="s">
        <v>25</v>
      </c>
      <c r="D4579" t="s">
        <v>57</v>
      </c>
      <c r="E4579" t="s">
        <v>27</v>
      </c>
      <c r="F4579">
        <v>111.27</v>
      </c>
      <c r="G4579">
        <v>16.07</v>
      </c>
      <c r="H4579" t="s">
        <v>13</v>
      </c>
      <c r="I4579" t="s">
        <v>29</v>
      </c>
    </row>
    <row r="4580" spans="1:9" x14ac:dyDescent="0.35">
      <c r="A4580" t="s">
        <v>4616</v>
      </c>
      <c r="B4580" s="1">
        <v>44623</v>
      </c>
      <c r="C4580" t="s">
        <v>10</v>
      </c>
      <c r="D4580" t="s">
        <v>11</v>
      </c>
      <c r="E4580" t="s">
        <v>12</v>
      </c>
      <c r="F4580">
        <v>1815.37</v>
      </c>
      <c r="G4580">
        <v>319.20999999999998</v>
      </c>
      <c r="H4580" t="s">
        <v>13</v>
      </c>
      <c r="I4580" t="s">
        <v>34</v>
      </c>
    </row>
    <row r="4581" spans="1:9" x14ac:dyDescent="0.35">
      <c r="A4581" t="s">
        <v>4617</v>
      </c>
      <c r="B4581" s="1">
        <v>45551</v>
      </c>
      <c r="C4581" t="s">
        <v>10</v>
      </c>
      <c r="D4581" t="s">
        <v>50</v>
      </c>
      <c r="E4581" t="s">
        <v>12</v>
      </c>
      <c r="F4581">
        <v>297.8</v>
      </c>
      <c r="G4581">
        <v>19.260000000000002</v>
      </c>
      <c r="H4581" t="s">
        <v>28</v>
      </c>
      <c r="I4581" t="s">
        <v>20</v>
      </c>
    </row>
    <row r="4582" spans="1:9" x14ac:dyDescent="0.35">
      <c r="A4582" t="s">
        <v>4618</v>
      </c>
      <c r="B4582" s="1">
        <v>45575</v>
      </c>
      <c r="C4582" t="s">
        <v>25</v>
      </c>
      <c r="D4582" t="s">
        <v>17</v>
      </c>
      <c r="E4582" t="s">
        <v>18</v>
      </c>
      <c r="F4582">
        <v>1746.32</v>
      </c>
      <c r="G4582">
        <v>179.5</v>
      </c>
      <c r="H4582" t="s">
        <v>13</v>
      </c>
      <c r="I4582" t="s">
        <v>34</v>
      </c>
    </row>
    <row r="4583" spans="1:9" x14ac:dyDescent="0.35">
      <c r="A4583" t="s">
        <v>4619</v>
      </c>
      <c r="B4583" s="1">
        <v>45169</v>
      </c>
      <c r="C4583" t="s">
        <v>16</v>
      </c>
      <c r="D4583" t="s">
        <v>38</v>
      </c>
      <c r="E4583" t="s">
        <v>12</v>
      </c>
      <c r="F4583">
        <v>696.6</v>
      </c>
      <c r="G4583">
        <v>157.9</v>
      </c>
      <c r="H4583" t="s">
        <v>13</v>
      </c>
      <c r="I4583" t="s">
        <v>34</v>
      </c>
    </row>
    <row r="4584" spans="1:9" x14ac:dyDescent="0.35">
      <c r="A4584" t="s">
        <v>4620</v>
      </c>
      <c r="B4584" s="1">
        <v>45230</v>
      </c>
      <c r="C4584" t="s">
        <v>22</v>
      </c>
      <c r="D4584" t="s">
        <v>97</v>
      </c>
      <c r="E4584" t="s">
        <v>27</v>
      </c>
      <c r="F4584">
        <v>1964.41</v>
      </c>
      <c r="G4584">
        <v>201.96</v>
      </c>
      <c r="H4584" t="s">
        <v>28</v>
      </c>
      <c r="I4584" t="s">
        <v>14</v>
      </c>
    </row>
    <row r="4585" spans="1:9" x14ac:dyDescent="0.35">
      <c r="A4585" t="s">
        <v>4621</v>
      </c>
      <c r="B4585" s="1">
        <v>45203</v>
      </c>
      <c r="C4585" t="s">
        <v>25</v>
      </c>
      <c r="D4585" t="s">
        <v>17</v>
      </c>
      <c r="E4585" t="s">
        <v>18</v>
      </c>
      <c r="F4585">
        <v>1817.96</v>
      </c>
      <c r="G4585">
        <v>218.02</v>
      </c>
      <c r="H4585" t="s">
        <v>28</v>
      </c>
      <c r="I4585" t="s">
        <v>20</v>
      </c>
    </row>
    <row r="4586" spans="1:9" x14ac:dyDescent="0.35">
      <c r="A4586" t="s">
        <v>4622</v>
      </c>
      <c r="B4586" s="1">
        <v>44617</v>
      </c>
      <c r="C4586" t="s">
        <v>22</v>
      </c>
      <c r="D4586" t="s">
        <v>23</v>
      </c>
      <c r="E4586" t="s">
        <v>18</v>
      </c>
      <c r="F4586">
        <v>729.41</v>
      </c>
      <c r="G4586">
        <v>50.16</v>
      </c>
      <c r="H4586" t="s">
        <v>28</v>
      </c>
      <c r="I4586" t="s">
        <v>29</v>
      </c>
    </row>
    <row r="4587" spans="1:9" x14ac:dyDescent="0.35">
      <c r="A4587" t="s">
        <v>4623</v>
      </c>
      <c r="B4587" s="1">
        <v>45395</v>
      </c>
      <c r="C4587" t="s">
        <v>16</v>
      </c>
      <c r="D4587" t="s">
        <v>50</v>
      </c>
      <c r="E4587" t="s">
        <v>12</v>
      </c>
      <c r="F4587">
        <v>1279.46</v>
      </c>
      <c r="G4587">
        <v>147.72</v>
      </c>
      <c r="H4587" t="s">
        <v>13</v>
      </c>
      <c r="I4587" t="s">
        <v>34</v>
      </c>
    </row>
    <row r="4588" spans="1:9" x14ac:dyDescent="0.35">
      <c r="A4588" t="s">
        <v>4624</v>
      </c>
      <c r="B4588" s="1">
        <v>45409</v>
      </c>
      <c r="C4588" t="s">
        <v>22</v>
      </c>
      <c r="D4588" t="s">
        <v>57</v>
      </c>
      <c r="E4588" t="s">
        <v>27</v>
      </c>
      <c r="F4588">
        <v>1998.4</v>
      </c>
      <c r="G4588">
        <v>276.86</v>
      </c>
      <c r="H4588" t="s">
        <v>13</v>
      </c>
      <c r="I4588" t="s">
        <v>34</v>
      </c>
    </row>
    <row r="4589" spans="1:9" x14ac:dyDescent="0.35">
      <c r="A4589" t="s">
        <v>4625</v>
      </c>
      <c r="B4589" s="1">
        <v>45189</v>
      </c>
      <c r="C4589" t="s">
        <v>25</v>
      </c>
      <c r="D4589" t="s">
        <v>46</v>
      </c>
      <c r="E4589" t="s">
        <v>18</v>
      </c>
      <c r="F4589">
        <v>1769.23</v>
      </c>
      <c r="G4589">
        <v>107.15</v>
      </c>
      <c r="H4589" t="s">
        <v>28</v>
      </c>
      <c r="I4589" t="s">
        <v>34</v>
      </c>
    </row>
    <row r="4590" spans="1:9" x14ac:dyDescent="0.35">
      <c r="A4590" t="s">
        <v>4626</v>
      </c>
      <c r="B4590" s="1">
        <v>45087</v>
      </c>
      <c r="C4590" t="s">
        <v>10</v>
      </c>
      <c r="D4590" t="s">
        <v>97</v>
      </c>
      <c r="E4590" t="s">
        <v>27</v>
      </c>
      <c r="F4590">
        <v>1818.02</v>
      </c>
      <c r="G4590">
        <v>416.54</v>
      </c>
      <c r="H4590" t="s">
        <v>13</v>
      </c>
      <c r="I4590" t="s">
        <v>34</v>
      </c>
    </row>
    <row r="4591" spans="1:9" x14ac:dyDescent="0.35">
      <c r="A4591" t="s">
        <v>4627</v>
      </c>
      <c r="B4591" s="1">
        <v>45290</v>
      </c>
      <c r="C4591" t="s">
        <v>25</v>
      </c>
      <c r="D4591" t="s">
        <v>17</v>
      </c>
      <c r="E4591" t="s">
        <v>18</v>
      </c>
      <c r="F4591">
        <v>428.06</v>
      </c>
      <c r="G4591">
        <v>90.27</v>
      </c>
      <c r="H4591" t="s">
        <v>13</v>
      </c>
      <c r="I4591" t="s">
        <v>20</v>
      </c>
    </row>
    <row r="4592" spans="1:9" x14ac:dyDescent="0.35">
      <c r="A4592" t="s">
        <v>4628</v>
      </c>
      <c r="B4592" s="1">
        <v>44656</v>
      </c>
      <c r="C4592" t="s">
        <v>10</v>
      </c>
      <c r="D4592" t="s">
        <v>31</v>
      </c>
      <c r="E4592" t="s">
        <v>12</v>
      </c>
      <c r="F4592">
        <v>1044.3499999999999</v>
      </c>
      <c r="G4592">
        <v>209.55</v>
      </c>
      <c r="H4592" t="s">
        <v>28</v>
      </c>
      <c r="I4592" t="s">
        <v>14</v>
      </c>
    </row>
    <row r="4593" spans="1:9" x14ac:dyDescent="0.35">
      <c r="A4593" t="s">
        <v>4629</v>
      </c>
      <c r="B4593" s="1">
        <v>44886</v>
      </c>
      <c r="C4593" t="s">
        <v>16</v>
      </c>
      <c r="D4593" t="s">
        <v>97</v>
      </c>
      <c r="E4593" t="s">
        <v>27</v>
      </c>
      <c r="F4593">
        <v>813.82</v>
      </c>
      <c r="G4593">
        <v>206.01</v>
      </c>
      <c r="H4593" t="s">
        <v>13</v>
      </c>
      <c r="I4593" t="s">
        <v>29</v>
      </c>
    </row>
    <row r="4594" spans="1:9" x14ac:dyDescent="0.35">
      <c r="A4594" t="s">
        <v>4630</v>
      </c>
      <c r="B4594" s="1">
        <v>45066</v>
      </c>
      <c r="C4594" t="s">
        <v>10</v>
      </c>
      <c r="D4594" t="s">
        <v>73</v>
      </c>
      <c r="E4594" t="s">
        <v>27</v>
      </c>
      <c r="F4594">
        <v>1733.24</v>
      </c>
      <c r="G4594">
        <v>98.09</v>
      </c>
      <c r="H4594" t="s">
        <v>13</v>
      </c>
      <c r="I4594" t="s">
        <v>29</v>
      </c>
    </row>
    <row r="4595" spans="1:9" x14ac:dyDescent="0.35">
      <c r="A4595" t="s">
        <v>4631</v>
      </c>
      <c r="B4595" s="1">
        <v>44935</v>
      </c>
      <c r="C4595" t="s">
        <v>10</v>
      </c>
      <c r="D4595" t="s">
        <v>38</v>
      </c>
      <c r="E4595" t="s">
        <v>12</v>
      </c>
      <c r="F4595">
        <v>1650.42</v>
      </c>
      <c r="G4595">
        <v>183.06</v>
      </c>
      <c r="H4595" t="s">
        <v>28</v>
      </c>
      <c r="I4595" t="s">
        <v>34</v>
      </c>
    </row>
    <row r="4596" spans="1:9" x14ac:dyDescent="0.35">
      <c r="A4596" t="s">
        <v>4632</v>
      </c>
      <c r="B4596" s="1">
        <v>44738</v>
      </c>
      <c r="C4596" t="s">
        <v>10</v>
      </c>
      <c r="D4596" t="s">
        <v>97</v>
      </c>
      <c r="E4596" t="s">
        <v>27</v>
      </c>
      <c r="F4596">
        <v>1783.11</v>
      </c>
      <c r="G4596">
        <v>289.31</v>
      </c>
      <c r="H4596" t="s">
        <v>13</v>
      </c>
      <c r="I4596" t="s">
        <v>20</v>
      </c>
    </row>
    <row r="4597" spans="1:9" x14ac:dyDescent="0.35">
      <c r="A4597" t="s">
        <v>4633</v>
      </c>
      <c r="B4597" s="1">
        <v>45634</v>
      </c>
      <c r="C4597" t="s">
        <v>25</v>
      </c>
      <c r="D4597" t="s">
        <v>11</v>
      </c>
      <c r="E4597" t="s">
        <v>12</v>
      </c>
      <c r="F4597">
        <v>476.36</v>
      </c>
      <c r="G4597">
        <v>82.51</v>
      </c>
      <c r="H4597" t="s">
        <v>19</v>
      </c>
      <c r="I4597" t="s">
        <v>20</v>
      </c>
    </row>
    <row r="4598" spans="1:9" x14ac:dyDescent="0.35">
      <c r="A4598" t="s">
        <v>4634</v>
      </c>
      <c r="B4598" s="1">
        <v>44610</v>
      </c>
      <c r="C4598" t="s">
        <v>25</v>
      </c>
      <c r="D4598" t="s">
        <v>26</v>
      </c>
      <c r="E4598" t="s">
        <v>27</v>
      </c>
      <c r="F4598">
        <v>677.27</v>
      </c>
      <c r="G4598">
        <v>48.77</v>
      </c>
      <c r="H4598" t="s">
        <v>19</v>
      </c>
      <c r="I4598" t="s">
        <v>14</v>
      </c>
    </row>
    <row r="4599" spans="1:9" x14ac:dyDescent="0.35">
      <c r="A4599" t="s">
        <v>4635</v>
      </c>
      <c r="B4599" s="1">
        <v>45307</v>
      </c>
      <c r="C4599" t="s">
        <v>10</v>
      </c>
      <c r="D4599" t="s">
        <v>57</v>
      </c>
      <c r="E4599" t="s">
        <v>27</v>
      </c>
      <c r="F4599">
        <v>1712.7</v>
      </c>
      <c r="G4599">
        <v>340.03</v>
      </c>
      <c r="H4599" t="s">
        <v>19</v>
      </c>
      <c r="I4599" t="s">
        <v>34</v>
      </c>
    </row>
    <row r="4600" spans="1:9" x14ac:dyDescent="0.35">
      <c r="A4600" t="s">
        <v>4636</v>
      </c>
      <c r="B4600" s="1">
        <v>45061</v>
      </c>
      <c r="C4600" t="s">
        <v>25</v>
      </c>
      <c r="D4600" t="s">
        <v>41</v>
      </c>
      <c r="E4600" t="s">
        <v>12</v>
      </c>
      <c r="F4600">
        <v>239.19</v>
      </c>
      <c r="G4600">
        <v>34.18</v>
      </c>
      <c r="H4600" t="s">
        <v>28</v>
      </c>
      <c r="I4600" t="s">
        <v>29</v>
      </c>
    </row>
    <row r="4601" spans="1:9" x14ac:dyDescent="0.35">
      <c r="A4601" t="s">
        <v>4637</v>
      </c>
      <c r="B4601" s="1">
        <v>44633</v>
      </c>
      <c r="C4601" t="s">
        <v>25</v>
      </c>
      <c r="D4601" t="s">
        <v>95</v>
      </c>
      <c r="E4601" t="s">
        <v>18</v>
      </c>
      <c r="F4601">
        <v>1456.32</v>
      </c>
      <c r="G4601">
        <v>280.98</v>
      </c>
      <c r="H4601" t="s">
        <v>19</v>
      </c>
      <c r="I4601" t="s">
        <v>20</v>
      </c>
    </row>
    <row r="4602" spans="1:9" x14ac:dyDescent="0.35">
      <c r="A4602" t="s">
        <v>4638</v>
      </c>
      <c r="B4602" s="1">
        <v>44686</v>
      </c>
      <c r="C4602" t="s">
        <v>10</v>
      </c>
      <c r="D4602" t="s">
        <v>46</v>
      </c>
      <c r="E4602" t="s">
        <v>18</v>
      </c>
      <c r="F4602">
        <v>586.17999999999995</v>
      </c>
      <c r="G4602">
        <v>162.08000000000001</v>
      </c>
      <c r="H4602" t="s">
        <v>19</v>
      </c>
      <c r="I4602" t="s">
        <v>34</v>
      </c>
    </row>
    <row r="4603" spans="1:9" x14ac:dyDescent="0.35">
      <c r="A4603" t="s">
        <v>4639</v>
      </c>
      <c r="B4603" s="1">
        <v>45298</v>
      </c>
      <c r="C4603" t="s">
        <v>16</v>
      </c>
      <c r="D4603" t="s">
        <v>62</v>
      </c>
      <c r="E4603" t="s">
        <v>27</v>
      </c>
      <c r="F4603">
        <v>449.49</v>
      </c>
      <c r="G4603">
        <v>127.34</v>
      </c>
      <c r="H4603" t="s">
        <v>13</v>
      </c>
      <c r="I4603" t="s">
        <v>29</v>
      </c>
    </row>
    <row r="4604" spans="1:9" x14ac:dyDescent="0.35">
      <c r="A4604" t="s">
        <v>4640</v>
      </c>
      <c r="B4604" s="1">
        <v>44580</v>
      </c>
      <c r="C4604" t="s">
        <v>16</v>
      </c>
      <c r="D4604" t="s">
        <v>31</v>
      </c>
      <c r="E4604" t="s">
        <v>12</v>
      </c>
      <c r="F4604">
        <v>1268.32</v>
      </c>
      <c r="G4604">
        <v>378.86</v>
      </c>
      <c r="H4604" t="s">
        <v>28</v>
      </c>
      <c r="I4604" t="s">
        <v>14</v>
      </c>
    </row>
    <row r="4605" spans="1:9" x14ac:dyDescent="0.35">
      <c r="A4605" t="s">
        <v>4641</v>
      </c>
      <c r="B4605" s="1">
        <v>45330</v>
      </c>
      <c r="C4605" t="s">
        <v>22</v>
      </c>
      <c r="D4605" t="s">
        <v>62</v>
      </c>
      <c r="E4605" t="s">
        <v>27</v>
      </c>
      <c r="F4605">
        <v>1201.19</v>
      </c>
      <c r="G4605">
        <v>67.03</v>
      </c>
      <c r="H4605" t="s">
        <v>19</v>
      </c>
      <c r="I4605" t="s">
        <v>34</v>
      </c>
    </row>
    <row r="4606" spans="1:9" x14ac:dyDescent="0.35">
      <c r="A4606" t="s">
        <v>4642</v>
      </c>
      <c r="B4606" s="1">
        <v>45020</v>
      </c>
      <c r="C4606" t="s">
        <v>25</v>
      </c>
      <c r="D4606" t="s">
        <v>41</v>
      </c>
      <c r="E4606" t="s">
        <v>12</v>
      </c>
      <c r="F4606">
        <v>1443.31</v>
      </c>
      <c r="G4606">
        <v>226.71</v>
      </c>
      <c r="H4606" t="s">
        <v>13</v>
      </c>
      <c r="I4606" t="s">
        <v>20</v>
      </c>
    </row>
    <row r="4607" spans="1:9" x14ac:dyDescent="0.35">
      <c r="A4607" t="s">
        <v>4643</v>
      </c>
      <c r="B4607" s="1">
        <v>44657</v>
      </c>
      <c r="C4607" t="s">
        <v>25</v>
      </c>
      <c r="D4607" t="s">
        <v>50</v>
      </c>
      <c r="E4607" t="s">
        <v>12</v>
      </c>
      <c r="F4607">
        <v>300.11</v>
      </c>
      <c r="G4607">
        <v>60.88</v>
      </c>
      <c r="H4607" t="s">
        <v>19</v>
      </c>
      <c r="I4607" t="s">
        <v>34</v>
      </c>
    </row>
    <row r="4608" spans="1:9" x14ac:dyDescent="0.35">
      <c r="A4608" t="s">
        <v>4644</v>
      </c>
      <c r="B4608" s="1">
        <v>44635</v>
      </c>
      <c r="C4608" t="s">
        <v>10</v>
      </c>
      <c r="D4608" t="s">
        <v>33</v>
      </c>
      <c r="E4608" t="s">
        <v>18</v>
      </c>
      <c r="F4608">
        <v>690.43</v>
      </c>
      <c r="G4608">
        <v>160.4</v>
      </c>
      <c r="H4608" t="s">
        <v>13</v>
      </c>
      <c r="I4608" t="s">
        <v>20</v>
      </c>
    </row>
    <row r="4609" spans="1:9" x14ac:dyDescent="0.35">
      <c r="A4609" t="s">
        <v>4645</v>
      </c>
      <c r="B4609" s="1">
        <v>45367</v>
      </c>
      <c r="C4609" t="s">
        <v>25</v>
      </c>
      <c r="D4609" t="s">
        <v>38</v>
      </c>
      <c r="E4609" t="s">
        <v>12</v>
      </c>
      <c r="F4609">
        <v>1160.76</v>
      </c>
      <c r="G4609">
        <v>347.21</v>
      </c>
      <c r="H4609" t="s">
        <v>19</v>
      </c>
      <c r="I4609" t="s">
        <v>20</v>
      </c>
    </row>
    <row r="4610" spans="1:9" x14ac:dyDescent="0.35">
      <c r="A4610" t="s">
        <v>4646</v>
      </c>
      <c r="B4610" s="1">
        <v>44657</v>
      </c>
      <c r="C4610" t="s">
        <v>22</v>
      </c>
      <c r="D4610" t="s">
        <v>95</v>
      </c>
      <c r="E4610" t="s">
        <v>18</v>
      </c>
      <c r="F4610">
        <v>152.30000000000001</v>
      </c>
      <c r="G4610">
        <v>44.83</v>
      </c>
      <c r="H4610" t="s">
        <v>13</v>
      </c>
      <c r="I4610" t="s">
        <v>29</v>
      </c>
    </row>
    <row r="4611" spans="1:9" x14ac:dyDescent="0.35">
      <c r="A4611" t="s">
        <v>4647</v>
      </c>
      <c r="B4611" s="1">
        <v>44960</v>
      </c>
      <c r="C4611" t="s">
        <v>25</v>
      </c>
      <c r="D4611" t="s">
        <v>17</v>
      </c>
      <c r="E4611" t="s">
        <v>18</v>
      </c>
      <c r="F4611">
        <v>1575.86</v>
      </c>
      <c r="G4611">
        <v>243.51</v>
      </c>
      <c r="H4611" t="s">
        <v>13</v>
      </c>
      <c r="I4611" t="s">
        <v>34</v>
      </c>
    </row>
    <row r="4612" spans="1:9" x14ac:dyDescent="0.35">
      <c r="A4612" t="s">
        <v>4648</v>
      </c>
      <c r="B4612" s="1">
        <v>45135</v>
      </c>
      <c r="C4612" t="s">
        <v>22</v>
      </c>
      <c r="D4612" t="s">
        <v>46</v>
      </c>
      <c r="E4612" t="s">
        <v>18</v>
      </c>
      <c r="F4612">
        <v>1077.95</v>
      </c>
      <c r="G4612">
        <v>185.24</v>
      </c>
      <c r="H4612" t="s">
        <v>19</v>
      </c>
      <c r="I4612" t="s">
        <v>14</v>
      </c>
    </row>
    <row r="4613" spans="1:9" x14ac:dyDescent="0.35">
      <c r="A4613" t="s">
        <v>4649</v>
      </c>
      <c r="B4613" s="1">
        <v>44995</v>
      </c>
      <c r="C4613" t="s">
        <v>10</v>
      </c>
      <c r="D4613" t="s">
        <v>73</v>
      </c>
      <c r="E4613" t="s">
        <v>27</v>
      </c>
      <c r="F4613">
        <v>981.28</v>
      </c>
      <c r="G4613">
        <v>216.66</v>
      </c>
      <c r="H4613" t="s">
        <v>19</v>
      </c>
      <c r="I4613" t="s">
        <v>34</v>
      </c>
    </row>
    <row r="4614" spans="1:9" x14ac:dyDescent="0.35">
      <c r="A4614" t="s">
        <v>4650</v>
      </c>
      <c r="B4614" s="1">
        <v>44693</v>
      </c>
      <c r="C4614" t="s">
        <v>10</v>
      </c>
      <c r="D4614" t="s">
        <v>95</v>
      </c>
      <c r="E4614" t="s">
        <v>18</v>
      </c>
      <c r="F4614">
        <v>870.44</v>
      </c>
      <c r="G4614">
        <v>97.2</v>
      </c>
      <c r="H4614" t="s">
        <v>19</v>
      </c>
      <c r="I4614" t="s">
        <v>34</v>
      </c>
    </row>
    <row r="4615" spans="1:9" x14ac:dyDescent="0.35">
      <c r="A4615" t="s">
        <v>4651</v>
      </c>
      <c r="B4615" s="1">
        <v>45025</v>
      </c>
      <c r="C4615" t="s">
        <v>25</v>
      </c>
      <c r="D4615" t="s">
        <v>73</v>
      </c>
      <c r="E4615" t="s">
        <v>27</v>
      </c>
      <c r="F4615">
        <v>1788.54</v>
      </c>
      <c r="G4615">
        <v>135.31</v>
      </c>
      <c r="H4615" t="s">
        <v>13</v>
      </c>
      <c r="I4615" t="s">
        <v>20</v>
      </c>
    </row>
    <row r="4616" spans="1:9" x14ac:dyDescent="0.35">
      <c r="A4616" t="s">
        <v>4652</v>
      </c>
      <c r="B4616" s="1">
        <v>45014</v>
      </c>
      <c r="C4616" t="s">
        <v>25</v>
      </c>
      <c r="D4616" t="s">
        <v>38</v>
      </c>
      <c r="E4616" t="s">
        <v>12</v>
      </c>
      <c r="F4616">
        <v>1907.2</v>
      </c>
      <c r="G4616">
        <v>159.96</v>
      </c>
      <c r="H4616" t="s">
        <v>13</v>
      </c>
      <c r="I4616" t="s">
        <v>34</v>
      </c>
    </row>
    <row r="4617" spans="1:9" x14ac:dyDescent="0.35">
      <c r="A4617" t="s">
        <v>4653</v>
      </c>
      <c r="B4617" s="1">
        <v>45561</v>
      </c>
      <c r="C4617" t="s">
        <v>16</v>
      </c>
      <c r="D4617" t="s">
        <v>46</v>
      </c>
      <c r="E4617" t="s">
        <v>18</v>
      </c>
      <c r="F4617">
        <v>1122.92</v>
      </c>
      <c r="G4617">
        <v>251.6</v>
      </c>
      <c r="H4617" t="s">
        <v>19</v>
      </c>
      <c r="I4617" t="s">
        <v>20</v>
      </c>
    </row>
    <row r="4618" spans="1:9" x14ac:dyDescent="0.35">
      <c r="A4618" t="s">
        <v>4654</v>
      </c>
      <c r="B4618" s="1">
        <v>44748</v>
      </c>
      <c r="C4618" t="s">
        <v>10</v>
      </c>
      <c r="D4618" t="s">
        <v>11</v>
      </c>
      <c r="E4618" t="s">
        <v>12</v>
      </c>
      <c r="F4618">
        <v>1093.04</v>
      </c>
      <c r="G4618">
        <v>289.02999999999997</v>
      </c>
      <c r="H4618" t="s">
        <v>19</v>
      </c>
      <c r="I4618" t="s">
        <v>29</v>
      </c>
    </row>
    <row r="4619" spans="1:9" x14ac:dyDescent="0.35">
      <c r="A4619" t="s">
        <v>4655</v>
      </c>
      <c r="B4619" s="1">
        <v>45144</v>
      </c>
      <c r="C4619" t="s">
        <v>22</v>
      </c>
      <c r="D4619" t="s">
        <v>17</v>
      </c>
      <c r="E4619" t="s">
        <v>18</v>
      </c>
      <c r="F4619">
        <v>448.37</v>
      </c>
      <c r="G4619">
        <v>121.77</v>
      </c>
      <c r="H4619" t="s">
        <v>19</v>
      </c>
      <c r="I4619" t="s">
        <v>20</v>
      </c>
    </row>
    <row r="4620" spans="1:9" x14ac:dyDescent="0.35">
      <c r="A4620" t="s">
        <v>4656</v>
      </c>
      <c r="B4620" s="1">
        <v>45412</v>
      </c>
      <c r="C4620" t="s">
        <v>25</v>
      </c>
      <c r="D4620" t="s">
        <v>11</v>
      </c>
      <c r="E4620" t="s">
        <v>12</v>
      </c>
      <c r="F4620">
        <v>742.8</v>
      </c>
      <c r="G4620">
        <v>39.450000000000003</v>
      </c>
      <c r="H4620" t="s">
        <v>13</v>
      </c>
      <c r="I4620" t="s">
        <v>14</v>
      </c>
    </row>
    <row r="4621" spans="1:9" x14ac:dyDescent="0.35">
      <c r="A4621" t="s">
        <v>4657</v>
      </c>
      <c r="B4621" s="1">
        <v>45200</v>
      </c>
      <c r="C4621" t="s">
        <v>22</v>
      </c>
      <c r="D4621" t="s">
        <v>73</v>
      </c>
      <c r="E4621" t="s">
        <v>27</v>
      </c>
      <c r="F4621">
        <v>942.83</v>
      </c>
      <c r="G4621">
        <v>209.55</v>
      </c>
      <c r="H4621" t="s">
        <v>19</v>
      </c>
      <c r="I4621" t="s">
        <v>29</v>
      </c>
    </row>
    <row r="4622" spans="1:9" x14ac:dyDescent="0.35">
      <c r="A4622" t="s">
        <v>4658</v>
      </c>
      <c r="B4622" s="1">
        <v>45304</v>
      </c>
      <c r="C4622" t="s">
        <v>16</v>
      </c>
      <c r="D4622" t="s">
        <v>26</v>
      </c>
      <c r="E4622" t="s">
        <v>27</v>
      </c>
      <c r="F4622">
        <v>171.83</v>
      </c>
      <c r="G4622">
        <v>37.35</v>
      </c>
      <c r="H4622" t="s">
        <v>28</v>
      </c>
      <c r="I4622" t="s">
        <v>20</v>
      </c>
    </row>
    <row r="4623" spans="1:9" x14ac:dyDescent="0.35">
      <c r="A4623" t="s">
        <v>4659</v>
      </c>
      <c r="B4623" s="1">
        <v>44582</v>
      </c>
      <c r="C4623" t="s">
        <v>22</v>
      </c>
      <c r="D4623" t="s">
        <v>41</v>
      </c>
      <c r="E4623" t="s">
        <v>12</v>
      </c>
      <c r="F4623">
        <v>271.79000000000002</v>
      </c>
      <c r="G4623">
        <v>63.32</v>
      </c>
      <c r="H4623" t="s">
        <v>13</v>
      </c>
      <c r="I4623" t="s">
        <v>34</v>
      </c>
    </row>
    <row r="4624" spans="1:9" x14ac:dyDescent="0.35">
      <c r="A4624" t="s">
        <v>4660</v>
      </c>
      <c r="B4624" s="1">
        <v>44983</v>
      </c>
      <c r="C4624" t="s">
        <v>22</v>
      </c>
      <c r="D4624" t="s">
        <v>41</v>
      </c>
      <c r="E4624" t="s">
        <v>12</v>
      </c>
      <c r="F4624">
        <v>1688.1</v>
      </c>
      <c r="G4624">
        <v>460.82</v>
      </c>
      <c r="H4624" t="s">
        <v>19</v>
      </c>
      <c r="I4624" t="s">
        <v>14</v>
      </c>
    </row>
    <row r="4625" spans="1:9" x14ac:dyDescent="0.35">
      <c r="A4625" t="s">
        <v>4661</v>
      </c>
      <c r="B4625" s="1">
        <v>45368</v>
      </c>
      <c r="C4625" t="s">
        <v>25</v>
      </c>
      <c r="D4625" t="s">
        <v>50</v>
      </c>
      <c r="E4625" t="s">
        <v>12</v>
      </c>
      <c r="F4625">
        <v>1096.33</v>
      </c>
      <c r="G4625">
        <v>212.22</v>
      </c>
      <c r="H4625" t="s">
        <v>19</v>
      </c>
      <c r="I4625" t="s">
        <v>29</v>
      </c>
    </row>
    <row r="4626" spans="1:9" x14ac:dyDescent="0.35">
      <c r="A4626" t="s">
        <v>4662</v>
      </c>
      <c r="B4626" s="1">
        <v>44817</v>
      </c>
      <c r="C4626" t="s">
        <v>25</v>
      </c>
      <c r="D4626" t="s">
        <v>62</v>
      </c>
      <c r="E4626" t="s">
        <v>27</v>
      </c>
      <c r="F4626">
        <v>344.69</v>
      </c>
      <c r="G4626">
        <v>61.29</v>
      </c>
      <c r="H4626" t="s">
        <v>19</v>
      </c>
      <c r="I4626" t="s">
        <v>20</v>
      </c>
    </row>
    <row r="4627" spans="1:9" x14ac:dyDescent="0.35">
      <c r="A4627" t="s">
        <v>4663</v>
      </c>
      <c r="B4627" s="1">
        <v>45602</v>
      </c>
      <c r="C4627" t="s">
        <v>10</v>
      </c>
      <c r="D4627" t="s">
        <v>26</v>
      </c>
      <c r="E4627" t="s">
        <v>27</v>
      </c>
      <c r="F4627">
        <v>1268.1500000000001</v>
      </c>
      <c r="G4627">
        <v>127.1</v>
      </c>
      <c r="H4627" t="s">
        <v>13</v>
      </c>
      <c r="I4627" t="s">
        <v>34</v>
      </c>
    </row>
    <row r="4628" spans="1:9" x14ac:dyDescent="0.35">
      <c r="A4628" t="s">
        <v>4664</v>
      </c>
      <c r="B4628" s="1">
        <v>45048</v>
      </c>
      <c r="C4628" t="s">
        <v>16</v>
      </c>
      <c r="D4628" t="s">
        <v>46</v>
      </c>
      <c r="E4628" t="s">
        <v>18</v>
      </c>
      <c r="F4628">
        <v>1939.01</v>
      </c>
      <c r="G4628">
        <v>441.76</v>
      </c>
      <c r="H4628" t="s">
        <v>13</v>
      </c>
      <c r="I4628" t="s">
        <v>14</v>
      </c>
    </row>
    <row r="4629" spans="1:9" x14ac:dyDescent="0.35">
      <c r="A4629" t="s">
        <v>4665</v>
      </c>
      <c r="B4629" s="1">
        <v>45649</v>
      </c>
      <c r="C4629" t="s">
        <v>25</v>
      </c>
      <c r="D4629" t="s">
        <v>17</v>
      </c>
      <c r="E4629" t="s">
        <v>18</v>
      </c>
      <c r="F4629">
        <v>1162.31</v>
      </c>
      <c r="G4629">
        <v>263.2</v>
      </c>
      <c r="H4629" t="s">
        <v>13</v>
      </c>
      <c r="I4629" t="s">
        <v>20</v>
      </c>
    </row>
    <row r="4630" spans="1:9" x14ac:dyDescent="0.35">
      <c r="A4630" t="s">
        <v>4666</v>
      </c>
      <c r="B4630" s="1">
        <v>44651</v>
      </c>
      <c r="C4630" t="s">
        <v>16</v>
      </c>
      <c r="D4630" t="s">
        <v>97</v>
      </c>
      <c r="E4630" t="s">
        <v>27</v>
      </c>
      <c r="F4630">
        <v>549.88</v>
      </c>
      <c r="G4630">
        <v>164.04</v>
      </c>
      <c r="H4630" t="s">
        <v>19</v>
      </c>
      <c r="I4630" t="s">
        <v>34</v>
      </c>
    </row>
    <row r="4631" spans="1:9" x14ac:dyDescent="0.35">
      <c r="A4631" t="s">
        <v>4667</v>
      </c>
      <c r="B4631" s="1">
        <v>45175</v>
      </c>
      <c r="C4631" t="s">
        <v>22</v>
      </c>
      <c r="D4631" t="s">
        <v>57</v>
      </c>
      <c r="E4631" t="s">
        <v>27</v>
      </c>
      <c r="F4631">
        <v>1141.8499999999999</v>
      </c>
      <c r="G4631">
        <v>176.55</v>
      </c>
      <c r="H4631" t="s">
        <v>19</v>
      </c>
      <c r="I4631" t="s">
        <v>20</v>
      </c>
    </row>
    <row r="4632" spans="1:9" x14ac:dyDescent="0.35">
      <c r="A4632" t="s">
        <v>4668</v>
      </c>
      <c r="B4632" s="1">
        <v>45465</v>
      </c>
      <c r="C4632" t="s">
        <v>22</v>
      </c>
      <c r="D4632" t="s">
        <v>23</v>
      </c>
      <c r="E4632" t="s">
        <v>18</v>
      </c>
      <c r="F4632">
        <v>1506.4</v>
      </c>
      <c r="G4632">
        <v>175.3</v>
      </c>
      <c r="H4632" t="s">
        <v>28</v>
      </c>
      <c r="I4632" t="s">
        <v>20</v>
      </c>
    </row>
    <row r="4633" spans="1:9" x14ac:dyDescent="0.35">
      <c r="A4633" t="s">
        <v>4669</v>
      </c>
      <c r="B4633" s="1">
        <v>45411</v>
      </c>
      <c r="C4633" t="s">
        <v>10</v>
      </c>
      <c r="D4633" t="s">
        <v>62</v>
      </c>
      <c r="E4633" t="s">
        <v>27</v>
      </c>
      <c r="F4633">
        <v>1643.69</v>
      </c>
      <c r="G4633">
        <v>447.75</v>
      </c>
      <c r="H4633" t="s">
        <v>28</v>
      </c>
      <c r="I4633" t="s">
        <v>20</v>
      </c>
    </row>
    <row r="4634" spans="1:9" x14ac:dyDescent="0.35">
      <c r="A4634" t="s">
        <v>4670</v>
      </c>
      <c r="B4634" s="1">
        <v>45082</v>
      </c>
      <c r="C4634" t="s">
        <v>10</v>
      </c>
      <c r="D4634" t="s">
        <v>50</v>
      </c>
      <c r="E4634" t="s">
        <v>12</v>
      </c>
      <c r="F4634">
        <v>558.16999999999996</v>
      </c>
      <c r="G4634">
        <v>29.94</v>
      </c>
      <c r="H4634" t="s">
        <v>19</v>
      </c>
      <c r="I4634" t="s">
        <v>29</v>
      </c>
    </row>
    <row r="4635" spans="1:9" x14ac:dyDescent="0.35">
      <c r="A4635" t="s">
        <v>4671</v>
      </c>
      <c r="B4635" s="1">
        <v>45498</v>
      </c>
      <c r="C4635" t="s">
        <v>16</v>
      </c>
      <c r="D4635" t="s">
        <v>31</v>
      </c>
      <c r="E4635" t="s">
        <v>12</v>
      </c>
      <c r="F4635">
        <v>1322.67</v>
      </c>
      <c r="G4635">
        <v>106.66</v>
      </c>
      <c r="H4635" t="s">
        <v>13</v>
      </c>
      <c r="I4635" t="s">
        <v>29</v>
      </c>
    </row>
    <row r="4636" spans="1:9" x14ac:dyDescent="0.35">
      <c r="A4636" t="s">
        <v>4672</v>
      </c>
      <c r="B4636" s="1">
        <v>45530</v>
      </c>
      <c r="C4636" t="s">
        <v>16</v>
      </c>
      <c r="D4636" t="s">
        <v>23</v>
      </c>
      <c r="E4636" t="s">
        <v>18</v>
      </c>
      <c r="F4636">
        <v>465.78</v>
      </c>
      <c r="G4636">
        <v>29.25</v>
      </c>
      <c r="H4636" t="s">
        <v>13</v>
      </c>
      <c r="I4636" t="s">
        <v>34</v>
      </c>
    </row>
    <row r="4637" spans="1:9" x14ac:dyDescent="0.35">
      <c r="A4637" t="s">
        <v>4673</v>
      </c>
      <c r="B4637" s="1">
        <v>44571</v>
      </c>
      <c r="C4637" t="s">
        <v>22</v>
      </c>
      <c r="D4637" t="s">
        <v>95</v>
      </c>
      <c r="E4637" t="s">
        <v>18</v>
      </c>
      <c r="F4637">
        <v>504.68</v>
      </c>
      <c r="G4637">
        <v>132.59</v>
      </c>
      <c r="H4637" t="s">
        <v>13</v>
      </c>
      <c r="I4637" t="s">
        <v>20</v>
      </c>
    </row>
    <row r="4638" spans="1:9" x14ac:dyDescent="0.35">
      <c r="A4638" t="s">
        <v>4674</v>
      </c>
      <c r="B4638" s="1">
        <v>45500</v>
      </c>
      <c r="C4638" t="s">
        <v>25</v>
      </c>
      <c r="D4638" t="s">
        <v>38</v>
      </c>
      <c r="E4638" t="s">
        <v>12</v>
      </c>
      <c r="F4638">
        <v>278.11</v>
      </c>
      <c r="G4638">
        <v>43.06</v>
      </c>
      <c r="H4638" t="s">
        <v>19</v>
      </c>
      <c r="I4638" t="s">
        <v>29</v>
      </c>
    </row>
    <row r="4639" spans="1:9" x14ac:dyDescent="0.35">
      <c r="A4639" t="s">
        <v>4675</v>
      </c>
      <c r="B4639" s="1">
        <v>45309</v>
      </c>
      <c r="C4639" t="s">
        <v>10</v>
      </c>
      <c r="D4639" t="s">
        <v>11</v>
      </c>
      <c r="E4639" t="s">
        <v>12</v>
      </c>
      <c r="F4639">
        <v>1062.94</v>
      </c>
      <c r="G4639">
        <v>277.22000000000003</v>
      </c>
      <c r="H4639" t="s">
        <v>28</v>
      </c>
      <c r="I4639" t="s">
        <v>29</v>
      </c>
    </row>
    <row r="4640" spans="1:9" x14ac:dyDescent="0.35">
      <c r="A4640" t="s">
        <v>4676</v>
      </c>
      <c r="B4640" s="1">
        <v>45229</v>
      </c>
      <c r="C4640" t="s">
        <v>22</v>
      </c>
      <c r="D4640" t="s">
        <v>62</v>
      </c>
      <c r="E4640" t="s">
        <v>27</v>
      </c>
      <c r="F4640">
        <v>87.47</v>
      </c>
      <c r="G4640">
        <v>18.77</v>
      </c>
      <c r="H4640" t="s">
        <v>28</v>
      </c>
      <c r="I4640" t="s">
        <v>29</v>
      </c>
    </row>
    <row r="4641" spans="1:9" x14ac:dyDescent="0.35">
      <c r="A4641" t="s">
        <v>4677</v>
      </c>
      <c r="B4641" s="1">
        <v>45068</v>
      </c>
      <c r="C4641" t="s">
        <v>22</v>
      </c>
      <c r="D4641" t="s">
        <v>31</v>
      </c>
      <c r="E4641" t="s">
        <v>12</v>
      </c>
      <c r="F4641">
        <v>1052.97</v>
      </c>
      <c r="G4641">
        <v>240.25</v>
      </c>
      <c r="H4641" t="s">
        <v>28</v>
      </c>
      <c r="I4641" t="s">
        <v>34</v>
      </c>
    </row>
    <row r="4642" spans="1:9" x14ac:dyDescent="0.35">
      <c r="A4642" t="s">
        <v>4678</v>
      </c>
      <c r="B4642" s="1">
        <v>45556</v>
      </c>
      <c r="C4642" t="s">
        <v>22</v>
      </c>
      <c r="D4642" t="s">
        <v>73</v>
      </c>
      <c r="E4642" t="s">
        <v>27</v>
      </c>
      <c r="F4642">
        <v>1174.21</v>
      </c>
      <c r="G4642">
        <v>225.43</v>
      </c>
      <c r="H4642" t="s">
        <v>19</v>
      </c>
      <c r="I4642" t="s">
        <v>29</v>
      </c>
    </row>
    <row r="4643" spans="1:9" x14ac:dyDescent="0.35">
      <c r="A4643" t="s">
        <v>4679</v>
      </c>
      <c r="B4643" s="1">
        <v>45165</v>
      </c>
      <c r="C4643" t="s">
        <v>10</v>
      </c>
      <c r="D4643" t="s">
        <v>97</v>
      </c>
      <c r="E4643" t="s">
        <v>27</v>
      </c>
      <c r="F4643">
        <v>434.52</v>
      </c>
      <c r="G4643">
        <v>93.61</v>
      </c>
      <c r="H4643" t="s">
        <v>28</v>
      </c>
      <c r="I4643" t="s">
        <v>14</v>
      </c>
    </row>
    <row r="4644" spans="1:9" x14ac:dyDescent="0.35">
      <c r="A4644" t="s">
        <v>4680</v>
      </c>
      <c r="B4644" s="1">
        <v>45281</v>
      </c>
      <c r="C4644" t="s">
        <v>16</v>
      </c>
      <c r="D4644" t="s">
        <v>11</v>
      </c>
      <c r="E4644" t="s">
        <v>12</v>
      </c>
      <c r="F4644">
        <v>699.07</v>
      </c>
      <c r="G4644">
        <v>161.74</v>
      </c>
      <c r="H4644" t="s">
        <v>28</v>
      </c>
      <c r="I4644" t="s">
        <v>14</v>
      </c>
    </row>
    <row r="4645" spans="1:9" x14ac:dyDescent="0.35">
      <c r="A4645" t="s">
        <v>4681</v>
      </c>
      <c r="B4645" s="1">
        <v>44863</v>
      </c>
      <c r="C4645" t="s">
        <v>22</v>
      </c>
      <c r="D4645" t="s">
        <v>46</v>
      </c>
      <c r="E4645" t="s">
        <v>18</v>
      </c>
      <c r="F4645">
        <v>1066.52</v>
      </c>
      <c r="G4645">
        <v>124.83</v>
      </c>
      <c r="H4645" t="s">
        <v>19</v>
      </c>
      <c r="I4645" t="s">
        <v>20</v>
      </c>
    </row>
    <row r="4646" spans="1:9" x14ac:dyDescent="0.35">
      <c r="A4646" t="s">
        <v>4682</v>
      </c>
      <c r="B4646" s="1">
        <v>45303</v>
      </c>
      <c r="C4646" t="s">
        <v>25</v>
      </c>
      <c r="D4646" t="s">
        <v>11</v>
      </c>
      <c r="E4646" t="s">
        <v>12</v>
      </c>
      <c r="F4646">
        <v>1421.92</v>
      </c>
      <c r="G4646">
        <v>204.24</v>
      </c>
      <c r="H4646" t="s">
        <v>19</v>
      </c>
      <c r="I4646" t="s">
        <v>20</v>
      </c>
    </row>
    <row r="4647" spans="1:9" x14ac:dyDescent="0.35">
      <c r="A4647" t="s">
        <v>4683</v>
      </c>
      <c r="B4647" s="1">
        <v>45355</v>
      </c>
      <c r="C4647" t="s">
        <v>25</v>
      </c>
      <c r="D4647" t="s">
        <v>50</v>
      </c>
      <c r="E4647" t="s">
        <v>12</v>
      </c>
      <c r="F4647">
        <v>473.09</v>
      </c>
      <c r="G4647">
        <v>128.13</v>
      </c>
      <c r="H4647" t="s">
        <v>28</v>
      </c>
      <c r="I4647" t="s">
        <v>34</v>
      </c>
    </row>
    <row r="4648" spans="1:9" x14ac:dyDescent="0.35">
      <c r="A4648" t="s">
        <v>4684</v>
      </c>
      <c r="B4648" s="1">
        <v>44582</v>
      </c>
      <c r="C4648" t="s">
        <v>10</v>
      </c>
      <c r="D4648" t="s">
        <v>23</v>
      </c>
      <c r="E4648" t="s">
        <v>18</v>
      </c>
      <c r="F4648">
        <v>1965.32</v>
      </c>
      <c r="G4648">
        <v>464.72</v>
      </c>
      <c r="H4648" t="s">
        <v>28</v>
      </c>
      <c r="I4648" t="s">
        <v>29</v>
      </c>
    </row>
    <row r="4649" spans="1:9" x14ac:dyDescent="0.35">
      <c r="A4649" t="s">
        <v>4685</v>
      </c>
      <c r="B4649" s="1">
        <v>45146</v>
      </c>
      <c r="C4649" t="s">
        <v>16</v>
      </c>
      <c r="D4649" t="s">
        <v>46</v>
      </c>
      <c r="E4649" t="s">
        <v>18</v>
      </c>
      <c r="F4649">
        <v>1998.28</v>
      </c>
      <c r="G4649">
        <v>578.69000000000005</v>
      </c>
      <c r="H4649" t="s">
        <v>28</v>
      </c>
      <c r="I4649" t="s">
        <v>29</v>
      </c>
    </row>
    <row r="4650" spans="1:9" x14ac:dyDescent="0.35">
      <c r="A4650" t="s">
        <v>4686</v>
      </c>
      <c r="B4650" s="1">
        <v>45263</v>
      </c>
      <c r="C4650" t="s">
        <v>16</v>
      </c>
      <c r="D4650" t="s">
        <v>95</v>
      </c>
      <c r="E4650" t="s">
        <v>18</v>
      </c>
      <c r="F4650">
        <v>1987.88</v>
      </c>
      <c r="G4650">
        <v>447.95</v>
      </c>
      <c r="H4650" t="s">
        <v>13</v>
      </c>
      <c r="I4650" t="s">
        <v>20</v>
      </c>
    </row>
    <row r="4651" spans="1:9" x14ac:dyDescent="0.35">
      <c r="A4651" t="s">
        <v>4687</v>
      </c>
      <c r="B4651" s="1">
        <v>45060</v>
      </c>
      <c r="C4651" t="s">
        <v>16</v>
      </c>
      <c r="D4651" t="s">
        <v>41</v>
      </c>
      <c r="E4651" t="s">
        <v>12</v>
      </c>
      <c r="F4651">
        <v>1617.94</v>
      </c>
      <c r="G4651">
        <v>321.25</v>
      </c>
      <c r="H4651" t="s">
        <v>13</v>
      </c>
      <c r="I4651" t="s">
        <v>34</v>
      </c>
    </row>
    <row r="4652" spans="1:9" x14ac:dyDescent="0.35">
      <c r="A4652" t="s">
        <v>4688</v>
      </c>
      <c r="B4652" s="1">
        <v>45131</v>
      </c>
      <c r="C4652" t="s">
        <v>16</v>
      </c>
      <c r="D4652" t="s">
        <v>38</v>
      </c>
      <c r="E4652" t="s">
        <v>12</v>
      </c>
      <c r="F4652">
        <v>1983.52</v>
      </c>
      <c r="G4652">
        <v>346.85</v>
      </c>
      <c r="H4652" t="s">
        <v>13</v>
      </c>
      <c r="I4652" t="s">
        <v>29</v>
      </c>
    </row>
    <row r="4653" spans="1:9" x14ac:dyDescent="0.35">
      <c r="A4653" t="s">
        <v>4689</v>
      </c>
      <c r="B4653" s="1">
        <v>45058</v>
      </c>
      <c r="C4653" t="s">
        <v>22</v>
      </c>
      <c r="D4653" t="s">
        <v>46</v>
      </c>
      <c r="E4653" t="s">
        <v>18</v>
      </c>
      <c r="F4653">
        <v>1873.26</v>
      </c>
      <c r="G4653">
        <v>123.14</v>
      </c>
      <c r="H4653" t="s">
        <v>13</v>
      </c>
      <c r="I4653" t="s">
        <v>14</v>
      </c>
    </row>
    <row r="4654" spans="1:9" x14ac:dyDescent="0.35">
      <c r="A4654" t="s">
        <v>4690</v>
      </c>
      <c r="B4654" s="1">
        <v>45051</v>
      </c>
      <c r="C4654" t="s">
        <v>22</v>
      </c>
      <c r="D4654" t="s">
        <v>73</v>
      </c>
      <c r="E4654" t="s">
        <v>27</v>
      </c>
      <c r="F4654">
        <v>281.08</v>
      </c>
      <c r="G4654">
        <v>14.92</v>
      </c>
      <c r="H4654" t="s">
        <v>13</v>
      </c>
      <c r="I4654" t="s">
        <v>34</v>
      </c>
    </row>
    <row r="4655" spans="1:9" x14ac:dyDescent="0.35">
      <c r="A4655" t="s">
        <v>4691</v>
      </c>
      <c r="B4655" s="1">
        <v>44986</v>
      </c>
      <c r="C4655" t="s">
        <v>25</v>
      </c>
      <c r="D4655" t="s">
        <v>95</v>
      </c>
      <c r="E4655" t="s">
        <v>18</v>
      </c>
      <c r="F4655">
        <v>556.78</v>
      </c>
      <c r="G4655">
        <v>64.540000000000006</v>
      </c>
      <c r="H4655" t="s">
        <v>28</v>
      </c>
      <c r="I4655" t="s">
        <v>34</v>
      </c>
    </row>
    <row r="4656" spans="1:9" x14ac:dyDescent="0.35">
      <c r="A4656" t="s">
        <v>4692</v>
      </c>
      <c r="B4656" s="1">
        <v>45131</v>
      </c>
      <c r="C4656" t="s">
        <v>22</v>
      </c>
      <c r="D4656" t="s">
        <v>97</v>
      </c>
      <c r="E4656" t="s">
        <v>27</v>
      </c>
      <c r="F4656">
        <v>468.43</v>
      </c>
      <c r="G4656">
        <v>119.99</v>
      </c>
      <c r="H4656" t="s">
        <v>19</v>
      </c>
      <c r="I4656" t="s">
        <v>20</v>
      </c>
    </row>
    <row r="4657" spans="1:9" x14ac:dyDescent="0.35">
      <c r="A4657" t="s">
        <v>4693</v>
      </c>
      <c r="B4657" s="1">
        <v>44692</v>
      </c>
      <c r="C4657" t="s">
        <v>25</v>
      </c>
      <c r="D4657" t="s">
        <v>95</v>
      </c>
      <c r="E4657" t="s">
        <v>18</v>
      </c>
      <c r="F4657">
        <v>1715.43</v>
      </c>
      <c r="G4657">
        <v>302.31</v>
      </c>
      <c r="H4657" t="s">
        <v>28</v>
      </c>
      <c r="I4657" t="s">
        <v>20</v>
      </c>
    </row>
    <row r="4658" spans="1:9" x14ac:dyDescent="0.35">
      <c r="A4658" t="s">
        <v>4694</v>
      </c>
      <c r="B4658" s="1">
        <v>45587</v>
      </c>
      <c r="C4658" t="s">
        <v>22</v>
      </c>
      <c r="D4658" t="s">
        <v>41</v>
      </c>
      <c r="E4658" t="s">
        <v>12</v>
      </c>
      <c r="F4658">
        <v>752.53</v>
      </c>
      <c r="G4658">
        <v>108.08</v>
      </c>
      <c r="H4658" t="s">
        <v>19</v>
      </c>
      <c r="I4658" t="s">
        <v>29</v>
      </c>
    </row>
    <row r="4659" spans="1:9" x14ac:dyDescent="0.35">
      <c r="A4659" t="s">
        <v>4695</v>
      </c>
      <c r="B4659" s="1">
        <v>45359</v>
      </c>
      <c r="C4659" t="s">
        <v>22</v>
      </c>
      <c r="D4659" t="s">
        <v>57</v>
      </c>
      <c r="E4659" t="s">
        <v>27</v>
      </c>
      <c r="F4659">
        <v>127.77</v>
      </c>
      <c r="G4659">
        <v>31</v>
      </c>
      <c r="H4659" t="s">
        <v>28</v>
      </c>
      <c r="I4659" t="s">
        <v>34</v>
      </c>
    </row>
    <row r="4660" spans="1:9" x14ac:dyDescent="0.35">
      <c r="A4660" t="s">
        <v>4696</v>
      </c>
      <c r="B4660" s="1">
        <v>44899</v>
      </c>
      <c r="C4660" t="s">
        <v>10</v>
      </c>
      <c r="D4660" t="s">
        <v>41</v>
      </c>
      <c r="E4660" t="s">
        <v>12</v>
      </c>
      <c r="F4660">
        <v>696.6</v>
      </c>
      <c r="G4660">
        <v>196.82</v>
      </c>
      <c r="H4660" t="s">
        <v>19</v>
      </c>
      <c r="I4660" t="s">
        <v>34</v>
      </c>
    </row>
    <row r="4661" spans="1:9" x14ac:dyDescent="0.35">
      <c r="A4661" t="s">
        <v>4697</v>
      </c>
      <c r="B4661" s="1">
        <v>44788</v>
      </c>
      <c r="C4661" t="s">
        <v>16</v>
      </c>
      <c r="D4661" t="s">
        <v>57</v>
      </c>
      <c r="E4661" t="s">
        <v>27</v>
      </c>
      <c r="F4661">
        <v>479.44</v>
      </c>
      <c r="G4661">
        <v>35.17</v>
      </c>
      <c r="H4661" t="s">
        <v>13</v>
      </c>
      <c r="I4661" t="s">
        <v>34</v>
      </c>
    </row>
    <row r="4662" spans="1:9" x14ac:dyDescent="0.35">
      <c r="A4662" t="s">
        <v>4698</v>
      </c>
      <c r="B4662" s="1">
        <v>45049</v>
      </c>
      <c r="C4662" t="s">
        <v>10</v>
      </c>
      <c r="D4662" t="s">
        <v>46</v>
      </c>
      <c r="E4662" t="s">
        <v>18</v>
      </c>
      <c r="F4662">
        <v>822.48</v>
      </c>
      <c r="G4662">
        <v>138.54</v>
      </c>
      <c r="H4662" t="s">
        <v>13</v>
      </c>
      <c r="I4662" t="s">
        <v>34</v>
      </c>
    </row>
    <row r="4663" spans="1:9" x14ac:dyDescent="0.35">
      <c r="A4663" t="s">
        <v>4699</v>
      </c>
      <c r="B4663" s="1">
        <v>45319</v>
      </c>
      <c r="C4663" t="s">
        <v>22</v>
      </c>
      <c r="D4663" t="s">
        <v>11</v>
      </c>
      <c r="E4663" t="s">
        <v>12</v>
      </c>
      <c r="F4663">
        <v>797.87</v>
      </c>
      <c r="G4663">
        <v>203.42</v>
      </c>
      <c r="H4663" t="s">
        <v>19</v>
      </c>
      <c r="I4663" t="s">
        <v>14</v>
      </c>
    </row>
    <row r="4664" spans="1:9" x14ac:dyDescent="0.35">
      <c r="A4664" t="s">
        <v>4700</v>
      </c>
      <c r="B4664" s="1">
        <v>44627</v>
      </c>
      <c r="C4664" t="s">
        <v>22</v>
      </c>
      <c r="D4664" t="s">
        <v>33</v>
      </c>
      <c r="E4664" t="s">
        <v>18</v>
      </c>
      <c r="F4664">
        <v>1559.74</v>
      </c>
      <c r="G4664">
        <v>146.33000000000001</v>
      </c>
      <c r="H4664" t="s">
        <v>19</v>
      </c>
      <c r="I4664" t="s">
        <v>29</v>
      </c>
    </row>
    <row r="4665" spans="1:9" x14ac:dyDescent="0.35">
      <c r="A4665" t="s">
        <v>4701</v>
      </c>
      <c r="B4665" s="1">
        <v>45445</v>
      </c>
      <c r="C4665" t="s">
        <v>22</v>
      </c>
      <c r="D4665" t="s">
        <v>95</v>
      </c>
      <c r="E4665" t="s">
        <v>18</v>
      </c>
      <c r="F4665">
        <v>1854.09</v>
      </c>
      <c r="G4665">
        <v>359.89</v>
      </c>
      <c r="H4665" t="s">
        <v>19</v>
      </c>
      <c r="I4665" t="s">
        <v>34</v>
      </c>
    </row>
    <row r="4666" spans="1:9" x14ac:dyDescent="0.35">
      <c r="A4666" t="s">
        <v>4702</v>
      </c>
      <c r="B4666" s="1">
        <v>45559</v>
      </c>
      <c r="C4666" t="s">
        <v>10</v>
      </c>
      <c r="D4666" t="s">
        <v>46</v>
      </c>
      <c r="E4666" t="s">
        <v>18</v>
      </c>
      <c r="F4666">
        <v>408.82</v>
      </c>
      <c r="G4666">
        <v>61.33</v>
      </c>
      <c r="H4666" t="s">
        <v>28</v>
      </c>
      <c r="I4666" t="s">
        <v>29</v>
      </c>
    </row>
    <row r="4667" spans="1:9" x14ac:dyDescent="0.35">
      <c r="A4667" t="s">
        <v>4703</v>
      </c>
      <c r="B4667" s="1">
        <v>45359</v>
      </c>
      <c r="C4667" t="s">
        <v>25</v>
      </c>
      <c r="D4667" t="s">
        <v>31</v>
      </c>
      <c r="E4667" t="s">
        <v>12</v>
      </c>
      <c r="F4667">
        <v>419.52</v>
      </c>
      <c r="G4667">
        <v>104.49</v>
      </c>
      <c r="H4667" t="s">
        <v>19</v>
      </c>
      <c r="I4667" t="s">
        <v>14</v>
      </c>
    </row>
    <row r="4668" spans="1:9" x14ac:dyDescent="0.35">
      <c r="A4668" t="s">
        <v>4704</v>
      </c>
      <c r="B4668" s="1">
        <v>44637</v>
      </c>
      <c r="C4668" t="s">
        <v>10</v>
      </c>
      <c r="D4668" t="s">
        <v>33</v>
      </c>
      <c r="E4668" t="s">
        <v>18</v>
      </c>
      <c r="F4668">
        <v>1112.28</v>
      </c>
      <c r="G4668">
        <v>94.1</v>
      </c>
      <c r="H4668" t="s">
        <v>28</v>
      </c>
      <c r="I4668" t="s">
        <v>20</v>
      </c>
    </row>
    <row r="4669" spans="1:9" x14ac:dyDescent="0.35">
      <c r="A4669" t="s">
        <v>4705</v>
      </c>
      <c r="B4669" s="1">
        <v>44760</v>
      </c>
      <c r="C4669" t="s">
        <v>25</v>
      </c>
      <c r="D4669" t="s">
        <v>57</v>
      </c>
      <c r="E4669" t="s">
        <v>27</v>
      </c>
      <c r="F4669">
        <v>901.03</v>
      </c>
      <c r="G4669">
        <v>249.93</v>
      </c>
      <c r="H4669" t="s">
        <v>28</v>
      </c>
      <c r="I4669" t="s">
        <v>20</v>
      </c>
    </row>
    <row r="4670" spans="1:9" x14ac:dyDescent="0.35">
      <c r="A4670" t="s">
        <v>4706</v>
      </c>
      <c r="B4670" s="1">
        <v>45015</v>
      </c>
      <c r="C4670" t="s">
        <v>25</v>
      </c>
      <c r="D4670" t="s">
        <v>41</v>
      </c>
      <c r="E4670" t="s">
        <v>12</v>
      </c>
      <c r="F4670">
        <v>1724.62</v>
      </c>
      <c r="G4670">
        <v>326.77999999999997</v>
      </c>
      <c r="H4670" t="s">
        <v>19</v>
      </c>
      <c r="I4670" t="s">
        <v>14</v>
      </c>
    </row>
    <row r="4671" spans="1:9" x14ac:dyDescent="0.35">
      <c r="A4671" t="s">
        <v>4707</v>
      </c>
      <c r="B4671" s="1">
        <v>44870</v>
      </c>
      <c r="C4671" t="s">
        <v>25</v>
      </c>
      <c r="D4671" t="s">
        <v>97</v>
      </c>
      <c r="E4671" t="s">
        <v>27</v>
      </c>
      <c r="F4671">
        <v>1690.59</v>
      </c>
      <c r="G4671">
        <v>321.68</v>
      </c>
      <c r="H4671" t="s">
        <v>13</v>
      </c>
      <c r="I4671" t="s">
        <v>14</v>
      </c>
    </row>
    <row r="4672" spans="1:9" x14ac:dyDescent="0.35">
      <c r="A4672" t="s">
        <v>4708</v>
      </c>
      <c r="B4672" s="1">
        <v>45384</v>
      </c>
      <c r="C4672" t="s">
        <v>16</v>
      </c>
      <c r="D4672" t="s">
        <v>62</v>
      </c>
      <c r="E4672" t="s">
        <v>27</v>
      </c>
      <c r="F4672">
        <v>1270.3399999999999</v>
      </c>
      <c r="G4672">
        <v>263.68</v>
      </c>
      <c r="H4672" t="s">
        <v>13</v>
      </c>
      <c r="I4672" t="s">
        <v>20</v>
      </c>
    </row>
    <row r="4673" spans="1:9" x14ac:dyDescent="0.35">
      <c r="A4673" t="s">
        <v>4709</v>
      </c>
      <c r="B4673" s="1">
        <v>45609</v>
      </c>
      <c r="C4673" t="s">
        <v>25</v>
      </c>
      <c r="D4673" t="s">
        <v>97</v>
      </c>
      <c r="E4673" t="s">
        <v>27</v>
      </c>
      <c r="F4673">
        <v>1220.74</v>
      </c>
      <c r="G4673">
        <v>143.49</v>
      </c>
      <c r="H4673" t="s">
        <v>13</v>
      </c>
      <c r="I4673" t="s">
        <v>29</v>
      </c>
    </row>
    <row r="4674" spans="1:9" x14ac:dyDescent="0.35">
      <c r="A4674" t="s">
        <v>4710</v>
      </c>
      <c r="B4674" s="1">
        <v>44913</v>
      </c>
      <c r="C4674" t="s">
        <v>16</v>
      </c>
      <c r="D4674" t="s">
        <v>50</v>
      </c>
      <c r="E4674" t="s">
        <v>12</v>
      </c>
      <c r="F4674">
        <v>1633.39</v>
      </c>
      <c r="G4674">
        <v>233.91</v>
      </c>
      <c r="H4674" t="s">
        <v>28</v>
      </c>
      <c r="I4674" t="s">
        <v>34</v>
      </c>
    </row>
    <row r="4675" spans="1:9" x14ac:dyDescent="0.35">
      <c r="A4675" t="s">
        <v>4711</v>
      </c>
      <c r="B4675" s="1">
        <v>45446</v>
      </c>
      <c r="C4675" t="s">
        <v>10</v>
      </c>
      <c r="D4675" t="s">
        <v>97</v>
      </c>
      <c r="E4675" t="s">
        <v>27</v>
      </c>
      <c r="F4675">
        <v>1638.39</v>
      </c>
      <c r="G4675">
        <v>426.63</v>
      </c>
      <c r="H4675" t="s">
        <v>13</v>
      </c>
      <c r="I4675" t="s">
        <v>29</v>
      </c>
    </row>
    <row r="4676" spans="1:9" x14ac:dyDescent="0.35">
      <c r="A4676" t="s">
        <v>4712</v>
      </c>
      <c r="B4676" s="1">
        <v>45634</v>
      </c>
      <c r="C4676" t="s">
        <v>16</v>
      </c>
      <c r="D4676" t="s">
        <v>41</v>
      </c>
      <c r="E4676" t="s">
        <v>12</v>
      </c>
      <c r="F4676">
        <v>100.85</v>
      </c>
      <c r="G4676">
        <v>27.99</v>
      </c>
      <c r="H4676" t="s">
        <v>13</v>
      </c>
      <c r="I4676" t="s">
        <v>14</v>
      </c>
    </row>
    <row r="4677" spans="1:9" x14ac:dyDescent="0.35">
      <c r="A4677" t="s">
        <v>4713</v>
      </c>
      <c r="B4677" s="1">
        <v>45255</v>
      </c>
      <c r="C4677" t="s">
        <v>16</v>
      </c>
      <c r="D4677" t="s">
        <v>46</v>
      </c>
      <c r="E4677" t="s">
        <v>18</v>
      </c>
      <c r="F4677">
        <v>79.150000000000006</v>
      </c>
      <c r="G4677">
        <v>11.78</v>
      </c>
      <c r="H4677" t="s">
        <v>28</v>
      </c>
      <c r="I4677" t="s">
        <v>14</v>
      </c>
    </row>
    <row r="4678" spans="1:9" x14ac:dyDescent="0.35">
      <c r="A4678" t="s">
        <v>4714</v>
      </c>
      <c r="B4678" s="1">
        <v>45475</v>
      </c>
      <c r="C4678" t="s">
        <v>22</v>
      </c>
      <c r="D4678" t="s">
        <v>17</v>
      </c>
      <c r="E4678" t="s">
        <v>18</v>
      </c>
      <c r="F4678">
        <v>897.01</v>
      </c>
      <c r="G4678">
        <v>236.95</v>
      </c>
      <c r="H4678" t="s">
        <v>13</v>
      </c>
      <c r="I4678" t="s">
        <v>14</v>
      </c>
    </row>
    <row r="4679" spans="1:9" x14ac:dyDescent="0.35">
      <c r="A4679" t="s">
        <v>4715</v>
      </c>
      <c r="B4679" s="1">
        <v>44999</v>
      </c>
      <c r="C4679" t="s">
        <v>10</v>
      </c>
      <c r="D4679" t="s">
        <v>23</v>
      </c>
      <c r="E4679" t="s">
        <v>18</v>
      </c>
      <c r="F4679">
        <v>494</v>
      </c>
      <c r="G4679">
        <v>28.83</v>
      </c>
      <c r="H4679" t="s">
        <v>28</v>
      </c>
      <c r="I4679" t="s">
        <v>29</v>
      </c>
    </row>
    <row r="4680" spans="1:9" x14ac:dyDescent="0.35">
      <c r="A4680" t="s">
        <v>4716</v>
      </c>
      <c r="B4680" s="1">
        <v>45429</v>
      </c>
      <c r="C4680" t="s">
        <v>16</v>
      </c>
      <c r="D4680" t="s">
        <v>31</v>
      </c>
      <c r="E4680" t="s">
        <v>12</v>
      </c>
      <c r="F4680">
        <v>1798.05</v>
      </c>
      <c r="G4680">
        <v>383.35</v>
      </c>
      <c r="H4680" t="s">
        <v>28</v>
      </c>
      <c r="I4680" t="s">
        <v>14</v>
      </c>
    </row>
    <row r="4681" spans="1:9" x14ac:dyDescent="0.35">
      <c r="A4681" t="s">
        <v>4717</v>
      </c>
      <c r="B4681" s="1">
        <v>45638</v>
      </c>
      <c r="C4681" t="s">
        <v>25</v>
      </c>
      <c r="D4681" t="s">
        <v>31</v>
      </c>
      <c r="E4681" t="s">
        <v>12</v>
      </c>
      <c r="F4681">
        <v>1841.78</v>
      </c>
      <c r="G4681">
        <v>307.14</v>
      </c>
      <c r="H4681" t="s">
        <v>13</v>
      </c>
      <c r="I4681" t="s">
        <v>29</v>
      </c>
    </row>
    <row r="4682" spans="1:9" x14ac:dyDescent="0.35">
      <c r="A4682" t="s">
        <v>4718</v>
      </c>
      <c r="B4682" s="1">
        <v>44627</v>
      </c>
      <c r="C4682" t="s">
        <v>25</v>
      </c>
      <c r="D4682" t="s">
        <v>50</v>
      </c>
      <c r="E4682" t="s">
        <v>12</v>
      </c>
      <c r="F4682">
        <v>240.07</v>
      </c>
      <c r="G4682">
        <v>16.37</v>
      </c>
      <c r="H4682" t="s">
        <v>19</v>
      </c>
      <c r="I4682" t="s">
        <v>29</v>
      </c>
    </row>
    <row r="4683" spans="1:9" x14ac:dyDescent="0.35">
      <c r="A4683" t="s">
        <v>4719</v>
      </c>
      <c r="B4683" s="1">
        <v>44593</v>
      </c>
      <c r="C4683" t="s">
        <v>16</v>
      </c>
      <c r="D4683" t="s">
        <v>41</v>
      </c>
      <c r="E4683" t="s">
        <v>12</v>
      </c>
      <c r="F4683">
        <v>453.18</v>
      </c>
      <c r="G4683">
        <v>119.72</v>
      </c>
      <c r="H4683" t="s">
        <v>19</v>
      </c>
      <c r="I4683" t="s">
        <v>29</v>
      </c>
    </row>
    <row r="4684" spans="1:9" x14ac:dyDescent="0.35">
      <c r="A4684" t="s">
        <v>4720</v>
      </c>
      <c r="B4684" s="1">
        <v>44803</v>
      </c>
      <c r="C4684" t="s">
        <v>22</v>
      </c>
      <c r="D4684" t="s">
        <v>97</v>
      </c>
      <c r="E4684" t="s">
        <v>27</v>
      </c>
      <c r="F4684">
        <v>369.61</v>
      </c>
      <c r="G4684">
        <v>22.13</v>
      </c>
      <c r="H4684" t="s">
        <v>13</v>
      </c>
      <c r="I4684" t="s">
        <v>20</v>
      </c>
    </row>
    <row r="4685" spans="1:9" x14ac:dyDescent="0.35">
      <c r="A4685" t="s">
        <v>4721</v>
      </c>
      <c r="B4685" s="1">
        <v>45124</v>
      </c>
      <c r="C4685" t="s">
        <v>25</v>
      </c>
      <c r="D4685" t="s">
        <v>62</v>
      </c>
      <c r="E4685" t="s">
        <v>27</v>
      </c>
      <c r="F4685">
        <v>1925.2</v>
      </c>
      <c r="G4685">
        <v>265.95</v>
      </c>
      <c r="H4685" t="s">
        <v>19</v>
      </c>
      <c r="I4685" t="s">
        <v>20</v>
      </c>
    </row>
    <row r="4686" spans="1:9" x14ac:dyDescent="0.35">
      <c r="A4686" t="s">
        <v>4722</v>
      </c>
      <c r="B4686" s="1">
        <v>45015</v>
      </c>
      <c r="C4686" t="s">
        <v>22</v>
      </c>
      <c r="D4686" t="s">
        <v>97</v>
      </c>
      <c r="E4686" t="s">
        <v>27</v>
      </c>
      <c r="F4686">
        <v>640.36</v>
      </c>
      <c r="G4686">
        <v>185.09</v>
      </c>
      <c r="H4686" t="s">
        <v>19</v>
      </c>
      <c r="I4686" t="s">
        <v>29</v>
      </c>
    </row>
    <row r="4687" spans="1:9" x14ac:dyDescent="0.35">
      <c r="A4687" t="s">
        <v>4723</v>
      </c>
      <c r="B4687" s="1">
        <v>45074</v>
      </c>
      <c r="C4687" t="s">
        <v>22</v>
      </c>
      <c r="D4687" t="s">
        <v>26</v>
      </c>
      <c r="E4687" t="s">
        <v>27</v>
      </c>
      <c r="F4687">
        <v>1533.43</v>
      </c>
      <c r="G4687">
        <v>86.24</v>
      </c>
      <c r="H4687" t="s">
        <v>13</v>
      </c>
      <c r="I4687" t="s">
        <v>29</v>
      </c>
    </row>
    <row r="4688" spans="1:9" x14ac:dyDescent="0.35">
      <c r="A4688" t="s">
        <v>4724</v>
      </c>
      <c r="B4688" s="1">
        <v>45392</v>
      </c>
      <c r="C4688" t="s">
        <v>25</v>
      </c>
      <c r="D4688" t="s">
        <v>73</v>
      </c>
      <c r="E4688" t="s">
        <v>27</v>
      </c>
      <c r="F4688">
        <v>579.99</v>
      </c>
      <c r="G4688">
        <v>70.88</v>
      </c>
      <c r="H4688" t="s">
        <v>28</v>
      </c>
      <c r="I4688" t="s">
        <v>14</v>
      </c>
    </row>
    <row r="4689" spans="1:9" x14ac:dyDescent="0.35">
      <c r="A4689" t="s">
        <v>4725</v>
      </c>
      <c r="B4689" s="1">
        <v>44877</v>
      </c>
      <c r="C4689" t="s">
        <v>16</v>
      </c>
      <c r="D4689" t="s">
        <v>73</v>
      </c>
      <c r="E4689" t="s">
        <v>27</v>
      </c>
      <c r="F4689">
        <v>743.09</v>
      </c>
      <c r="G4689">
        <v>71.64</v>
      </c>
      <c r="H4689" t="s">
        <v>13</v>
      </c>
      <c r="I4689" t="s">
        <v>14</v>
      </c>
    </row>
    <row r="4690" spans="1:9" x14ac:dyDescent="0.35">
      <c r="A4690" t="s">
        <v>4726</v>
      </c>
      <c r="B4690" s="1">
        <v>44771</v>
      </c>
      <c r="C4690" t="s">
        <v>25</v>
      </c>
      <c r="D4690" t="s">
        <v>73</v>
      </c>
      <c r="E4690" t="s">
        <v>27</v>
      </c>
      <c r="F4690">
        <v>1748.75</v>
      </c>
      <c r="G4690">
        <v>164.3</v>
      </c>
      <c r="H4690" t="s">
        <v>28</v>
      </c>
      <c r="I4690" t="s">
        <v>14</v>
      </c>
    </row>
    <row r="4691" spans="1:9" x14ac:dyDescent="0.35">
      <c r="A4691" t="s">
        <v>4727</v>
      </c>
      <c r="B4691" s="1">
        <v>44575</v>
      </c>
      <c r="C4691" t="s">
        <v>25</v>
      </c>
      <c r="D4691" t="s">
        <v>41</v>
      </c>
      <c r="E4691" t="s">
        <v>12</v>
      </c>
      <c r="F4691">
        <v>1216.81</v>
      </c>
      <c r="G4691">
        <v>339.12</v>
      </c>
      <c r="H4691" t="s">
        <v>13</v>
      </c>
      <c r="I4691" t="s">
        <v>14</v>
      </c>
    </row>
    <row r="4692" spans="1:9" x14ac:dyDescent="0.35">
      <c r="A4692" t="s">
        <v>4728</v>
      </c>
      <c r="B4692" s="1">
        <v>44952</v>
      </c>
      <c r="C4692" t="s">
        <v>22</v>
      </c>
      <c r="D4692" t="s">
        <v>38</v>
      </c>
      <c r="E4692" t="s">
        <v>12</v>
      </c>
      <c r="F4692">
        <v>1753.09</v>
      </c>
      <c r="G4692">
        <v>454.02</v>
      </c>
      <c r="H4692" t="s">
        <v>19</v>
      </c>
      <c r="I4692" t="s">
        <v>14</v>
      </c>
    </row>
    <row r="4693" spans="1:9" x14ac:dyDescent="0.35">
      <c r="A4693" t="s">
        <v>4729</v>
      </c>
      <c r="B4693" s="1">
        <v>44911</v>
      </c>
      <c r="C4693" t="s">
        <v>25</v>
      </c>
      <c r="D4693" t="s">
        <v>97</v>
      </c>
      <c r="E4693" t="s">
        <v>27</v>
      </c>
      <c r="F4693">
        <v>580.51</v>
      </c>
      <c r="G4693">
        <v>100.72</v>
      </c>
      <c r="H4693" t="s">
        <v>13</v>
      </c>
      <c r="I4693" t="s">
        <v>34</v>
      </c>
    </row>
    <row r="4694" spans="1:9" x14ac:dyDescent="0.35">
      <c r="A4694" t="s">
        <v>4730</v>
      </c>
      <c r="B4694" s="1">
        <v>45013</v>
      </c>
      <c r="C4694" t="s">
        <v>25</v>
      </c>
      <c r="D4694" t="s">
        <v>62</v>
      </c>
      <c r="E4694" t="s">
        <v>27</v>
      </c>
      <c r="F4694">
        <v>144.31</v>
      </c>
      <c r="G4694">
        <v>18.2</v>
      </c>
      <c r="H4694" t="s">
        <v>13</v>
      </c>
      <c r="I4694" t="s">
        <v>34</v>
      </c>
    </row>
    <row r="4695" spans="1:9" x14ac:dyDescent="0.35">
      <c r="A4695" t="s">
        <v>4731</v>
      </c>
      <c r="B4695" s="1">
        <v>44731</v>
      </c>
      <c r="C4695" t="s">
        <v>10</v>
      </c>
      <c r="D4695" t="s">
        <v>73</v>
      </c>
      <c r="E4695" t="s">
        <v>27</v>
      </c>
      <c r="F4695">
        <v>1502.17</v>
      </c>
      <c r="G4695">
        <v>85.97</v>
      </c>
      <c r="H4695" t="s">
        <v>13</v>
      </c>
      <c r="I4695" t="s">
        <v>20</v>
      </c>
    </row>
    <row r="4696" spans="1:9" x14ac:dyDescent="0.35">
      <c r="A4696" t="s">
        <v>4732</v>
      </c>
      <c r="B4696" s="1">
        <v>45596</v>
      </c>
      <c r="C4696" t="s">
        <v>25</v>
      </c>
      <c r="D4696" t="s">
        <v>23</v>
      </c>
      <c r="E4696" t="s">
        <v>18</v>
      </c>
      <c r="F4696">
        <v>656.52</v>
      </c>
      <c r="G4696">
        <v>100.6</v>
      </c>
      <c r="H4696" t="s">
        <v>19</v>
      </c>
      <c r="I4696" t="s">
        <v>34</v>
      </c>
    </row>
    <row r="4697" spans="1:9" x14ac:dyDescent="0.35">
      <c r="A4697" t="s">
        <v>4733</v>
      </c>
      <c r="B4697" s="1">
        <v>45020</v>
      </c>
      <c r="C4697" t="s">
        <v>10</v>
      </c>
      <c r="D4697" t="s">
        <v>41</v>
      </c>
      <c r="E4697" t="s">
        <v>12</v>
      </c>
      <c r="F4697">
        <v>266.31</v>
      </c>
      <c r="G4697">
        <v>23.12</v>
      </c>
      <c r="H4697" t="s">
        <v>13</v>
      </c>
      <c r="I4697" t="s">
        <v>14</v>
      </c>
    </row>
    <row r="4698" spans="1:9" x14ac:dyDescent="0.35">
      <c r="A4698" t="s">
        <v>4734</v>
      </c>
      <c r="B4698" s="1">
        <v>44722</v>
      </c>
      <c r="C4698" t="s">
        <v>22</v>
      </c>
      <c r="D4698" t="s">
        <v>46</v>
      </c>
      <c r="E4698" t="s">
        <v>18</v>
      </c>
      <c r="F4698">
        <v>1447.37</v>
      </c>
      <c r="G4698">
        <v>322.18</v>
      </c>
      <c r="H4698" t="s">
        <v>13</v>
      </c>
      <c r="I4698" t="s">
        <v>14</v>
      </c>
    </row>
    <row r="4699" spans="1:9" x14ac:dyDescent="0.35">
      <c r="A4699" t="s">
        <v>4735</v>
      </c>
      <c r="B4699" s="1">
        <v>44770</v>
      </c>
      <c r="C4699" t="s">
        <v>25</v>
      </c>
      <c r="D4699" t="s">
        <v>97</v>
      </c>
      <c r="E4699" t="s">
        <v>27</v>
      </c>
      <c r="F4699">
        <v>622.15</v>
      </c>
      <c r="G4699">
        <v>99.75</v>
      </c>
      <c r="H4699" t="s">
        <v>13</v>
      </c>
      <c r="I4699" t="s">
        <v>34</v>
      </c>
    </row>
    <row r="4700" spans="1:9" x14ac:dyDescent="0.35">
      <c r="A4700" t="s">
        <v>4736</v>
      </c>
      <c r="B4700" s="1">
        <v>45087</v>
      </c>
      <c r="C4700" t="s">
        <v>25</v>
      </c>
      <c r="D4700" t="s">
        <v>31</v>
      </c>
      <c r="E4700" t="s">
        <v>12</v>
      </c>
      <c r="F4700">
        <v>496.54</v>
      </c>
      <c r="G4700">
        <v>85.83</v>
      </c>
      <c r="H4700" t="s">
        <v>19</v>
      </c>
      <c r="I4700" t="s">
        <v>29</v>
      </c>
    </row>
    <row r="4701" spans="1:9" x14ac:dyDescent="0.35">
      <c r="A4701" t="s">
        <v>4737</v>
      </c>
      <c r="B4701" s="1">
        <v>45135</v>
      </c>
      <c r="C4701" t="s">
        <v>22</v>
      </c>
      <c r="D4701" t="s">
        <v>97</v>
      </c>
      <c r="E4701" t="s">
        <v>27</v>
      </c>
      <c r="F4701">
        <v>727.44</v>
      </c>
      <c r="G4701">
        <v>167.69</v>
      </c>
      <c r="H4701" t="s">
        <v>28</v>
      </c>
      <c r="I4701" t="s">
        <v>14</v>
      </c>
    </row>
    <row r="4702" spans="1:9" x14ac:dyDescent="0.35">
      <c r="A4702" t="s">
        <v>4738</v>
      </c>
      <c r="B4702" s="1">
        <v>44661</v>
      </c>
      <c r="C4702" t="s">
        <v>22</v>
      </c>
      <c r="D4702" t="s">
        <v>46</v>
      </c>
      <c r="E4702" t="s">
        <v>18</v>
      </c>
      <c r="F4702">
        <v>655.03</v>
      </c>
      <c r="G4702">
        <v>119.98</v>
      </c>
      <c r="H4702" t="s">
        <v>28</v>
      </c>
      <c r="I4702" t="s">
        <v>20</v>
      </c>
    </row>
    <row r="4703" spans="1:9" x14ac:dyDescent="0.35">
      <c r="A4703" t="s">
        <v>4739</v>
      </c>
      <c r="B4703" s="1">
        <v>44711</v>
      </c>
      <c r="C4703" t="s">
        <v>16</v>
      </c>
      <c r="D4703" t="s">
        <v>46</v>
      </c>
      <c r="E4703" t="s">
        <v>18</v>
      </c>
      <c r="F4703">
        <v>1964.7</v>
      </c>
      <c r="G4703">
        <v>225.3</v>
      </c>
      <c r="H4703" t="s">
        <v>13</v>
      </c>
      <c r="I4703" t="s">
        <v>29</v>
      </c>
    </row>
    <row r="4704" spans="1:9" x14ac:dyDescent="0.35">
      <c r="A4704" t="s">
        <v>4740</v>
      </c>
      <c r="B4704" s="1">
        <v>45142</v>
      </c>
      <c r="C4704" t="s">
        <v>25</v>
      </c>
      <c r="D4704" t="s">
        <v>41</v>
      </c>
      <c r="E4704" t="s">
        <v>12</v>
      </c>
      <c r="F4704">
        <v>1108.98</v>
      </c>
      <c r="G4704">
        <v>99.88</v>
      </c>
      <c r="H4704" t="s">
        <v>28</v>
      </c>
      <c r="I4704" t="s">
        <v>20</v>
      </c>
    </row>
    <row r="4705" spans="1:9" x14ac:dyDescent="0.35">
      <c r="A4705" t="s">
        <v>4741</v>
      </c>
      <c r="B4705" s="1">
        <v>45076</v>
      </c>
      <c r="C4705" t="s">
        <v>22</v>
      </c>
      <c r="D4705" t="s">
        <v>41</v>
      </c>
      <c r="E4705" t="s">
        <v>12</v>
      </c>
      <c r="F4705">
        <v>1036.33</v>
      </c>
      <c r="G4705">
        <v>272.27</v>
      </c>
      <c r="H4705" t="s">
        <v>28</v>
      </c>
      <c r="I4705" t="s">
        <v>29</v>
      </c>
    </row>
    <row r="4706" spans="1:9" x14ac:dyDescent="0.35">
      <c r="A4706" t="s">
        <v>4742</v>
      </c>
      <c r="B4706" s="1">
        <v>45313</v>
      </c>
      <c r="C4706" t="s">
        <v>22</v>
      </c>
      <c r="D4706" t="s">
        <v>26</v>
      </c>
      <c r="E4706" t="s">
        <v>27</v>
      </c>
      <c r="F4706">
        <v>1296.0999999999999</v>
      </c>
      <c r="G4706">
        <v>328.37</v>
      </c>
      <c r="H4706" t="s">
        <v>19</v>
      </c>
      <c r="I4706" t="s">
        <v>14</v>
      </c>
    </row>
    <row r="4707" spans="1:9" x14ac:dyDescent="0.35">
      <c r="A4707" t="s">
        <v>4743</v>
      </c>
      <c r="B4707" s="1">
        <v>45170</v>
      </c>
      <c r="C4707" t="s">
        <v>10</v>
      </c>
      <c r="D4707" t="s">
        <v>17</v>
      </c>
      <c r="E4707" t="s">
        <v>18</v>
      </c>
      <c r="F4707">
        <v>699.88</v>
      </c>
      <c r="G4707">
        <v>171.62</v>
      </c>
      <c r="H4707" t="s">
        <v>19</v>
      </c>
      <c r="I4707" t="s">
        <v>20</v>
      </c>
    </row>
    <row r="4708" spans="1:9" x14ac:dyDescent="0.35">
      <c r="A4708" t="s">
        <v>4744</v>
      </c>
      <c r="B4708" s="1">
        <v>45514</v>
      </c>
      <c r="C4708" t="s">
        <v>22</v>
      </c>
      <c r="D4708" t="s">
        <v>33</v>
      </c>
      <c r="E4708" t="s">
        <v>18</v>
      </c>
      <c r="F4708">
        <v>1105.2</v>
      </c>
      <c r="G4708">
        <v>201.84</v>
      </c>
      <c r="H4708" t="s">
        <v>28</v>
      </c>
      <c r="I4708" t="s">
        <v>34</v>
      </c>
    </row>
    <row r="4709" spans="1:9" x14ac:dyDescent="0.35">
      <c r="A4709" t="s">
        <v>4745</v>
      </c>
      <c r="B4709" s="1">
        <v>44982</v>
      </c>
      <c r="C4709" t="s">
        <v>16</v>
      </c>
      <c r="D4709" t="s">
        <v>26</v>
      </c>
      <c r="E4709" t="s">
        <v>27</v>
      </c>
      <c r="F4709">
        <v>1242.0899999999999</v>
      </c>
      <c r="G4709">
        <v>142.91</v>
      </c>
      <c r="H4709" t="s">
        <v>13</v>
      </c>
      <c r="I4709" t="s">
        <v>14</v>
      </c>
    </row>
    <row r="4710" spans="1:9" x14ac:dyDescent="0.35">
      <c r="A4710" t="s">
        <v>4746</v>
      </c>
      <c r="B4710" s="1">
        <v>44972</v>
      </c>
      <c r="C4710" t="s">
        <v>10</v>
      </c>
      <c r="D4710" t="s">
        <v>23</v>
      </c>
      <c r="E4710" t="s">
        <v>18</v>
      </c>
      <c r="F4710">
        <v>846.28</v>
      </c>
      <c r="G4710">
        <v>148.88999999999999</v>
      </c>
      <c r="H4710" t="s">
        <v>28</v>
      </c>
      <c r="I4710" t="s">
        <v>29</v>
      </c>
    </row>
    <row r="4711" spans="1:9" x14ac:dyDescent="0.35">
      <c r="A4711" t="s">
        <v>4747</v>
      </c>
      <c r="B4711" s="1">
        <v>45307</v>
      </c>
      <c r="C4711" t="s">
        <v>10</v>
      </c>
      <c r="D4711" t="s">
        <v>41</v>
      </c>
      <c r="E4711" t="s">
        <v>12</v>
      </c>
      <c r="F4711">
        <v>1528.76</v>
      </c>
      <c r="G4711">
        <v>282.42</v>
      </c>
      <c r="H4711" t="s">
        <v>19</v>
      </c>
      <c r="I4711" t="s">
        <v>14</v>
      </c>
    </row>
    <row r="4712" spans="1:9" x14ac:dyDescent="0.35">
      <c r="A4712" t="s">
        <v>4748</v>
      </c>
      <c r="B4712" s="1">
        <v>45205</v>
      </c>
      <c r="C4712" t="s">
        <v>16</v>
      </c>
      <c r="D4712" t="s">
        <v>33</v>
      </c>
      <c r="E4712" t="s">
        <v>18</v>
      </c>
      <c r="F4712">
        <v>281.07</v>
      </c>
      <c r="G4712">
        <v>47.81</v>
      </c>
      <c r="H4712" t="s">
        <v>13</v>
      </c>
      <c r="I4712" t="s">
        <v>14</v>
      </c>
    </row>
    <row r="4713" spans="1:9" x14ac:dyDescent="0.35">
      <c r="A4713" t="s">
        <v>4749</v>
      </c>
      <c r="B4713" s="1">
        <v>45561</v>
      </c>
      <c r="C4713" t="s">
        <v>22</v>
      </c>
      <c r="D4713" t="s">
        <v>97</v>
      </c>
      <c r="E4713" t="s">
        <v>27</v>
      </c>
      <c r="F4713">
        <v>917.72</v>
      </c>
      <c r="G4713">
        <v>206.41</v>
      </c>
      <c r="H4713" t="s">
        <v>13</v>
      </c>
      <c r="I4713" t="s">
        <v>20</v>
      </c>
    </row>
    <row r="4714" spans="1:9" x14ac:dyDescent="0.35">
      <c r="A4714" t="s">
        <v>4750</v>
      </c>
      <c r="B4714" s="1">
        <v>44800</v>
      </c>
      <c r="C4714" t="s">
        <v>10</v>
      </c>
      <c r="D4714" t="s">
        <v>33</v>
      </c>
      <c r="E4714" t="s">
        <v>18</v>
      </c>
      <c r="F4714">
        <v>1794.38</v>
      </c>
      <c r="G4714">
        <v>399.62</v>
      </c>
      <c r="H4714" t="s">
        <v>13</v>
      </c>
      <c r="I4714" t="s">
        <v>14</v>
      </c>
    </row>
    <row r="4715" spans="1:9" x14ac:dyDescent="0.35">
      <c r="A4715" t="s">
        <v>4751</v>
      </c>
      <c r="B4715" s="1">
        <v>44569</v>
      </c>
      <c r="C4715" t="s">
        <v>10</v>
      </c>
      <c r="D4715" t="s">
        <v>46</v>
      </c>
      <c r="E4715" t="s">
        <v>18</v>
      </c>
      <c r="F4715">
        <v>596.54999999999995</v>
      </c>
      <c r="G4715">
        <v>52.67</v>
      </c>
      <c r="H4715" t="s">
        <v>28</v>
      </c>
      <c r="I4715" t="s">
        <v>20</v>
      </c>
    </row>
    <row r="4716" spans="1:9" x14ac:dyDescent="0.35">
      <c r="A4716" t="s">
        <v>4752</v>
      </c>
      <c r="B4716" s="1">
        <v>45292</v>
      </c>
      <c r="C4716" t="s">
        <v>25</v>
      </c>
      <c r="D4716" t="s">
        <v>23</v>
      </c>
      <c r="E4716" t="s">
        <v>18</v>
      </c>
      <c r="F4716">
        <v>564.64</v>
      </c>
      <c r="G4716">
        <v>110.87</v>
      </c>
      <c r="H4716" t="s">
        <v>13</v>
      </c>
      <c r="I4716" t="s">
        <v>29</v>
      </c>
    </row>
    <row r="4717" spans="1:9" x14ac:dyDescent="0.35">
      <c r="A4717" t="s">
        <v>4753</v>
      </c>
      <c r="B4717" s="1">
        <v>45584</v>
      </c>
      <c r="C4717" t="s">
        <v>16</v>
      </c>
      <c r="D4717" t="s">
        <v>97</v>
      </c>
      <c r="E4717" t="s">
        <v>27</v>
      </c>
      <c r="F4717">
        <v>1572.48</v>
      </c>
      <c r="G4717">
        <v>113.02</v>
      </c>
      <c r="H4717" t="s">
        <v>28</v>
      </c>
      <c r="I4717" t="s">
        <v>20</v>
      </c>
    </row>
    <row r="4718" spans="1:9" x14ac:dyDescent="0.35">
      <c r="A4718" t="s">
        <v>4754</v>
      </c>
      <c r="B4718" s="1">
        <v>44989</v>
      </c>
      <c r="C4718" t="s">
        <v>10</v>
      </c>
      <c r="D4718" t="s">
        <v>50</v>
      </c>
      <c r="E4718" t="s">
        <v>12</v>
      </c>
      <c r="F4718">
        <v>1328</v>
      </c>
      <c r="G4718">
        <v>286.63</v>
      </c>
      <c r="H4718" t="s">
        <v>28</v>
      </c>
      <c r="I4718" t="s">
        <v>29</v>
      </c>
    </row>
    <row r="4719" spans="1:9" x14ac:dyDescent="0.35">
      <c r="A4719" t="s">
        <v>4755</v>
      </c>
      <c r="B4719" s="1">
        <v>45271</v>
      </c>
      <c r="C4719" t="s">
        <v>25</v>
      </c>
      <c r="D4719" t="s">
        <v>31</v>
      </c>
      <c r="E4719" t="s">
        <v>12</v>
      </c>
      <c r="F4719">
        <v>424.64</v>
      </c>
      <c r="G4719">
        <v>73.05</v>
      </c>
      <c r="H4719" t="s">
        <v>28</v>
      </c>
      <c r="I4719" t="s">
        <v>34</v>
      </c>
    </row>
    <row r="4720" spans="1:9" x14ac:dyDescent="0.35">
      <c r="A4720" t="s">
        <v>4756</v>
      </c>
      <c r="B4720" s="1">
        <v>45280</v>
      </c>
      <c r="C4720" t="s">
        <v>10</v>
      </c>
      <c r="D4720" t="s">
        <v>41</v>
      </c>
      <c r="E4720" t="s">
        <v>12</v>
      </c>
      <c r="F4720">
        <v>765.83</v>
      </c>
      <c r="G4720">
        <v>157.97</v>
      </c>
      <c r="H4720" t="s">
        <v>13</v>
      </c>
      <c r="I4720" t="s">
        <v>20</v>
      </c>
    </row>
    <row r="4721" spans="1:9" x14ac:dyDescent="0.35">
      <c r="A4721" t="s">
        <v>4757</v>
      </c>
      <c r="B4721" s="1">
        <v>45246</v>
      </c>
      <c r="C4721" t="s">
        <v>22</v>
      </c>
      <c r="D4721" t="s">
        <v>23</v>
      </c>
      <c r="E4721" t="s">
        <v>18</v>
      </c>
      <c r="F4721">
        <v>292.01</v>
      </c>
      <c r="G4721">
        <v>43.07</v>
      </c>
      <c r="H4721" t="s">
        <v>19</v>
      </c>
      <c r="I4721" t="s">
        <v>14</v>
      </c>
    </row>
    <row r="4722" spans="1:9" x14ac:dyDescent="0.35">
      <c r="A4722" t="s">
        <v>4758</v>
      </c>
      <c r="B4722" s="1">
        <v>45354</v>
      </c>
      <c r="C4722" t="s">
        <v>25</v>
      </c>
      <c r="D4722" t="s">
        <v>62</v>
      </c>
      <c r="E4722" t="s">
        <v>27</v>
      </c>
      <c r="F4722">
        <v>814.33</v>
      </c>
      <c r="G4722">
        <v>176.1</v>
      </c>
      <c r="H4722" t="s">
        <v>13</v>
      </c>
      <c r="I4722" t="s">
        <v>34</v>
      </c>
    </row>
    <row r="4723" spans="1:9" x14ac:dyDescent="0.35">
      <c r="A4723" t="s">
        <v>4759</v>
      </c>
      <c r="B4723" s="1">
        <v>45495</v>
      </c>
      <c r="C4723" t="s">
        <v>22</v>
      </c>
      <c r="D4723" t="s">
        <v>23</v>
      </c>
      <c r="E4723" t="s">
        <v>18</v>
      </c>
      <c r="F4723">
        <v>1658.77</v>
      </c>
      <c r="G4723">
        <v>257.58999999999997</v>
      </c>
      <c r="H4723" t="s">
        <v>13</v>
      </c>
      <c r="I4723" t="s">
        <v>29</v>
      </c>
    </row>
    <row r="4724" spans="1:9" x14ac:dyDescent="0.35">
      <c r="A4724" t="s">
        <v>4760</v>
      </c>
      <c r="B4724" s="1">
        <v>44923</v>
      </c>
      <c r="C4724" t="s">
        <v>10</v>
      </c>
      <c r="D4724" t="s">
        <v>17</v>
      </c>
      <c r="E4724" t="s">
        <v>18</v>
      </c>
      <c r="F4724">
        <v>1854.37</v>
      </c>
      <c r="G4724">
        <v>348.58</v>
      </c>
      <c r="H4724" t="s">
        <v>13</v>
      </c>
      <c r="I4724" t="s">
        <v>34</v>
      </c>
    </row>
    <row r="4725" spans="1:9" x14ac:dyDescent="0.35">
      <c r="A4725" t="s">
        <v>4761</v>
      </c>
      <c r="B4725" s="1">
        <v>44895</v>
      </c>
      <c r="C4725" t="s">
        <v>16</v>
      </c>
      <c r="D4725" t="s">
        <v>97</v>
      </c>
      <c r="E4725" t="s">
        <v>27</v>
      </c>
      <c r="F4725">
        <v>245.08</v>
      </c>
      <c r="G4725">
        <v>35.15</v>
      </c>
      <c r="H4725" t="s">
        <v>28</v>
      </c>
      <c r="I4725" t="s">
        <v>14</v>
      </c>
    </row>
    <row r="4726" spans="1:9" x14ac:dyDescent="0.35">
      <c r="A4726" t="s">
        <v>4762</v>
      </c>
      <c r="B4726" s="1">
        <v>45526</v>
      </c>
      <c r="C4726" t="s">
        <v>22</v>
      </c>
      <c r="D4726" t="s">
        <v>31</v>
      </c>
      <c r="E4726" t="s">
        <v>12</v>
      </c>
      <c r="F4726">
        <v>613.79</v>
      </c>
      <c r="G4726">
        <v>81.83</v>
      </c>
      <c r="H4726" t="s">
        <v>28</v>
      </c>
      <c r="I4726" t="s">
        <v>29</v>
      </c>
    </row>
    <row r="4727" spans="1:9" x14ac:dyDescent="0.35">
      <c r="A4727" t="s">
        <v>4763</v>
      </c>
      <c r="B4727" s="1">
        <v>44951</v>
      </c>
      <c r="C4727" t="s">
        <v>10</v>
      </c>
      <c r="D4727" t="s">
        <v>46</v>
      </c>
      <c r="E4727" t="s">
        <v>18</v>
      </c>
      <c r="F4727">
        <v>153.43</v>
      </c>
      <c r="G4727">
        <v>19.63</v>
      </c>
      <c r="H4727" t="s">
        <v>19</v>
      </c>
      <c r="I4727" t="s">
        <v>20</v>
      </c>
    </row>
    <row r="4728" spans="1:9" x14ac:dyDescent="0.35">
      <c r="A4728" t="s">
        <v>4764</v>
      </c>
      <c r="B4728" s="1">
        <v>44903</v>
      </c>
      <c r="C4728" t="s">
        <v>16</v>
      </c>
      <c r="D4728" t="s">
        <v>73</v>
      </c>
      <c r="E4728" t="s">
        <v>27</v>
      </c>
      <c r="F4728">
        <v>1535.13</v>
      </c>
      <c r="G4728">
        <v>114.64</v>
      </c>
      <c r="H4728" t="s">
        <v>28</v>
      </c>
      <c r="I4728" t="s">
        <v>29</v>
      </c>
    </row>
    <row r="4729" spans="1:9" x14ac:dyDescent="0.35">
      <c r="A4729" t="s">
        <v>4765</v>
      </c>
      <c r="B4729" s="1">
        <v>45402</v>
      </c>
      <c r="C4729" t="s">
        <v>16</v>
      </c>
      <c r="D4729" t="s">
        <v>97</v>
      </c>
      <c r="E4729" t="s">
        <v>27</v>
      </c>
      <c r="F4729">
        <v>1818.88</v>
      </c>
      <c r="G4729">
        <v>513.96</v>
      </c>
      <c r="H4729" t="s">
        <v>13</v>
      </c>
      <c r="I4729" t="s">
        <v>34</v>
      </c>
    </row>
    <row r="4730" spans="1:9" x14ac:dyDescent="0.35">
      <c r="A4730" t="s">
        <v>4766</v>
      </c>
      <c r="B4730" s="1">
        <v>44747</v>
      </c>
      <c r="C4730" t="s">
        <v>22</v>
      </c>
      <c r="D4730" t="s">
        <v>33</v>
      </c>
      <c r="E4730" t="s">
        <v>18</v>
      </c>
      <c r="F4730">
        <v>616.17999999999995</v>
      </c>
      <c r="G4730">
        <v>121.56</v>
      </c>
      <c r="H4730" t="s">
        <v>13</v>
      </c>
      <c r="I4730" t="s">
        <v>20</v>
      </c>
    </row>
    <row r="4731" spans="1:9" x14ac:dyDescent="0.35">
      <c r="A4731" t="s">
        <v>4767</v>
      </c>
      <c r="B4731" s="1">
        <v>45152</v>
      </c>
      <c r="C4731" t="s">
        <v>22</v>
      </c>
      <c r="D4731" t="s">
        <v>46</v>
      </c>
      <c r="E4731" t="s">
        <v>18</v>
      </c>
      <c r="F4731">
        <v>848.84</v>
      </c>
      <c r="G4731">
        <v>50.73</v>
      </c>
      <c r="H4731" t="s">
        <v>28</v>
      </c>
      <c r="I4731" t="s">
        <v>29</v>
      </c>
    </row>
    <row r="4732" spans="1:9" x14ac:dyDescent="0.35">
      <c r="A4732" t="s">
        <v>4768</v>
      </c>
      <c r="B4732" s="1">
        <v>45203</v>
      </c>
      <c r="C4732" t="s">
        <v>10</v>
      </c>
      <c r="D4732" t="s">
        <v>50</v>
      </c>
      <c r="E4732" t="s">
        <v>12</v>
      </c>
      <c r="F4732">
        <v>256.06</v>
      </c>
      <c r="G4732">
        <v>37.79</v>
      </c>
      <c r="H4732" t="s">
        <v>13</v>
      </c>
      <c r="I4732" t="s">
        <v>29</v>
      </c>
    </row>
    <row r="4733" spans="1:9" x14ac:dyDescent="0.35">
      <c r="A4733" t="s">
        <v>4769</v>
      </c>
      <c r="B4733" s="1">
        <v>44586</v>
      </c>
      <c r="C4733" t="s">
        <v>16</v>
      </c>
      <c r="D4733" t="s">
        <v>17</v>
      </c>
      <c r="E4733" t="s">
        <v>18</v>
      </c>
      <c r="F4733">
        <v>1585.56</v>
      </c>
      <c r="G4733">
        <v>126.82</v>
      </c>
      <c r="H4733" t="s">
        <v>13</v>
      </c>
      <c r="I4733" t="s">
        <v>34</v>
      </c>
    </row>
    <row r="4734" spans="1:9" x14ac:dyDescent="0.35">
      <c r="A4734" t="s">
        <v>4770</v>
      </c>
      <c r="B4734" s="1">
        <v>44864</v>
      </c>
      <c r="C4734" t="s">
        <v>16</v>
      </c>
      <c r="D4734" t="s">
        <v>38</v>
      </c>
      <c r="E4734" t="s">
        <v>12</v>
      </c>
      <c r="F4734">
        <v>128.36000000000001</v>
      </c>
      <c r="G4734">
        <v>26.02</v>
      </c>
      <c r="H4734" t="s">
        <v>28</v>
      </c>
      <c r="I4734" t="s">
        <v>20</v>
      </c>
    </row>
    <row r="4735" spans="1:9" x14ac:dyDescent="0.35">
      <c r="A4735" t="s">
        <v>4771</v>
      </c>
      <c r="B4735" s="1">
        <v>45264</v>
      </c>
      <c r="C4735" t="s">
        <v>22</v>
      </c>
      <c r="D4735" t="s">
        <v>26</v>
      </c>
      <c r="E4735" t="s">
        <v>27</v>
      </c>
      <c r="F4735">
        <v>1329.25</v>
      </c>
      <c r="G4735">
        <v>245.21</v>
      </c>
      <c r="H4735" t="s">
        <v>28</v>
      </c>
      <c r="I4735" t="s">
        <v>34</v>
      </c>
    </row>
    <row r="4736" spans="1:9" x14ac:dyDescent="0.35">
      <c r="A4736" t="s">
        <v>4772</v>
      </c>
      <c r="B4736" s="1">
        <v>44913</v>
      </c>
      <c r="C4736" t="s">
        <v>16</v>
      </c>
      <c r="D4736" t="s">
        <v>46</v>
      </c>
      <c r="E4736" t="s">
        <v>18</v>
      </c>
      <c r="F4736">
        <v>1526.81</v>
      </c>
      <c r="G4736">
        <v>280.55</v>
      </c>
      <c r="H4736" t="s">
        <v>28</v>
      </c>
      <c r="I4736" t="s">
        <v>29</v>
      </c>
    </row>
    <row r="4737" spans="1:9" x14ac:dyDescent="0.35">
      <c r="A4737" t="s">
        <v>4773</v>
      </c>
      <c r="B4737" s="1">
        <v>45390</v>
      </c>
      <c r="C4737" t="s">
        <v>22</v>
      </c>
      <c r="D4737" t="s">
        <v>23</v>
      </c>
      <c r="E4737" t="s">
        <v>18</v>
      </c>
      <c r="F4737">
        <v>1744.45</v>
      </c>
      <c r="G4737">
        <v>463.19</v>
      </c>
      <c r="H4737" t="s">
        <v>13</v>
      </c>
      <c r="I4737" t="s">
        <v>29</v>
      </c>
    </row>
    <row r="4738" spans="1:9" x14ac:dyDescent="0.35">
      <c r="A4738" t="s">
        <v>4774</v>
      </c>
      <c r="B4738" s="1">
        <v>45304</v>
      </c>
      <c r="C4738" t="s">
        <v>10</v>
      </c>
      <c r="D4738" t="s">
        <v>46</v>
      </c>
      <c r="E4738" t="s">
        <v>18</v>
      </c>
      <c r="F4738">
        <v>1223.1500000000001</v>
      </c>
      <c r="G4738">
        <v>262.25</v>
      </c>
      <c r="H4738" t="s">
        <v>13</v>
      </c>
      <c r="I4738" t="s">
        <v>14</v>
      </c>
    </row>
    <row r="4739" spans="1:9" x14ac:dyDescent="0.35">
      <c r="A4739" t="s">
        <v>4775</v>
      </c>
      <c r="B4739" s="1">
        <v>44986</v>
      </c>
      <c r="C4739" t="s">
        <v>16</v>
      </c>
      <c r="D4739" t="s">
        <v>57</v>
      </c>
      <c r="E4739" t="s">
        <v>27</v>
      </c>
      <c r="F4739">
        <v>886.55</v>
      </c>
      <c r="G4739">
        <v>154.16</v>
      </c>
      <c r="H4739" t="s">
        <v>13</v>
      </c>
      <c r="I4739" t="s">
        <v>29</v>
      </c>
    </row>
    <row r="4740" spans="1:9" x14ac:dyDescent="0.35">
      <c r="A4740" t="s">
        <v>4776</v>
      </c>
      <c r="B4740" s="1">
        <v>44895</v>
      </c>
      <c r="C4740" t="s">
        <v>22</v>
      </c>
      <c r="D4740" t="s">
        <v>97</v>
      </c>
      <c r="E4740" t="s">
        <v>27</v>
      </c>
      <c r="F4740">
        <v>1876.16</v>
      </c>
      <c r="G4740">
        <v>370.83</v>
      </c>
      <c r="H4740" t="s">
        <v>13</v>
      </c>
      <c r="I4740" t="s">
        <v>14</v>
      </c>
    </row>
    <row r="4741" spans="1:9" x14ac:dyDescent="0.35">
      <c r="A4741" t="s">
        <v>4777</v>
      </c>
      <c r="B4741" s="1">
        <v>45383</v>
      </c>
      <c r="C4741" t="s">
        <v>25</v>
      </c>
      <c r="D4741" t="s">
        <v>33</v>
      </c>
      <c r="E4741" t="s">
        <v>18</v>
      </c>
      <c r="F4741">
        <v>721.26</v>
      </c>
      <c r="G4741">
        <v>90.3</v>
      </c>
      <c r="H4741" t="s">
        <v>19</v>
      </c>
      <c r="I4741" t="s">
        <v>14</v>
      </c>
    </row>
    <row r="4742" spans="1:9" x14ac:dyDescent="0.35">
      <c r="A4742" t="s">
        <v>4778</v>
      </c>
      <c r="B4742" s="1">
        <v>45011</v>
      </c>
      <c r="C4742" t="s">
        <v>22</v>
      </c>
      <c r="D4742" t="s">
        <v>23</v>
      </c>
      <c r="E4742" t="s">
        <v>18</v>
      </c>
      <c r="F4742">
        <v>905.38</v>
      </c>
      <c r="G4742">
        <v>222.98</v>
      </c>
      <c r="H4742" t="s">
        <v>13</v>
      </c>
      <c r="I4742" t="s">
        <v>34</v>
      </c>
    </row>
    <row r="4743" spans="1:9" x14ac:dyDescent="0.35">
      <c r="A4743" t="s">
        <v>4779</v>
      </c>
      <c r="B4743" s="1">
        <v>44646</v>
      </c>
      <c r="C4743" t="s">
        <v>25</v>
      </c>
      <c r="D4743" t="s">
        <v>38</v>
      </c>
      <c r="E4743" t="s">
        <v>12</v>
      </c>
      <c r="F4743">
        <v>1274.76</v>
      </c>
      <c r="G4743">
        <v>106.02</v>
      </c>
      <c r="H4743" t="s">
        <v>19</v>
      </c>
      <c r="I4743" t="s">
        <v>34</v>
      </c>
    </row>
    <row r="4744" spans="1:9" x14ac:dyDescent="0.35">
      <c r="A4744" t="s">
        <v>4780</v>
      </c>
      <c r="B4744" s="1">
        <v>45540</v>
      </c>
      <c r="C4744" t="s">
        <v>10</v>
      </c>
      <c r="D4744" t="s">
        <v>38</v>
      </c>
      <c r="E4744" t="s">
        <v>12</v>
      </c>
      <c r="F4744">
        <v>440.61</v>
      </c>
      <c r="G4744">
        <v>91.16</v>
      </c>
      <c r="H4744" t="s">
        <v>28</v>
      </c>
      <c r="I4744" t="s">
        <v>29</v>
      </c>
    </row>
    <row r="4745" spans="1:9" x14ac:dyDescent="0.35">
      <c r="A4745" t="s">
        <v>4781</v>
      </c>
      <c r="B4745" s="1">
        <v>45316</v>
      </c>
      <c r="C4745" t="s">
        <v>16</v>
      </c>
      <c r="D4745" t="s">
        <v>46</v>
      </c>
      <c r="E4745" t="s">
        <v>18</v>
      </c>
      <c r="F4745">
        <v>961.31</v>
      </c>
      <c r="G4745">
        <v>251.91</v>
      </c>
      <c r="H4745" t="s">
        <v>28</v>
      </c>
      <c r="I4745" t="s">
        <v>20</v>
      </c>
    </row>
    <row r="4746" spans="1:9" x14ac:dyDescent="0.35">
      <c r="A4746" t="s">
        <v>4782</v>
      </c>
      <c r="B4746" s="1">
        <v>44583</v>
      </c>
      <c r="C4746" t="s">
        <v>22</v>
      </c>
      <c r="D4746" t="s">
        <v>31</v>
      </c>
      <c r="E4746" t="s">
        <v>12</v>
      </c>
      <c r="F4746">
        <v>1424.67</v>
      </c>
      <c r="G4746">
        <v>294.58</v>
      </c>
      <c r="H4746" t="s">
        <v>19</v>
      </c>
      <c r="I4746" t="s">
        <v>34</v>
      </c>
    </row>
    <row r="4747" spans="1:9" x14ac:dyDescent="0.35">
      <c r="A4747" t="s">
        <v>4783</v>
      </c>
      <c r="B4747" s="1">
        <v>45304</v>
      </c>
      <c r="C4747" t="s">
        <v>25</v>
      </c>
      <c r="D4747" t="s">
        <v>95</v>
      </c>
      <c r="E4747" t="s">
        <v>18</v>
      </c>
      <c r="F4747">
        <v>159.38</v>
      </c>
      <c r="G4747">
        <v>9.2100000000000009</v>
      </c>
      <c r="H4747" t="s">
        <v>19</v>
      </c>
      <c r="I4747" t="s">
        <v>20</v>
      </c>
    </row>
    <row r="4748" spans="1:9" x14ac:dyDescent="0.35">
      <c r="A4748" t="s">
        <v>4784</v>
      </c>
      <c r="B4748" s="1">
        <v>45362</v>
      </c>
      <c r="C4748" t="s">
        <v>22</v>
      </c>
      <c r="D4748" t="s">
        <v>46</v>
      </c>
      <c r="E4748" t="s">
        <v>18</v>
      </c>
      <c r="F4748">
        <v>446.18</v>
      </c>
      <c r="G4748">
        <v>33.58</v>
      </c>
      <c r="H4748" t="s">
        <v>13</v>
      </c>
      <c r="I4748" t="s">
        <v>20</v>
      </c>
    </row>
    <row r="4749" spans="1:9" x14ac:dyDescent="0.35">
      <c r="A4749" t="s">
        <v>4785</v>
      </c>
      <c r="B4749" s="1">
        <v>44948</v>
      </c>
      <c r="C4749" t="s">
        <v>16</v>
      </c>
      <c r="D4749" t="s">
        <v>41</v>
      </c>
      <c r="E4749" t="s">
        <v>12</v>
      </c>
      <c r="F4749">
        <v>1260.1099999999999</v>
      </c>
      <c r="G4749">
        <v>253.48</v>
      </c>
      <c r="H4749" t="s">
        <v>28</v>
      </c>
      <c r="I4749" t="s">
        <v>20</v>
      </c>
    </row>
    <row r="4750" spans="1:9" x14ac:dyDescent="0.35">
      <c r="A4750" t="s">
        <v>4786</v>
      </c>
      <c r="B4750" s="1">
        <v>44853</v>
      </c>
      <c r="C4750" t="s">
        <v>16</v>
      </c>
      <c r="D4750" t="s">
        <v>95</v>
      </c>
      <c r="E4750" t="s">
        <v>18</v>
      </c>
      <c r="F4750">
        <v>1586.83</v>
      </c>
      <c r="G4750">
        <v>390.48</v>
      </c>
      <c r="H4750" t="s">
        <v>19</v>
      </c>
      <c r="I4750" t="s">
        <v>14</v>
      </c>
    </row>
    <row r="4751" spans="1:9" x14ac:dyDescent="0.35">
      <c r="A4751" t="s">
        <v>4787</v>
      </c>
      <c r="B4751" s="1">
        <v>45297</v>
      </c>
      <c r="C4751" t="s">
        <v>25</v>
      </c>
      <c r="D4751" t="s">
        <v>46</v>
      </c>
      <c r="E4751" t="s">
        <v>18</v>
      </c>
      <c r="F4751">
        <v>660.83</v>
      </c>
      <c r="G4751">
        <v>148.49</v>
      </c>
      <c r="H4751" t="s">
        <v>28</v>
      </c>
      <c r="I4751" t="s">
        <v>20</v>
      </c>
    </row>
    <row r="4752" spans="1:9" x14ac:dyDescent="0.35">
      <c r="A4752" t="s">
        <v>4788</v>
      </c>
      <c r="B4752" s="1">
        <v>44957</v>
      </c>
      <c r="C4752" t="s">
        <v>10</v>
      </c>
      <c r="D4752" t="s">
        <v>17</v>
      </c>
      <c r="E4752" t="s">
        <v>18</v>
      </c>
      <c r="F4752">
        <v>948.94</v>
      </c>
      <c r="G4752">
        <v>123.49</v>
      </c>
      <c r="H4752" t="s">
        <v>19</v>
      </c>
      <c r="I4752" t="s">
        <v>34</v>
      </c>
    </row>
    <row r="4753" spans="1:9" x14ac:dyDescent="0.35">
      <c r="A4753" t="s">
        <v>4789</v>
      </c>
      <c r="B4753" s="1">
        <v>44910</v>
      </c>
      <c r="C4753" t="s">
        <v>16</v>
      </c>
      <c r="D4753" t="s">
        <v>23</v>
      </c>
      <c r="E4753" t="s">
        <v>18</v>
      </c>
      <c r="F4753">
        <v>827.46</v>
      </c>
      <c r="G4753">
        <v>160.4</v>
      </c>
      <c r="H4753" t="s">
        <v>13</v>
      </c>
      <c r="I4753" t="s">
        <v>34</v>
      </c>
    </row>
    <row r="4754" spans="1:9" x14ac:dyDescent="0.35">
      <c r="A4754" t="s">
        <v>4790</v>
      </c>
      <c r="B4754" s="1">
        <v>44839</v>
      </c>
      <c r="C4754" t="s">
        <v>16</v>
      </c>
      <c r="D4754" t="s">
        <v>95</v>
      </c>
      <c r="E4754" t="s">
        <v>18</v>
      </c>
      <c r="F4754">
        <v>1112.3800000000001</v>
      </c>
      <c r="G4754">
        <v>325.01</v>
      </c>
      <c r="H4754" t="s">
        <v>13</v>
      </c>
      <c r="I4754" t="s">
        <v>14</v>
      </c>
    </row>
    <row r="4755" spans="1:9" x14ac:dyDescent="0.35">
      <c r="A4755" t="s">
        <v>4791</v>
      </c>
      <c r="B4755" s="1">
        <v>44562</v>
      </c>
      <c r="C4755" t="s">
        <v>22</v>
      </c>
      <c r="D4755" t="s">
        <v>23</v>
      </c>
      <c r="E4755" t="s">
        <v>18</v>
      </c>
      <c r="F4755">
        <v>215.73</v>
      </c>
      <c r="G4755">
        <v>16.43</v>
      </c>
      <c r="H4755" t="s">
        <v>28</v>
      </c>
      <c r="I4755" t="s">
        <v>14</v>
      </c>
    </row>
    <row r="4756" spans="1:9" x14ac:dyDescent="0.35">
      <c r="A4756" t="s">
        <v>4792</v>
      </c>
      <c r="B4756" s="1">
        <v>45513</v>
      </c>
      <c r="C4756" t="s">
        <v>25</v>
      </c>
      <c r="D4756" t="s">
        <v>33</v>
      </c>
      <c r="E4756" t="s">
        <v>18</v>
      </c>
      <c r="F4756">
        <v>444.93</v>
      </c>
      <c r="G4756">
        <v>73.930000000000007</v>
      </c>
      <c r="H4756" t="s">
        <v>28</v>
      </c>
      <c r="I4756" t="s">
        <v>20</v>
      </c>
    </row>
    <row r="4757" spans="1:9" x14ac:dyDescent="0.35">
      <c r="A4757" t="s">
        <v>4793</v>
      </c>
      <c r="B4757" s="1">
        <v>45161</v>
      </c>
      <c r="C4757" t="s">
        <v>10</v>
      </c>
      <c r="D4757" t="s">
        <v>31</v>
      </c>
      <c r="E4757" t="s">
        <v>12</v>
      </c>
      <c r="F4757">
        <v>644.36</v>
      </c>
      <c r="G4757">
        <v>93.86</v>
      </c>
      <c r="H4757" t="s">
        <v>13</v>
      </c>
      <c r="I4757" t="s">
        <v>34</v>
      </c>
    </row>
    <row r="4758" spans="1:9" x14ac:dyDescent="0.35">
      <c r="A4758" t="s">
        <v>4794</v>
      </c>
      <c r="B4758" s="1">
        <v>45518</v>
      </c>
      <c r="C4758" t="s">
        <v>22</v>
      </c>
      <c r="D4758" t="s">
        <v>97</v>
      </c>
      <c r="E4758" t="s">
        <v>27</v>
      </c>
      <c r="F4758">
        <v>1233.67</v>
      </c>
      <c r="G4758">
        <v>80.150000000000006</v>
      </c>
      <c r="H4758" t="s">
        <v>19</v>
      </c>
      <c r="I4758" t="s">
        <v>29</v>
      </c>
    </row>
    <row r="4759" spans="1:9" x14ac:dyDescent="0.35">
      <c r="A4759" t="s">
        <v>4795</v>
      </c>
      <c r="B4759" s="1">
        <v>44718</v>
      </c>
      <c r="C4759" t="s">
        <v>16</v>
      </c>
      <c r="D4759" t="s">
        <v>50</v>
      </c>
      <c r="E4759" t="s">
        <v>12</v>
      </c>
      <c r="F4759">
        <v>836.08</v>
      </c>
      <c r="G4759">
        <v>75.97</v>
      </c>
      <c r="H4759" t="s">
        <v>13</v>
      </c>
      <c r="I4759" t="s">
        <v>14</v>
      </c>
    </row>
    <row r="4760" spans="1:9" x14ac:dyDescent="0.35">
      <c r="A4760" t="s">
        <v>4796</v>
      </c>
      <c r="B4760" s="1">
        <v>45426</v>
      </c>
      <c r="C4760" t="s">
        <v>10</v>
      </c>
      <c r="D4760" t="s">
        <v>33</v>
      </c>
      <c r="E4760" t="s">
        <v>18</v>
      </c>
      <c r="F4760">
        <v>570.83000000000004</v>
      </c>
      <c r="G4760">
        <v>154.38</v>
      </c>
      <c r="H4760" t="s">
        <v>28</v>
      </c>
      <c r="I4760" t="s">
        <v>20</v>
      </c>
    </row>
    <row r="4761" spans="1:9" x14ac:dyDescent="0.35">
      <c r="A4761" t="s">
        <v>4797</v>
      </c>
      <c r="B4761" s="1">
        <v>45408</v>
      </c>
      <c r="C4761" t="s">
        <v>22</v>
      </c>
      <c r="D4761" t="s">
        <v>62</v>
      </c>
      <c r="E4761" t="s">
        <v>27</v>
      </c>
      <c r="F4761">
        <v>1606.79</v>
      </c>
      <c r="G4761">
        <v>472.19</v>
      </c>
      <c r="H4761" t="s">
        <v>28</v>
      </c>
      <c r="I4761" t="s">
        <v>14</v>
      </c>
    </row>
    <row r="4762" spans="1:9" x14ac:dyDescent="0.35">
      <c r="A4762" t="s">
        <v>4798</v>
      </c>
      <c r="B4762" s="1">
        <v>45263</v>
      </c>
      <c r="C4762" t="s">
        <v>25</v>
      </c>
      <c r="D4762" t="s">
        <v>11</v>
      </c>
      <c r="E4762" t="s">
        <v>12</v>
      </c>
      <c r="F4762">
        <v>798.06</v>
      </c>
      <c r="G4762">
        <v>218.52</v>
      </c>
      <c r="H4762" t="s">
        <v>28</v>
      </c>
      <c r="I4762" t="s">
        <v>20</v>
      </c>
    </row>
    <row r="4763" spans="1:9" x14ac:dyDescent="0.35">
      <c r="A4763" t="s">
        <v>4799</v>
      </c>
      <c r="B4763" s="1">
        <v>45278</v>
      </c>
      <c r="C4763" t="s">
        <v>22</v>
      </c>
      <c r="D4763" t="s">
        <v>97</v>
      </c>
      <c r="E4763" t="s">
        <v>27</v>
      </c>
      <c r="F4763">
        <v>1916.68</v>
      </c>
      <c r="G4763">
        <v>515.24</v>
      </c>
      <c r="H4763" t="s">
        <v>19</v>
      </c>
      <c r="I4763" t="s">
        <v>20</v>
      </c>
    </row>
    <row r="4764" spans="1:9" x14ac:dyDescent="0.35">
      <c r="A4764" t="s">
        <v>4800</v>
      </c>
      <c r="B4764" s="1">
        <v>45426</v>
      </c>
      <c r="C4764" t="s">
        <v>22</v>
      </c>
      <c r="D4764" t="s">
        <v>46</v>
      </c>
      <c r="E4764" t="s">
        <v>18</v>
      </c>
      <c r="F4764">
        <v>186.84</v>
      </c>
      <c r="G4764">
        <v>18.61</v>
      </c>
      <c r="H4764" t="s">
        <v>13</v>
      </c>
      <c r="I4764" t="s">
        <v>14</v>
      </c>
    </row>
    <row r="4765" spans="1:9" x14ac:dyDescent="0.35">
      <c r="A4765" t="s">
        <v>4801</v>
      </c>
      <c r="B4765" s="1">
        <v>44724</v>
      </c>
      <c r="C4765" t="s">
        <v>16</v>
      </c>
      <c r="D4765" t="s">
        <v>57</v>
      </c>
      <c r="E4765" t="s">
        <v>27</v>
      </c>
      <c r="F4765">
        <v>900.01</v>
      </c>
      <c r="G4765">
        <v>105.41</v>
      </c>
      <c r="H4765" t="s">
        <v>28</v>
      </c>
      <c r="I4765" t="s">
        <v>29</v>
      </c>
    </row>
    <row r="4766" spans="1:9" x14ac:dyDescent="0.35">
      <c r="A4766" t="s">
        <v>4802</v>
      </c>
      <c r="B4766" s="1">
        <v>44617</v>
      </c>
      <c r="C4766" t="s">
        <v>22</v>
      </c>
      <c r="D4766" t="s">
        <v>50</v>
      </c>
      <c r="E4766" t="s">
        <v>12</v>
      </c>
      <c r="F4766">
        <v>1295.69</v>
      </c>
      <c r="G4766">
        <v>210.06</v>
      </c>
      <c r="H4766" t="s">
        <v>13</v>
      </c>
      <c r="I4766" t="s">
        <v>34</v>
      </c>
    </row>
    <row r="4767" spans="1:9" x14ac:dyDescent="0.35">
      <c r="A4767" t="s">
        <v>4803</v>
      </c>
      <c r="B4767" s="1">
        <v>45539</v>
      </c>
      <c r="C4767" t="s">
        <v>10</v>
      </c>
      <c r="D4767" t="s">
        <v>73</v>
      </c>
      <c r="E4767" t="s">
        <v>27</v>
      </c>
      <c r="F4767">
        <v>1854.61</v>
      </c>
      <c r="G4767">
        <v>387.24</v>
      </c>
      <c r="H4767" t="s">
        <v>19</v>
      </c>
      <c r="I4767" t="s">
        <v>14</v>
      </c>
    </row>
    <row r="4768" spans="1:9" x14ac:dyDescent="0.35">
      <c r="A4768" t="s">
        <v>4804</v>
      </c>
      <c r="B4768" s="1">
        <v>45400</v>
      </c>
      <c r="C4768" t="s">
        <v>25</v>
      </c>
      <c r="D4768" t="s">
        <v>11</v>
      </c>
      <c r="E4768" t="s">
        <v>12</v>
      </c>
      <c r="F4768">
        <v>602.85</v>
      </c>
      <c r="G4768">
        <v>130.13</v>
      </c>
      <c r="H4768" t="s">
        <v>13</v>
      </c>
      <c r="I4768" t="s">
        <v>29</v>
      </c>
    </row>
    <row r="4769" spans="1:9" x14ac:dyDescent="0.35">
      <c r="A4769" t="s">
        <v>4805</v>
      </c>
      <c r="B4769" s="1">
        <v>45009</v>
      </c>
      <c r="C4769" t="s">
        <v>22</v>
      </c>
      <c r="D4769" t="s">
        <v>73</v>
      </c>
      <c r="E4769" t="s">
        <v>27</v>
      </c>
      <c r="F4769">
        <v>423.46</v>
      </c>
      <c r="G4769">
        <v>84.5</v>
      </c>
      <c r="H4769" t="s">
        <v>13</v>
      </c>
      <c r="I4769" t="s">
        <v>20</v>
      </c>
    </row>
    <row r="4770" spans="1:9" x14ac:dyDescent="0.35">
      <c r="A4770" t="s">
        <v>4806</v>
      </c>
      <c r="B4770" s="1">
        <v>44939</v>
      </c>
      <c r="C4770" t="s">
        <v>22</v>
      </c>
      <c r="D4770" t="s">
        <v>23</v>
      </c>
      <c r="E4770" t="s">
        <v>18</v>
      </c>
      <c r="F4770">
        <v>894.59</v>
      </c>
      <c r="G4770">
        <v>173.55</v>
      </c>
      <c r="H4770" t="s">
        <v>13</v>
      </c>
      <c r="I4770" t="s">
        <v>20</v>
      </c>
    </row>
    <row r="4771" spans="1:9" x14ac:dyDescent="0.35">
      <c r="A4771" t="s">
        <v>4807</v>
      </c>
      <c r="B4771" s="1">
        <v>45471</v>
      </c>
      <c r="C4771" t="s">
        <v>16</v>
      </c>
      <c r="D4771" t="s">
        <v>62</v>
      </c>
      <c r="E4771" t="s">
        <v>27</v>
      </c>
      <c r="F4771">
        <v>392.08</v>
      </c>
      <c r="G4771">
        <v>47.39</v>
      </c>
      <c r="H4771" t="s">
        <v>19</v>
      </c>
      <c r="I4771" t="s">
        <v>29</v>
      </c>
    </row>
    <row r="4772" spans="1:9" x14ac:dyDescent="0.35">
      <c r="A4772" t="s">
        <v>4808</v>
      </c>
      <c r="B4772" s="1">
        <v>45269</v>
      </c>
      <c r="C4772" t="s">
        <v>16</v>
      </c>
      <c r="D4772" t="s">
        <v>95</v>
      </c>
      <c r="E4772" t="s">
        <v>18</v>
      </c>
      <c r="F4772">
        <v>913.41</v>
      </c>
      <c r="G4772">
        <v>189.11</v>
      </c>
      <c r="H4772" t="s">
        <v>19</v>
      </c>
      <c r="I4772" t="s">
        <v>34</v>
      </c>
    </row>
    <row r="4773" spans="1:9" x14ac:dyDescent="0.35">
      <c r="A4773" t="s">
        <v>4809</v>
      </c>
      <c r="B4773" s="1">
        <v>45401</v>
      </c>
      <c r="C4773" t="s">
        <v>16</v>
      </c>
      <c r="D4773" t="s">
        <v>23</v>
      </c>
      <c r="E4773" t="s">
        <v>18</v>
      </c>
      <c r="F4773">
        <v>1525.62</v>
      </c>
      <c r="G4773">
        <v>265.98</v>
      </c>
      <c r="H4773" t="s">
        <v>19</v>
      </c>
      <c r="I4773" t="s">
        <v>29</v>
      </c>
    </row>
    <row r="4774" spans="1:9" x14ac:dyDescent="0.35">
      <c r="A4774" t="s">
        <v>4810</v>
      </c>
      <c r="B4774" s="1">
        <v>45168</v>
      </c>
      <c r="C4774" t="s">
        <v>10</v>
      </c>
      <c r="D4774" t="s">
        <v>97</v>
      </c>
      <c r="E4774" t="s">
        <v>27</v>
      </c>
      <c r="F4774">
        <v>1829.11</v>
      </c>
      <c r="G4774">
        <v>471.17</v>
      </c>
      <c r="H4774" t="s">
        <v>19</v>
      </c>
      <c r="I4774" t="s">
        <v>29</v>
      </c>
    </row>
    <row r="4775" spans="1:9" x14ac:dyDescent="0.35">
      <c r="A4775" t="s">
        <v>4811</v>
      </c>
      <c r="B4775" s="1">
        <v>45356</v>
      </c>
      <c r="C4775" t="s">
        <v>22</v>
      </c>
      <c r="D4775" t="s">
        <v>17</v>
      </c>
      <c r="E4775" t="s">
        <v>18</v>
      </c>
      <c r="F4775">
        <v>679.8</v>
      </c>
      <c r="G4775">
        <v>124.26</v>
      </c>
      <c r="H4775" t="s">
        <v>13</v>
      </c>
      <c r="I4775" t="s">
        <v>34</v>
      </c>
    </row>
    <row r="4776" spans="1:9" x14ac:dyDescent="0.35">
      <c r="A4776" t="s">
        <v>4812</v>
      </c>
      <c r="B4776" s="1">
        <v>45247</v>
      </c>
      <c r="C4776" t="s">
        <v>22</v>
      </c>
      <c r="D4776" t="s">
        <v>38</v>
      </c>
      <c r="E4776" t="s">
        <v>12</v>
      </c>
      <c r="F4776">
        <v>1044.7</v>
      </c>
      <c r="G4776">
        <v>206.32</v>
      </c>
      <c r="H4776" t="s">
        <v>28</v>
      </c>
      <c r="I4776" t="s">
        <v>29</v>
      </c>
    </row>
    <row r="4777" spans="1:9" x14ac:dyDescent="0.35">
      <c r="A4777" t="s">
        <v>4813</v>
      </c>
      <c r="B4777" s="1">
        <v>45517</v>
      </c>
      <c r="C4777" t="s">
        <v>25</v>
      </c>
      <c r="D4777" t="s">
        <v>73</v>
      </c>
      <c r="E4777" t="s">
        <v>27</v>
      </c>
      <c r="F4777">
        <v>417.72</v>
      </c>
      <c r="G4777">
        <v>122.54</v>
      </c>
      <c r="H4777" t="s">
        <v>28</v>
      </c>
      <c r="I4777" t="s">
        <v>29</v>
      </c>
    </row>
    <row r="4778" spans="1:9" x14ac:dyDescent="0.35">
      <c r="A4778" t="s">
        <v>4814</v>
      </c>
      <c r="B4778" s="1">
        <v>45482</v>
      </c>
      <c r="C4778" t="s">
        <v>10</v>
      </c>
      <c r="D4778" t="s">
        <v>26</v>
      </c>
      <c r="E4778" t="s">
        <v>27</v>
      </c>
      <c r="F4778">
        <v>1077.6099999999999</v>
      </c>
      <c r="G4778">
        <v>94.51</v>
      </c>
      <c r="H4778" t="s">
        <v>13</v>
      </c>
      <c r="I4778" t="s">
        <v>29</v>
      </c>
    </row>
    <row r="4779" spans="1:9" x14ac:dyDescent="0.35">
      <c r="A4779" t="s">
        <v>4815</v>
      </c>
      <c r="B4779" s="1">
        <v>45470</v>
      </c>
      <c r="C4779" t="s">
        <v>10</v>
      </c>
      <c r="D4779" t="s">
        <v>62</v>
      </c>
      <c r="E4779" t="s">
        <v>27</v>
      </c>
      <c r="F4779">
        <v>1862.86</v>
      </c>
      <c r="G4779">
        <v>378.99</v>
      </c>
      <c r="H4779" t="s">
        <v>13</v>
      </c>
      <c r="I4779" t="s">
        <v>14</v>
      </c>
    </row>
    <row r="4780" spans="1:9" x14ac:dyDescent="0.35">
      <c r="A4780" t="s">
        <v>4816</v>
      </c>
      <c r="B4780" s="1">
        <v>45292</v>
      </c>
      <c r="C4780" t="s">
        <v>10</v>
      </c>
      <c r="D4780" t="s">
        <v>50</v>
      </c>
      <c r="E4780" t="s">
        <v>12</v>
      </c>
      <c r="F4780">
        <v>1941.49</v>
      </c>
      <c r="G4780">
        <v>574.20000000000005</v>
      </c>
      <c r="H4780" t="s">
        <v>19</v>
      </c>
      <c r="I4780" t="s">
        <v>29</v>
      </c>
    </row>
    <row r="4781" spans="1:9" x14ac:dyDescent="0.35">
      <c r="A4781" t="s">
        <v>4817</v>
      </c>
      <c r="B4781" s="1">
        <v>45222</v>
      </c>
      <c r="C4781" t="s">
        <v>16</v>
      </c>
      <c r="D4781" t="s">
        <v>17</v>
      </c>
      <c r="E4781" t="s">
        <v>18</v>
      </c>
      <c r="F4781">
        <v>290.58</v>
      </c>
      <c r="G4781">
        <v>78.680000000000007</v>
      </c>
      <c r="H4781" t="s">
        <v>28</v>
      </c>
      <c r="I4781" t="s">
        <v>29</v>
      </c>
    </row>
    <row r="4782" spans="1:9" x14ac:dyDescent="0.35">
      <c r="A4782" t="s">
        <v>4818</v>
      </c>
      <c r="B4782" s="1">
        <v>45109</v>
      </c>
      <c r="C4782" t="s">
        <v>16</v>
      </c>
      <c r="D4782" t="s">
        <v>46</v>
      </c>
      <c r="E4782" t="s">
        <v>18</v>
      </c>
      <c r="F4782">
        <v>714.1</v>
      </c>
      <c r="G4782">
        <v>49.94</v>
      </c>
      <c r="H4782" t="s">
        <v>13</v>
      </c>
      <c r="I4782" t="s">
        <v>29</v>
      </c>
    </row>
    <row r="4783" spans="1:9" x14ac:dyDescent="0.35">
      <c r="A4783" t="s">
        <v>4819</v>
      </c>
      <c r="B4783" s="1">
        <v>45357</v>
      </c>
      <c r="C4783" t="s">
        <v>16</v>
      </c>
      <c r="D4783" t="s">
        <v>17</v>
      </c>
      <c r="E4783" t="s">
        <v>18</v>
      </c>
      <c r="F4783">
        <v>173.04</v>
      </c>
      <c r="G4783">
        <v>15.1</v>
      </c>
      <c r="H4783" t="s">
        <v>19</v>
      </c>
      <c r="I4783" t="s">
        <v>20</v>
      </c>
    </row>
    <row r="4784" spans="1:9" x14ac:dyDescent="0.35">
      <c r="A4784" t="s">
        <v>4820</v>
      </c>
      <c r="B4784" s="1">
        <v>44994</v>
      </c>
      <c r="C4784" t="s">
        <v>16</v>
      </c>
      <c r="D4784" t="s">
        <v>57</v>
      </c>
      <c r="E4784" t="s">
        <v>27</v>
      </c>
      <c r="F4784">
        <v>1962.48</v>
      </c>
      <c r="G4784">
        <v>311.27999999999997</v>
      </c>
      <c r="H4784" t="s">
        <v>13</v>
      </c>
      <c r="I4784" t="s">
        <v>14</v>
      </c>
    </row>
    <row r="4785" spans="1:9" x14ac:dyDescent="0.35">
      <c r="A4785" t="s">
        <v>4821</v>
      </c>
      <c r="B4785" s="1">
        <v>45112</v>
      </c>
      <c r="C4785" t="s">
        <v>10</v>
      </c>
      <c r="D4785" t="s">
        <v>31</v>
      </c>
      <c r="E4785" t="s">
        <v>12</v>
      </c>
      <c r="F4785">
        <v>1224.98</v>
      </c>
      <c r="G4785">
        <v>80.86</v>
      </c>
      <c r="H4785" t="s">
        <v>28</v>
      </c>
      <c r="I4785" t="s">
        <v>34</v>
      </c>
    </row>
    <row r="4786" spans="1:9" x14ac:dyDescent="0.35">
      <c r="A4786" t="s">
        <v>4822</v>
      </c>
      <c r="B4786" s="1">
        <v>45171</v>
      </c>
      <c r="C4786" t="s">
        <v>10</v>
      </c>
      <c r="D4786" t="s">
        <v>38</v>
      </c>
      <c r="E4786" t="s">
        <v>12</v>
      </c>
      <c r="F4786">
        <v>305.8</v>
      </c>
      <c r="G4786">
        <v>78.92</v>
      </c>
      <c r="H4786" t="s">
        <v>28</v>
      </c>
      <c r="I4786" t="s">
        <v>34</v>
      </c>
    </row>
    <row r="4787" spans="1:9" x14ac:dyDescent="0.35">
      <c r="A4787" t="s">
        <v>4823</v>
      </c>
      <c r="B4787" s="1">
        <v>45131</v>
      </c>
      <c r="C4787" t="s">
        <v>22</v>
      </c>
      <c r="D4787" t="s">
        <v>26</v>
      </c>
      <c r="E4787" t="s">
        <v>27</v>
      </c>
      <c r="F4787">
        <v>1141.43</v>
      </c>
      <c r="G4787">
        <v>195.06</v>
      </c>
      <c r="H4787" t="s">
        <v>28</v>
      </c>
      <c r="I4787" t="s">
        <v>20</v>
      </c>
    </row>
    <row r="4788" spans="1:9" x14ac:dyDescent="0.35">
      <c r="A4788" t="s">
        <v>4824</v>
      </c>
      <c r="B4788" s="1">
        <v>45251</v>
      </c>
      <c r="C4788" t="s">
        <v>16</v>
      </c>
      <c r="D4788" t="s">
        <v>57</v>
      </c>
      <c r="E4788" t="s">
        <v>27</v>
      </c>
      <c r="F4788">
        <v>1931.28</v>
      </c>
      <c r="G4788">
        <v>386.82</v>
      </c>
      <c r="H4788" t="s">
        <v>19</v>
      </c>
      <c r="I4788" t="s">
        <v>20</v>
      </c>
    </row>
    <row r="4789" spans="1:9" x14ac:dyDescent="0.35">
      <c r="A4789" t="s">
        <v>4825</v>
      </c>
      <c r="B4789" s="1">
        <v>44954</v>
      </c>
      <c r="C4789" t="s">
        <v>22</v>
      </c>
      <c r="D4789" t="s">
        <v>57</v>
      </c>
      <c r="E4789" t="s">
        <v>27</v>
      </c>
      <c r="F4789">
        <v>1231.75</v>
      </c>
      <c r="G4789">
        <v>296.14999999999998</v>
      </c>
      <c r="H4789" t="s">
        <v>19</v>
      </c>
      <c r="I4789" t="s">
        <v>29</v>
      </c>
    </row>
    <row r="4790" spans="1:9" x14ac:dyDescent="0.35">
      <c r="A4790" t="s">
        <v>4826</v>
      </c>
      <c r="B4790" s="1">
        <v>44610</v>
      </c>
      <c r="C4790" t="s">
        <v>25</v>
      </c>
      <c r="D4790" t="s">
        <v>73</v>
      </c>
      <c r="E4790" t="s">
        <v>27</v>
      </c>
      <c r="F4790">
        <v>174.66</v>
      </c>
      <c r="G4790">
        <v>28.3</v>
      </c>
      <c r="H4790" t="s">
        <v>28</v>
      </c>
      <c r="I4790" t="s">
        <v>20</v>
      </c>
    </row>
    <row r="4791" spans="1:9" x14ac:dyDescent="0.35">
      <c r="A4791" t="s">
        <v>4827</v>
      </c>
      <c r="B4791" s="1">
        <v>44918</v>
      </c>
      <c r="C4791" t="s">
        <v>22</v>
      </c>
      <c r="D4791" t="s">
        <v>31</v>
      </c>
      <c r="E4791" t="s">
        <v>12</v>
      </c>
      <c r="F4791">
        <v>297.05</v>
      </c>
      <c r="G4791">
        <v>67.34</v>
      </c>
      <c r="H4791" t="s">
        <v>13</v>
      </c>
      <c r="I4791" t="s">
        <v>14</v>
      </c>
    </row>
    <row r="4792" spans="1:9" x14ac:dyDescent="0.35">
      <c r="A4792" t="s">
        <v>4828</v>
      </c>
      <c r="B4792" s="1">
        <v>44826</v>
      </c>
      <c r="C4792" t="s">
        <v>10</v>
      </c>
      <c r="D4792" t="s">
        <v>38</v>
      </c>
      <c r="E4792" t="s">
        <v>12</v>
      </c>
      <c r="F4792">
        <v>682.87</v>
      </c>
      <c r="G4792">
        <v>149.88</v>
      </c>
      <c r="H4792" t="s">
        <v>13</v>
      </c>
      <c r="I4792" t="s">
        <v>20</v>
      </c>
    </row>
    <row r="4793" spans="1:9" x14ac:dyDescent="0.35">
      <c r="A4793" t="s">
        <v>4829</v>
      </c>
      <c r="B4793" s="1">
        <v>44604</v>
      </c>
      <c r="C4793" t="s">
        <v>10</v>
      </c>
      <c r="D4793" t="s">
        <v>38</v>
      </c>
      <c r="E4793" t="s">
        <v>12</v>
      </c>
      <c r="F4793">
        <v>366.21</v>
      </c>
      <c r="G4793">
        <v>78.89</v>
      </c>
      <c r="H4793" t="s">
        <v>13</v>
      </c>
      <c r="I4793" t="s">
        <v>34</v>
      </c>
    </row>
    <row r="4794" spans="1:9" x14ac:dyDescent="0.35">
      <c r="A4794" t="s">
        <v>4830</v>
      </c>
      <c r="B4794" s="1">
        <v>45242</v>
      </c>
      <c r="C4794" t="s">
        <v>22</v>
      </c>
      <c r="D4794" t="s">
        <v>50</v>
      </c>
      <c r="E4794" t="s">
        <v>12</v>
      </c>
      <c r="F4794">
        <v>1167.71</v>
      </c>
      <c r="G4794">
        <v>210.88</v>
      </c>
      <c r="H4794" t="s">
        <v>28</v>
      </c>
      <c r="I4794" t="s">
        <v>29</v>
      </c>
    </row>
    <row r="4795" spans="1:9" x14ac:dyDescent="0.35">
      <c r="A4795" t="s">
        <v>4831</v>
      </c>
      <c r="B4795" s="1">
        <v>45243</v>
      </c>
      <c r="C4795" t="s">
        <v>16</v>
      </c>
      <c r="D4795" t="s">
        <v>62</v>
      </c>
      <c r="E4795" t="s">
        <v>27</v>
      </c>
      <c r="F4795">
        <v>1324.58</v>
      </c>
      <c r="G4795">
        <v>95.34</v>
      </c>
      <c r="H4795" t="s">
        <v>19</v>
      </c>
      <c r="I4795" t="s">
        <v>14</v>
      </c>
    </row>
    <row r="4796" spans="1:9" x14ac:dyDescent="0.35">
      <c r="A4796" t="s">
        <v>4832</v>
      </c>
      <c r="B4796" s="1">
        <v>45260</v>
      </c>
      <c r="C4796" t="s">
        <v>22</v>
      </c>
      <c r="D4796" t="s">
        <v>38</v>
      </c>
      <c r="E4796" t="s">
        <v>12</v>
      </c>
      <c r="F4796">
        <v>1546.18</v>
      </c>
      <c r="G4796">
        <v>151.38999999999999</v>
      </c>
      <c r="H4796" t="s">
        <v>28</v>
      </c>
      <c r="I4796" t="s">
        <v>14</v>
      </c>
    </row>
    <row r="4797" spans="1:9" x14ac:dyDescent="0.35">
      <c r="A4797" t="s">
        <v>4833</v>
      </c>
      <c r="B4797" s="1">
        <v>45411</v>
      </c>
      <c r="C4797" t="s">
        <v>25</v>
      </c>
      <c r="D4797" t="s">
        <v>26</v>
      </c>
      <c r="E4797" t="s">
        <v>27</v>
      </c>
      <c r="F4797">
        <v>1494.45</v>
      </c>
      <c r="G4797">
        <v>327.01</v>
      </c>
      <c r="H4797" t="s">
        <v>19</v>
      </c>
      <c r="I4797" t="s">
        <v>20</v>
      </c>
    </row>
    <row r="4798" spans="1:9" x14ac:dyDescent="0.35">
      <c r="A4798" t="s">
        <v>4834</v>
      </c>
      <c r="B4798" s="1">
        <v>45466</v>
      </c>
      <c r="C4798" t="s">
        <v>25</v>
      </c>
      <c r="D4798" t="s">
        <v>97</v>
      </c>
      <c r="E4798" t="s">
        <v>27</v>
      </c>
      <c r="F4798">
        <v>631.03</v>
      </c>
      <c r="G4798">
        <v>62.55</v>
      </c>
      <c r="H4798" t="s">
        <v>28</v>
      </c>
      <c r="I4798" t="s">
        <v>34</v>
      </c>
    </row>
    <row r="4799" spans="1:9" x14ac:dyDescent="0.35">
      <c r="A4799" t="s">
        <v>4835</v>
      </c>
      <c r="B4799" s="1">
        <v>45436</v>
      </c>
      <c r="C4799" t="s">
        <v>25</v>
      </c>
      <c r="D4799" t="s">
        <v>95</v>
      </c>
      <c r="E4799" t="s">
        <v>18</v>
      </c>
      <c r="F4799">
        <v>1357.93</v>
      </c>
      <c r="G4799">
        <v>210.66</v>
      </c>
      <c r="H4799" t="s">
        <v>19</v>
      </c>
      <c r="I4799" t="s">
        <v>20</v>
      </c>
    </row>
    <row r="4800" spans="1:9" x14ac:dyDescent="0.35">
      <c r="A4800" t="s">
        <v>4836</v>
      </c>
      <c r="B4800" s="1">
        <v>44704</v>
      </c>
      <c r="C4800" t="s">
        <v>10</v>
      </c>
      <c r="D4800" t="s">
        <v>33</v>
      </c>
      <c r="E4800" t="s">
        <v>18</v>
      </c>
      <c r="F4800">
        <v>213.82</v>
      </c>
      <c r="G4800">
        <v>49.84</v>
      </c>
      <c r="H4800" t="s">
        <v>13</v>
      </c>
      <c r="I4800" t="s">
        <v>14</v>
      </c>
    </row>
    <row r="4801" spans="1:9" x14ac:dyDescent="0.35">
      <c r="A4801" t="s">
        <v>4837</v>
      </c>
      <c r="B4801" s="1">
        <v>45279</v>
      </c>
      <c r="C4801" t="s">
        <v>22</v>
      </c>
      <c r="D4801" t="s">
        <v>41</v>
      </c>
      <c r="E4801" t="s">
        <v>12</v>
      </c>
      <c r="F4801">
        <v>1733.51</v>
      </c>
      <c r="G4801">
        <v>394.21</v>
      </c>
      <c r="H4801" t="s">
        <v>28</v>
      </c>
      <c r="I4801" t="s">
        <v>14</v>
      </c>
    </row>
    <row r="4802" spans="1:9" x14ac:dyDescent="0.35">
      <c r="A4802" t="s">
        <v>4838</v>
      </c>
      <c r="B4802" s="1">
        <v>44776</v>
      </c>
      <c r="C4802" t="s">
        <v>22</v>
      </c>
      <c r="D4802" t="s">
        <v>95</v>
      </c>
      <c r="E4802" t="s">
        <v>18</v>
      </c>
      <c r="F4802">
        <v>766.11</v>
      </c>
      <c r="G4802">
        <v>228.3</v>
      </c>
      <c r="H4802" t="s">
        <v>13</v>
      </c>
      <c r="I4802" t="s">
        <v>29</v>
      </c>
    </row>
    <row r="4803" spans="1:9" x14ac:dyDescent="0.35">
      <c r="A4803" t="s">
        <v>4839</v>
      </c>
      <c r="B4803" s="1">
        <v>45266</v>
      </c>
      <c r="C4803" t="s">
        <v>22</v>
      </c>
      <c r="D4803" t="s">
        <v>41</v>
      </c>
      <c r="E4803" t="s">
        <v>12</v>
      </c>
      <c r="F4803">
        <v>1920.06</v>
      </c>
      <c r="G4803">
        <v>387.51</v>
      </c>
      <c r="H4803" t="s">
        <v>28</v>
      </c>
      <c r="I4803" t="s">
        <v>20</v>
      </c>
    </row>
    <row r="4804" spans="1:9" x14ac:dyDescent="0.35">
      <c r="A4804" t="s">
        <v>4840</v>
      </c>
      <c r="B4804" s="1">
        <v>45422</v>
      </c>
      <c r="C4804" t="s">
        <v>10</v>
      </c>
      <c r="D4804" t="s">
        <v>38</v>
      </c>
      <c r="E4804" t="s">
        <v>12</v>
      </c>
      <c r="F4804">
        <v>1613.49</v>
      </c>
      <c r="G4804">
        <v>310.36</v>
      </c>
      <c r="H4804" t="s">
        <v>19</v>
      </c>
      <c r="I4804" t="s">
        <v>20</v>
      </c>
    </row>
    <row r="4805" spans="1:9" x14ac:dyDescent="0.35">
      <c r="A4805" t="s">
        <v>4841</v>
      </c>
      <c r="B4805" s="1">
        <v>44692</v>
      </c>
      <c r="C4805" t="s">
        <v>16</v>
      </c>
      <c r="D4805" t="s">
        <v>97</v>
      </c>
      <c r="E4805" t="s">
        <v>27</v>
      </c>
      <c r="F4805">
        <v>1638.32</v>
      </c>
      <c r="G4805">
        <v>193.96</v>
      </c>
      <c r="H4805" t="s">
        <v>28</v>
      </c>
      <c r="I4805" t="s">
        <v>29</v>
      </c>
    </row>
    <row r="4806" spans="1:9" x14ac:dyDescent="0.35">
      <c r="A4806" t="s">
        <v>4842</v>
      </c>
      <c r="B4806" s="1">
        <v>45106</v>
      </c>
      <c r="C4806" t="s">
        <v>10</v>
      </c>
      <c r="D4806" t="s">
        <v>50</v>
      </c>
      <c r="E4806" t="s">
        <v>12</v>
      </c>
      <c r="F4806">
        <v>1419.3</v>
      </c>
      <c r="G4806">
        <v>270.05</v>
      </c>
      <c r="H4806" t="s">
        <v>28</v>
      </c>
      <c r="I4806" t="s">
        <v>34</v>
      </c>
    </row>
    <row r="4807" spans="1:9" x14ac:dyDescent="0.35">
      <c r="A4807" t="s">
        <v>4843</v>
      </c>
      <c r="B4807" s="1">
        <v>44941</v>
      </c>
      <c r="C4807" t="s">
        <v>25</v>
      </c>
      <c r="D4807" t="s">
        <v>26</v>
      </c>
      <c r="E4807" t="s">
        <v>27</v>
      </c>
      <c r="F4807">
        <v>1512.98</v>
      </c>
      <c r="G4807">
        <v>140.16999999999999</v>
      </c>
      <c r="H4807" t="s">
        <v>19</v>
      </c>
      <c r="I4807" t="s">
        <v>14</v>
      </c>
    </row>
    <row r="4808" spans="1:9" x14ac:dyDescent="0.35">
      <c r="A4808" t="s">
        <v>4844</v>
      </c>
      <c r="B4808" s="1">
        <v>44889</v>
      </c>
      <c r="C4808" t="s">
        <v>10</v>
      </c>
      <c r="D4808" t="s">
        <v>33</v>
      </c>
      <c r="E4808" t="s">
        <v>18</v>
      </c>
      <c r="F4808">
        <v>355.11</v>
      </c>
      <c r="G4808">
        <v>27.88</v>
      </c>
      <c r="H4808" t="s">
        <v>19</v>
      </c>
      <c r="I4808" t="s">
        <v>34</v>
      </c>
    </row>
    <row r="4809" spans="1:9" x14ac:dyDescent="0.35">
      <c r="A4809" t="s">
        <v>4845</v>
      </c>
      <c r="B4809" s="1">
        <v>44850</v>
      </c>
      <c r="C4809" t="s">
        <v>25</v>
      </c>
      <c r="D4809" t="s">
        <v>95</v>
      </c>
      <c r="E4809" t="s">
        <v>18</v>
      </c>
      <c r="F4809">
        <v>338.45</v>
      </c>
      <c r="G4809">
        <v>23.35</v>
      </c>
      <c r="H4809" t="s">
        <v>19</v>
      </c>
      <c r="I4809" t="s">
        <v>29</v>
      </c>
    </row>
    <row r="4810" spans="1:9" x14ac:dyDescent="0.35">
      <c r="A4810" t="s">
        <v>4846</v>
      </c>
      <c r="B4810" s="1">
        <v>45501</v>
      </c>
      <c r="C4810" t="s">
        <v>22</v>
      </c>
      <c r="D4810" t="s">
        <v>95</v>
      </c>
      <c r="E4810" t="s">
        <v>18</v>
      </c>
      <c r="F4810">
        <v>1540.78</v>
      </c>
      <c r="G4810">
        <v>90.57</v>
      </c>
      <c r="H4810" t="s">
        <v>28</v>
      </c>
      <c r="I4810" t="s">
        <v>34</v>
      </c>
    </row>
    <row r="4811" spans="1:9" x14ac:dyDescent="0.35">
      <c r="A4811" t="s">
        <v>4847</v>
      </c>
      <c r="B4811" s="1">
        <v>45477</v>
      </c>
      <c r="C4811" t="s">
        <v>22</v>
      </c>
      <c r="D4811" t="s">
        <v>41</v>
      </c>
      <c r="E4811" t="s">
        <v>12</v>
      </c>
      <c r="F4811">
        <v>1940.44</v>
      </c>
      <c r="G4811">
        <v>276.27999999999997</v>
      </c>
      <c r="H4811" t="s">
        <v>19</v>
      </c>
      <c r="I4811" t="s">
        <v>34</v>
      </c>
    </row>
    <row r="4812" spans="1:9" x14ac:dyDescent="0.35">
      <c r="A4812" t="s">
        <v>4848</v>
      </c>
      <c r="B4812" s="1">
        <v>44840</v>
      </c>
      <c r="C4812" t="s">
        <v>22</v>
      </c>
      <c r="D4812" t="s">
        <v>26</v>
      </c>
      <c r="E4812" t="s">
        <v>27</v>
      </c>
      <c r="F4812">
        <v>560.33000000000004</v>
      </c>
      <c r="G4812">
        <v>100.87</v>
      </c>
      <c r="H4812" t="s">
        <v>19</v>
      </c>
      <c r="I4812" t="s">
        <v>20</v>
      </c>
    </row>
    <row r="4813" spans="1:9" x14ac:dyDescent="0.35">
      <c r="A4813" t="s">
        <v>4849</v>
      </c>
      <c r="B4813" s="1">
        <v>44882</v>
      </c>
      <c r="C4813" t="s">
        <v>16</v>
      </c>
      <c r="D4813" t="s">
        <v>26</v>
      </c>
      <c r="E4813" t="s">
        <v>27</v>
      </c>
      <c r="F4813">
        <v>1475.35</v>
      </c>
      <c r="G4813">
        <v>301.32</v>
      </c>
      <c r="H4813" t="s">
        <v>13</v>
      </c>
      <c r="I4813" t="s">
        <v>29</v>
      </c>
    </row>
    <row r="4814" spans="1:9" x14ac:dyDescent="0.35">
      <c r="A4814" t="s">
        <v>4850</v>
      </c>
      <c r="B4814" s="1">
        <v>44950</v>
      </c>
      <c r="C4814" t="s">
        <v>25</v>
      </c>
      <c r="D4814" t="s">
        <v>50</v>
      </c>
      <c r="E4814" t="s">
        <v>12</v>
      </c>
      <c r="F4814">
        <v>1261.98</v>
      </c>
      <c r="G4814">
        <v>230.97</v>
      </c>
      <c r="H4814" t="s">
        <v>28</v>
      </c>
      <c r="I4814" t="s">
        <v>14</v>
      </c>
    </row>
    <row r="4815" spans="1:9" x14ac:dyDescent="0.35">
      <c r="A4815" t="s">
        <v>4851</v>
      </c>
      <c r="B4815" s="1">
        <v>45420</v>
      </c>
      <c r="C4815" t="s">
        <v>25</v>
      </c>
      <c r="D4815" t="s">
        <v>41</v>
      </c>
      <c r="E4815" t="s">
        <v>12</v>
      </c>
      <c r="F4815">
        <v>1218.74</v>
      </c>
      <c r="G4815">
        <v>136.19</v>
      </c>
      <c r="H4815" t="s">
        <v>19</v>
      </c>
      <c r="I4815" t="s">
        <v>34</v>
      </c>
    </row>
    <row r="4816" spans="1:9" x14ac:dyDescent="0.35">
      <c r="A4816" t="s">
        <v>4852</v>
      </c>
      <c r="B4816" s="1">
        <v>45346</v>
      </c>
      <c r="C4816" t="s">
        <v>10</v>
      </c>
      <c r="D4816" t="s">
        <v>57</v>
      </c>
      <c r="E4816" t="s">
        <v>27</v>
      </c>
      <c r="F4816">
        <v>613.98</v>
      </c>
      <c r="G4816">
        <v>136.88</v>
      </c>
      <c r="H4816" t="s">
        <v>13</v>
      </c>
      <c r="I4816" t="s">
        <v>20</v>
      </c>
    </row>
    <row r="4817" spans="1:9" x14ac:dyDescent="0.35">
      <c r="A4817" t="s">
        <v>4853</v>
      </c>
      <c r="B4817" s="1">
        <v>44794</v>
      </c>
      <c r="C4817" t="s">
        <v>25</v>
      </c>
      <c r="D4817" t="s">
        <v>17</v>
      </c>
      <c r="E4817" t="s">
        <v>18</v>
      </c>
      <c r="F4817">
        <v>1746.21</v>
      </c>
      <c r="G4817">
        <v>434.37</v>
      </c>
      <c r="H4817" t="s">
        <v>28</v>
      </c>
      <c r="I4817" t="s">
        <v>20</v>
      </c>
    </row>
    <row r="4818" spans="1:9" x14ac:dyDescent="0.35">
      <c r="A4818" t="s">
        <v>4854</v>
      </c>
      <c r="B4818" s="1">
        <v>45125</v>
      </c>
      <c r="C4818" t="s">
        <v>16</v>
      </c>
      <c r="D4818" t="s">
        <v>50</v>
      </c>
      <c r="E4818" t="s">
        <v>12</v>
      </c>
      <c r="F4818">
        <v>467.53</v>
      </c>
      <c r="G4818">
        <v>33.22</v>
      </c>
      <c r="H4818" t="s">
        <v>28</v>
      </c>
      <c r="I4818" t="s">
        <v>29</v>
      </c>
    </row>
    <row r="4819" spans="1:9" x14ac:dyDescent="0.35">
      <c r="A4819" t="s">
        <v>4855</v>
      </c>
      <c r="B4819" s="1">
        <v>45437</v>
      </c>
      <c r="C4819" t="s">
        <v>16</v>
      </c>
      <c r="D4819" t="s">
        <v>17</v>
      </c>
      <c r="E4819" t="s">
        <v>18</v>
      </c>
      <c r="F4819">
        <v>1672.02</v>
      </c>
      <c r="G4819">
        <v>470.1</v>
      </c>
      <c r="H4819" t="s">
        <v>13</v>
      </c>
      <c r="I4819" t="s">
        <v>14</v>
      </c>
    </row>
    <row r="4820" spans="1:9" x14ac:dyDescent="0.35">
      <c r="A4820" t="s">
        <v>4856</v>
      </c>
      <c r="B4820" s="1">
        <v>44856</v>
      </c>
      <c r="C4820" t="s">
        <v>22</v>
      </c>
      <c r="D4820" t="s">
        <v>46</v>
      </c>
      <c r="E4820" t="s">
        <v>18</v>
      </c>
      <c r="F4820">
        <v>358.63</v>
      </c>
      <c r="G4820">
        <v>90.46</v>
      </c>
      <c r="H4820" t="s">
        <v>13</v>
      </c>
      <c r="I4820" t="s">
        <v>34</v>
      </c>
    </row>
    <row r="4821" spans="1:9" x14ac:dyDescent="0.35">
      <c r="A4821" t="s">
        <v>4857</v>
      </c>
      <c r="B4821" s="1">
        <v>45256</v>
      </c>
      <c r="C4821" t="s">
        <v>25</v>
      </c>
      <c r="D4821" t="s">
        <v>17</v>
      </c>
      <c r="E4821" t="s">
        <v>18</v>
      </c>
      <c r="F4821">
        <v>1133.17</v>
      </c>
      <c r="G4821">
        <v>171.22</v>
      </c>
      <c r="H4821" t="s">
        <v>19</v>
      </c>
      <c r="I4821" t="s">
        <v>34</v>
      </c>
    </row>
    <row r="4822" spans="1:9" x14ac:dyDescent="0.35">
      <c r="A4822" t="s">
        <v>4858</v>
      </c>
      <c r="B4822" s="1">
        <v>45469</v>
      </c>
      <c r="C4822" t="s">
        <v>22</v>
      </c>
      <c r="D4822" t="s">
        <v>11</v>
      </c>
      <c r="E4822" t="s">
        <v>12</v>
      </c>
      <c r="F4822">
        <v>1325.77</v>
      </c>
      <c r="G4822">
        <v>132.46</v>
      </c>
      <c r="H4822" t="s">
        <v>19</v>
      </c>
      <c r="I4822" t="s">
        <v>29</v>
      </c>
    </row>
    <row r="4823" spans="1:9" x14ac:dyDescent="0.35">
      <c r="A4823" t="s">
        <v>4859</v>
      </c>
      <c r="B4823" s="1">
        <v>44691</v>
      </c>
      <c r="C4823" t="s">
        <v>10</v>
      </c>
      <c r="D4823" t="s">
        <v>38</v>
      </c>
      <c r="E4823" t="s">
        <v>12</v>
      </c>
      <c r="F4823">
        <v>609.04999999999995</v>
      </c>
      <c r="G4823">
        <v>108.58</v>
      </c>
      <c r="H4823" t="s">
        <v>19</v>
      </c>
      <c r="I4823" t="s">
        <v>29</v>
      </c>
    </row>
    <row r="4824" spans="1:9" x14ac:dyDescent="0.35">
      <c r="A4824" t="s">
        <v>4860</v>
      </c>
      <c r="B4824" s="1">
        <v>45313</v>
      </c>
      <c r="C4824" t="s">
        <v>22</v>
      </c>
      <c r="D4824" t="s">
        <v>11</v>
      </c>
      <c r="E4824" t="s">
        <v>12</v>
      </c>
      <c r="F4824">
        <v>1163.79</v>
      </c>
      <c r="G4824">
        <v>127.23</v>
      </c>
      <c r="H4824" t="s">
        <v>19</v>
      </c>
      <c r="I4824" t="s">
        <v>20</v>
      </c>
    </row>
    <row r="4825" spans="1:9" x14ac:dyDescent="0.35">
      <c r="A4825" t="s">
        <v>4861</v>
      </c>
      <c r="B4825" s="1">
        <v>44834</v>
      </c>
      <c r="C4825" t="s">
        <v>22</v>
      </c>
      <c r="D4825" t="s">
        <v>46</v>
      </c>
      <c r="E4825" t="s">
        <v>18</v>
      </c>
      <c r="F4825">
        <v>1125.46</v>
      </c>
      <c r="G4825">
        <v>171.92</v>
      </c>
      <c r="H4825" t="s">
        <v>19</v>
      </c>
      <c r="I4825" t="s">
        <v>34</v>
      </c>
    </row>
    <row r="4826" spans="1:9" x14ac:dyDescent="0.35">
      <c r="A4826" t="s">
        <v>4862</v>
      </c>
      <c r="B4826" s="1">
        <v>44832</v>
      </c>
      <c r="C4826" t="s">
        <v>25</v>
      </c>
      <c r="D4826" t="s">
        <v>95</v>
      </c>
      <c r="E4826" t="s">
        <v>18</v>
      </c>
      <c r="F4826">
        <v>1965.88</v>
      </c>
      <c r="G4826">
        <v>342.62</v>
      </c>
      <c r="H4826" t="s">
        <v>13</v>
      </c>
      <c r="I4826" t="s">
        <v>34</v>
      </c>
    </row>
    <row r="4827" spans="1:9" x14ac:dyDescent="0.35">
      <c r="A4827" t="s">
        <v>4863</v>
      </c>
      <c r="B4827" s="1">
        <v>45218</v>
      </c>
      <c r="C4827" t="s">
        <v>25</v>
      </c>
      <c r="D4827" t="s">
        <v>26</v>
      </c>
      <c r="E4827" t="s">
        <v>27</v>
      </c>
      <c r="F4827">
        <v>1646.69</v>
      </c>
      <c r="G4827">
        <v>187.49</v>
      </c>
      <c r="H4827" t="s">
        <v>28</v>
      </c>
      <c r="I4827" t="s">
        <v>14</v>
      </c>
    </row>
    <row r="4828" spans="1:9" x14ac:dyDescent="0.35">
      <c r="A4828" t="s">
        <v>4864</v>
      </c>
      <c r="B4828" s="1">
        <v>44967</v>
      </c>
      <c r="C4828" t="s">
        <v>16</v>
      </c>
      <c r="D4828" t="s">
        <v>41</v>
      </c>
      <c r="E4828" t="s">
        <v>12</v>
      </c>
      <c r="F4828">
        <v>854.76</v>
      </c>
      <c r="G4828">
        <v>137.75</v>
      </c>
      <c r="H4828" t="s">
        <v>19</v>
      </c>
      <c r="I4828" t="s">
        <v>20</v>
      </c>
    </row>
    <row r="4829" spans="1:9" x14ac:dyDescent="0.35">
      <c r="A4829" t="s">
        <v>4865</v>
      </c>
      <c r="B4829" s="1">
        <v>45258</v>
      </c>
      <c r="C4829" t="s">
        <v>25</v>
      </c>
      <c r="D4829" t="s">
        <v>17</v>
      </c>
      <c r="E4829" t="s">
        <v>18</v>
      </c>
      <c r="F4829">
        <v>1082.5899999999999</v>
      </c>
      <c r="G4829">
        <v>58.68</v>
      </c>
      <c r="H4829" t="s">
        <v>19</v>
      </c>
      <c r="I4829" t="s">
        <v>29</v>
      </c>
    </row>
    <row r="4830" spans="1:9" x14ac:dyDescent="0.35">
      <c r="A4830" t="s">
        <v>4866</v>
      </c>
      <c r="B4830" s="1">
        <v>45411</v>
      </c>
      <c r="C4830" t="s">
        <v>16</v>
      </c>
      <c r="D4830" t="s">
        <v>62</v>
      </c>
      <c r="E4830" t="s">
        <v>27</v>
      </c>
      <c r="F4830">
        <v>384.37</v>
      </c>
      <c r="G4830">
        <v>66.59</v>
      </c>
      <c r="H4830" t="s">
        <v>13</v>
      </c>
      <c r="I4830" t="s">
        <v>20</v>
      </c>
    </row>
    <row r="4831" spans="1:9" x14ac:dyDescent="0.35">
      <c r="A4831" t="s">
        <v>4867</v>
      </c>
      <c r="B4831" s="1">
        <v>45016</v>
      </c>
      <c r="C4831" t="s">
        <v>25</v>
      </c>
      <c r="D4831" t="s">
        <v>38</v>
      </c>
      <c r="E4831" t="s">
        <v>12</v>
      </c>
      <c r="F4831">
        <v>1361.62</v>
      </c>
      <c r="G4831">
        <v>404.63</v>
      </c>
      <c r="H4831" t="s">
        <v>19</v>
      </c>
      <c r="I4831" t="s">
        <v>20</v>
      </c>
    </row>
    <row r="4832" spans="1:9" x14ac:dyDescent="0.35">
      <c r="A4832" t="s">
        <v>4868</v>
      </c>
      <c r="B4832" s="1">
        <v>45609</v>
      </c>
      <c r="C4832" t="s">
        <v>25</v>
      </c>
      <c r="D4832" t="s">
        <v>97</v>
      </c>
      <c r="E4832" t="s">
        <v>27</v>
      </c>
      <c r="F4832">
        <v>1663.49</v>
      </c>
      <c r="G4832">
        <v>251.1</v>
      </c>
      <c r="H4832" t="s">
        <v>28</v>
      </c>
      <c r="I4832" t="s">
        <v>14</v>
      </c>
    </row>
    <row r="4833" spans="1:9" x14ac:dyDescent="0.35">
      <c r="A4833" t="s">
        <v>4869</v>
      </c>
      <c r="B4833" s="1">
        <v>45067</v>
      </c>
      <c r="C4833" t="s">
        <v>16</v>
      </c>
      <c r="D4833" t="s">
        <v>50</v>
      </c>
      <c r="E4833" t="s">
        <v>12</v>
      </c>
      <c r="F4833">
        <v>154.86000000000001</v>
      </c>
      <c r="G4833">
        <v>38.47</v>
      </c>
      <c r="H4833" t="s">
        <v>28</v>
      </c>
      <c r="I4833" t="s">
        <v>29</v>
      </c>
    </row>
    <row r="4834" spans="1:9" x14ac:dyDescent="0.35">
      <c r="A4834" t="s">
        <v>4870</v>
      </c>
      <c r="B4834" s="1">
        <v>44885</v>
      </c>
      <c r="C4834" t="s">
        <v>16</v>
      </c>
      <c r="D4834" t="s">
        <v>38</v>
      </c>
      <c r="E4834" t="s">
        <v>12</v>
      </c>
      <c r="F4834">
        <v>274.62</v>
      </c>
      <c r="G4834">
        <v>67.08</v>
      </c>
      <c r="H4834" t="s">
        <v>19</v>
      </c>
      <c r="I4834" t="s">
        <v>34</v>
      </c>
    </row>
    <row r="4835" spans="1:9" x14ac:dyDescent="0.35">
      <c r="A4835" t="s">
        <v>4871</v>
      </c>
      <c r="B4835" s="1">
        <v>45495</v>
      </c>
      <c r="C4835" t="s">
        <v>10</v>
      </c>
      <c r="D4835" t="s">
        <v>26</v>
      </c>
      <c r="E4835" t="s">
        <v>27</v>
      </c>
      <c r="F4835">
        <v>82.81</v>
      </c>
      <c r="G4835">
        <v>15.61</v>
      </c>
      <c r="H4835" t="s">
        <v>19</v>
      </c>
      <c r="I4835" t="s">
        <v>14</v>
      </c>
    </row>
    <row r="4836" spans="1:9" x14ac:dyDescent="0.35">
      <c r="A4836" t="s">
        <v>4872</v>
      </c>
      <c r="B4836" s="1">
        <v>44569</v>
      </c>
      <c r="C4836" t="s">
        <v>22</v>
      </c>
      <c r="D4836" t="s">
        <v>46</v>
      </c>
      <c r="E4836" t="s">
        <v>18</v>
      </c>
      <c r="F4836">
        <v>1066.47</v>
      </c>
      <c r="G4836">
        <v>308.25</v>
      </c>
      <c r="H4836" t="s">
        <v>19</v>
      </c>
      <c r="I4836" t="s">
        <v>14</v>
      </c>
    </row>
    <row r="4837" spans="1:9" x14ac:dyDescent="0.35">
      <c r="A4837" t="s">
        <v>4873</v>
      </c>
      <c r="B4837" s="1">
        <v>45012</v>
      </c>
      <c r="C4837" t="s">
        <v>10</v>
      </c>
      <c r="D4837" t="s">
        <v>33</v>
      </c>
      <c r="E4837" t="s">
        <v>18</v>
      </c>
      <c r="F4837">
        <v>247</v>
      </c>
      <c r="G4837">
        <v>17.670000000000002</v>
      </c>
      <c r="H4837" t="s">
        <v>28</v>
      </c>
      <c r="I4837" t="s">
        <v>20</v>
      </c>
    </row>
    <row r="4838" spans="1:9" x14ac:dyDescent="0.35">
      <c r="A4838" t="s">
        <v>4874</v>
      </c>
      <c r="B4838" s="1">
        <v>45497</v>
      </c>
      <c r="C4838" t="s">
        <v>22</v>
      </c>
      <c r="D4838" t="s">
        <v>26</v>
      </c>
      <c r="E4838" t="s">
        <v>27</v>
      </c>
      <c r="F4838">
        <v>1724.95</v>
      </c>
      <c r="G4838">
        <v>219.56</v>
      </c>
      <c r="H4838" t="s">
        <v>19</v>
      </c>
      <c r="I4838" t="s">
        <v>29</v>
      </c>
    </row>
    <row r="4839" spans="1:9" x14ac:dyDescent="0.35">
      <c r="A4839" t="s">
        <v>4875</v>
      </c>
      <c r="B4839" s="1">
        <v>44682</v>
      </c>
      <c r="C4839" t="s">
        <v>10</v>
      </c>
      <c r="D4839" t="s">
        <v>26</v>
      </c>
      <c r="E4839" t="s">
        <v>27</v>
      </c>
      <c r="F4839">
        <v>1295.8900000000001</v>
      </c>
      <c r="G4839">
        <v>306.95</v>
      </c>
      <c r="H4839" t="s">
        <v>28</v>
      </c>
      <c r="I4839" t="s">
        <v>20</v>
      </c>
    </row>
    <row r="4840" spans="1:9" x14ac:dyDescent="0.35">
      <c r="A4840" t="s">
        <v>4876</v>
      </c>
      <c r="B4840" s="1">
        <v>45003</v>
      </c>
      <c r="C4840" t="s">
        <v>10</v>
      </c>
      <c r="D4840" t="s">
        <v>73</v>
      </c>
      <c r="E4840" t="s">
        <v>27</v>
      </c>
      <c r="F4840">
        <v>921.94</v>
      </c>
      <c r="G4840">
        <v>238.24</v>
      </c>
      <c r="H4840" t="s">
        <v>13</v>
      </c>
      <c r="I4840" t="s">
        <v>34</v>
      </c>
    </row>
    <row r="4841" spans="1:9" x14ac:dyDescent="0.35">
      <c r="A4841" t="s">
        <v>4877</v>
      </c>
      <c r="B4841" s="1">
        <v>45601</v>
      </c>
      <c r="C4841" t="s">
        <v>25</v>
      </c>
      <c r="D4841" t="s">
        <v>73</v>
      </c>
      <c r="E4841" t="s">
        <v>27</v>
      </c>
      <c r="F4841">
        <v>218.65</v>
      </c>
      <c r="G4841">
        <v>20.58</v>
      </c>
      <c r="H4841" t="s">
        <v>19</v>
      </c>
      <c r="I4841" t="s">
        <v>29</v>
      </c>
    </row>
    <row r="4842" spans="1:9" x14ac:dyDescent="0.35">
      <c r="A4842" t="s">
        <v>4878</v>
      </c>
      <c r="B4842" s="1">
        <v>45620</v>
      </c>
      <c r="C4842" t="s">
        <v>16</v>
      </c>
      <c r="D4842" t="s">
        <v>26</v>
      </c>
      <c r="E4842" t="s">
        <v>27</v>
      </c>
      <c r="F4842">
        <v>778.24</v>
      </c>
      <c r="G4842">
        <v>119.6</v>
      </c>
      <c r="H4842" t="s">
        <v>13</v>
      </c>
      <c r="I4842" t="s">
        <v>34</v>
      </c>
    </row>
    <row r="4843" spans="1:9" x14ac:dyDescent="0.35">
      <c r="A4843" t="s">
        <v>4879</v>
      </c>
      <c r="B4843" s="1">
        <v>45445</v>
      </c>
      <c r="C4843" t="s">
        <v>10</v>
      </c>
      <c r="D4843" t="s">
        <v>73</v>
      </c>
      <c r="E4843" t="s">
        <v>27</v>
      </c>
      <c r="F4843">
        <v>1685.77</v>
      </c>
      <c r="G4843">
        <v>407.05</v>
      </c>
      <c r="H4843" t="s">
        <v>19</v>
      </c>
      <c r="I4843" t="s">
        <v>34</v>
      </c>
    </row>
    <row r="4844" spans="1:9" x14ac:dyDescent="0.35">
      <c r="A4844" t="s">
        <v>4880</v>
      </c>
      <c r="B4844" s="1">
        <v>45247</v>
      </c>
      <c r="C4844" t="s">
        <v>22</v>
      </c>
      <c r="D4844" t="s">
        <v>23</v>
      </c>
      <c r="E4844" t="s">
        <v>18</v>
      </c>
      <c r="F4844">
        <v>1165.9100000000001</v>
      </c>
      <c r="G4844">
        <v>98.24</v>
      </c>
      <c r="H4844" t="s">
        <v>13</v>
      </c>
      <c r="I4844" t="s">
        <v>29</v>
      </c>
    </row>
    <row r="4845" spans="1:9" x14ac:dyDescent="0.35">
      <c r="A4845" t="s">
        <v>4881</v>
      </c>
      <c r="B4845" s="1">
        <v>44986</v>
      </c>
      <c r="C4845" t="s">
        <v>25</v>
      </c>
      <c r="D4845" t="s">
        <v>50</v>
      </c>
      <c r="E4845" t="s">
        <v>12</v>
      </c>
      <c r="F4845">
        <v>1990.97</v>
      </c>
      <c r="G4845">
        <v>324.95999999999998</v>
      </c>
      <c r="H4845" t="s">
        <v>19</v>
      </c>
      <c r="I4845" t="s">
        <v>29</v>
      </c>
    </row>
    <row r="4846" spans="1:9" x14ac:dyDescent="0.35">
      <c r="A4846" t="s">
        <v>4882</v>
      </c>
      <c r="B4846" s="1">
        <v>45138</v>
      </c>
      <c r="C4846" t="s">
        <v>10</v>
      </c>
      <c r="D4846" t="s">
        <v>41</v>
      </c>
      <c r="E4846" t="s">
        <v>12</v>
      </c>
      <c r="F4846">
        <v>1551.3</v>
      </c>
      <c r="G4846">
        <v>444.27</v>
      </c>
      <c r="H4846" t="s">
        <v>19</v>
      </c>
      <c r="I4846" t="s">
        <v>20</v>
      </c>
    </row>
    <row r="4847" spans="1:9" x14ac:dyDescent="0.35">
      <c r="A4847" t="s">
        <v>4883</v>
      </c>
      <c r="B4847" s="1">
        <v>45463</v>
      </c>
      <c r="C4847" t="s">
        <v>16</v>
      </c>
      <c r="D4847" t="s">
        <v>50</v>
      </c>
      <c r="E4847" t="s">
        <v>12</v>
      </c>
      <c r="F4847">
        <v>368.92</v>
      </c>
      <c r="G4847">
        <v>26.32</v>
      </c>
      <c r="H4847" t="s">
        <v>13</v>
      </c>
      <c r="I4847" t="s">
        <v>34</v>
      </c>
    </row>
    <row r="4848" spans="1:9" x14ac:dyDescent="0.35">
      <c r="A4848" t="s">
        <v>4884</v>
      </c>
      <c r="B4848" s="1">
        <v>44830</v>
      </c>
      <c r="C4848" t="s">
        <v>22</v>
      </c>
      <c r="D4848" t="s">
        <v>41</v>
      </c>
      <c r="E4848" t="s">
        <v>12</v>
      </c>
      <c r="F4848">
        <v>134.18</v>
      </c>
      <c r="G4848">
        <v>29.13</v>
      </c>
      <c r="H4848" t="s">
        <v>28</v>
      </c>
      <c r="I4848" t="s">
        <v>14</v>
      </c>
    </row>
    <row r="4849" spans="1:9" x14ac:dyDescent="0.35">
      <c r="A4849" t="s">
        <v>4885</v>
      </c>
      <c r="B4849" s="1">
        <v>44606</v>
      </c>
      <c r="C4849" t="s">
        <v>16</v>
      </c>
      <c r="D4849" t="s">
        <v>95</v>
      </c>
      <c r="E4849" t="s">
        <v>18</v>
      </c>
      <c r="F4849">
        <v>864.29</v>
      </c>
      <c r="G4849">
        <v>74.88</v>
      </c>
      <c r="H4849" t="s">
        <v>19</v>
      </c>
      <c r="I4849" t="s">
        <v>29</v>
      </c>
    </row>
    <row r="4850" spans="1:9" x14ac:dyDescent="0.35">
      <c r="A4850" t="s">
        <v>4886</v>
      </c>
      <c r="B4850" s="1">
        <v>44682</v>
      </c>
      <c r="C4850" t="s">
        <v>10</v>
      </c>
      <c r="D4850" t="s">
        <v>46</v>
      </c>
      <c r="E4850" t="s">
        <v>18</v>
      </c>
      <c r="F4850">
        <v>1470.11</v>
      </c>
      <c r="G4850">
        <v>301.42</v>
      </c>
      <c r="H4850" t="s">
        <v>28</v>
      </c>
      <c r="I4850" t="s">
        <v>14</v>
      </c>
    </row>
    <row r="4851" spans="1:9" x14ac:dyDescent="0.35">
      <c r="A4851" t="s">
        <v>4887</v>
      </c>
      <c r="B4851" s="1">
        <v>45049</v>
      </c>
      <c r="C4851" t="s">
        <v>25</v>
      </c>
      <c r="D4851" t="s">
        <v>41</v>
      </c>
      <c r="E4851" t="s">
        <v>12</v>
      </c>
      <c r="F4851">
        <v>102.21</v>
      </c>
      <c r="G4851">
        <v>6.05</v>
      </c>
      <c r="H4851" t="s">
        <v>19</v>
      </c>
      <c r="I4851" t="s">
        <v>20</v>
      </c>
    </row>
    <row r="4852" spans="1:9" x14ac:dyDescent="0.35">
      <c r="A4852" t="s">
        <v>4888</v>
      </c>
      <c r="B4852" s="1">
        <v>45524</v>
      </c>
      <c r="C4852" t="s">
        <v>16</v>
      </c>
      <c r="D4852" t="s">
        <v>26</v>
      </c>
      <c r="E4852" t="s">
        <v>27</v>
      </c>
      <c r="F4852">
        <v>125.16</v>
      </c>
      <c r="G4852">
        <v>19.09</v>
      </c>
      <c r="H4852" t="s">
        <v>19</v>
      </c>
      <c r="I4852" t="s">
        <v>34</v>
      </c>
    </row>
    <row r="4853" spans="1:9" x14ac:dyDescent="0.35">
      <c r="A4853" t="s">
        <v>4889</v>
      </c>
      <c r="B4853" s="1">
        <v>45269</v>
      </c>
      <c r="C4853" t="s">
        <v>25</v>
      </c>
      <c r="D4853" t="s">
        <v>31</v>
      </c>
      <c r="E4853" t="s">
        <v>12</v>
      </c>
      <c r="F4853">
        <v>1242.1600000000001</v>
      </c>
      <c r="G4853">
        <v>73.64</v>
      </c>
      <c r="H4853" t="s">
        <v>13</v>
      </c>
      <c r="I4853" t="s">
        <v>14</v>
      </c>
    </row>
    <row r="4854" spans="1:9" x14ac:dyDescent="0.35">
      <c r="A4854" t="s">
        <v>4890</v>
      </c>
      <c r="B4854" s="1">
        <v>45364</v>
      </c>
      <c r="C4854" t="s">
        <v>25</v>
      </c>
      <c r="D4854" t="s">
        <v>73</v>
      </c>
      <c r="E4854" t="s">
        <v>27</v>
      </c>
      <c r="F4854">
        <v>120.44</v>
      </c>
      <c r="G4854">
        <v>15.81</v>
      </c>
      <c r="H4854" t="s">
        <v>19</v>
      </c>
      <c r="I4854" t="s">
        <v>34</v>
      </c>
    </row>
    <row r="4855" spans="1:9" x14ac:dyDescent="0.35">
      <c r="A4855" t="s">
        <v>4891</v>
      </c>
      <c r="B4855" s="1">
        <v>45250</v>
      </c>
      <c r="C4855" t="s">
        <v>22</v>
      </c>
      <c r="D4855" t="s">
        <v>38</v>
      </c>
      <c r="E4855" t="s">
        <v>12</v>
      </c>
      <c r="F4855">
        <v>1459.34</v>
      </c>
      <c r="G4855">
        <v>424.38</v>
      </c>
      <c r="H4855" t="s">
        <v>13</v>
      </c>
      <c r="I4855" t="s">
        <v>20</v>
      </c>
    </row>
    <row r="4856" spans="1:9" x14ac:dyDescent="0.35">
      <c r="A4856" t="s">
        <v>4892</v>
      </c>
      <c r="B4856" s="1">
        <v>45530</v>
      </c>
      <c r="C4856" t="s">
        <v>25</v>
      </c>
      <c r="D4856" t="s">
        <v>62</v>
      </c>
      <c r="E4856" t="s">
        <v>27</v>
      </c>
      <c r="F4856">
        <v>1925.27</v>
      </c>
      <c r="G4856">
        <v>442.46</v>
      </c>
      <c r="H4856" t="s">
        <v>13</v>
      </c>
      <c r="I4856" t="s">
        <v>20</v>
      </c>
    </row>
    <row r="4857" spans="1:9" x14ac:dyDescent="0.35">
      <c r="A4857" t="s">
        <v>4893</v>
      </c>
      <c r="B4857" s="1">
        <v>45174</v>
      </c>
      <c r="C4857" t="s">
        <v>22</v>
      </c>
      <c r="D4857" t="s">
        <v>17</v>
      </c>
      <c r="E4857" t="s">
        <v>18</v>
      </c>
      <c r="F4857">
        <v>1129.71</v>
      </c>
      <c r="G4857">
        <v>99.44</v>
      </c>
      <c r="H4857" t="s">
        <v>28</v>
      </c>
      <c r="I4857" t="s">
        <v>29</v>
      </c>
    </row>
    <row r="4858" spans="1:9" x14ac:dyDescent="0.35">
      <c r="A4858" t="s">
        <v>4894</v>
      </c>
      <c r="B4858" s="1">
        <v>44858</v>
      </c>
      <c r="C4858" t="s">
        <v>25</v>
      </c>
      <c r="D4858" t="s">
        <v>95</v>
      </c>
      <c r="E4858" t="s">
        <v>18</v>
      </c>
      <c r="F4858">
        <v>1113.72</v>
      </c>
      <c r="G4858">
        <v>98.71</v>
      </c>
      <c r="H4858" t="s">
        <v>13</v>
      </c>
      <c r="I4858" t="s">
        <v>34</v>
      </c>
    </row>
    <row r="4859" spans="1:9" x14ac:dyDescent="0.35">
      <c r="A4859" t="s">
        <v>4895</v>
      </c>
      <c r="B4859" s="1">
        <v>45621</v>
      </c>
      <c r="C4859" t="s">
        <v>25</v>
      </c>
      <c r="D4859" t="s">
        <v>11</v>
      </c>
      <c r="E4859" t="s">
        <v>12</v>
      </c>
      <c r="F4859">
        <v>1392.16</v>
      </c>
      <c r="G4859">
        <v>276.85000000000002</v>
      </c>
      <c r="H4859" t="s">
        <v>13</v>
      </c>
      <c r="I4859" t="s">
        <v>20</v>
      </c>
    </row>
    <row r="4860" spans="1:9" x14ac:dyDescent="0.35">
      <c r="A4860" t="s">
        <v>4896</v>
      </c>
      <c r="B4860" s="1">
        <v>45382</v>
      </c>
      <c r="C4860" t="s">
        <v>22</v>
      </c>
      <c r="D4860" t="s">
        <v>33</v>
      </c>
      <c r="E4860" t="s">
        <v>18</v>
      </c>
      <c r="F4860">
        <v>996.65</v>
      </c>
      <c r="G4860">
        <v>60.8</v>
      </c>
      <c r="H4860" t="s">
        <v>28</v>
      </c>
      <c r="I4860" t="s">
        <v>14</v>
      </c>
    </row>
    <row r="4861" spans="1:9" x14ac:dyDescent="0.35">
      <c r="A4861" t="s">
        <v>4897</v>
      </c>
      <c r="B4861" s="1">
        <v>44931</v>
      </c>
      <c r="C4861" t="s">
        <v>10</v>
      </c>
      <c r="D4861" t="s">
        <v>62</v>
      </c>
      <c r="E4861" t="s">
        <v>27</v>
      </c>
      <c r="F4861">
        <v>1249.51</v>
      </c>
      <c r="G4861">
        <v>351.99</v>
      </c>
      <c r="H4861" t="s">
        <v>13</v>
      </c>
      <c r="I4861" t="s">
        <v>29</v>
      </c>
    </row>
    <row r="4862" spans="1:9" x14ac:dyDescent="0.35">
      <c r="A4862" t="s">
        <v>4898</v>
      </c>
      <c r="B4862" s="1">
        <v>45473</v>
      </c>
      <c r="C4862" t="s">
        <v>25</v>
      </c>
      <c r="D4862" t="s">
        <v>17</v>
      </c>
      <c r="E4862" t="s">
        <v>18</v>
      </c>
      <c r="F4862">
        <v>1897.76</v>
      </c>
      <c r="G4862">
        <v>342.73</v>
      </c>
      <c r="H4862" t="s">
        <v>19</v>
      </c>
      <c r="I4862" t="s">
        <v>34</v>
      </c>
    </row>
    <row r="4863" spans="1:9" x14ac:dyDescent="0.35">
      <c r="A4863" t="s">
        <v>4899</v>
      </c>
      <c r="B4863" s="1">
        <v>44728</v>
      </c>
      <c r="C4863" t="s">
        <v>10</v>
      </c>
      <c r="D4863" t="s">
        <v>11</v>
      </c>
      <c r="E4863" t="s">
        <v>12</v>
      </c>
      <c r="F4863">
        <v>671.44</v>
      </c>
      <c r="G4863">
        <v>89.36</v>
      </c>
      <c r="H4863" t="s">
        <v>19</v>
      </c>
      <c r="I4863" t="s">
        <v>20</v>
      </c>
    </row>
    <row r="4864" spans="1:9" x14ac:dyDescent="0.35">
      <c r="A4864" t="s">
        <v>4900</v>
      </c>
      <c r="B4864" s="1">
        <v>44952</v>
      </c>
      <c r="C4864" t="s">
        <v>25</v>
      </c>
      <c r="D4864" t="s">
        <v>11</v>
      </c>
      <c r="E4864" t="s">
        <v>12</v>
      </c>
      <c r="F4864">
        <v>188.5</v>
      </c>
      <c r="G4864">
        <v>10.94</v>
      </c>
      <c r="H4864" t="s">
        <v>13</v>
      </c>
      <c r="I4864" t="s">
        <v>14</v>
      </c>
    </row>
    <row r="4865" spans="1:9" x14ac:dyDescent="0.35">
      <c r="A4865" t="s">
        <v>4901</v>
      </c>
      <c r="B4865" s="1">
        <v>45414</v>
      </c>
      <c r="C4865" t="s">
        <v>10</v>
      </c>
      <c r="D4865" t="s">
        <v>31</v>
      </c>
      <c r="E4865" t="s">
        <v>12</v>
      </c>
      <c r="F4865">
        <v>311.92</v>
      </c>
      <c r="G4865">
        <v>64.64</v>
      </c>
      <c r="H4865" t="s">
        <v>13</v>
      </c>
      <c r="I4865" t="s">
        <v>14</v>
      </c>
    </row>
    <row r="4866" spans="1:9" x14ac:dyDescent="0.35">
      <c r="A4866" t="s">
        <v>4902</v>
      </c>
      <c r="B4866" s="1">
        <v>44677</v>
      </c>
      <c r="C4866" t="s">
        <v>22</v>
      </c>
      <c r="D4866" t="s">
        <v>23</v>
      </c>
      <c r="E4866" t="s">
        <v>18</v>
      </c>
      <c r="F4866">
        <v>1014.4</v>
      </c>
      <c r="G4866">
        <v>78.14</v>
      </c>
      <c r="H4866" t="s">
        <v>13</v>
      </c>
      <c r="I4866" t="s">
        <v>20</v>
      </c>
    </row>
    <row r="4867" spans="1:9" x14ac:dyDescent="0.35">
      <c r="A4867" t="s">
        <v>4903</v>
      </c>
      <c r="B4867" s="1">
        <v>45216</v>
      </c>
      <c r="C4867" t="s">
        <v>10</v>
      </c>
      <c r="D4867" t="s">
        <v>23</v>
      </c>
      <c r="E4867" t="s">
        <v>18</v>
      </c>
      <c r="F4867">
        <v>1517.24</v>
      </c>
      <c r="G4867">
        <v>145.36000000000001</v>
      </c>
      <c r="H4867" t="s">
        <v>19</v>
      </c>
      <c r="I4867" t="s">
        <v>29</v>
      </c>
    </row>
    <row r="4868" spans="1:9" x14ac:dyDescent="0.35">
      <c r="A4868" t="s">
        <v>4904</v>
      </c>
      <c r="B4868" s="1">
        <v>45243</v>
      </c>
      <c r="C4868" t="s">
        <v>10</v>
      </c>
      <c r="D4868" t="s">
        <v>95</v>
      </c>
      <c r="E4868" t="s">
        <v>18</v>
      </c>
      <c r="F4868">
        <v>839.14</v>
      </c>
      <c r="G4868">
        <v>140.32</v>
      </c>
      <c r="H4868" t="s">
        <v>19</v>
      </c>
      <c r="I4868" t="s">
        <v>34</v>
      </c>
    </row>
    <row r="4869" spans="1:9" x14ac:dyDescent="0.35">
      <c r="A4869" t="s">
        <v>4905</v>
      </c>
      <c r="B4869" s="1">
        <v>44886</v>
      </c>
      <c r="C4869" t="s">
        <v>16</v>
      </c>
      <c r="D4869" t="s">
        <v>31</v>
      </c>
      <c r="E4869" t="s">
        <v>12</v>
      </c>
      <c r="F4869">
        <v>1909.89</v>
      </c>
      <c r="G4869">
        <v>159.25</v>
      </c>
      <c r="H4869" t="s">
        <v>19</v>
      </c>
      <c r="I4869" t="s">
        <v>20</v>
      </c>
    </row>
    <row r="4870" spans="1:9" x14ac:dyDescent="0.35">
      <c r="A4870" t="s">
        <v>4906</v>
      </c>
      <c r="B4870" s="1">
        <v>45631</v>
      </c>
      <c r="C4870" t="s">
        <v>10</v>
      </c>
      <c r="D4870" t="s">
        <v>73</v>
      </c>
      <c r="E4870" t="s">
        <v>27</v>
      </c>
      <c r="F4870">
        <v>1308.6300000000001</v>
      </c>
      <c r="G4870">
        <v>211.78</v>
      </c>
      <c r="H4870" t="s">
        <v>13</v>
      </c>
      <c r="I4870" t="s">
        <v>34</v>
      </c>
    </row>
    <row r="4871" spans="1:9" x14ac:dyDescent="0.35">
      <c r="A4871" t="s">
        <v>4907</v>
      </c>
      <c r="B4871" s="1">
        <v>45515</v>
      </c>
      <c r="C4871" t="s">
        <v>22</v>
      </c>
      <c r="D4871" t="s">
        <v>23</v>
      </c>
      <c r="E4871" t="s">
        <v>18</v>
      </c>
      <c r="F4871">
        <v>1058.05</v>
      </c>
      <c r="G4871">
        <v>310.06</v>
      </c>
      <c r="H4871" t="s">
        <v>19</v>
      </c>
      <c r="I4871" t="s">
        <v>29</v>
      </c>
    </row>
    <row r="4872" spans="1:9" x14ac:dyDescent="0.35">
      <c r="A4872" t="s">
        <v>4908</v>
      </c>
      <c r="B4872" s="1">
        <v>44586</v>
      </c>
      <c r="C4872" t="s">
        <v>10</v>
      </c>
      <c r="D4872" t="s">
        <v>11</v>
      </c>
      <c r="E4872" t="s">
        <v>12</v>
      </c>
      <c r="F4872">
        <v>670.05</v>
      </c>
      <c r="G4872">
        <v>130.91999999999999</v>
      </c>
      <c r="H4872" t="s">
        <v>13</v>
      </c>
      <c r="I4872" t="s">
        <v>34</v>
      </c>
    </row>
    <row r="4873" spans="1:9" x14ac:dyDescent="0.35">
      <c r="A4873" t="s">
        <v>4909</v>
      </c>
      <c r="B4873" s="1">
        <v>44607</v>
      </c>
      <c r="C4873" t="s">
        <v>16</v>
      </c>
      <c r="D4873" t="s">
        <v>95</v>
      </c>
      <c r="E4873" t="s">
        <v>18</v>
      </c>
      <c r="F4873">
        <v>1908.08</v>
      </c>
      <c r="G4873">
        <v>538.34</v>
      </c>
      <c r="H4873" t="s">
        <v>19</v>
      </c>
      <c r="I4873" t="s">
        <v>29</v>
      </c>
    </row>
    <row r="4874" spans="1:9" x14ac:dyDescent="0.35">
      <c r="A4874" t="s">
        <v>4910</v>
      </c>
      <c r="B4874" s="1">
        <v>45578</v>
      </c>
      <c r="C4874" t="s">
        <v>10</v>
      </c>
      <c r="D4874" t="s">
        <v>41</v>
      </c>
      <c r="E4874" t="s">
        <v>12</v>
      </c>
      <c r="F4874">
        <v>1784.61</v>
      </c>
      <c r="G4874">
        <v>523.72</v>
      </c>
      <c r="H4874" t="s">
        <v>13</v>
      </c>
      <c r="I4874" t="s">
        <v>20</v>
      </c>
    </row>
    <row r="4875" spans="1:9" x14ac:dyDescent="0.35">
      <c r="A4875" t="s">
        <v>4911</v>
      </c>
      <c r="B4875" s="1">
        <v>45060</v>
      </c>
      <c r="C4875" t="s">
        <v>16</v>
      </c>
      <c r="D4875" t="s">
        <v>41</v>
      </c>
      <c r="E4875" t="s">
        <v>12</v>
      </c>
      <c r="F4875">
        <v>1796.58</v>
      </c>
      <c r="G4875">
        <v>102.57</v>
      </c>
      <c r="H4875" t="s">
        <v>13</v>
      </c>
      <c r="I4875" t="s">
        <v>14</v>
      </c>
    </row>
    <row r="4876" spans="1:9" x14ac:dyDescent="0.35">
      <c r="A4876" t="s">
        <v>4912</v>
      </c>
      <c r="B4876" s="1">
        <v>45623</v>
      </c>
      <c r="C4876" t="s">
        <v>10</v>
      </c>
      <c r="D4876" t="s">
        <v>57</v>
      </c>
      <c r="E4876" t="s">
        <v>27</v>
      </c>
      <c r="F4876">
        <v>268.36</v>
      </c>
      <c r="G4876">
        <v>61.37</v>
      </c>
      <c r="H4876" t="s">
        <v>13</v>
      </c>
      <c r="I4876" t="s">
        <v>29</v>
      </c>
    </row>
    <row r="4877" spans="1:9" x14ac:dyDescent="0.35">
      <c r="A4877" t="s">
        <v>4913</v>
      </c>
      <c r="B4877" s="1">
        <v>44842</v>
      </c>
      <c r="C4877" t="s">
        <v>10</v>
      </c>
      <c r="D4877" t="s">
        <v>31</v>
      </c>
      <c r="E4877" t="s">
        <v>12</v>
      </c>
      <c r="F4877">
        <v>1855.66</v>
      </c>
      <c r="G4877">
        <v>241.02</v>
      </c>
      <c r="H4877" t="s">
        <v>28</v>
      </c>
      <c r="I4877" t="s">
        <v>34</v>
      </c>
    </row>
    <row r="4878" spans="1:9" x14ac:dyDescent="0.35">
      <c r="A4878" t="s">
        <v>4914</v>
      </c>
      <c r="B4878" s="1">
        <v>45573</v>
      </c>
      <c r="C4878" t="s">
        <v>22</v>
      </c>
      <c r="D4878" t="s">
        <v>33</v>
      </c>
      <c r="E4878" t="s">
        <v>18</v>
      </c>
      <c r="F4878">
        <v>380.18</v>
      </c>
      <c r="G4878">
        <v>31.74</v>
      </c>
      <c r="H4878" t="s">
        <v>13</v>
      </c>
      <c r="I4878" t="s">
        <v>20</v>
      </c>
    </row>
    <row r="4879" spans="1:9" x14ac:dyDescent="0.35">
      <c r="A4879" t="s">
        <v>4915</v>
      </c>
      <c r="B4879" s="1">
        <v>45430</v>
      </c>
      <c r="C4879" t="s">
        <v>10</v>
      </c>
      <c r="D4879" t="s">
        <v>17</v>
      </c>
      <c r="E4879" t="s">
        <v>18</v>
      </c>
      <c r="F4879">
        <v>1579.73</v>
      </c>
      <c r="G4879">
        <v>192.9</v>
      </c>
      <c r="H4879" t="s">
        <v>28</v>
      </c>
      <c r="I4879" t="s">
        <v>14</v>
      </c>
    </row>
    <row r="4880" spans="1:9" x14ac:dyDescent="0.35">
      <c r="A4880" t="s">
        <v>4916</v>
      </c>
      <c r="B4880" s="1">
        <v>45062</v>
      </c>
      <c r="C4880" t="s">
        <v>25</v>
      </c>
      <c r="D4880" t="s">
        <v>23</v>
      </c>
      <c r="E4880" t="s">
        <v>18</v>
      </c>
      <c r="F4880">
        <v>1792.79</v>
      </c>
      <c r="G4880">
        <v>527.64</v>
      </c>
      <c r="H4880" t="s">
        <v>19</v>
      </c>
      <c r="I4880" t="s">
        <v>14</v>
      </c>
    </row>
    <row r="4881" spans="1:9" x14ac:dyDescent="0.35">
      <c r="A4881" t="s">
        <v>4917</v>
      </c>
      <c r="B4881" s="1">
        <v>44932</v>
      </c>
      <c r="C4881" t="s">
        <v>25</v>
      </c>
      <c r="D4881" t="s">
        <v>46</v>
      </c>
      <c r="E4881" t="s">
        <v>18</v>
      </c>
      <c r="F4881">
        <v>1904.53</v>
      </c>
      <c r="G4881">
        <v>519.47</v>
      </c>
      <c r="H4881" t="s">
        <v>28</v>
      </c>
      <c r="I4881" t="s">
        <v>29</v>
      </c>
    </row>
    <row r="4882" spans="1:9" x14ac:dyDescent="0.35">
      <c r="A4882" t="s">
        <v>4918</v>
      </c>
      <c r="B4882" s="1">
        <v>45656</v>
      </c>
      <c r="C4882" t="s">
        <v>10</v>
      </c>
      <c r="D4882" t="s">
        <v>38</v>
      </c>
      <c r="E4882" t="s">
        <v>12</v>
      </c>
      <c r="F4882">
        <v>1170.95</v>
      </c>
      <c r="G4882">
        <v>281.14999999999998</v>
      </c>
      <c r="H4882" t="s">
        <v>19</v>
      </c>
      <c r="I4882" t="s">
        <v>20</v>
      </c>
    </row>
    <row r="4883" spans="1:9" x14ac:dyDescent="0.35">
      <c r="A4883" t="s">
        <v>4919</v>
      </c>
      <c r="B4883" s="1">
        <v>44967</v>
      </c>
      <c r="C4883" t="s">
        <v>10</v>
      </c>
      <c r="D4883" t="s">
        <v>31</v>
      </c>
      <c r="E4883" t="s">
        <v>12</v>
      </c>
      <c r="F4883">
        <v>196.56</v>
      </c>
      <c r="G4883">
        <v>10.84</v>
      </c>
      <c r="H4883" t="s">
        <v>13</v>
      </c>
      <c r="I4883" t="s">
        <v>34</v>
      </c>
    </row>
    <row r="4884" spans="1:9" x14ac:dyDescent="0.35">
      <c r="A4884" t="s">
        <v>4920</v>
      </c>
      <c r="B4884" s="1">
        <v>45562</v>
      </c>
      <c r="C4884" t="s">
        <v>22</v>
      </c>
      <c r="D4884" t="s">
        <v>97</v>
      </c>
      <c r="E4884" t="s">
        <v>27</v>
      </c>
      <c r="F4884">
        <v>1988.03</v>
      </c>
      <c r="G4884">
        <v>565.9</v>
      </c>
      <c r="H4884" t="s">
        <v>19</v>
      </c>
      <c r="I4884" t="s">
        <v>34</v>
      </c>
    </row>
    <row r="4885" spans="1:9" x14ac:dyDescent="0.35">
      <c r="A4885" t="s">
        <v>4921</v>
      </c>
      <c r="B4885" s="1">
        <v>45526</v>
      </c>
      <c r="C4885" t="s">
        <v>22</v>
      </c>
      <c r="D4885" t="s">
        <v>11</v>
      </c>
      <c r="E4885" t="s">
        <v>12</v>
      </c>
      <c r="F4885">
        <v>889.36</v>
      </c>
      <c r="G4885">
        <v>82.5</v>
      </c>
      <c r="H4885" t="s">
        <v>13</v>
      </c>
      <c r="I4885" t="s">
        <v>20</v>
      </c>
    </row>
    <row r="4886" spans="1:9" x14ac:dyDescent="0.35">
      <c r="A4886" t="s">
        <v>4922</v>
      </c>
      <c r="B4886" s="1">
        <v>44815</v>
      </c>
      <c r="C4886" t="s">
        <v>25</v>
      </c>
      <c r="D4886" t="s">
        <v>38</v>
      </c>
      <c r="E4886" t="s">
        <v>12</v>
      </c>
      <c r="F4886">
        <v>317.64</v>
      </c>
      <c r="G4886">
        <v>73.819999999999993</v>
      </c>
      <c r="H4886" t="s">
        <v>13</v>
      </c>
      <c r="I4886" t="s">
        <v>20</v>
      </c>
    </row>
    <row r="4887" spans="1:9" x14ac:dyDescent="0.35">
      <c r="A4887" t="s">
        <v>4923</v>
      </c>
      <c r="B4887" s="1">
        <v>45123</v>
      </c>
      <c r="C4887" t="s">
        <v>10</v>
      </c>
      <c r="D4887" t="s">
        <v>11</v>
      </c>
      <c r="E4887" t="s">
        <v>12</v>
      </c>
      <c r="F4887">
        <v>736.39</v>
      </c>
      <c r="G4887">
        <v>72.05</v>
      </c>
      <c r="H4887" t="s">
        <v>19</v>
      </c>
      <c r="I4887" t="s">
        <v>14</v>
      </c>
    </row>
    <row r="4888" spans="1:9" x14ac:dyDescent="0.35">
      <c r="A4888" t="s">
        <v>4924</v>
      </c>
      <c r="B4888" s="1">
        <v>45068</v>
      </c>
      <c r="C4888" t="s">
        <v>22</v>
      </c>
      <c r="D4888" t="s">
        <v>11</v>
      </c>
      <c r="E4888" t="s">
        <v>12</v>
      </c>
      <c r="F4888">
        <v>247.32</v>
      </c>
      <c r="G4888">
        <v>62.36</v>
      </c>
      <c r="H4888" t="s">
        <v>28</v>
      </c>
      <c r="I4888" t="s">
        <v>29</v>
      </c>
    </row>
    <row r="4889" spans="1:9" x14ac:dyDescent="0.35">
      <c r="A4889" t="s">
        <v>4925</v>
      </c>
      <c r="B4889" s="1">
        <v>44879</v>
      </c>
      <c r="C4889" t="s">
        <v>25</v>
      </c>
      <c r="D4889" t="s">
        <v>57</v>
      </c>
      <c r="E4889" t="s">
        <v>27</v>
      </c>
      <c r="F4889">
        <v>503.11</v>
      </c>
      <c r="G4889">
        <v>79.45</v>
      </c>
      <c r="H4889" t="s">
        <v>19</v>
      </c>
      <c r="I4889" t="s">
        <v>29</v>
      </c>
    </row>
    <row r="4890" spans="1:9" x14ac:dyDescent="0.35">
      <c r="A4890" t="s">
        <v>4926</v>
      </c>
      <c r="B4890" s="1">
        <v>44786</v>
      </c>
      <c r="C4890" t="s">
        <v>25</v>
      </c>
      <c r="D4890" t="s">
        <v>46</v>
      </c>
      <c r="E4890" t="s">
        <v>18</v>
      </c>
      <c r="F4890">
        <v>441.67</v>
      </c>
      <c r="G4890">
        <v>129.61000000000001</v>
      </c>
      <c r="H4890" t="s">
        <v>28</v>
      </c>
      <c r="I4890" t="s">
        <v>34</v>
      </c>
    </row>
    <row r="4891" spans="1:9" x14ac:dyDescent="0.35">
      <c r="A4891" t="s">
        <v>4927</v>
      </c>
      <c r="B4891" s="1">
        <v>45464</v>
      </c>
      <c r="C4891" t="s">
        <v>22</v>
      </c>
      <c r="D4891" t="s">
        <v>62</v>
      </c>
      <c r="E4891" t="s">
        <v>27</v>
      </c>
      <c r="F4891">
        <v>1820.61</v>
      </c>
      <c r="G4891">
        <v>197.44</v>
      </c>
      <c r="H4891" t="s">
        <v>28</v>
      </c>
      <c r="I4891" t="s">
        <v>20</v>
      </c>
    </row>
    <row r="4892" spans="1:9" x14ac:dyDescent="0.35">
      <c r="A4892" t="s">
        <v>4928</v>
      </c>
      <c r="B4892" s="1">
        <v>45124</v>
      </c>
      <c r="C4892" t="s">
        <v>16</v>
      </c>
      <c r="D4892" t="s">
        <v>95</v>
      </c>
      <c r="E4892" t="s">
        <v>18</v>
      </c>
      <c r="F4892">
        <v>1244.28</v>
      </c>
      <c r="G4892">
        <v>328.65</v>
      </c>
      <c r="H4892" t="s">
        <v>19</v>
      </c>
      <c r="I4892" t="s">
        <v>34</v>
      </c>
    </row>
    <row r="4893" spans="1:9" x14ac:dyDescent="0.35">
      <c r="A4893" t="s">
        <v>4929</v>
      </c>
      <c r="B4893" s="1">
        <v>45317</v>
      </c>
      <c r="C4893" t="s">
        <v>10</v>
      </c>
      <c r="D4893" t="s">
        <v>62</v>
      </c>
      <c r="E4893" t="s">
        <v>27</v>
      </c>
      <c r="F4893">
        <v>1810.27</v>
      </c>
      <c r="G4893">
        <v>405.32</v>
      </c>
      <c r="H4893" t="s">
        <v>28</v>
      </c>
      <c r="I4893" t="s">
        <v>34</v>
      </c>
    </row>
    <row r="4894" spans="1:9" x14ac:dyDescent="0.35">
      <c r="A4894" t="s">
        <v>4930</v>
      </c>
      <c r="B4894" s="1">
        <v>45302</v>
      </c>
      <c r="C4894" t="s">
        <v>22</v>
      </c>
      <c r="D4894" t="s">
        <v>31</v>
      </c>
      <c r="E4894" t="s">
        <v>12</v>
      </c>
      <c r="F4894">
        <v>1730.16</v>
      </c>
      <c r="G4894">
        <v>115.35</v>
      </c>
      <c r="H4894" t="s">
        <v>19</v>
      </c>
      <c r="I4894" t="s">
        <v>29</v>
      </c>
    </row>
    <row r="4895" spans="1:9" x14ac:dyDescent="0.35">
      <c r="A4895" t="s">
        <v>4931</v>
      </c>
      <c r="B4895" s="1">
        <v>45577</v>
      </c>
      <c r="C4895" t="s">
        <v>16</v>
      </c>
      <c r="D4895" t="s">
        <v>33</v>
      </c>
      <c r="E4895" t="s">
        <v>18</v>
      </c>
      <c r="F4895">
        <v>965.31</v>
      </c>
      <c r="G4895">
        <v>58.71</v>
      </c>
      <c r="H4895" t="s">
        <v>13</v>
      </c>
      <c r="I4895" t="s">
        <v>14</v>
      </c>
    </row>
    <row r="4896" spans="1:9" x14ac:dyDescent="0.35">
      <c r="A4896" t="s">
        <v>4932</v>
      </c>
      <c r="B4896" s="1">
        <v>45584</v>
      </c>
      <c r="C4896" t="s">
        <v>10</v>
      </c>
      <c r="D4896" t="s">
        <v>23</v>
      </c>
      <c r="E4896" t="s">
        <v>18</v>
      </c>
      <c r="F4896">
        <v>874.35</v>
      </c>
      <c r="G4896">
        <v>97.63</v>
      </c>
      <c r="H4896" t="s">
        <v>19</v>
      </c>
      <c r="I4896" t="s">
        <v>29</v>
      </c>
    </row>
    <row r="4897" spans="1:9" x14ac:dyDescent="0.35">
      <c r="A4897" t="s">
        <v>4933</v>
      </c>
      <c r="B4897" s="1">
        <v>44808</v>
      </c>
      <c r="C4897" t="s">
        <v>22</v>
      </c>
      <c r="D4897" t="s">
        <v>17</v>
      </c>
      <c r="E4897" t="s">
        <v>18</v>
      </c>
      <c r="F4897">
        <v>231.99</v>
      </c>
      <c r="G4897">
        <v>22.11</v>
      </c>
      <c r="H4897" t="s">
        <v>28</v>
      </c>
      <c r="I4897" t="s">
        <v>14</v>
      </c>
    </row>
    <row r="4898" spans="1:9" x14ac:dyDescent="0.35">
      <c r="A4898" t="s">
        <v>4934</v>
      </c>
      <c r="B4898" s="1">
        <v>45250</v>
      </c>
      <c r="C4898" t="s">
        <v>16</v>
      </c>
      <c r="D4898" t="s">
        <v>41</v>
      </c>
      <c r="E4898" t="s">
        <v>12</v>
      </c>
      <c r="F4898">
        <v>1630.92</v>
      </c>
      <c r="G4898">
        <v>396.33</v>
      </c>
      <c r="H4898" t="s">
        <v>13</v>
      </c>
      <c r="I4898" t="s">
        <v>20</v>
      </c>
    </row>
    <row r="4899" spans="1:9" x14ac:dyDescent="0.35">
      <c r="A4899" t="s">
        <v>4935</v>
      </c>
      <c r="B4899" s="1">
        <v>45656</v>
      </c>
      <c r="C4899" t="s">
        <v>10</v>
      </c>
      <c r="D4899" t="s">
        <v>57</v>
      </c>
      <c r="E4899" t="s">
        <v>27</v>
      </c>
      <c r="F4899">
        <v>1561.21</v>
      </c>
      <c r="G4899">
        <v>142.74</v>
      </c>
      <c r="H4899" t="s">
        <v>13</v>
      </c>
      <c r="I4899" t="s">
        <v>34</v>
      </c>
    </row>
    <row r="4900" spans="1:9" x14ac:dyDescent="0.35">
      <c r="A4900" t="s">
        <v>4936</v>
      </c>
      <c r="B4900" s="1">
        <v>45070</v>
      </c>
      <c r="C4900" t="s">
        <v>16</v>
      </c>
      <c r="D4900" t="s">
        <v>97</v>
      </c>
      <c r="E4900" t="s">
        <v>27</v>
      </c>
      <c r="F4900">
        <v>1470.73</v>
      </c>
      <c r="G4900">
        <v>241.36</v>
      </c>
      <c r="H4900" t="s">
        <v>19</v>
      </c>
      <c r="I4900" t="s">
        <v>20</v>
      </c>
    </row>
    <row r="4901" spans="1:9" x14ac:dyDescent="0.35">
      <c r="A4901" t="s">
        <v>4937</v>
      </c>
      <c r="B4901" s="1">
        <v>44565</v>
      </c>
      <c r="C4901" t="s">
        <v>16</v>
      </c>
      <c r="D4901" t="s">
        <v>57</v>
      </c>
      <c r="E4901" t="s">
        <v>27</v>
      </c>
      <c r="F4901">
        <v>776.37</v>
      </c>
      <c r="G4901">
        <v>100.34</v>
      </c>
      <c r="H4901" t="s">
        <v>19</v>
      </c>
      <c r="I4901" t="s">
        <v>20</v>
      </c>
    </row>
    <row r="4902" spans="1:9" x14ac:dyDescent="0.35">
      <c r="A4902" t="s">
        <v>4938</v>
      </c>
      <c r="B4902" s="1">
        <v>45503</v>
      </c>
      <c r="C4902" t="s">
        <v>25</v>
      </c>
      <c r="D4902" t="s">
        <v>62</v>
      </c>
      <c r="E4902" t="s">
        <v>27</v>
      </c>
      <c r="F4902">
        <v>628.66999999999996</v>
      </c>
      <c r="G4902">
        <v>118.74</v>
      </c>
      <c r="H4902" t="s">
        <v>28</v>
      </c>
      <c r="I4902" t="s">
        <v>29</v>
      </c>
    </row>
    <row r="4903" spans="1:9" x14ac:dyDescent="0.35">
      <c r="A4903" t="s">
        <v>4939</v>
      </c>
      <c r="B4903" s="1">
        <v>45322</v>
      </c>
      <c r="C4903" t="s">
        <v>16</v>
      </c>
      <c r="D4903" t="s">
        <v>97</v>
      </c>
      <c r="E4903" t="s">
        <v>27</v>
      </c>
      <c r="F4903">
        <v>1041.8599999999999</v>
      </c>
      <c r="G4903">
        <v>208.85</v>
      </c>
      <c r="H4903" t="s">
        <v>13</v>
      </c>
      <c r="I4903" t="s">
        <v>29</v>
      </c>
    </row>
    <row r="4904" spans="1:9" x14ac:dyDescent="0.35">
      <c r="A4904" t="s">
        <v>4940</v>
      </c>
      <c r="B4904" s="1">
        <v>45236</v>
      </c>
      <c r="C4904" t="s">
        <v>25</v>
      </c>
      <c r="D4904" t="s">
        <v>38</v>
      </c>
      <c r="E4904" t="s">
        <v>12</v>
      </c>
      <c r="F4904">
        <v>1342.72</v>
      </c>
      <c r="G4904">
        <v>376.5</v>
      </c>
      <c r="H4904" t="s">
        <v>19</v>
      </c>
      <c r="I4904" t="s">
        <v>29</v>
      </c>
    </row>
    <row r="4905" spans="1:9" x14ac:dyDescent="0.35">
      <c r="A4905" t="s">
        <v>4941</v>
      </c>
      <c r="B4905" s="1">
        <v>44775</v>
      </c>
      <c r="C4905" t="s">
        <v>25</v>
      </c>
      <c r="D4905" t="s">
        <v>17</v>
      </c>
      <c r="E4905" t="s">
        <v>18</v>
      </c>
      <c r="F4905">
        <v>1702.69</v>
      </c>
      <c r="G4905">
        <v>255.83</v>
      </c>
      <c r="H4905" t="s">
        <v>19</v>
      </c>
      <c r="I4905" t="s">
        <v>14</v>
      </c>
    </row>
    <row r="4906" spans="1:9" x14ac:dyDescent="0.35">
      <c r="A4906" t="s">
        <v>4942</v>
      </c>
      <c r="B4906" s="1">
        <v>44852</v>
      </c>
      <c r="C4906" t="s">
        <v>22</v>
      </c>
      <c r="D4906" t="s">
        <v>33</v>
      </c>
      <c r="E4906" t="s">
        <v>18</v>
      </c>
      <c r="F4906">
        <v>1382.28</v>
      </c>
      <c r="G4906">
        <v>170.02</v>
      </c>
      <c r="H4906" t="s">
        <v>28</v>
      </c>
      <c r="I4906" t="s">
        <v>34</v>
      </c>
    </row>
    <row r="4907" spans="1:9" x14ac:dyDescent="0.35">
      <c r="A4907" t="s">
        <v>4943</v>
      </c>
      <c r="B4907" s="1">
        <v>45430</v>
      </c>
      <c r="C4907" t="s">
        <v>25</v>
      </c>
      <c r="D4907" t="s">
        <v>97</v>
      </c>
      <c r="E4907" t="s">
        <v>27</v>
      </c>
      <c r="F4907">
        <v>772.45</v>
      </c>
      <c r="G4907">
        <v>179.71</v>
      </c>
      <c r="H4907" t="s">
        <v>19</v>
      </c>
      <c r="I4907" t="s">
        <v>14</v>
      </c>
    </row>
    <row r="4908" spans="1:9" x14ac:dyDescent="0.35">
      <c r="A4908" t="s">
        <v>4944</v>
      </c>
      <c r="B4908" s="1">
        <v>45405</v>
      </c>
      <c r="C4908" t="s">
        <v>25</v>
      </c>
      <c r="D4908" t="s">
        <v>95</v>
      </c>
      <c r="E4908" t="s">
        <v>18</v>
      </c>
      <c r="F4908">
        <v>118.07</v>
      </c>
      <c r="G4908">
        <v>24.44</v>
      </c>
      <c r="H4908" t="s">
        <v>19</v>
      </c>
      <c r="I4908" t="s">
        <v>20</v>
      </c>
    </row>
    <row r="4909" spans="1:9" x14ac:dyDescent="0.35">
      <c r="A4909" t="s">
        <v>4945</v>
      </c>
      <c r="B4909" s="1">
        <v>44965</v>
      </c>
      <c r="C4909" t="s">
        <v>22</v>
      </c>
      <c r="D4909" t="s">
        <v>46</v>
      </c>
      <c r="E4909" t="s">
        <v>18</v>
      </c>
      <c r="F4909">
        <v>107.11</v>
      </c>
      <c r="G4909">
        <v>30.44</v>
      </c>
      <c r="H4909" t="s">
        <v>19</v>
      </c>
      <c r="I4909" t="s">
        <v>14</v>
      </c>
    </row>
    <row r="4910" spans="1:9" x14ac:dyDescent="0.35">
      <c r="A4910" t="s">
        <v>4946</v>
      </c>
      <c r="B4910" s="1">
        <v>44848</v>
      </c>
      <c r="C4910" t="s">
        <v>16</v>
      </c>
      <c r="D4910" t="s">
        <v>41</v>
      </c>
      <c r="E4910" t="s">
        <v>12</v>
      </c>
      <c r="F4910">
        <v>174</v>
      </c>
      <c r="G4910">
        <v>47.75</v>
      </c>
      <c r="H4910" t="s">
        <v>19</v>
      </c>
      <c r="I4910" t="s">
        <v>34</v>
      </c>
    </row>
    <row r="4911" spans="1:9" x14ac:dyDescent="0.35">
      <c r="A4911" t="s">
        <v>4947</v>
      </c>
      <c r="B4911" s="1">
        <v>44831</v>
      </c>
      <c r="C4911" t="s">
        <v>16</v>
      </c>
      <c r="D4911" t="s">
        <v>41</v>
      </c>
      <c r="E4911" t="s">
        <v>12</v>
      </c>
      <c r="F4911">
        <v>1898.75</v>
      </c>
      <c r="G4911">
        <v>148.57</v>
      </c>
      <c r="H4911" t="s">
        <v>13</v>
      </c>
      <c r="I4911" t="s">
        <v>20</v>
      </c>
    </row>
    <row r="4912" spans="1:9" x14ac:dyDescent="0.35">
      <c r="A4912" t="s">
        <v>4948</v>
      </c>
      <c r="B4912" s="1">
        <v>44705</v>
      </c>
      <c r="C4912" t="s">
        <v>22</v>
      </c>
      <c r="D4912" t="s">
        <v>97</v>
      </c>
      <c r="E4912" t="s">
        <v>27</v>
      </c>
      <c r="F4912">
        <v>185.17</v>
      </c>
      <c r="G4912">
        <v>21.5</v>
      </c>
      <c r="H4912" t="s">
        <v>19</v>
      </c>
      <c r="I4912" t="s">
        <v>34</v>
      </c>
    </row>
    <row r="4913" spans="1:9" x14ac:dyDescent="0.35">
      <c r="A4913" t="s">
        <v>4949</v>
      </c>
      <c r="B4913" s="1">
        <v>44935</v>
      </c>
      <c r="C4913" t="s">
        <v>16</v>
      </c>
      <c r="D4913" t="s">
        <v>97</v>
      </c>
      <c r="E4913" t="s">
        <v>27</v>
      </c>
      <c r="F4913">
        <v>1562.95</v>
      </c>
      <c r="G4913">
        <v>162.13</v>
      </c>
      <c r="H4913" t="s">
        <v>19</v>
      </c>
      <c r="I4913" t="s">
        <v>34</v>
      </c>
    </row>
    <row r="4914" spans="1:9" x14ac:dyDescent="0.35">
      <c r="A4914" t="s">
        <v>4950</v>
      </c>
      <c r="B4914" s="1">
        <v>45656</v>
      </c>
      <c r="C4914" t="s">
        <v>10</v>
      </c>
      <c r="D4914" t="s">
        <v>50</v>
      </c>
      <c r="E4914" t="s">
        <v>12</v>
      </c>
      <c r="F4914">
        <v>90.22</v>
      </c>
      <c r="G4914">
        <v>5.63</v>
      </c>
      <c r="H4914" t="s">
        <v>19</v>
      </c>
      <c r="I4914" t="s">
        <v>34</v>
      </c>
    </row>
    <row r="4915" spans="1:9" x14ac:dyDescent="0.35">
      <c r="A4915" t="s">
        <v>4951</v>
      </c>
      <c r="B4915" s="1">
        <v>45556</v>
      </c>
      <c r="C4915" t="s">
        <v>22</v>
      </c>
      <c r="D4915" t="s">
        <v>17</v>
      </c>
      <c r="E4915" t="s">
        <v>18</v>
      </c>
      <c r="F4915">
        <v>797.13</v>
      </c>
      <c r="G4915">
        <v>40.25</v>
      </c>
      <c r="H4915" t="s">
        <v>28</v>
      </c>
      <c r="I4915" t="s">
        <v>14</v>
      </c>
    </row>
    <row r="4916" spans="1:9" x14ac:dyDescent="0.35">
      <c r="A4916" t="s">
        <v>4952</v>
      </c>
      <c r="B4916" s="1">
        <v>45315</v>
      </c>
      <c r="C4916" t="s">
        <v>10</v>
      </c>
      <c r="D4916" t="s">
        <v>31</v>
      </c>
      <c r="E4916" t="s">
        <v>12</v>
      </c>
      <c r="F4916">
        <v>998.39</v>
      </c>
      <c r="G4916">
        <v>145.5</v>
      </c>
      <c r="H4916" t="s">
        <v>13</v>
      </c>
      <c r="I4916" t="s">
        <v>14</v>
      </c>
    </row>
    <row r="4917" spans="1:9" x14ac:dyDescent="0.35">
      <c r="A4917" t="s">
        <v>4953</v>
      </c>
      <c r="B4917" s="1">
        <v>44964</v>
      </c>
      <c r="C4917" t="s">
        <v>25</v>
      </c>
      <c r="D4917" t="s">
        <v>11</v>
      </c>
      <c r="E4917" t="s">
        <v>12</v>
      </c>
      <c r="F4917">
        <v>1891.9</v>
      </c>
      <c r="G4917">
        <v>523.91</v>
      </c>
      <c r="H4917" t="s">
        <v>13</v>
      </c>
      <c r="I4917" t="s">
        <v>20</v>
      </c>
    </row>
    <row r="4918" spans="1:9" x14ac:dyDescent="0.35">
      <c r="A4918" t="s">
        <v>4954</v>
      </c>
      <c r="B4918" s="1">
        <v>44684</v>
      </c>
      <c r="C4918" t="s">
        <v>25</v>
      </c>
      <c r="D4918" t="s">
        <v>57</v>
      </c>
      <c r="E4918" t="s">
        <v>27</v>
      </c>
      <c r="F4918">
        <v>382.86</v>
      </c>
      <c r="G4918">
        <v>74.5</v>
      </c>
      <c r="H4918" t="s">
        <v>13</v>
      </c>
      <c r="I4918" t="s">
        <v>34</v>
      </c>
    </row>
    <row r="4919" spans="1:9" x14ac:dyDescent="0.35">
      <c r="A4919" t="s">
        <v>4955</v>
      </c>
      <c r="B4919" s="1">
        <v>45621</v>
      </c>
      <c r="C4919" t="s">
        <v>10</v>
      </c>
      <c r="D4919" t="s">
        <v>41</v>
      </c>
      <c r="E4919" t="s">
        <v>12</v>
      </c>
      <c r="F4919">
        <v>134.72</v>
      </c>
      <c r="G4919">
        <v>39.72</v>
      </c>
      <c r="H4919" t="s">
        <v>28</v>
      </c>
      <c r="I4919" t="s">
        <v>29</v>
      </c>
    </row>
    <row r="4920" spans="1:9" x14ac:dyDescent="0.35">
      <c r="A4920" t="s">
        <v>4956</v>
      </c>
      <c r="B4920" s="1">
        <v>45343</v>
      </c>
      <c r="C4920" t="s">
        <v>25</v>
      </c>
      <c r="D4920" t="s">
        <v>23</v>
      </c>
      <c r="E4920" t="s">
        <v>18</v>
      </c>
      <c r="F4920">
        <v>1480.41</v>
      </c>
      <c r="G4920">
        <v>264.98</v>
      </c>
      <c r="H4920" t="s">
        <v>19</v>
      </c>
      <c r="I4920" t="s">
        <v>20</v>
      </c>
    </row>
    <row r="4921" spans="1:9" x14ac:dyDescent="0.35">
      <c r="A4921" t="s">
        <v>4957</v>
      </c>
      <c r="B4921" s="1">
        <v>45579</v>
      </c>
      <c r="C4921" t="s">
        <v>22</v>
      </c>
      <c r="D4921" t="s">
        <v>46</v>
      </c>
      <c r="E4921" t="s">
        <v>18</v>
      </c>
      <c r="F4921">
        <v>1328.74</v>
      </c>
      <c r="G4921">
        <v>303.38</v>
      </c>
      <c r="H4921" t="s">
        <v>19</v>
      </c>
      <c r="I4921" t="s">
        <v>20</v>
      </c>
    </row>
    <row r="4922" spans="1:9" x14ac:dyDescent="0.35">
      <c r="A4922" t="s">
        <v>4958</v>
      </c>
      <c r="B4922" s="1">
        <v>45364</v>
      </c>
      <c r="C4922" t="s">
        <v>16</v>
      </c>
      <c r="D4922" t="s">
        <v>23</v>
      </c>
      <c r="E4922" t="s">
        <v>18</v>
      </c>
      <c r="F4922">
        <v>942.57</v>
      </c>
      <c r="G4922">
        <v>57.96</v>
      </c>
      <c r="H4922" t="s">
        <v>13</v>
      </c>
      <c r="I4922" t="s">
        <v>20</v>
      </c>
    </row>
    <row r="4923" spans="1:9" x14ac:dyDescent="0.35">
      <c r="A4923" t="s">
        <v>4959</v>
      </c>
      <c r="B4923" s="1">
        <v>44605</v>
      </c>
      <c r="C4923" t="s">
        <v>25</v>
      </c>
      <c r="D4923" t="s">
        <v>46</v>
      </c>
      <c r="E4923" t="s">
        <v>18</v>
      </c>
      <c r="F4923">
        <v>352.25</v>
      </c>
      <c r="G4923">
        <v>41.52</v>
      </c>
      <c r="H4923" t="s">
        <v>28</v>
      </c>
      <c r="I4923" t="s">
        <v>34</v>
      </c>
    </row>
    <row r="4924" spans="1:9" x14ac:dyDescent="0.35">
      <c r="A4924" t="s">
        <v>4960</v>
      </c>
      <c r="B4924" s="1">
        <v>44709</v>
      </c>
      <c r="C4924" t="s">
        <v>16</v>
      </c>
      <c r="D4924" t="s">
        <v>23</v>
      </c>
      <c r="E4924" t="s">
        <v>18</v>
      </c>
      <c r="F4924">
        <v>858.69</v>
      </c>
      <c r="G4924">
        <v>159.47999999999999</v>
      </c>
      <c r="H4924" t="s">
        <v>28</v>
      </c>
      <c r="I4924" t="s">
        <v>29</v>
      </c>
    </row>
    <row r="4925" spans="1:9" x14ac:dyDescent="0.35">
      <c r="A4925" t="s">
        <v>4961</v>
      </c>
      <c r="B4925" s="1">
        <v>45360</v>
      </c>
      <c r="C4925" t="s">
        <v>25</v>
      </c>
      <c r="D4925" t="s">
        <v>73</v>
      </c>
      <c r="E4925" t="s">
        <v>27</v>
      </c>
      <c r="F4925">
        <v>957.09</v>
      </c>
      <c r="G4925">
        <v>248.17</v>
      </c>
      <c r="H4925" t="s">
        <v>13</v>
      </c>
      <c r="I4925" t="s">
        <v>34</v>
      </c>
    </row>
    <row r="4926" spans="1:9" x14ac:dyDescent="0.35">
      <c r="A4926" t="s">
        <v>4962</v>
      </c>
      <c r="B4926" s="1">
        <v>45151</v>
      </c>
      <c r="C4926" t="s">
        <v>25</v>
      </c>
      <c r="D4926" t="s">
        <v>97</v>
      </c>
      <c r="E4926" t="s">
        <v>27</v>
      </c>
      <c r="F4926">
        <v>1041.53</v>
      </c>
      <c r="G4926">
        <v>148.38</v>
      </c>
      <c r="H4926" t="s">
        <v>19</v>
      </c>
      <c r="I4926" t="s">
        <v>29</v>
      </c>
    </row>
    <row r="4927" spans="1:9" x14ac:dyDescent="0.35">
      <c r="A4927" t="s">
        <v>4963</v>
      </c>
      <c r="B4927" s="1">
        <v>45115</v>
      </c>
      <c r="C4927" t="s">
        <v>22</v>
      </c>
      <c r="D4927" t="s">
        <v>97</v>
      </c>
      <c r="E4927" t="s">
        <v>27</v>
      </c>
      <c r="F4927">
        <v>68.150000000000006</v>
      </c>
      <c r="G4927">
        <v>9.23</v>
      </c>
      <c r="H4927" t="s">
        <v>19</v>
      </c>
      <c r="I4927" t="s">
        <v>20</v>
      </c>
    </row>
    <row r="4928" spans="1:9" x14ac:dyDescent="0.35">
      <c r="A4928" t="s">
        <v>4964</v>
      </c>
      <c r="B4928" s="1">
        <v>44688</v>
      </c>
      <c r="C4928" t="s">
        <v>16</v>
      </c>
      <c r="D4928" t="s">
        <v>26</v>
      </c>
      <c r="E4928" t="s">
        <v>27</v>
      </c>
      <c r="F4928">
        <v>335.45</v>
      </c>
      <c r="G4928">
        <v>33.56</v>
      </c>
      <c r="H4928" t="s">
        <v>28</v>
      </c>
      <c r="I4928" t="s">
        <v>20</v>
      </c>
    </row>
    <row r="4929" spans="1:9" x14ac:dyDescent="0.35">
      <c r="A4929" t="s">
        <v>4965</v>
      </c>
      <c r="B4929" s="1">
        <v>44772</v>
      </c>
      <c r="C4929" t="s">
        <v>22</v>
      </c>
      <c r="D4929" t="s">
        <v>23</v>
      </c>
      <c r="E4929" t="s">
        <v>18</v>
      </c>
      <c r="F4929">
        <v>1306.3699999999999</v>
      </c>
      <c r="G4929">
        <v>261.63</v>
      </c>
      <c r="H4929" t="s">
        <v>19</v>
      </c>
      <c r="I4929" t="s">
        <v>20</v>
      </c>
    </row>
    <row r="4930" spans="1:9" x14ac:dyDescent="0.35">
      <c r="A4930" t="s">
        <v>4966</v>
      </c>
      <c r="B4930" s="1">
        <v>44883</v>
      </c>
      <c r="C4930" t="s">
        <v>10</v>
      </c>
      <c r="D4930" t="s">
        <v>23</v>
      </c>
      <c r="E4930" t="s">
        <v>18</v>
      </c>
      <c r="F4930">
        <v>270.45999999999998</v>
      </c>
      <c r="G4930">
        <v>70.900000000000006</v>
      </c>
      <c r="H4930" t="s">
        <v>19</v>
      </c>
      <c r="I4930" t="s">
        <v>29</v>
      </c>
    </row>
    <row r="4931" spans="1:9" x14ac:dyDescent="0.35">
      <c r="A4931" t="s">
        <v>4967</v>
      </c>
      <c r="B4931" s="1">
        <v>45072</v>
      </c>
      <c r="C4931" t="s">
        <v>22</v>
      </c>
      <c r="D4931" t="s">
        <v>23</v>
      </c>
      <c r="E4931" t="s">
        <v>18</v>
      </c>
      <c r="F4931">
        <v>706.41</v>
      </c>
      <c r="G4931">
        <v>202.7</v>
      </c>
      <c r="H4931" t="s">
        <v>28</v>
      </c>
      <c r="I4931" t="s">
        <v>14</v>
      </c>
    </row>
    <row r="4932" spans="1:9" x14ac:dyDescent="0.35">
      <c r="A4932" t="s">
        <v>4968</v>
      </c>
      <c r="B4932" s="1">
        <v>44863</v>
      </c>
      <c r="C4932" t="s">
        <v>16</v>
      </c>
      <c r="D4932" t="s">
        <v>17</v>
      </c>
      <c r="E4932" t="s">
        <v>18</v>
      </c>
      <c r="F4932">
        <v>696.38</v>
      </c>
      <c r="G4932">
        <v>119.33</v>
      </c>
      <c r="H4932" t="s">
        <v>19</v>
      </c>
      <c r="I4932" t="s">
        <v>14</v>
      </c>
    </row>
    <row r="4933" spans="1:9" x14ac:dyDescent="0.35">
      <c r="A4933" t="s">
        <v>4969</v>
      </c>
      <c r="B4933" s="1">
        <v>44751</v>
      </c>
      <c r="C4933" t="s">
        <v>22</v>
      </c>
      <c r="D4933" t="s">
        <v>11</v>
      </c>
      <c r="E4933" t="s">
        <v>12</v>
      </c>
      <c r="F4933">
        <v>1481.04</v>
      </c>
      <c r="G4933">
        <v>146.72999999999999</v>
      </c>
      <c r="H4933" t="s">
        <v>13</v>
      </c>
      <c r="I4933" t="s">
        <v>14</v>
      </c>
    </row>
    <row r="4934" spans="1:9" x14ac:dyDescent="0.35">
      <c r="A4934" t="s">
        <v>4970</v>
      </c>
      <c r="B4934" s="1">
        <v>45399</v>
      </c>
      <c r="C4934" t="s">
        <v>10</v>
      </c>
      <c r="D4934" t="s">
        <v>11</v>
      </c>
      <c r="E4934" t="s">
        <v>12</v>
      </c>
      <c r="F4934">
        <v>1401.37</v>
      </c>
      <c r="G4934">
        <v>389.21</v>
      </c>
      <c r="H4934" t="s">
        <v>13</v>
      </c>
      <c r="I4934" t="s">
        <v>14</v>
      </c>
    </row>
    <row r="4935" spans="1:9" x14ac:dyDescent="0.35">
      <c r="A4935" t="s">
        <v>4971</v>
      </c>
      <c r="B4935" s="1">
        <v>45150</v>
      </c>
      <c r="C4935" t="s">
        <v>25</v>
      </c>
      <c r="D4935" t="s">
        <v>97</v>
      </c>
      <c r="E4935" t="s">
        <v>27</v>
      </c>
      <c r="F4935">
        <v>1696.13</v>
      </c>
      <c r="G4935">
        <v>290.10000000000002</v>
      </c>
      <c r="H4935" t="s">
        <v>19</v>
      </c>
      <c r="I4935" t="s">
        <v>14</v>
      </c>
    </row>
    <row r="4936" spans="1:9" x14ac:dyDescent="0.35">
      <c r="A4936" t="s">
        <v>4972</v>
      </c>
      <c r="B4936" s="1">
        <v>44924</v>
      </c>
      <c r="C4936" t="s">
        <v>25</v>
      </c>
      <c r="D4936" t="s">
        <v>11</v>
      </c>
      <c r="E4936" t="s">
        <v>12</v>
      </c>
      <c r="F4936">
        <v>1468.97</v>
      </c>
      <c r="G4936">
        <v>288.62</v>
      </c>
      <c r="H4936" t="s">
        <v>13</v>
      </c>
      <c r="I4936" t="s">
        <v>20</v>
      </c>
    </row>
    <row r="4937" spans="1:9" x14ac:dyDescent="0.35">
      <c r="A4937" t="s">
        <v>4973</v>
      </c>
      <c r="B4937" s="1">
        <v>44853</v>
      </c>
      <c r="C4937" t="s">
        <v>10</v>
      </c>
      <c r="D4937" t="s">
        <v>62</v>
      </c>
      <c r="E4937" t="s">
        <v>27</v>
      </c>
      <c r="F4937">
        <v>581.57000000000005</v>
      </c>
      <c r="G4937">
        <v>87.53</v>
      </c>
      <c r="H4937" t="s">
        <v>28</v>
      </c>
      <c r="I4937" t="s">
        <v>29</v>
      </c>
    </row>
    <row r="4938" spans="1:9" x14ac:dyDescent="0.35">
      <c r="A4938" t="s">
        <v>4974</v>
      </c>
      <c r="B4938" s="1">
        <v>45047</v>
      </c>
      <c r="C4938" t="s">
        <v>16</v>
      </c>
      <c r="D4938" t="s">
        <v>57</v>
      </c>
      <c r="E4938" t="s">
        <v>27</v>
      </c>
      <c r="F4938">
        <v>1790.2</v>
      </c>
      <c r="G4938">
        <v>240.97</v>
      </c>
      <c r="H4938" t="s">
        <v>28</v>
      </c>
      <c r="I4938" t="s">
        <v>34</v>
      </c>
    </row>
    <row r="4939" spans="1:9" x14ac:dyDescent="0.35">
      <c r="A4939" t="s">
        <v>4975</v>
      </c>
      <c r="B4939" s="1">
        <v>44891</v>
      </c>
      <c r="C4939" t="s">
        <v>25</v>
      </c>
      <c r="D4939" t="s">
        <v>33</v>
      </c>
      <c r="E4939" t="s">
        <v>18</v>
      </c>
      <c r="F4939">
        <v>892.86</v>
      </c>
      <c r="G4939">
        <v>254.5</v>
      </c>
      <c r="H4939" t="s">
        <v>28</v>
      </c>
      <c r="I4939" t="s">
        <v>14</v>
      </c>
    </row>
    <row r="4940" spans="1:9" x14ac:dyDescent="0.35">
      <c r="A4940" t="s">
        <v>4976</v>
      </c>
      <c r="B4940" s="1">
        <v>44796</v>
      </c>
      <c r="C4940" t="s">
        <v>25</v>
      </c>
      <c r="D4940" t="s">
        <v>57</v>
      </c>
      <c r="E4940" t="s">
        <v>27</v>
      </c>
      <c r="F4940">
        <v>1125.6500000000001</v>
      </c>
      <c r="G4940">
        <v>250.06</v>
      </c>
      <c r="H4940" t="s">
        <v>28</v>
      </c>
      <c r="I4940" t="s">
        <v>14</v>
      </c>
    </row>
    <row r="4941" spans="1:9" x14ac:dyDescent="0.35">
      <c r="A4941" t="s">
        <v>4977</v>
      </c>
      <c r="B4941" s="1">
        <v>45154</v>
      </c>
      <c r="C4941" t="s">
        <v>22</v>
      </c>
      <c r="D4941" t="s">
        <v>73</v>
      </c>
      <c r="E4941" t="s">
        <v>27</v>
      </c>
      <c r="F4941">
        <v>1015.04</v>
      </c>
      <c r="G4941">
        <v>148.47999999999999</v>
      </c>
      <c r="H4941" t="s">
        <v>19</v>
      </c>
      <c r="I4941" t="s">
        <v>29</v>
      </c>
    </row>
    <row r="4942" spans="1:9" x14ac:dyDescent="0.35">
      <c r="A4942" t="s">
        <v>4978</v>
      </c>
      <c r="B4942" s="1">
        <v>45484</v>
      </c>
      <c r="C4942" t="s">
        <v>16</v>
      </c>
      <c r="D4942" t="s">
        <v>97</v>
      </c>
      <c r="E4942" t="s">
        <v>27</v>
      </c>
      <c r="F4942">
        <v>1109.48</v>
      </c>
      <c r="G4942">
        <v>135.72999999999999</v>
      </c>
      <c r="H4942" t="s">
        <v>13</v>
      </c>
      <c r="I4942" t="s">
        <v>20</v>
      </c>
    </row>
    <row r="4943" spans="1:9" x14ac:dyDescent="0.35">
      <c r="A4943" t="s">
        <v>4979</v>
      </c>
      <c r="B4943" s="1">
        <v>44979</v>
      </c>
      <c r="C4943" t="s">
        <v>25</v>
      </c>
      <c r="D4943" t="s">
        <v>41</v>
      </c>
      <c r="E4943" t="s">
        <v>12</v>
      </c>
      <c r="F4943">
        <v>1457.2</v>
      </c>
      <c r="G4943">
        <v>148.43</v>
      </c>
      <c r="H4943" t="s">
        <v>28</v>
      </c>
      <c r="I4943" t="s">
        <v>34</v>
      </c>
    </row>
    <row r="4944" spans="1:9" x14ac:dyDescent="0.35">
      <c r="A4944" t="s">
        <v>4980</v>
      </c>
      <c r="B4944" s="1">
        <v>45245</v>
      </c>
      <c r="C4944" t="s">
        <v>22</v>
      </c>
      <c r="D4944" t="s">
        <v>11</v>
      </c>
      <c r="E4944" t="s">
        <v>12</v>
      </c>
      <c r="F4944">
        <v>1456.43</v>
      </c>
      <c r="G4944">
        <v>137.93</v>
      </c>
      <c r="H4944" t="s">
        <v>19</v>
      </c>
      <c r="I4944" t="s">
        <v>29</v>
      </c>
    </row>
    <row r="4945" spans="1:9" x14ac:dyDescent="0.35">
      <c r="A4945" t="s">
        <v>4981</v>
      </c>
      <c r="B4945" s="1">
        <v>45172</v>
      </c>
      <c r="C4945" t="s">
        <v>22</v>
      </c>
      <c r="D4945" t="s">
        <v>57</v>
      </c>
      <c r="E4945" t="s">
        <v>27</v>
      </c>
      <c r="F4945">
        <v>576.9</v>
      </c>
      <c r="G4945">
        <v>135.44</v>
      </c>
      <c r="H4945" t="s">
        <v>19</v>
      </c>
      <c r="I4945" t="s">
        <v>14</v>
      </c>
    </row>
    <row r="4946" spans="1:9" x14ac:dyDescent="0.35">
      <c r="A4946" t="s">
        <v>4982</v>
      </c>
      <c r="B4946" s="1">
        <v>45228</v>
      </c>
      <c r="C4946" t="s">
        <v>10</v>
      </c>
      <c r="D4946" t="s">
        <v>11</v>
      </c>
      <c r="E4946" t="s">
        <v>12</v>
      </c>
      <c r="F4946">
        <v>164.25</v>
      </c>
      <c r="G4946">
        <v>33.04</v>
      </c>
      <c r="H4946" t="s">
        <v>28</v>
      </c>
      <c r="I4946" t="s">
        <v>20</v>
      </c>
    </row>
    <row r="4947" spans="1:9" x14ac:dyDescent="0.35">
      <c r="A4947" t="s">
        <v>4983</v>
      </c>
      <c r="B4947" s="1">
        <v>45481</v>
      </c>
      <c r="C4947" t="s">
        <v>22</v>
      </c>
      <c r="D4947" t="s">
        <v>41</v>
      </c>
      <c r="E4947" t="s">
        <v>12</v>
      </c>
      <c r="F4947">
        <v>498.93</v>
      </c>
      <c r="G4947">
        <v>99.62</v>
      </c>
      <c r="H4947" t="s">
        <v>13</v>
      </c>
      <c r="I4947" t="s">
        <v>20</v>
      </c>
    </row>
    <row r="4948" spans="1:9" x14ac:dyDescent="0.35">
      <c r="A4948" t="s">
        <v>4984</v>
      </c>
      <c r="B4948" s="1">
        <v>45221</v>
      </c>
      <c r="C4948" t="s">
        <v>25</v>
      </c>
      <c r="D4948" t="s">
        <v>46</v>
      </c>
      <c r="E4948" t="s">
        <v>18</v>
      </c>
      <c r="F4948">
        <v>1604.4</v>
      </c>
      <c r="G4948">
        <v>98.57</v>
      </c>
      <c r="H4948" t="s">
        <v>28</v>
      </c>
      <c r="I4948" t="s">
        <v>34</v>
      </c>
    </row>
    <row r="4949" spans="1:9" x14ac:dyDescent="0.35">
      <c r="A4949" t="s">
        <v>4985</v>
      </c>
      <c r="B4949" s="1">
        <v>44654</v>
      </c>
      <c r="C4949" t="s">
        <v>10</v>
      </c>
      <c r="D4949" t="s">
        <v>95</v>
      </c>
      <c r="E4949" t="s">
        <v>18</v>
      </c>
      <c r="F4949">
        <v>877.29</v>
      </c>
      <c r="G4949">
        <v>228</v>
      </c>
      <c r="H4949" t="s">
        <v>28</v>
      </c>
      <c r="I4949" t="s">
        <v>34</v>
      </c>
    </row>
    <row r="4950" spans="1:9" x14ac:dyDescent="0.35">
      <c r="A4950" t="s">
        <v>4986</v>
      </c>
      <c r="B4950" s="1">
        <v>45627</v>
      </c>
      <c r="C4950" t="s">
        <v>16</v>
      </c>
      <c r="D4950" t="s">
        <v>26</v>
      </c>
      <c r="E4950" t="s">
        <v>27</v>
      </c>
      <c r="F4950">
        <v>475.86</v>
      </c>
      <c r="G4950">
        <v>44.57</v>
      </c>
      <c r="H4950" t="s">
        <v>13</v>
      </c>
      <c r="I4950" t="s">
        <v>29</v>
      </c>
    </row>
    <row r="4951" spans="1:9" x14ac:dyDescent="0.35">
      <c r="A4951" t="s">
        <v>4987</v>
      </c>
      <c r="B4951" s="1">
        <v>45241</v>
      </c>
      <c r="C4951" t="s">
        <v>10</v>
      </c>
      <c r="D4951" t="s">
        <v>31</v>
      </c>
      <c r="E4951" t="s">
        <v>12</v>
      </c>
      <c r="F4951">
        <v>1427.93</v>
      </c>
      <c r="G4951">
        <v>412.2</v>
      </c>
      <c r="H4951" t="s">
        <v>28</v>
      </c>
      <c r="I4951" t="s">
        <v>34</v>
      </c>
    </row>
    <row r="4952" spans="1:9" x14ac:dyDescent="0.35">
      <c r="A4952" t="s">
        <v>4988</v>
      </c>
      <c r="B4952" s="1">
        <v>44747</v>
      </c>
      <c r="C4952" t="s">
        <v>25</v>
      </c>
      <c r="D4952" t="s">
        <v>46</v>
      </c>
      <c r="E4952" t="s">
        <v>18</v>
      </c>
      <c r="F4952">
        <v>1590.08</v>
      </c>
      <c r="G4952">
        <v>259.66000000000003</v>
      </c>
      <c r="H4952" t="s">
        <v>19</v>
      </c>
      <c r="I4952" t="s">
        <v>20</v>
      </c>
    </row>
    <row r="4953" spans="1:9" x14ac:dyDescent="0.35">
      <c r="A4953" t="s">
        <v>4989</v>
      </c>
      <c r="B4953" s="1">
        <v>44691</v>
      </c>
      <c r="C4953" t="s">
        <v>16</v>
      </c>
      <c r="D4953" t="s">
        <v>26</v>
      </c>
      <c r="E4953" t="s">
        <v>27</v>
      </c>
      <c r="F4953">
        <v>1000.38</v>
      </c>
      <c r="G4953">
        <v>160.46</v>
      </c>
      <c r="H4953" t="s">
        <v>28</v>
      </c>
      <c r="I4953" t="s">
        <v>14</v>
      </c>
    </row>
    <row r="4954" spans="1:9" x14ac:dyDescent="0.35">
      <c r="A4954" t="s">
        <v>4990</v>
      </c>
      <c r="B4954" s="1">
        <v>45472</v>
      </c>
      <c r="C4954" t="s">
        <v>16</v>
      </c>
      <c r="D4954" t="s">
        <v>62</v>
      </c>
      <c r="E4954" t="s">
        <v>27</v>
      </c>
      <c r="F4954">
        <v>1006.29</v>
      </c>
      <c r="G4954">
        <v>176.64</v>
      </c>
      <c r="H4954" t="s">
        <v>13</v>
      </c>
      <c r="I4954" t="s">
        <v>29</v>
      </c>
    </row>
    <row r="4955" spans="1:9" x14ac:dyDescent="0.35">
      <c r="A4955" t="s">
        <v>4991</v>
      </c>
      <c r="B4955" s="1">
        <v>45322</v>
      </c>
      <c r="C4955" t="s">
        <v>22</v>
      </c>
      <c r="D4955" t="s">
        <v>41</v>
      </c>
      <c r="E4955" t="s">
        <v>12</v>
      </c>
      <c r="F4955">
        <v>1411.24</v>
      </c>
      <c r="G4955">
        <v>415.75</v>
      </c>
      <c r="H4955" t="s">
        <v>19</v>
      </c>
      <c r="I4955" t="s">
        <v>29</v>
      </c>
    </row>
    <row r="4956" spans="1:9" x14ac:dyDescent="0.35">
      <c r="A4956" t="s">
        <v>4992</v>
      </c>
      <c r="B4956" s="1">
        <v>45607</v>
      </c>
      <c r="C4956" t="s">
        <v>16</v>
      </c>
      <c r="D4956" t="s">
        <v>23</v>
      </c>
      <c r="E4956" t="s">
        <v>18</v>
      </c>
      <c r="F4956">
        <v>1827.92</v>
      </c>
      <c r="G4956">
        <v>318.75</v>
      </c>
      <c r="H4956" t="s">
        <v>28</v>
      </c>
      <c r="I4956" t="s">
        <v>20</v>
      </c>
    </row>
    <row r="4957" spans="1:9" x14ac:dyDescent="0.35">
      <c r="A4957" t="s">
        <v>4993</v>
      </c>
      <c r="B4957" s="1">
        <v>45329</v>
      </c>
      <c r="C4957" t="s">
        <v>16</v>
      </c>
      <c r="D4957" t="s">
        <v>11</v>
      </c>
      <c r="E4957" t="s">
        <v>12</v>
      </c>
      <c r="F4957">
        <v>519.79999999999995</v>
      </c>
      <c r="G4957">
        <v>128.86000000000001</v>
      </c>
      <c r="H4957" t="s">
        <v>28</v>
      </c>
      <c r="I4957" t="s">
        <v>29</v>
      </c>
    </row>
    <row r="4958" spans="1:9" x14ac:dyDescent="0.35">
      <c r="A4958" t="s">
        <v>4994</v>
      </c>
      <c r="B4958" s="1">
        <v>44719</v>
      </c>
      <c r="C4958" t="s">
        <v>25</v>
      </c>
      <c r="D4958" t="s">
        <v>11</v>
      </c>
      <c r="E4958" t="s">
        <v>12</v>
      </c>
      <c r="F4958">
        <v>1999.75</v>
      </c>
      <c r="G4958">
        <v>455.73</v>
      </c>
      <c r="H4958" t="s">
        <v>13</v>
      </c>
      <c r="I4958" t="s">
        <v>20</v>
      </c>
    </row>
    <row r="4959" spans="1:9" x14ac:dyDescent="0.35">
      <c r="A4959" t="s">
        <v>4995</v>
      </c>
      <c r="B4959" s="1">
        <v>45544</v>
      </c>
      <c r="C4959" t="s">
        <v>22</v>
      </c>
      <c r="D4959" t="s">
        <v>57</v>
      </c>
      <c r="E4959" t="s">
        <v>27</v>
      </c>
      <c r="F4959">
        <v>1420.04</v>
      </c>
      <c r="G4959">
        <v>156.13</v>
      </c>
      <c r="H4959" t="s">
        <v>19</v>
      </c>
      <c r="I4959" t="s">
        <v>29</v>
      </c>
    </row>
    <row r="4960" spans="1:9" x14ac:dyDescent="0.35">
      <c r="A4960" t="s">
        <v>4996</v>
      </c>
      <c r="B4960" s="1">
        <v>45546</v>
      </c>
      <c r="C4960" t="s">
        <v>10</v>
      </c>
      <c r="D4960" t="s">
        <v>17</v>
      </c>
      <c r="E4960" t="s">
        <v>18</v>
      </c>
      <c r="F4960">
        <v>1837.63</v>
      </c>
      <c r="G4960">
        <v>284.94</v>
      </c>
      <c r="H4960" t="s">
        <v>13</v>
      </c>
      <c r="I4960" t="s">
        <v>14</v>
      </c>
    </row>
    <row r="4961" spans="1:9" x14ac:dyDescent="0.35">
      <c r="A4961" t="s">
        <v>4997</v>
      </c>
      <c r="B4961" s="1">
        <v>44959</v>
      </c>
      <c r="C4961" t="s">
        <v>22</v>
      </c>
      <c r="D4961" t="s">
        <v>23</v>
      </c>
      <c r="E4961" t="s">
        <v>18</v>
      </c>
      <c r="F4961">
        <v>494.23</v>
      </c>
      <c r="G4961">
        <v>75.45</v>
      </c>
      <c r="H4961" t="s">
        <v>28</v>
      </c>
      <c r="I4961" t="s">
        <v>14</v>
      </c>
    </row>
    <row r="4962" spans="1:9" x14ac:dyDescent="0.35">
      <c r="A4962" t="s">
        <v>4998</v>
      </c>
      <c r="B4962" s="1">
        <v>44928</v>
      </c>
      <c r="C4962" t="s">
        <v>25</v>
      </c>
      <c r="D4962" t="s">
        <v>57</v>
      </c>
      <c r="E4962" t="s">
        <v>27</v>
      </c>
      <c r="F4962">
        <v>1913.56</v>
      </c>
      <c r="G4962">
        <v>489.99</v>
      </c>
      <c r="H4962" t="s">
        <v>19</v>
      </c>
      <c r="I4962" t="s">
        <v>29</v>
      </c>
    </row>
    <row r="4963" spans="1:9" x14ac:dyDescent="0.35">
      <c r="A4963" t="s">
        <v>4999</v>
      </c>
      <c r="B4963" s="1">
        <v>45525</v>
      </c>
      <c r="C4963" t="s">
        <v>22</v>
      </c>
      <c r="D4963" t="s">
        <v>62</v>
      </c>
      <c r="E4963" t="s">
        <v>27</v>
      </c>
      <c r="F4963">
        <v>655.53</v>
      </c>
      <c r="G4963">
        <v>101.79</v>
      </c>
      <c r="H4963" t="s">
        <v>28</v>
      </c>
      <c r="I4963" t="s">
        <v>20</v>
      </c>
    </row>
    <row r="4964" spans="1:9" x14ac:dyDescent="0.35">
      <c r="A4964" t="s">
        <v>5000</v>
      </c>
      <c r="B4964" s="1">
        <v>44807</v>
      </c>
      <c r="C4964" t="s">
        <v>10</v>
      </c>
      <c r="D4964" t="s">
        <v>38</v>
      </c>
      <c r="E4964" t="s">
        <v>12</v>
      </c>
      <c r="F4964">
        <v>1860.05</v>
      </c>
      <c r="G4964">
        <v>122.4</v>
      </c>
      <c r="H4964" t="s">
        <v>19</v>
      </c>
      <c r="I4964" t="s">
        <v>20</v>
      </c>
    </row>
    <row r="4965" spans="1:9" x14ac:dyDescent="0.35">
      <c r="A4965" t="s">
        <v>5001</v>
      </c>
      <c r="B4965" s="1">
        <v>44688</v>
      </c>
      <c r="C4965" t="s">
        <v>25</v>
      </c>
      <c r="D4965" t="s">
        <v>97</v>
      </c>
      <c r="E4965" t="s">
        <v>27</v>
      </c>
      <c r="F4965">
        <v>109.35</v>
      </c>
      <c r="G4965">
        <v>17.809999999999999</v>
      </c>
      <c r="H4965" t="s">
        <v>13</v>
      </c>
      <c r="I4965" t="s">
        <v>29</v>
      </c>
    </row>
    <row r="4966" spans="1:9" x14ac:dyDescent="0.35">
      <c r="A4966" t="s">
        <v>5002</v>
      </c>
      <c r="B4966" s="1">
        <v>45214</v>
      </c>
      <c r="C4966" t="s">
        <v>22</v>
      </c>
      <c r="D4966" t="s">
        <v>41</v>
      </c>
      <c r="E4966" t="s">
        <v>12</v>
      </c>
      <c r="F4966">
        <v>1727.72</v>
      </c>
      <c r="G4966">
        <v>370.04</v>
      </c>
      <c r="H4966" t="s">
        <v>13</v>
      </c>
      <c r="I4966" t="s">
        <v>34</v>
      </c>
    </row>
    <row r="4967" spans="1:9" x14ac:dyDescent="0.35">
      <c r="A4967" t="s">
        <v>5003</v>
      </c>
      <c r="B4967" s="1">
        <v>44601</v>
      </c>
      <c r="C4967" t="s">
        <v>22</v>
      </c>
      <c r="D4967" t="s">
        <v>17</v>
      </c>
      <c r="E4967" t="s">
        <v>18</v>
      </c>
      <c r="F4967">
        <v>154.29</v>
      </c>
      <c r="G4967">
        <v>15.99</v>
      </c>
      <c r="H4967" t="s">
        <v>19</v>
      </c>
      <c r="I4967" t="s">
        <v>20</v>
      </c>
    </row>
    <row r="4968" spans="1:9" x14ac:dyDescent="0.35">
      <c r="A4968" t="s">
        <v>5004</v>
      </c>
      <c r="B4968" s="1">
        <v>44618</v>
      </c>
      <c r="C4968" t="s">
        <v>22</v>
      </c>
      <c r="D4968" t="s">
        <v>50</v>
      </c>
      <c r="E4968" t="s">
        <v>12</v>
      </c>
      <c r="F4968">
        <v>152.28</v>
      </c>
      <c r="G4968">
        <v>14.92</v>
      </c>
      <c r="H4968" t="s">
        <v>28</v>
      </c>
      <c r="I4968" t="s">
        <v>14</v>
      </c>
    </row>
    <row r="4969" spans="1:9" x14ac:dyDescent="0.35">
      <c r="A4969" t="s">
        <v>5005</v>
      </c>
      <c r="B4969" s="1">
        <v>45296</v>
      </c>
      <c r="C4969" t="s">
        <v>16</v>
      </c>
      <c r="D4969" t="s">
        <v>38</v>
      </c>
      <c r="E4969" t="s">
        <v>12</v>
      </c>
      <c r="F4969">
        <v>1979.05</v>
      </c>
      <c r="G4969">
        <v>269.44</v>
      </c>
      <c r="H4969" t="s">
        <v>13</v>
      </c>
      <c r="I4969" t="s">
        <v>20</v>
      </c>
    </row>
    <row r="4970" spans="1:9" x14ac:dyDescent="0.35">
      <c r="A4970" t="s">
        <v>5006</v>
      </c>
      <c r="B4970" s="1">
        <v>44592</v>
      </c>
      <c r="C4970" t="s">
        <v>25</v>
      </c>
      <c r="D4970" t="s">
        <v>26</v>
      </c>
      <c r="E4970" t="s">
        <v>27</v>
      </c>
      <c r="F4970">
        <v>973.6</v>
      </c>
      <c r="G4970">
        <v>170.72</v>
      </c>
      <c r="H4970" t="s">
        <v>28</v>
      </c>
      <c r="I4970" t="s">
        <v>29</v>
      </c>
    </row>
    <row r="4971" spans="1:9" x14ac:dyDescent="0.35">
      <c r="A4971" t="s">
        <v>5007</v>
      </c>
      <c r="B4971" s="1">
        <v>44740</v>
      </c>
      <c r="C4971" t="s">
        <v>16</v>
      </c>
      <c r="D4971" t="s">
        <v>57</v>
      </c>
      <c r="E4971" t="s">
        <v>27</v>
      </c>
      <c r="F4971">
        <v>725.58</v>
      </c>
      <c r="G4971">
        <v>200.61</v>
      </c>
      <c r="H4971" t="s">
        <v>19</v>
      </c>
      <c r="I4971" t="s">
        <v>34</v>
      </c>
    </row>
    <row r="4972" spans="1:9" x14ac:dyDescent="0.35">
      <c r="A4972" t="s">
        <v>5008</v>
      </c>
      <c r="B4972" s="1">
        <v>45139</v>
      </c>
      <c r="C4972" t="s">
        <v>16</v>
      </c>
      <c r="D4972" t="s">
        <v>46</v>
      </c>
      <c r="E4972" t="s">
        <v>18</v>
      </c>
      <c r="F4972">
        <v>1033.76</v>
      </c>
      <c r="G4972">
        <v>173.65</v>
      </c>
      <c r="H4972" t="s">
        <v>19</v>
      </c>
      <c r="I4972" t="s">
        <v>29</v>
      </c>
    </row>
    <row r="4973" spans="1:9" x14ac:dyDescent="0.35">
      <c r="A4973" t="s">
        <v>5009</v>
      </c>
      <c r="B4973" s="1">
        <v>44973</v>
      </c>
      <c r="C4973" t="s">
        <v>25</v>
      </c>
      <c r="D4973" t="s">
        <v>17</v>
      </c>
      <c r="E4973" t="s">
        <v>18</v>
      </c>
      <c r="F4973">
        <v>1722.01</v>
      </c>
      <c r="G4973">
        <v>237.21</v>
      </c>
      <c r="H4973" t="s">
        <v>28</v>
      </c>
      <c r="I4973" t="s">
        <v>14</v>
      </c>
    </row>
    <row r="4974" spans="1:9" x14ac:dyDescent="0.35">
      <c r="A4974" t="s">
        <v>5010</v>
      </c>
      <c r="B4974" s="1">
        <v>45507</v>
      </c>
      <c r="C4974" t="s">
        <v>10</v>
      </c>
      <c r="D4974" t="s">
        <v>17</v>
      </c>
      <c r="E4974" t="s">
        <v>18</v>
      </c>
      <c r="F4974">
        <v>130.69</v>
      </c>
      <c r="G4974">
        <v>11.74</v>
      </c>
      <c r="H4974" t="s">
        <v>13</v>
      </c>
      <c r="I4974" t="s">
        <v>20</v>
      </c>
    </row>
    <row r="4975" spans="1:9" x14ac:dyDescent="0.35">
      <c r="A4975" t="s">
        <v>5011</v>
      </c>
      <c r="B4975" s="1">
        <v>45544</v>
      </c>
      <c r="C4975" t="s">
        <v>22</v>
      </c>
      <c r="D4975" t="s">
        <v>57</v>
      </c>
      <c r="E4975" t="s">
        <v>27</v>
      </c>
      <c r="F4975">
        <v>628.1</v>
      </c>
      <c r="G4975">
        <v>130.88999999999999</v>
      </c>
      <c r="H4975" t="s">
        <v>28</v>
      </c>
      <c r="I4975" t="s">
        <v>14</v>
      </c>
    </row>
    <row r="4976" spans="1:9" x14ac:dyDescent="0.35">
      <c r="A4976" t="s">
        <v>5012</v>
      </c>
      <c r="B4976" s="1">
        <v>45358</v>
      </c>
      <c r="C4976" t="s">
        <v>22</v>
      </c>
      <c r="D4976" t="s">
        <v>11</v>
      </c>
      <c r="E4976" t="s">
        <v>12</v>
      </c>
      <c r="F4976">
        <v>718.67</v>
      </c>
      <c r="G4976">
        <v>112.67</v>
      </c>
      <c r="H4976" t="s">
        <v>19</v>
      </c>
      <c r="I4976" t="s">
        <v>20</v>
      </c>
    </row>
    <row r="4977" spans="1:9" x14ac:dyDescent="0.35">
      <c r="A4977" t="s">
        <v>5013</v>
      </c>
      <c r="B4977" s="1">
        <v>45057</v>
      </c>
      <c r="C4977" t="s">
        <v>22</v>
      </c>
      <c r="D4977" t="s">
        <v>97</v>
      </c>
      <c r="E4977" t="s">
        <v>27</v>
      </c>
      <c r="F4977">
        <v>1028.96</v>
      </c>
      <c r="G4977">
        <v>250.15</v>
      </c>
      <c r="H4977" t="s">
        <v>28</v>
      </c>
      <c r="I4977" t="s">
        <v>14</v>
      </c>
    </row>
    <row r="4978" spans="1:9" x14ac:dyDescent="0.35">
      <c r="A4978" t="s">
        <v>5014</v>
      </c>
      <c r="B4978" s="1">
        <v>45143</v>
      </c>
      <c r="C4978" t="s">
        <v>10</v>
      </c>
      <c r="D4978" t="s">
        <v>57</v>
      </c>
      <c r="E4978" t="s">
        <v>27</v>
      </c>
      <c r="F4978">
        <v>1698.25</v>
      </c>
      <c r="G4978">
        <v>111.09</v>
      </c>
      <c r="H4978" t="s">
        <v>13</v>
      </c>
      <c r="I4978" t="s">
        <v>34</v>
      </c>
    </row>
    <row r="4979" spans="1:9" x14ac:dyDescent="0.35">
      <c r="A4979" t="s">
        <v>5015</v>
      </c>
      <c r="B4979" s="1">
        <v>44782</v>
      </c>
      <c r="C4979" t="s">
        <v>22</v>
      </c>
      <c r="D4979" t="s">
        <v>57</v>
      </c>
      <c r="E4979" t="s">
        <v>27</v>
      </c>
      <c r="F4979">
        <v>1397.49</v>
      </c>
      <c r="G4979">
        <v>97.65</v>
      </c>
      <c r="H4979" t="s">
        <v>19</v>
      </c>
      <c r="I4979" t="s">
        <v>14</v>
      </c>
    </row>
    <row r="4980" spans="1:9" x14ac:dyDescent="0.35">
      <c r="A4980" t="s">
        <v>5016</v>
      </c>
      <c r="B4980" s="1">
        <v>45287</v>
      </c>
      <c r="C4980" t="s">
        <v>25</v>
      </c>
      <c r="D4980" t="s">
        <v>11</v>
      </c>
      <c r="E4980" t="s">
        <v>12</v>
      </c>
      <c r="F4980">
        <v>696.58</v>
      </c>
      <c r="G4980">
        <v>199.88</v>
      </c>
      <c r="H4980" t="s">
        <v>19</v>
      </c>
      <c r="I4980" t="s">
        <v>34</v>
      </c>
    </row>
    <row r="4981" spans="1:9" x14ac:dyDescent="0.35">
      <c r="A4981" t="s">
        <v>5017</v>
      </c>
      <c r="B4981" s="1">
        <v>45227</v>
      </c>
      <c r="C4981" t="s">
        <v>22</v>
      </c>
      <c r="D4981" t="s">
        <v>41</v>
      </c>
      <c r="E4981" t="s">
        <v>12</v>
      </c>
      <c r="F4981">
        <v>748</v>
      </c>
      <c r="G4981">
        <v>103.56</v>
      </c>
      <c r="H4981" t="s">
        <v>28</v>
      </c>
      <c r="I4981" t="s">
        <v>14</v>
      </c>
    </row>
    <row r="4982" spans="1:9" x14ac:dyDescent="0.35">
      <c r="A4982" t="s">
        <v>5018</v>
      </c>
      <c r="B4982" s="1">
        <v>44618</v>
      </c>
      <c r="C4982" t="s">
        <v>25</v>
      </c>
      <c r="D4982" t="s">
        <v>73</v>
      </c>
      <c r="E4982" t="s">
        <v>27</v>
      </c>
      <c r="F4982">
        <v>994.07</v>
      </c>
      <c r="G4982">
        <v>51.2</v>
      </c>
      <c r="H4982" t="s">
        <v>19</v>
      </c>
      <c r="I4982" t="s">
        <v>14</v>
      </c>
    </row>
    <row r="4983" spans="1:9" x14ac:dyDescent="0.35">
      <c r="A4983" t="s">
        <v>5019</v>
      </c>
      <c r="B4983" s="1">
        <v>44572</v>
      </c>
      <c r="C4983" t="s">
        <v>22</v>
      </c>
      <c r="D4983" t="s">
        <v>50</v>
      </c>
      <c r="E4983" t="s">
        <v>12</v>
      </c>
      <c r="F4983">
        <v>959.88</v>
      </c>
      <c r="G4983">
        <v>235.85</v>
      </c>
      <c r="H4983" t="s">
        <v>28</v>
      </c>
      <c r="I4983" t="s">
        <v>34</v>
      </c>
    </row>
    <row r="4984" spans="1:9" x14ac:dyDescent="0.35">
      <c r="A4984" t="s">
        <v>5020</v>
      </c>
      <c r="B4984" s="1">
        <v>45439</v>
      </c>
      <c r="C4984" t="s">
        <v>10</v>
      </c>
      <c r="D4984" t="s">
        <v>97</v>
      </c>
      <c r="E4984" t="s">
        <v>27</v>
      </c>
      <c r="F4984">
        <v>1098.45</v>
      </c>
      <c r="G4984">
        <v>196.03</v>
      </c>
      <c r="H4984" t="s">
        <v>13</v>
      </c>
      <c r="I4984" t="s">
        <v>14</v>
      </c>
    </row>
    <row r="4985" spans="1:9" x14ac:dyDescent="0.35">
      <c r="A4985" t="s">
        <v>5021</v>
      </c>
      <c r="B4985" s="1">
        <v>45439</v>
      </c>
      <c r="C4985" t="s">
        <v>25</v>
      </c>
      <c r="D4985" t="s">
        <v>11</v>
      </c>
      <c r="E4985" t="s">
        <v>12</v>
      </c>
      <c r="F4985">
        <v>1895.96</v>
      </c>
      <c r="G4985">
        <v>260.98</v>
      </c>
      <c r="H4985" t="s">
        <v>19</v>
      </c>
      <c r="I4985" t="s">
        <v>20</v>
      </c>
    </row>
    <row r="4986" spans="1:9" x14ac:dyDescent="0.35">
      <c r="A4986" t="s">
        <v>5022</v>
      </c>
      <c r="B4986" s="1">
        <v>45449</v>
      </c>
      <c r="C4986" t="s">
        <v>16</v>
      </c>
      <c r="D4986" t="s">
        <v>38</v>
      </c>
      <c r="E4986" t="s">
        <v>12</v>
      </c>
      <c r="F4986">
        <v>160.34</v>
      </c>
      <c r="G4986">
        <v>30.94</v>
      </c>
      <c r="H4986" t="s">
        <v>28</v>
      </c>
      <c r="I4986" t="s">
        <v>14</v>
      </c>
    </row>
    <row r="4987" spans="1:9" x14ac:dyDescent="0.35">
      <c r="A4987" t="s">
        <v>5023</v>
      </c>
      <c r="B4987" s="1">
        <v>45048</v>
      </c>
      <c r="C4987" t="s">
        <v>10</v>
      </c>
      <c r="D4987" t="s">
        <v>33</v>
      </c>
      <c r="E4987" t="s">
        <v>18</v>
      </c>
      <c r="F4987">
        <v>460.6</v>
      </c>
      <c r="G4987">
        <v>122.6</v>
      </c>
      <c r="H4987" t="s">
        <v>28</v>
      </c>
      <c r="I4987" t="s">
        <v>34</v>
      </c>
    </row>
    <row r="4988" spans="1:9" x14ac:dyDescent="0.35">
      <c r="A4988" t="s">
        <v>5024</v>
      </c>
      <c r="B4988" s="1">
        <v>44638</v>
      </c>
      <c r="C4988" t="s">
        <v>16</v>
      </c>
      <c r="D4988" t="s">
        <v>11</v>
      </c>
      <c r="E4988" t="s">
        <v>12</v>
      </c>
      <c r="F4988">
        <v>465.51</v>
      </c>
      <c r="G4988">
        <v>75.73</v>
      </c>
      <c r="H4988" t="s">
        <v>28</v>
      </c>
      <c r="I4988" t="s">
        <v>20</v>
      </c>
    </row>
    <row r="4989" spans="1:9" x14ac:dyDescent="0.35">
      <c r="A4989" t="s">
        <v>5025</v>
      </c>
      <c r="B4989" s="1">
        <v>44819</v>
      </c>
      <c r="C4989" t="s">
        <v>16</v>
      </c>
      <c r="D4989" t="s">
        <v>31</v>
      </c>
      <c r="E4989" t="s">
        <v>12</v>
      </c>
      <c r="F4989">
        <v>1887.15</v>
      </c>
      <c r="G4989">
        <v>311.45999999999998</v>
      </c>
      <c r="H4989" t="s">
        <v>13</v>
      </c>
      <c r="I4989" t="s">
        <v>14</v>
      </c>
    </row>
    <row r="4990" spans="1:9" x14ac:dyDescent="0.35">
      <c r="A4990" t="s">
        <v>5026</v>
      </c>
      <c r="B4990" s="1">
        <v>45563</v>
      </c>
      <c r="C4990" t="s">
        <v>25</v>
      </c>
      <c r="D4990" t="s">
        <v>62</v>
      </c>
      <c r="E4990" t="s">
        <v>27</v>
      </c>
      <c r="F4990">
        <v>1659.26</v>
      </c>
      <c r="G4990">
        <v>277.16000000000003</v>
      </c>
      <c r="H4990" t="s">
        <v>19</v>
      </c>
      <c r="I4990" t="s">
        <v>14</v>
      </c>
    </row>
    <row r="4991" spans="1:9" x14ac:dyDescent="0.35">
      <c r="A4991" t="s">
        <v>5027</v>
      </c>
      <c r="B4991" s="1">
        <v>45048</v>
      </c>
      <c r="C4991" t="s">
        <v>10</v>
      </c>
      <c r="D4991" t="s">
        <v>23</v>
      </c>
      <c r="E4991" t="s">
        <v>18</v>
      </c>
      <c r="F4991">
        <v>1974.83</v>
      </c>
      <c r="G4991">
        <v>523.75</v>
      </c>
      <c r="H4991" t="s">
        <v>28</v>
      </c>
      <c r="I4991" t="s">
        <v>14</v>
      </c>
    </row>
    <row r="4992" spans="1:9" x14ac:dyDescent="0.35">
      <c r="A4992" t="s">
        <v>5028</v>
      </c>
      <c r="B4992" s="1">
        <v>44644</v>
      </c>
      <c r="C4992" t="s">
        <v>25</v>
      </c>
      <c r="D4992" t="s">
        <v>46</v>
      </c>
      <c r="E4992" t="s">
        <v>18</v>
      </c>
      <c r="F4992">
        <v>1906.25</v>
      </c>
      <c r="G4992">
        <v>331.22</v>
      </c>
      <c r="H4992" t="s">
        <v>13</v>
      </c>
      <c r="I4992" t="s">
        <v>34</v>
      </c>
    </row>
    <row r="4993" spans="1:9" x14ac:dyDescent="0.35">
      <c r="A4993" t="s">
        <v>5029</v>
      </c>
      <c r="B4993" s="1">
        <v>45303</v>
      </c>
      <c r="C4993" t="s">
        <v>10</v>
      </c>
      <c r="D4993" t="s">
        <v>26</v>
      </c>
      <c r="E4993" t="s">
        <v>27</v>
      </c>
      <c r="F4993">
        <v>577.07000000000005</v>
      </c>
      <c r="G4993">
        <v>51.43</v>
      </c>
      <c r="H4993" t="s">
        <v>28</v>
      </c>
      <c r="I4993" t="s">
        <v>34</v>
      </c>
    </row>
    <row r="4994" spans="1:9" x14ac:dyDescent="0.35">
      <c r="A4994" t="s">
        <v>5030</v>
      </c>
      <c r="B4994" s="1">
        <v>44883</v>
      </c>
      <c r="C4994" t="s">
        <v>22</v>
      </c>
      <c r="D4994" t="s">
        <v>41</v>
      </c>
      <c r="E4994" t="s">
        <v>12</v>
      </c>
      <c r="F4994">
        <v>1633.88</v>
      </c>
      <c r="G4994">
        <v>384.58</v>
      </c>
      <c r="H4994" t="s">
        <v>28</v>
      </c>
      <c r="I4994" t="s">
        <v>14</v>
      </c>
    </row>
    <row r="4995" spans="1:9" x14ac:dyDescent="0.35">
      <c r="A4995" t="s">
        <v>5031</v>
      </c>
      <c r="B4995" s="1">
        <v>44870</v>
      </c>
      <c r="C4995" t="s">
        <v>10</v>
      </c>
      <c r="D4995" t="s">
        <v>73</v>
      </c>
      <c r="E4995" t="s">
        <v>27</v>
      </c>
      <c r="F4995">
        <v>1197.24</v>
      </c>
      <c r="G4995">
        <v>327.23</v>
      </c>
      <c r="H4995" t="s">
        <v>19</v>
      </c>
      <c r="I4995" t="s">
        <v>29</v>
      </c>
    </row>
    <row r="4996" spans="1:9" x14ac:dyDescent="0.35">
      <c r="A4996" t="s">
        <v>5032</v>
      </c>
      <c r="B4996" s="1">
        <v>44596</v>
      </c>
      <c r="C4996" t="s">
        <v>16</v>
      </c>
      <c r="D4996" t="s">
        <v>26</v>
      </c>
      <c r="E4996" t="s">
        <v>27</v>
      </c>
      <c r="F4996">
        <v>1116.8599999999999</v>
      </c>
      <c r="G4996">
        <v>256.93</v>
      </c>
      <c r="H4996" t="s">
        <v>13</v>
      </c>
      <c r="I4996" t="s">
        <v>20</v>
      </c>
    </row>
    <row r="4997" spans="1:9" x14ac:dyDescent="0.35">
      <c r="A4997" t="s">
        <v>5033</v>
      </c>
      <c r="B4997" s="1">
        <v>45033</v>
      </c>
      <c r="C4997" t="s">
        <v>10</v>
      </c>
      <c r="D4997" t="s">
        <v>57</v>
      </c>
      <c r="E4997" t="s">
        <v>27</v>
      </c>
      <c r="F4997">
        <v>992.51</v>
      </c>
      <c r="G4997">
        <v>278.19</v>
      </c>
      <c r="H4997" t="s">
        <v>28</v>
      </c>
      <c r="I4997" t="s">
        <v>20</v>
      </c>
    </row>
    <row r="4998" spans="1:9" x14ac:dyDescent="0.35">
      <c r="A4998" t="s">
        <v>5034</v>
      </c>
      <c r="B4998" s="1">
        <v>45487</v>
      </c>
      <c r="C4998" t="s">
        <v>16</v>
      </c>
      <c r="D4998" t="s">
        <v>26</v>
      </c>
      <c r="E4998" t="s">
        <v>27</v>
      </c>
      <c r="F4998">
        <v>1093.32</v>
      </c>
      <c r="G4998">
        <v>274.58</v>
      </c>
      <c r="H4998" t="s">
        <v>19</v>
      </c>
      <c r="I4998" t="s">
        <v>14</v>
      </c>
    </row>
    <row r="4999" spans="1:9" x14ac:dyDescent="0.35">
      <c r="A4999" t="s">
        <v>5035</v>
      </c>
      <c r="B4999" s="1">
        <v>45078</v>
      </c>
      <c r="C4999" t="s">
        <v>22</v>
      </c>
      <c r="D4999" t="s">
        <v>17</v>
      </c>
      <c r="E4999" t="s">
        <v>18</v>
      </c>
      <c r="F4999">
        <v>359.33</v>
      </c>
      <c r="G4999">
        <v>31.18</v>
      </c>
      <c r="H4999" t="s">
        <v>19</v>
      </c>
      <c r="I4999" t="s">
        <v>14</v>
      </c>
    </row>
    <row r="5000" spans="1:9" x14ac:dyDescent="0.35">
      <c r="A5000" t="s">
        <v>5036</v>
      </c>
      <c r="B5000" s="1">
        <v>45011</v>
      </c>
      <c r="C5000" t="s">
        <v>22</v>
      </c>
      <c r="D5000" t="s">
        <v>95</v>
      </c>
      <c r="E5000" t="s">
        <v>18</v>
      </c>
      <c r="F5000">
        <v>1184.46</v>
      </c>
      <c r="G5000">
        <v>339.53</v>
      </c>
      <c r="H5000" t="s">
        <v>28</v>
      </c>
      <c r="I5000" t="s">
        <v>29</v>
      </c>
    </row>
    <row r="5001" spans="1:9" x14ac:dyDescent="0.35">
      <c r="A5001" t="s">
        <v>5037</v>
      </c>
      <c r="B5001" s="1">
        <v>45099</v>
      </c>
      <c r="C5001" t="s">
        <v>22</v>
      </c>
      <c r="D5001" t="s">
        <v>11</v>
      </c>
      <c r="E5001" t="s">
        <v>12</v>
      </c>
      <c r="F5001">
        <v>1008.3</v>
      </c>
      <c r="G5001">
        <v>78.41</v>
      </c>
      <c r="H5001" t="s">
        <v>13</v>
      </c>
      <c r="I5001"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3F327-9A3D-4FA6-9539-BE734778E449}">
  <dimension ref="A1:L5001"/>
  <sheetViews>
    <sheetView topLeftCell="I1" zoomScale="75" workbookViewId="0">
      <selection activeCell="K17" sqref="K17"/>
    </sheetView>
  </sheetViews>
  <sheetFormatPr defaultColWidth="17.1796875" defaultRowHeight="14.5" x14ac:dyDescent="0.35"/>
  <cols>
    <col min="1" max="1" width="17.1796875" style="2"/>
    <col min="2" max="2" width="18.54296875" style="2"/>
    <col min="3" max="7" width="17.1796875" style="2"/>
    <col min="8" max="8" width="18.7265625" style="2" customWidth="1"/>
    <col min="9" max="9" width="17.1796875" style="2"/>
  </cols>
  <sheetData>
    <row r="1" spans="1:12" x14ac:dyDescent="0.35">
      <c r="A1" s="2" t="s">
        <v>0</v>
      </c>
      <c r="B1" s="2" t="s">
        <v>1</v>
      </c>
      <c r="C1" s="2" t="s">
        <v>2</v>
      </c>
      <c r="D1" s="2" t="s">
        <v>3</v>
      </c>
      <c r="E1" s="2" t="s">
        <v>4</v>
      </c>
      <c r="F1" s="2" t="s">
        <v>5</v>
      </c>
      <c r="G1" s="2" t="s">
        <v>6</v>
      </c>
      <c r="H1" s="2" t="s">
        <v>7</v>
      </c>
      <c r="I1" s="2" t="s">
        <v>8</v>
      </c>
    </row>
    <row r="2" spans="1:12" x14ac:dyDescent="0.35">
      <c r="A2" s="2" t="s">
        <v>9</v>
      </c>
      <c r="B2" s="3">
        <v>44733</v>
      </c>
      <c r="C2" s="2" t="s">
        <v>10</v>
      </c>
      <c r="D2" s="2" t="s">
        <v>11</v>
      </c>
      <c r="E2" s="2" t="s">
        <v>12</v>
      </c>
      <c r="F2" s="2">
        <v>127.01</v>
      </c>
      <c r="G2" s="2">
        <v>12.08</v>
      </c>
      <c r="H2" s="2" t="s">
        <v>13</v>
      </c>
      <c r="I2" s="2" t="s">
        <v>14</v>
      </c>
    </row>
    <row r="3" spans="1:12" x14ac:dyDescent="0.35">
      <c r="A3" s="2" t="s">
        <v>15</v>
      </c>
      <c r="B3" s="3">
        <v>44773</v>
      </c>
      <c r="C3" s="2" t="s">
        <v>16</v>
      </c>
      <c r="D3" s="2" t="s">
        <v>17</v>
      </c>
      <c r="E3" s="2" t="s">
        <v>18</v>
      </c>
      <c r="F3" s="2">
        <v>1017.56</v>
      </c>
      <c r="G3" s="2">
        <v>228.82</v>
      </c>
      <c r="H3" s="2" t="s">
        <v>19</v>
      </c>
      <c r="I3" s="2" t="s">
        <v>20</v>
      </c>
    </row>
    <row r="4" spans="1:12" x14ac:dyDescent="0.35">
      <c r="A4" s="2" t="s">
        <v>21</v>
      </c>
      <c r="B4" s="3">
        <v>45490</v>
      </c>
      <c r="C4" s="2" t="s">
        <v>22</v>
      </c>
      <c r="D4" s="2" t="s">
        <v>23</v>
      </c>
      <c r="E4" s="2" t="s">
        <v>18</v>
      </c>
      <c r="F4" s="2">
        <v>1364.8</v>
      </c>
      <c r="G4" s="2">
        <v>340.45</v>
      </c>
      <c r="H4" s="2" t="s">
        <v>13</v>
      </c>
      <c r="I4" s="2" t="s">
        <v>14</v>
      </c>
      <c r="K4" t="s">
        <v>5038</v>
      </c>
      <c r="L4">
        <f>SUM(F2:F4987)</f>
        <v>5082584.860000005</v>
      </c>
    </row>
    <row r="5" spans="1:12" x14ac:dyDescent="0.35">
      <c r="A5" s="2" t="s">
        <v>24</v>
      </c>
      <c r="B5" s="3">
        <v>45551</v>
      </c>
      <c r="C5" s="2" t="s">
        <v>25</v>
      </c>
      <c r="D5" s="2" t="s">
        <v>26</v>
      </c>
      <c r="E5" s="2" t="s">
        <v>27</v>
      </c>
      <c r="F5" s="2">
        <v>564.85</v>
      </c>
      <c r="G5" s="2">
        <v>77.05</v>
      </c>
      <c r="H5" s="2" t="s">
        <v>28</v>
      </c>
      <c r="I5" s="2" t="s">
        <v>29</v>
      </c>
      <c r="K5" t="s">
        <v>5039</v>
      </c>
      <c r="L5">
        <f>COUNTA(E1:E4987)</f>
        <v>4987</v>
      </c>
    </row>
    <row r="6" spans="1:12" x14ac:dyDescent="0.35">
      <c r="A6" s="2" t="s">
        <v>30</v>
      </c>
      <c r="B6" s="3">
        <v>44701</v>
      </c>
      <c r="C6" s="2" t="s">
        <v>10</v>
      </c>
      <c r="D6" s="2" t="s">
        <v>31</v>
      </c>
      <c r="E6" s="2" t="s">
        <v>12</v>
      </c>
      <c r="F6" s="2">
        <v>1076.21</v>
      </c>
      <c r="G6" s="2">
        <v>302.13</v>
      </c>
      <c r="H6" s="2" t="s">
        <v>19</v>
      </c>
      <c r="I6" s="2" t="s">
        <v>29</v>
      </c>
      <c r="K6" t="s">
        <v>5040</v>
      </c>
      <c r="L6">
        <f>AVERAGE(G2:G4987)</f>
        <v>176.86186522262284</v>
      </c>
    </row>
    <row r="7" spans="1:12" x14ac:dyDescent="0.35">
      <c r="A7" s="2" t="s">
        <v>32</v>
      </c>
      <c r="B7" s="3">
        <v>44748</v>
      </c>
      <c r="C7" s="2" t="s">
        <v>16</v>
      </c>
      <c r="D7" s="2" t="s">
        <v>33</v>
      </c>
      <c r="E7" s="2" t="s">
        <v>18</v>
      </c>
      <c r="F7" s="2">
        <v>315.58</v>
      </c>
      <c r="G7" s="2">
        <v>37.22</v>
      </c>
      <c r="H7" s="2" t="s">
        <v>28</v>
      </c>
      <c r="I7" s="2" t="s">
        <v>34</v>
      </c>
      <c r="K7" t="s">
        <v>5041</v>
      </c>
      <c r="L7">
        <f>COUNTA(H1:H4987)</f>
        <v>4987</v>
      </c>
    </row>
    <row r="8" spans="1:12" x14ac:dyDescent="0.35">
      <c r="A8" s="2" t="s">
        <v>35</v>
      </c>
      <c r="B8" s="3">
        <v>45242</v>
      </c>
      <c r="C8" s="2" t="s">
        <v>22</v>
      </c>
      <c r="D8" s="2" t="s">
        <v>33</v>
      </c>
      <c r="E8" s="2" t="s">
        <v>18</v>
      </c>
      <c r="F8" s="2">
        <v>824.43</v>
      </c>
      <c r="G8" s="2">
        <v>78.89</v>
      </c>
      <c r="H8" s="2" t="s">
        <v>13</v>
      </c>
      <c r="I8" s="2" t="s">
        <v>14</v>
      </c>
    </row>
    <row r="9" spans="1:12" x14ac:dyDescent="0.35">
      <c r="A9" s="2" t="s">
        <v>36</v>
      </c>
      <c r="B9" s="3">
        <v>45128</v>
      </c>
      <c r="C9" s="2" t="s">
        <v>10</v>
      </c>
      <c r="D9" s="2" t="s">
        <v>31</v>
      </c>
      <c r="E9" s="2" t="s">
        <v>12</v>
      </c>
      <c r="F9" s="2">
        <v>1935.14</v>
      </c>
      <c r="G9" s="2">
        <v>217.6</v>
      </c>
      <c r="H9" s="2" t="s">
        <v>13</v>
      </c>
      <c r="I9" s="2" t="s">
        <v>34</v>
      </c>
    </row>
    <row r="10" spans="1:12" ht="31" x14ac:dyDescent="0.7">
      <c r="A10" s="2" t="s">
        <v>37</v>
      </c>
      <c r="B10" s="3">
        <v>45632</v>
      </c>
      <c r="C10" s="2" t="s">
        <v>16</v>
      </c>
      <c r="D10" s="2" t="s">
        <v>38</v>
      </c>
      <c r="E10" s="2" t="s">
        <v>12</v>
      </c>
      <c r="F10" s="2">
        <v>393.04</v>
      </c>
      <c r="G10" s="2">
        <v>31.91</v>
      </c>
      <c r="H10" s="2" t="s">
        <v>28</v>
      </c>
      <c r="I10" s="2" t="s">
        <v>29</v>
      </c>
      <c r="K10" s="6">
        <f>SUM(Table2[[#All],[Sales]])</f>
        <v>5082584.860000005</v>
      </c>
    </row>
    <row r="11" spans="1:12" x14ac:dyDescent="0.35">
      <c r="A11" s="2" t="s">
        <v>39</v>
      </c>
      <c r="B11" s="3">
        <v>45142</v>
      </c>
      <c r="C11" s="2" t="s">
        <v>25</v>
      </c>
      <c r="D11" s="2" t="s">
        <v>31</v>
      </c>
      <c r="E11" s="2" t="s">
        <v>12</v>
      </c>
      <c r="F11" s="2">
        <v>1420.71</v>
      </c>
      <c r="G11" s="2">
        <v>310.47000000000003</v>
      </c>
      <c r="H11" s="2" t="s">
        <v>13</v>
      </c>
      <c r="I11" s="2" t="s">
        <v>34</v>
      </c>
    </row>
    <row r="12" spans="1:12" x14ac:dyDescent="0.35">
      <c r="A12" s="2" t="s">
        <v>40</v>
      </c>
      <c r="B12" s="3">
        <v>45256</v>
      </c>
      <c r="C12" s="2" t="s">
        <v>25</v>
      </c>
      <c r="D12" s="2" t="s">
        <v>41</v>
      </c>
      <c r="E12" s="2" t="s">
        <v>12</v>
      </c>
      <c r="F12" s="2">
        <v>225.02</v>
      </c>
      <c r="G12" s="2">
        <v>66.430000000000007</v>
      </c>
      <c r="H12" s="2" t="s">
        <v>19</v>
      </c>
      <c r="I12" s="2" t="s">
        <v>29</v>
      </c>
    </row>
    <row r="13" spans="1:12" ht="31" x14ac:dyDescent="0.7">
      <c r="A13" s="2" t="s">
        <v>42</v>
      </c>
      <c r="B13" s="3">
        <v>44908</v>
      </c>
      <c r="C13" s="2" t="s">
        <v>25</v>
      </c>
      <c r="D13" s="2" t="s">
        <v>31</v>
      </c>
      <c r="E13" s="2" t="s">
        <v>12</v>
      </c>
      <c r="F13" s="2">
        <v>1228.8699999999999</v>
      </c>
      <c r="G13" s="2">
        <v>229.38</v>
      </c>
      <c r="H13" s="2" t="s">
        <v>28</v>
      </c>
      <c r="I13" s="2" t="s">
        <v>20</v>
      </c>
      <c r="K13" s="6">
        <f>SUM(Table2[[#All],[Profit]])</f>
        <v>881833.25999999745</v>
      </c>
    </row>
    <row r="14" spans="1:12" x14ac:dyDescent="0.35">
      <c r="A14" s="2" t="s">
        <v>43</v>
      </c>
      <c r="B14" s="3">
        <v>45576</v>
      </c>
      <c r="C14" s="2" t="s">
        <v>22</v>
      </c>
      <c r="D14" s="2" t="s">
        <v>17</v>
      </c>
      <c r="E14" s="2" t="s">
        <v>18</v>
      </c>
      <c r="F14" s="2">
        <v>1351.99</v>
      </c>
      <c r="G14" s="2">
        <v>220.01</v>
      </c>
      <c r="H14" s="2" t="s">
        <v>13</v>
      </c>
      <c r="I14" s="2" t="s">
        <v>14</v>
      </c>
    </row>
    <row r="15" spans="1:12" x14ac:dyDescent="0.35">
      <c r="A15" s="2" t="s">
        <v>44</v>
      </c>
      <c r="B15" s="3">
        <v>45170</v>
      </c>
      <c r="C15" s="2" t="s">
        <v>25</v>
      </c>
      <c r="D15" s="2" t="s">
        <v>11</v>
      </c>
      <c r="E15" s="2" t="s">
        <v>12</v>
      </c>
      <c r="F15" s="2">
        <v>1130.9000000000001</v>
      </c>
      <c r="G15" s="2">
        <v>193.5</v>
      </c>
      <c r="H15" s="2" t="s">
        <v>19</v>
      </c>
      <c r="I15" s="2" t="s">
        <v>34</v>
      </c>
    </row>
    <row r="16" spans="1:12" x14ac:dyDescent="0.35">
      <c r="A16" s="2" t="s">
        <v>45</v>
      </c>
      <c r="B16" s="3">
        <v>44840</v>
      </c>
      <c r="C16" s="2" t="s">
        <v>10</v>
      </c>
      <c r="D16" s="2" t="s">
        <v>46</v>
      </c>
      <c r="E16" s="2" t="s">
        <v>18</v>
      </c>
      <c r="F16" s="2">
        <v>1990.3</v>
      </c>
      <c r="G16" s="2">
        <v>428.27</v>
      </c>
      <c r="H16" s="2" t="s">
        <v>28</v>
      </c>
      <c r="I16" s="2" t="s">
        <v>29</v>
      </c>
    </row>
    <row r="17" spans="1:11" ht="31" x14ac:dyDescent="0.7">
      <c r="A17" s="2" t="s">
        <v>47</v>
      </c>
      <c r="B17" s="3">
        <v>45307</v>
      </c>
      <c r="C17" s="2" t="s">
        <v>16</v>
      </c>
      <c r="D17" s="2" t="s">
        <v>41</v>
      </c>
      <c r="E17" s="2" t="s">
        <v>12</v>
      </c>
      <c r="F17" s="2">
        <v>266.42</v>
      </c>
      <c r="G17" s="2">
        <v>79.459999999999994</v>
      </c>
      <c r="H17" s="2" t="s">
        <v>19</v>
      </c>
      <c r="I17" s="2" t="s">
        <v>34</v>
      </c>
      <c r="K17" s="6">
        <f>AVERAGE(Table2[[#All],[Sales]],Table2[[#All],[Profit]])</f>
        <v>598.11653830726141</v>
      </c>
    </row>
    <row r="18" spans="1:11" x14ac:dyDescent="0.35">
      <c r="A18" s="2" t="s">
        <v>48</v>
      </c>
      <c r="B18" s="3">
        <v>45299</v>
      </c>
      <c r="C18" s="2" t="s">
        <v>22</v>
      </c>
      <c r="D18" s="2" t="s">
        <v>33</v>
      </c>
      <c r="E18" s="2" t="s">
        <v>18</v>
      </c>
      <c r="F18" s="2">
        <v>1318.05</v>
      </c>
      <c r="G18" s="2">
        <v>93.25</v>
      </c>
      <c r="H18" s="2" t="s">
        <v>28</v>
      </c>
      <c r="I18" s="2" t="s">
        <v>34</v>
      </c>
    </row>
    <row r="19" spans="1:11" x14ac:dyDescent="0.35">
      <c r="A19" s="2" t="s">
        <v>49</v>
      </c>
      <c r="B19" s="3">
        <v>44658</v>
      </c>
      <c r="C19" s="2" t="s">
        <v>25</v>
      </c>
      <c r="D19" s="2" t="s">
        <v>50</v>
      </c>
      <c r="E19" s="2" t="s">
        <v>12</v>
      </c>
      <c r="F19" s="2">
        <v>506.59</v>
      </c>
      <c r="G19" s="2">
        <v>70.19</v>
      </c>
      <c r="H19" s="2" t="s">
        <v>13</v>
      </c>
      <c r="I19" s="2" t="s">
        <v>20</v>
      </c>
    </row>
    <row r="20" spans="1:11" x14ac:dyDescent="0.35">
      <c r="A20" s="2" t="s">
        <v>51</v>
      </c>
      <c r="B20" s="3">
        <v>44750</v>
      </c>
      <c r="C20" s="2" t="s">
        <v>16</v>
      </c>
      <c r="D20" s="2" t="s">
        <v>41</v>
      </c>
      <c r="E20" s="2" t="s">
        <v>12</v>
      </c>
      <c r="F20" s="2">
        <v>1684.6</v>
      </c>
      <c r="G20" s="2">
        <v>478.46</v>
      </c>
      <c r="H20" s="2" t="s">
        <v>19</v>
      </c>
      <c r="I20" s="2" t="s">
        <v>29</v>
      </c>
    </row>
    <row r="21" spans="1:11" x14ac:dyDescent="0.35">
      <c r="A21" s="2" t="s">
        <v>52</v>
      </c>
      <c r="B21" s="3">
        <v>44829</v>
      </c>
      <c r="C21" s="2" t="s">
        <v>22</v>
      </c>
      <c r="D21" s="2" t="s">
        <v>31</v>
      </c>
      <c r="E21" s="2" t="s">
        <v>12</v>
      </c>
      <c r="F21" s="2">
        <v>1222.8</v>
      </c>
      <c r="G21" s="2">
        <v>220.45</v>
      </c>
      <c r="H21" s="2" t="s">
        <v>28</v>
      </c>
      <c r="I21" s="2" t="s">
        <v>34</v>
      </c>
    </row>
    <row r="22" spans="1:11" x14ac:dyDescent="0.35">
      <c r="A22" s="2" t="s">
        <v>53</v>
      </c>
      <c r="B22" s="3">
        <v>45335</v>
      </c>
      <c r="C22" s="2" t="s">
        <v>16</v>
      </c>
      <c r="D22" s="2" t="s">
        <v>46</v>
      </c>
      <c r="E22" s="2" t="s">
        <v>18</v>
      </c>
      <c r="F22" s="2">
        <v>254.26</v>
      </c>
      <c r="G22" s="2">
        <v>56.58</v>
      </c>
      <c r="H22" s="2" t="s">
        <v>13</v>
      </c>
      <c r="I22" s="2" t="s">
        <v>14</v>
      </c>
    </row>
    <row r="23" spans="1:11" x14ac:dyDescent="0.35">
      <c r="A23" s="2" t="s">
        <v>54</v>
      </c>
      <c r="B23" s="3">
        <v>44769</v>
      </c>
      <c r="C23" s="2" t="s">
        <v>10</v>
      </c>
      <c r="D23" s="2" t="s">
        <v>23</v>
      </c>
      <c r="E23" s="2" t="s">
        <v>18</v>
      </c>
      <c r="F23" s="2">
        <v>1276.82</v>
      </c>
      <c r="G23" s="2">
        <v>97.08</v>
      </c>
      <c r="H23" s="2" t="s">
        <v>13</v>
      </c>
      <c r="I23" s="2" t="s">
        <v>14</v>
      </c>
    </row>
    <row r="24" spans="1:11" x14ac:dyDescent="0.35">
      <c r="A24" s="2" t="s">
        <v>55</v>
      </c>
      <c r="B24" s="3">
        <v>44801</v>
      </c>
      <c r="C24" s="2" t="s">
        <v>10</v>
      </c>
      <c r="D24" s="2" t="s">
        <v>17</v>
      </c>
      <c r="E24" s="2" t="s">
        <v>18</v>
      </c>
      <c r="F24" s="2">
        <v>1819.66</v>
      </c>
      <c r="G24" s="2">
        <v>337.37</v>
      </c>
      <c r="H24" s="2" t="s">
        <v>28</v>
      </c>
      <c r="I24" s="2" t="s">
        <v>29</v>
      </c>
    </row>
    <row r="25" spans="1:11" x14ac:dyDescent="0.35">
      <c r="A25" s="2" t="s">
        <v>56</v>
      </c>
      <c r="B25" s="3">
        <v>45472</v>
      </c>
      <c r="C25" s="2" t="s">
        <v>22</v>
      </c>
      <c r="D25" s="2" t="s">
        <v>57</v>
      </c>
      <c r="E25" s="2" t="s">
        <v>27</v>
      </c>
      <c r="F25" s="2">
        <v>669.73</v>
      </c>
      <c r="G25" s="2">
        <v>126.76</v>
      </c>
      <c r="H25" s="2" t="s">
        <v>19</v>
      </c>
      <c r="I25" s="2" t="s">
        <v>29</v>
      </c>
    </row>
    <row r="26" spans="1:11" x14ac:dyDescent="0.35">
      <c r="A26" s="2" t="s">
        <v>58</v>
      </c>
      <c r="B26" s="3">
        <v>45293</v>
      </c>
      <c r="C26" s="2" t="s">
        <v>16</v>
      </c>
      <c r="D26" s="2" t="s">
        <v>46</v>
      </c>
      <c r="E26" s="2" t="s">
        <v>18</v>
      </c>
      <c r="F26" s="2">
        <v>1085.69</v>
      </c>
      <c r="G26" s="2">
        <v>82.8</v>
      </c>
      <c r="H26" s="2" t="s">
        <v>28</v>
      </c>
      <c r="I26" s="2" t="s">
        <v>34</v>
      </c>
    </row>
    <row r="27" spans="1:11" x14ac:dyDescent="0.35">
      <c r="A27" s="2" t="s">
        <v>59</v>
      </c>
      <c r="B27" s="3">
        <v>45650</v>
      </c>
      <c r="C27" s="2" t="s">
        <v>16</v>
      </c>
      <c r="D27" s="2" t="s">
        <v>33</v>
      </c>
      <c r="E27" s="2" t="s">
        <v>18</v>
      </c>
      <c r="F27" s="2">
        <v>1146.71</v>
      </c>
      <c r="G27" s="2">
        <v>201.56</v>
      </c>
      <c r="H27" s="2" t="s">
        <v>19</v>
      </c>
      <c r="I27" s="2" t="s">
        <v>29</v>
      </c>
    </row>
    <row r="28" spans="1:11" x14ac:dyDescent="0.35">
      <c r="A28" s="2" t="s">
        <v>60</v>
      </c>
      <c r="B28" s="3">
        <v>45268</v>
      </c>
      <c r="C28" s="2" t="s">
        <v>16</v>
      </c>
      <c r="D28" s="2" t="s">
        <v>46</v>
      </c>
      <c r="E28" s="2" t="s">
        <v>18</v>
      </c>
      <c r="F28" s="2">
        <v>1663.45</v>
      </c>
      <c r="G28" s="2">
        <v>332.69</v>
      </c>
      <c r="H28" s="2" t="s">
        <v>28</v>
      </c>
      <c r="I28" s="2" t="s">
        <v>14</v>
      </c>
    </row>
    <row r="29" spans="1:11" x14ac:dyDescent="0.35">
      <c r="A29" s="2" t="s">
        <v>61</v>
      </c>
      <c r="B29" s="3">
        <v>45048</v>
      </c>
      <c r="C29" s="2" t="s">
        <v>16</v>
      </c>
      <c r="D29" s="2" t="s">
        <v>62</v>
      </c>
      <c r="E29" s="2" t="s">
        <v>27</v>
      </c>
      <c r="F29" s="2">
        <v>943.89</v>
      </c>
      <c r="G29" s="2">
        <v>173.66</v>
      </c>
      <c r="H29" s="2" t="s">
        <v>13</v>
      </c>
      <c r="I29" s="2" t="s">
        <v>29</v>
      </c>
    </row>
    <row r="30" spans="1:11" x14ac:dyDescent="0.35">
      <c r="A30" s="2" t="s">
        <v>63</v>
      </c>
      <c r="B30" s="3">
        <v>44808</v>
      </c>
      <c r="C30" s="2" t="s">
        <v>16</v>
      </c>
      <c r="D30" s="2" t="s">
        <v>11</v>
      </c>
      <c r="E30" s="2" t="s">
        <v>12</v>
      </c>
      <c r="F30" s="2">
        <v>1483.72</v>
      </c>
      <c r="G30" s="2">
        <v>75.2</v>
      </c>
      <c r="H30" s="2" t="s">
        <v>19</v>
      </c>
      <c r="I30" s="2" t="s">
        <v>20</v>
      </c>
    </row>
    <row r="31" spans="1:11" x14ac:dyDescent="0.35">
      <c r="A31" s="2" t="s">
        <v>64</v>
      </c>
      <c r="B31" s="3">
        <v>45326</v>
      </c>
      <c r="C31" s="2" t="s">
        <v>22</v>
      </c>
      <c r="D31" s="2" t="s">
        <v>46</v>
      </c>
      <c r="E31" s="2" t="s">
        <v>18</v>
      </c>
      <c r="F31" s="2">
        <v>1813.86</v>
      </c>
      <c r="G31" s="2">
        <v>479.71</v>
      </c>
      <c r="H31" s="2" t="s">
        <v>19</v>
      </c>
      <c r="I31" s="2" t="s">
        <v>34</v>
      </c>
    </row>
    <row r="32" spans="1:11" x14ac:dyDescent="0.35">
      <c r="A32" s="2" t="s">
        <v>65</v>
      </c>
      <c r="B32" s="3">
        <v>44909</v>
      </c>
      <c r="C32" s="2" t="s">
        <v>10</v>
      </c>
      <c r="D32" s="2" t="s">
        <v>57</v>
      </c>
      <c r="E32" s="2" t="s">
        <v>27</v>
      </c>
      <c r="F32" s="2">
        <v>1170.3699999999999</v>
      </c>
      <c r="G32" s="2">
        <v>77</v>
      </c>
      <c r="H32" s="2" t="s">
        <v>19</v>
      </c>
      <c r="I32" s="2" t="s">
        <v>20</v>
      </c>
    </row>
    <row r="33" spans="1:9" x14ac:dyDescent="0.35">
      <c r="A33" s="2" t="s">
        <v>66</v>
      </c>
      <c r="B33" s="3">
        <v>45475</v>
      </c>
      <c r="C33" s="2" t="s">
        <v>10</v>
      </c>
      <c r="D33" s="2" t="s">
        <v>33</v>
      </c>
      <c r="E33" s="2" t="s">
        <v>18</v>
      </c>
      <c r="F33" s="2">
        <v>1052.47</v>
      </c>
      <c r="G33" s="2">
        <v>126.64</v>
      </c>
      <c r="H33" s="2" t="s">
        <v>28</v>
      </c>
      <c r="I33" s="2" t="s">
        <v>29</v>
      </c>
    </row>
    <row r="34" spans="1:9" x14ac:dyDescent="0.35">
      <c r="A34" s="2" t="s">
        <v>67</v>
      </c>
      <c r="B34" s="3">
        <v>44827</v>
      </c>
      <c r="C34" s="2" t="s">
        <v>10</v>
      </c>
      <c r="D34" s="2" t="s">
        <v>50</v>
      </c>
      <c r="E34" s="2" t="s">
        <v>12</v>
      </c>
      <c r="F34" s="2">
        <v>358.24</v>
      </c>
      <c r="G34" s="2">
        <v>75.88</v>
      </c>
      <c r="H34" s="2" t="s">
        <v>13</v>
      </c>
      <c r="I34" s="2" t="s">
        <v>29</v>
      </c>
    </row>
    <row r="35" spans="1:9" x14ac:dyDescent="0.35">
      <c r="A35" s="2" t="s">
        <v>68</v>
      </c>
      <c r="B35" s="3">
        <v>45280</v>
      </c>
      <c r="C35" s="2" t="s">
        <v>10</v>
      </c>
      <c r="D35" s="2" t="s">
        <v>23</v>
      </c>
      <c r="E35" s="2" t="s">
        <v>18</v>
      </c>
      <c r="F35" s="2">
        <v>391.47</v>
      </c>
      <c r="G35" s="2">
        <v>67.34</v>
      </c>
      <c r="H35" s="2" t="s">
        <v>19</v>
      </c>
      <c r="I35" s="2" t="s">
        <v>20</v>
      </c>
    </row>
    <row r="36" spans="1:9" x14ac:dyDescent="0.35">
      <c r="A36" s="2" t="s">
        <v>69</v>
      </c>
      <c r="B36" s="3">
        <v>44991</v>
      </c>
      <c r="C36" s="2" t="s">
        <v>25</v>
      </c>
      <c r="D36" s="2" t="s">
        <v>33</v>
      </c>
      <c r="E36" s="2" t="s">
        <v>18</v>
      </c>
      <c r="F36" s="2">
        <v>1248.72</v>
      </c>
      <c r="G36" s="2">
        <v>180.19</v>
      </c>
      <c r="H36" s="2" t="s">
        <v>28</v>
      </c>
      <c r="I36" s="2" t="s">
        <v>20</v>
      </c>
    </row>
    <row r="37" spans="1:9" x14ac:dyDescent="0.35">
      <c r="A37" s="2" t="s">
        <v>70</v>
      </c>
      <c r="B37" s="3">
        <v>45339</v>
      </c>
      <c r="C37" s="2" t="s">
        <v>16</v>
      </c>
      <c r="D37" s="2" t="s">
        <v>33</v>
      </c>
      <c r="E37" s="2" t="s">
        <v>18</v>
      </c>
      <c r="F37" s="2">
        <v>1342.45</v>
      </c>
      <c r="G37" s="2">
        <v>237.85</v>
      </c>
      <c r="H37" s="2" t="s">
        <v>28</v>
      </c>
      <c r="I37" s="2" t="s">
        <v>29</v>
      </c>
    </row>
    <row r="38" spans="1:9" x14ac:dyDescent="0.35">
      <c r="A38" s="2" t="s">
        <v>71</v>
      </c>
      <c r="B38" s="3">
        <v>45603</v>
      </c>
      <c r="C38" s="2" t="s">
        <v>22</v>
      </c>
      <c r="D38" s="2" t="s">
        <v>38</v>
      </c>
      <c r="E38" s="2" t="s">
        <v>12</v>
      </c>
      <c r="F38" s="2">
        <v>1621.74</v>
      </c>
      <c r="G38" s="2">
        <v>340.08</v>
      </c>
      <c r="H38" s="2" t="s">
        <v>19</v>
      </c>
      <c r="I38" s="2" t="s">
        <v>29</v>
      </c>
    </row>
    <row r="39" spans="1:9" x14ac:dyDescent="0.35">
      <c r="A39" s="2" t="s">
        <v>72</v>
      </c>
      <c r="B39" s="3">
        <v>45233</v>
      </c>
      <c r="C39" s="2" t="s">
        <v>22</v>
      </c>
      <c r="D39" s="2" t="s">
        <v>73</v>
      </c>
      <c r="E39" s="2" t="s">
        <v>27</v>
      </c>
      <c r="F39" s="2">
        <v>1343.44</v>
      </c>
      <c r="G39" s="2">
        <v>343.59</v>
      </c>
      <c r="H39" s="2" t="s">
        <v>19</v>
      </c>
      <c r="I39" s="2" t="s">
        <v>34</v>
      </c>
    </row>
    <row r="40" spans="1:9" x14ac:dyDescent="0.35">
      <c r="A40" s="2" t="s">
        <v>74</v>
      </c>
      <c r="B40" s="3">
        <v>45325</v>
      </c>
      <c r="C40" s="2" t="s">
        <v>16</v>
      </c>
      <c r="D40" s="2" t="s">
        <v>31</v>
      </c>
      <c r="E40" s="2" t="s">
        <v>12</v>
      </c>
      <c r="F40" s="2">
        <v>654.63</v>
      </c>
      <c r="G40" s="2">
        <v>70.010000000000005</v>
      </c>
      <c r="H40" s="2" t="s">
        <v>13</v>
      </c>
      <c r="I40" s="2" t="s">
        <v>14</v>
      </c>
    </row>
    <row r="41" spans="1:9" x14ac:dyDescent="0.35">
      <c r="A41" s="2" t="s">
        <v>75</v>
      </c>
      <c r="B41" s="3">
        <v>44769</v>
      </c>
      <c r="C41" s="2" t="s">
        <v>22</v>
      </c>
      <c r="D41" s="2" t="s">
        <v>31</v>
      </c>
      <c r="E41" s="2" t="s">
        <v>12</v>
      </c>
      <c r="F41" s="2">
        <v>979.28</v>
      </c>
      <c r="G41" s="2">
        <v>72.91</v>
      </c>
      <c r="H41" s="2" t="s">
        <v>28</v>
      </c>
      <c r="I41" s="2" t="s">
        <v>34</v>
      </c>
    </row>
    <row r="42" spans="1:9" x14ac:dyDescent="0.35">
      <c r="A42" s="2" t="s">
        <v>76</v>
      </c>
      <c r="B42" s="3">
        <v>45385</v>
      </c>
      <c r="C42" s="2" t="s">
        <v>25</v>
      </c>
      <c r="D42" s="2" t="s">
        <v>38</v>
      </c>
      <c r="E42" s="2" t="s">
        <v>12</v>
      </c>
      <c r="F42" s="2">
        <v>824.64</v>
      </c>
      <c r="G42" s="2">
        <v>93.65</v>
      </c>
      <c r="H42" s="2" t="s">
        <v>13</v>
      </c>
      <c r="I42" s="2" t="s">
        <v>14</v>
      </c>
    </row>
    <row r="43" spans="1:9" x14ac:dyDescent="0.35">
      <c r="A43" s="2" t="s">
        <v>77</v>
      </c>
      <c r="B43" s="3">
        <v>44872</v>
      </c>
      <c r="C43" s="2" t="s">
        <v>22</v>
      </c>
      <c r="D43" s="2" t="s">
        <v>41</v>
      </c>
      <c r="E43" s="2" t="s">
        <v>12</v>
      </c>
      <c r="F43" s="2">
        <v>1798.68</v>
      </c>
      <c r="G43" s="2">
        <v>161.43</v>
      </c>
      <c r="H43" s="2" t="s">
        <v>19</v>
      </c>
      <c r="I43" s="2" t="s">
        <v>14</v>
      </c>
    </row>
    <row r="44" spans="1:9" x14ac:dyDescent="0.35">
      <c r="A44" s="2" t="s">
        <v>78</v>
      </c>
      <c r="B44" s="3">
        <v>45031</v>
      </c>
      <c r="C44" s="2" t="s">
        <v>25</v>
      </c>
      <c r="D44" s="2" t="s">
        <v>62</v>
      </c>
      <c r="E44" s="2" t="s">
        <v>27</v>
      </c>
      <c r="F44" s="2">
        <v>1558.59</v>
      </c>
      <c r="G44" s="2">
        <v>441.61</v>
      </c>
      <c r="H44" s="2" t="s">
        <v>28</v>
      </c>
      <c r="I44" s="2" t="s">
        <v>34</v>
      </c>
    </row>
    <row r="45" spans="1:9" x14ac:dyDescent="0.35">
      <c r="A45" s="2" t="s">
        <v>79</v>
      </c>
      <c r="B45" s="3">
        <v>45251</v>
      </c>
      <c r="C45" s="2" t="s">
        <v>25</v>
      </c>
      <c r="D45" s="2" t="s">
        <v>23</v>
      </c>
      <c r="E45" s="2" t="s">
        <v>18</v>
      </c>
      <c r="F45" s="2">
        <v>1853.26</v>
      </c>
      <c r="G45" s="2">
        <v>111.26</v>
      </c>
      <c r="H45" s="2" t="s">
        <v>28</v>
      </c>
      <c r="I45" s="2" t="s">
        <v>34</v>
      </c>
    </row>
    <row r="46" spans="1:9" x14ac:dyDescent="0.35">
      <c r="A46" s="2" t="s">
        <v>80</v>
      </c>
      <c r="B46" s="3">
        <v>45006</v>
      </c>
      <c r="C46" s="2" t="s">
        <v>10</v>
      </c>
      <c r="D46" s="2" t="s">
        <v>57</v>
      </c>
      <c r="E46" s="2" t="s">
        <v>27</v>
      </c>
      <c r="F46" s="2">
        <v>834.88</v>
      </c>
      <c r="G46" s="2">
        <v>176.52</v>
      </c>
      <c r="H46" s="2" t="s">
        <v>19</v>
      </c>
      <c r="I46" s="2" t="s">
        <v>34</v>
      </c>
    </row>
    <row r="47" spans="1:9" x14ac:dyDescent="0.35">
      <c r="A47" s="2" t="s">
        <v>81</v>
      </c>
      <c r="B47" s="3">
        <v>44706</v>
      </c>
      <c r="C47" s="2" t="s">
        <v>16</v>
      </c>
      <c r="D47" s="2" t="s">
        <v>31</v>
      </c>
      <c r="E47" s="2" t="s">
        <v>12</v>
      </c>
      <c r="F47" s="2">
        <v>1520.25</v>
      </c>
      <c r="G47" s="2">
        <v>254.22</v>
      </c>
      <c r="H47" s="2" t="s">
        <v>13</v>
      </c>
      <c r="I47" s="2" t="s">
        <v>34</v>
      </c>
    </row>
    <row r="48" spans="1:9" x14ac:dyDescent="0.35">
      <c r="A48" s="2" t="s">
        <v>82</v>
      </c>
      <c r="B48" s="3">
        <v>45402</v>
      </c>
      <c r="C48" s="2" t="s">
        <v>10</v>
      </c>
      <c r="D48" s="2" t="s">
        <v>26</v>
      </c>
      <c r="E48" s="2" t="s">
        <v>27</v>
      </c>
      <c r="F48" s="2">
        <v>1522.2</v>
      </c>
      <c r="G48" s="2">
        <v>91.83</v>
      </c>
      <c r="H48" s="2" t="s">
        <v>13</v>
      </c>
      <c r="I48" s="2" t="s">
        <v>34</v>
      </c>
    </row>
    <row r="49" spans="1:9" x14ac:dyDescent="0.35">
      <c r="A49" s="2" t="s">
        <v>83</v>
      </c>
      <c r="B49" s="3">
        <v>44694</v>
      </c>
      <c r="C49" s="2" t="s">
        <v>22</v>
      </c>
      <c r="D49" s="2" t="s">
        <v>11</v>
      </c>
      <c r="E49" s="2" t="s">
        <v>12</v>
      </c>
      <c r="F49" s="2">
        <v>1510.95</v>
      </c>
      <c r="G49" s="2">
        <v>168.6</v>
      </c>
      <c r="H49" s="2" t="s">
        <v>13</v>
      </c>
      <c r="I49" s="2" t="s">
        <v>29</v>
      </c>
    </row>
    <row r="50" spans="1:9" x14ac:dyDescent="0.35">
      <c r="A50" s="2" t="s">
        <v>84</v>
      </c>
      <c r="B50" s="3">
        <v>45387</v>
      </c>
      <c r="C50" s="2" t="s">
        <v>25</v>
      </c>
      <c r="D50" s="2" t="s">
        <v>50</v>
      </c>
      <c r="E50" s="2" t="s">
        <v>12</v>
      </c>
      <c r="F50" s="2">
        <v>741.56</v>
      </c>
      <c r="G50" s="2">
        <v>166.14</v>
      </c>
      <c r="H50" s="2" t="s">
        <v>19</v>
      </c>
      <c r="I50" s="2" t="s">
        <v>34</v>
      </c>
    </row>
    <row r="51" spans="1:9" x14ac:dyDescent="0.35">
      <c r="A51" s="2" t="s">
        <v>85</v>
      </c>
      <c r="B51" s="3">
        <v>45282</v>
      </c>
      <c r="C51" s="2" t="s">
        <v>25</v>
      </c>
      <c r="D51" s="2" t="s">
        <v>57</v>
      </c>
      <c r="E51" s="2" t="s">
        <v>27</v>
      </c>
      <c r="F51" s="2">
        <v>170.08</v>
      </c>
      <c r="G51" s="2">
        <v>25.09</v>
      </c>
      <c r="H51" s="2" t="s">
        <v>19</v>
      </c>
      <c r="I51" s="2" t="s">
        <v>29</v>
      </c>
    </row>
    <row r="52" spans="1:9" x14ac:dyDescent="0.35">
      <c r="A52" s="2" t="s">
        <v>86</v>
      </c>
      <c r="B52" s="3">
        <v>45653</v>
      </c>
      <c r="C52" s="2" t="s">
        <v>25</v>
      </c>
      <c r="D52" s="2" t="s">
        <v>31</v>
      </c>
      <c r="E52" s="2" t="s">
        <v>12</v>
      </c>
      <c r="F52" s="2">
        <v>1008.56</v>
      </c>
      <c r="G52" s="2">
        <v>131.28</v>
      </c>
      <c r="H52" s="2" t="s">
        <v>19</v>
      </c>
      <c r="I52" s="2" t="s">
        <v>34</v>
      </c>
    </row>
    <row r="53" spans="1:9" x14ac:dyDescent="0.35">
      <c r="A53" s="2" t="s">
        <v>87</v>
      </c>
      <c r="B53" s="3">
        <v>44746</v>
      </c>
      <c r="C53" s="2" t="s">
        <v>10</v>
      </c>
      <c r="D53" s="2" t="s">
        <v>50</v>
      </c>
      <c r="E53" s="2" t="s">
        <v>12</v>
      </c>
      <c r="F53" s="2">
        <v>1705.09</v>
      </c>
      <c r="G53" s="2">
        <v>291.25</v>
      </c>
      <c r="H53" s="2" t="s">
        <v>13</v>
      </c>
      <c r="I53" s="2" t="s">
        <v>20</v>
      </c>
    </row>
    <row r="54" spans="1:9" x14ac:dyDescent="0.35">
      <c r="A54" s="2" t="s">
        <v>88</v>
      </c>
      <c r="B54" s="3">
        <v>44916</v>
      </c>
      <c r="C54" s="2" t="s">
        <v>10</v>
      </c>
      <c r="D54" s="2" t="s">
        <v>38</v>
      </c>
      <c r="E54" s="2" t="s">
        <v>12</v>
      </c>
      <c r="F54" s="2">
        <v>870</v>
      </c>
      <c r="G54" s="2">
        <v>255.2</v>
      </c>
      <c r="H54" s="2" t="s">
        <v>28</v>
      </c>
      <c r="I54" s="2" t="s">
        <v>34</v>
      </c>
    </row>
    <row r="55" spans="1:9" x14ac:dyDescent="0.35">
      <c r="A55" s="2" t="s">
        <v>89</v>
      </c>
      <c r="B55" s="3">
        <v>45310</v>
      </c>
      <c r="C55" s="2" t="s">
        <v>16</v>
      </c>
      <c r="D55" s="2" t="s">
        <v>46</v>
      </c>
      <c r="E55" s="2" t="s">
        <v>18</v>
      </c>
      <c r="F55" s="2">
        <v>1213.26</v>
      </c>
      <c r="G55" s="2">
        <v>167.93</v>
      </c>
      <c r="H55" s="2" t="s">
        <v>28</v>
      </c>
      <c r="I55" s="2" t="s">
        <v>34</v>
      </c>
    </row>
    <row r="56" spans="1:9" x14ac:dyDescent="0.35">
      <c r="A56" s="2" t="s">
        <v>90</v>
      </c>
      <c r="B56" s="3">
        <v>44789</v>
      </c>
      <c r="C56" s="2" t="s">
        <v>16</v>
      </c>
      <c r="D56" s="2" t="s">
        <v>38</v>
      </c>
      <c r="E56" s="2" t="s">
        <v>12</v>
      </c>
      <c r="F56" s="2">
        <v>189.79</v>
      </c>
      <c r="G56" s="2">
        <v>44.07</v>
      </c>
      <c r="H56" s="2" t="s">
        <v>28</v>
      </c>
      <c r="I56" s="2" t="s">
        <v>34</v>
      </c>
    </row>
    <row r="57" spans="1:9" x14ac:dyDescent="0.35">
      <c r="A57" s="2" t="s">
        <v>91</v>
      </c>
      <c r="B57" s="3">
        <v>45624</v>
      </c>
      <c r="C57" s="2" t="s">
        <v>22</v>
      </c>
      <c r="D57" s="2" t="s">
        <v>41</v>
      </c>
      <c r="E57" s="2" t="s">
        <v>12</v>
      </c>
      <c r="F57" s="2">
        <v>1566.23</v>
      </c>
      <c r="G57" s="2">
        <v>393.82</v>
      </c>
      <c r="H57" s="2" t="s">
        <v>13</v>
      </c>
      <c r="I57" s="2" t="s">
        <v>34</v>
      </c>
    </row>
    <row r="58" spans="1:9" x14ac:dyDescent="0.35">
      <c r="A58" s="2" t="s">
        <v>92</v>
      </c>
      <c r="B58" s="3">
        <v>45355</v>
      </c>
      <c r="C58" s="2" t="s">
        <v>25</v>
      </c>
      <c r="D58" s="2" t="s">
        <v>57</v>
      </c>
      <c r="E58" s="2" t="s">
        <v>27</v>
      </c>
      <c r="F58" s="2">
        <v>1505.72</v>
      </c>
      <c r="G58" s="2">
        <v>380.79</v>
      </c>
      <c r="H58" s="2" t="s">
        <v>13</v>
      </c>
      <c r="I58" s="2" t="s">
        <v>20</v>
      </c>
    </row>
    <row r="59" spans="1:9" x14ac:dyDescent="0.35">
      <c r="A59" s="2" t="s">
        <v>93</v>
      </c>
      <c r="B59" s="3">
        <v>45459</v>
      </c>
      <c r="C59" s="2" t="s">
        <v>22</v>
      </c>
      <c r="D59" s="2" t="s">
        <v>26</v>
      </c>
      <c r="E59" s="2" t="s">
        <v>27</v>
      </c>
      <c r="F59" s="2">
        <v>439.11</v>
      </c>
      <c r="G59" s="2">
        <v>87.69</v>
      </c>
      <c r="H59" s="2" t="s">
        <v>19</v>
      </c>
      <c r="I59" s="2" t="s">
        <v>20</v>
      </c>
    </row>
    <row r="60" spans="1:9" x14ac:dyDescent="0.35">
      <c r="A60" s="2" t="s">
        <v>94</v>
      </c>
      <c r="B60" s="3">
        <v>45098</v>
      </c>
      <c r="C60" s="2" t="s">
        <v>10</v>
      </c>
      <c r="D60" s="2" t="s">
        <v>95</v>
      </c>
      <c r="E60" s="2" t="s">
        <v>18</v>
      </c>
      <c r="F60" s="2">
        <v>1383.08</v>
      </c>
      <c r="G60" s="2">
        <v>408.08</v>
      </c>
      <c r="H60" s="2" t="s">
        <v>19</v>
      </c>
      <c r="I60" s="2" t="s">
        <v>20</v>
      </c>
    </row>
    <row r="61" spans="1:9" x14ac:dyDescent="0.35">
      <c r="A61" s="2" t="s">
        <v>96</v>
      </c>
      <c r="B61" s="3">
        <v>45635</v>
      </c>
      <c r="C61" s="2" t="s">
        <v>25</v>
      </c>
      <c r="D61" s="2" t="s">
        <v>97</v>
      </c>
      <c r="E61" s="2" t="s">
        <v>27</v>
      </c>
      <c r="F61" s="2">
        <v>1715.39</v>
      </c>
      <c r="G61" s="2">
        <v>279.60000000000002</v>
      </c>
      <c r="H61" s="2" t="s">
        <v>19</v>
      </c>
      <c r="I61" s="2" t="s">
        <v>29</v>
      </c>
    </row>
    <row r="62" spans="1:9" x14ac:dyDescent="0.35">
      <c r="A62" s="2" t="s">
        <v>98</v>
      </c>
      <c r="B62" s="3">
        <v>45626</v>
      </c>
      <c r="C62" s="2" t="s">
        <v>10</v>
      </c>
      <c r="D62" s="2" t="s">
        <v>38</v>
      </c>
      <c r="E62" s="2" t="s">
        <v>12</v>
      </c>
      <c r="F62" s="2">
        <v>928.32</v>
      </c>
      <c r="G62" s="2">
        <v>117.72</v>
      </c>
      <c r="H62" s="2" t="s">
        <v>19</v>
      </c>
      <c r="I62" s="2" t="s">
        <v>29</v>
      </c>
    </row>
    <row r="63" spans="1:9" x14ac:dyDescent="0.35">
      <c r="A63" s="2" t="s">
        <v>99</v>
      </c>
      <c r="B63" s="3">
        <v>45270</v>
      </c>
      <c r="C63" s="2" t="s">
        <v>25</v>
      </c>
      <c r="D63" s="2" t="s">
        <v>17</v>
      </c>
      <c r="E63" s="2" t="s">
        <v>18</v>
      </c>
      <c r="F63" s="2">
        <v>651.29</v>
      </c>
      <c r="G63" s="2">
        <v>157.37</v>
      </c>
      <c r="H63" s="2" t="s">
        <v>19</v>
      </c>
      <c r="I63" s="2" t="s">
        <v>20</v>
      </c>
    </row>
    <row r="64" spans="1:9" x14ac:dyDescent="0.35">
      <c r="A64" s="2" t="s">
        <v>100</v>
      </c>
      <c r="B64" s="3">
        <v>45657</v>
      </c>
      <c r="C64" s="2" t="s">
        <v>25</v>
      </c>
      <c r="D64" s="2" t="s">
        <v>95</v>
      </c>
      <c r="E64" s="2" t="s">
        <v>18</v>
      </c>
      <c r="F64" s="2">
        <v>471.35</v>
      </c>
      <c r="G64" s="2">
        <v>83.11</v>
      </c>
      <c r="H64" s="2" t="s">
        <v>28</v>
      </c>
      <c r="I64" s="2" t="s">
        <v>29</v>
      </c>
    </row>
    <row r="65" spans="1:9" x14ac:dyDescent="0.35">
      <c r="A65" s="2" t="s">
        <v>101</v>
      </c>
      <c r="B65" s="3">
        <v>44763</v>
      </c>
      <c r="C65" s="2" t="s">
        <v>16</v>
      </c>
      <c r="D65" s="2" t="s">
        <v>73</v>
      </c>
      <c r="E65" s="2" t="s">
        <v>27</v>
      </c>
      <c r="F65" s="2">
        <v>470.71</v>
      </c>
      <c r="G65" s="2">
        <v>63.98</v>
      </c>
      <c r="H65" s="2" t="s">
        <v>28</v>
      </c>
      <c r="I65" s="2" t="s">
        <v>29</v>
      </c>
    </row>
    <row r="66" spans="1:9" x14ac:dyDescent="0.35">
      <c r="A66" s="2" t="s">
        <v>102</v>
      </c>
      <c r="B66" s="3">
        <v>45188</v>
      </c>
      <c r="C66" s="2" t="s">
        <v>22</v>
      </c>
      <c r="D66" s="2" t="s">
        <v>33</v>
      </c>
      <c r="E66" s="2" t="s">
        <v>18</v>
      </c>
      <c r="F66" s="2">
        <v>780</v>
      </c>
      <c r="G66" s="2">
        <v>126.9</v>
      </c>
      <c r="H66" s="2" t="s">
        <v>13</v>
      </c>
      <c r="I66" s="2" t="s">
        <v>34</v>
      </c>
    </row>
    <row r="67" spans="1:9" x14ac:dyDescent="0.35">
      <c r="A67" s="2" t="s">
        <v>103</v>
      </c>
      <c r="B67" s="3">
        <v>44603</v>
      </c>
      <c r="C67" s="2" t="s">
        <v>16</v>
      </c>
      <c r="D67" s="2" t="s">
        <v>33</v>
      </c>
      <c r="E67" s="2" t="s">
        <v>18</v>
      </c>
      <c r="F67" s="2">
        <v>1572.31</v>
      </c>
      <c r="G67" s="2">
        <v>183.32</v>
      </c>
      <c r="H67" s="2" t="s">
        <v>19</v>
      </c>
      <c r="I67" s="2" t="s">
        <v>14</v>
      </c>
    </row>
    <row r="68" spans="1:9" x14ac:dyDescent="0.35">
      <c r="A68" s="2" t="s">
        <v>104</v>
      </c>
      <c r="B68" s="3">
        <v>45526</v>
      </c>
      <c r="C68" s="2" t="s">
        <v>10</v>
      </c>
      <c r="D68" s="2" t="s">
        <v>17</v>
      </c>
      <c r="E68" s="2" t="s">
        <v>18</v>
      </c>
      <c r="F68" s="2">
        <v>1163.31</v>
      </c>
      <c r="G68" s="2">
        <v>299.69</v>
      </c>
      <c r="H68" s="2" t="s">
        <v>13</v>
      </c>
      <c r="I68" s="2" t="s">
        <v>29</v>
      </c>
    </row>
    <row r="69" spans="1:9" x14ac:dyDescent="0.35">
      <c r="A69" s="2" t="s">
        <v>105</v>
      </c>
      <c r="B69" s="3">
        <v>44644</v>
      </c>
      <c r="C69" s="2" t="s">
        <v>16</v>
      </c>
      <c r="D69" s="2" t="s">
        <v>62</v>
      </c>
      <c r="E69" s="2" t="s">
        <v>27</v>
      </c>
      <c r="F69" s="2">
        <v>1227.74</v>
      </c>
      <c r="G69" s="2">
        <v>345.26</v>
      </c>
      <c r="H69" s="2" t="s">
        <v>13</v>
      </c>
      <c r="I69" s="2" t="s">
        <v>14</v>
      </c>
    </row>
    <row r="70" spans="1:9" x14ac:dyDescent="0.35">
      <c r="A70" s="2" t="s">
        <v>106</v>
      </c>
      <c r="B70" s="3">
        <v>45375</v>
      </c>
      <c r="C70" s="2" t="s">
        <v>16</v>
      </c>
      <c r="D70" s="2" t="s">
        <v>17</v>
      </c>
      <c r="E70" s="2" t="s">
        <v>18</v>
      </c>
      <c r="F70" s="2">
        <v>653.83000000000004</v>
      </c>
      <c r="G70" s="2">
        <v>112.55</v>
      </c>
      <c r="H70" s="2" t="s">
        <v>13</v>
      </c>
      <c r="I70" s="2" t="s">
        <v>20</v>
      </c>
    </row>
    <row r="71" spans="1:9" x14ac:dyDescent="0.35">
      <c r="A71" s="2" t="s">
        <v>107</v>
      </c>
      <c r="B71" s="3">
        <v>45374</v>
      </c>
      <c r="C71" s="2" t="s">
        <v>25</v>
      </c>
      <c r="D71" s="2" t="s">
        <v>23</v>
      </c>
      <c r="E71" s="2" t="s">
        <v>18</v>
      </c>
      <c r="F71" s="2">
        <v>589.5</v>
      </c>
      <c r="G71" s="2">
        <v>167.28</v>
      </c>
      <c r="H71" s="2" t="s">
        <v>13</v>
      </c>
      <c r="I71" s="2" t="s">
        <v>34</v>
      </c>
    </row>
    <row r="72" spans="1:9" x14ac:dyDescent="0.35">
      <c r="A72" s="2" t="s">
        <v>108</v>
      </c>
      <c r="B72" s="3">
        <v>45129</v>
      </c>
      <c r="C72" s="2" t="s">
        <v>25</v>
      </c>
      <c r="D72" s="2" t="s">
        <v>11</v>
      </c>
      <c r="E72" s="2" t="s">
        <v>12</v>
      </c>
      <c r="F72" s="2">
        <v>1812.66</v>
      </c>
      <c r="G72" s="2">
        <v>204.75</v>
      </c>
      <c r="H72" s="2" t="s">
        <v>13</v>
      </c>
      <c r="I72" s="2" t="s">
        <v>14</v>
      </c>
    </row>
    <row r="73" spans="1:9" x14ac:dyDescent="0.35">
      <c r="A73" s="2" t="s">
        <v>109</v>
      </c>
      <c r="B73" s="3">
        <v>45532</v>
      </c>
      <c r="C73" s="2" t="s">
        <v>22</v>
      </c>
      <c r="D73" s="2" t="s">
        <v>33</v>
      </c>
      <c r="E73" s="2" t="s">
        <v>18</v>
      </c>
      <c r="F73" s="2">
        <v>651.38</v>
      </c>
      <c r="G73" s="2">
        <v>67.8</v>
      </c>
      <c r="H73" s="2" t="s">
        <v>13</v>
      </c>
      <c r="I73" s="2" t="s">
        <v>29</v>
      </c>
    </row>
    <row r="74" spans="1:9" x14ac:dyDescent="0.35">
      <c r="A74" s="2" t="s">
        <v>110</v>
      </c>
      <c r="B74" s="3">
        <v>44653</v>
      </c>
      <c r="C74" s="2" t="s">
        <v>22</v>
      </c>
      <c r="D74" s="2" t="s">
        <v>95</v>
      </c>
      <c r="E74" s="2" t="s">
        <v>18</v>
      </c>
      <c r="F74" s="2">
        <v>1814.64</v>
      </c>
      <c r="G74" s="2">
        <v>362.26</v>
      </c>
      <c r="H74" s="2" t="s">
        <v>28</v>
      </c>
      <c r="I74" s="2" t="s">
        <v>29</v>
      </c>
    </row>
    <row r="75" spans="1:9" x14ac:dyDescent="0.35">
      <c r="A75" s="2" t="s">
        <v>111</v>
      </c>
      <c r="B75" s="3">
        <v>45431</v>
      </c>
      <c r="C75" s="2" t="s">
        <v>22</v>
      </c>
      <c r="D75" s="2" t="s">
        <v>73</v>
      </c>
      <c r="E75" s="2" t="s">
        <v>27</v>
      </c>
      <c r="F75" s="2">
        <v>1928.2</v>
      </c>
      <c r="G75" s="2">
        <v>150.6</v>
      </c>
      <c r="H75" s="2" t="s">
        <v>19</v>
      </c>
      <c r="I75" s="2" t="s">
        <v>14</v>
      </c>
    </row>
    <row r="76" spans="1:9" x14ac:dyDescent="0.35">
      <c r="A76" s="2" t="s">
        <v>112</v>
      </c>
      <c r="B76" s="3">
        <v>44631</v>
      </c>
      <c r="C76" s="2" t="s">
        <v>22</v>
      </c>
      <c r="D76" s="2" t="s">
        <v>38</v>
      </c>
      <c r="E76" s="2" t="s">
        <v>12</v>
      </c>
      <c r="F76" s="2">
        <v>543.17999999999995</v>
      </c>
      <c r="G76" s="2">
        <v>128.22</v>
      </c>
      <c r="H76" s="2" t="s">
        <v>13</v>
      </c>
      <c r="I76" s="2" t="s">
        <v>29</v>
      </c>
    </row>
    <row r="77" spans="1:9" x14ac:dyDescent="0.35">
      <c r="A77" s="2" t="s">
        <v>113</v>
      </c>
      <c r="B77" s="3">
        <v>44870</v>
      </c>
      <c r="C77" s="2" t="s">
        <v>16</v>
      </c>
      <c r="D77" s="2" t="s">
        <v>95</v>
      </c>
      <c r="E77" s="2" t="s">
        <v>18</v>
      </c>
      <c r="F77" s="2">
        <v>1264.77</v>
      </c>
      <c r="G77" s="2">
        <v>87.97</v>
      </c>
      <c r="H77" s="2" t="s">
        <v>28</v>
      </c>
      <c r="I77" s="2" t="s">
        <v>20</v>
      </c>
    </row>
    <row r="78" spans="1:9" x14ac:dyDescent="0.35">
      <c r="A78" s="2" t="s">
        <v>114</v>
      </c>
      <c r="B78" s="3">
        <v>45461</v>
      </c>
      <c r="C78" s="2" t="s">
        <v>16</v>
      </c>
      <c r="D78" s="2" t="s">
        <v>41</v>
      </c>
      <c r="E78" s="2" t="s">
        <v>12</v>
      </c>
      <c r="F78" s="2">
        <v>135.34</v>
      </c>
      <c r="G78" s="2">
        <v>37.729999999999997</v>
      </c>
      <c r="H78" s="2" t="s">
        <v>19</v>
      </c>
      <c r="I78" s="2" t="s">
        <v>29</v>
      </c>
    </row>
    <row r="79" spans="1:9" x14ac:dyDescent="0.35">
      <c r="A79" s="2" t="s">
        <v>115</v>
      </c>
      <c r="B79" s="3">
        <v>45086</v>
      </c>
      <c r="C79" s="2" t="s">
        <v>22</v>
      </c>
      <c r="D79" s="2" t="s">
        <v>41</v>
      </c>
      <c r="E79" s="2" t="s">
        <v>12</v>
      </c>
      <c r="F79" s="2">
        <v>1891.58</v>
      </c>
      <c r="G79" s="2">
        <v>352.75</v>
      </c>
      <c r="H79" s="2" t="s">
        <v>28</v>
      </c>
      <c r="I79" s="2" t="s">
        <v>29</v>
      </c>
    </row>
    <row r="80" spans="1:9" x14ac:dyDescent="0.35">
      <c r="A80" s="2" t="s">
        <v>116</v>
      </c>
      <c r="B80" s="3">
        <v>44582</v>
      </c>
      <c r="C80" s="2" t="s">
        <v>16</v>
      </c>
      <c r="D80" s="2" t="s">
        <v>31</v>
      </c>
      <c r="E80" s="2" t="s">
        <v>12</v>
      </c>
      <c r="F80" s="2">
        <v>1806.33</v>
      </c>
      <c r="G80" s="2">
        <v>505.88</v>
      </c>
      <c r="H80" s="2" t="s">
        <v>28</v>
      </c>
      <c r="I80" s="2" t="s">
        <v>29</v>
      </c>
    </row>
    <row r="81" spans="1:9" x14ac:dyDescent="0.35">
      <c r="A81" s="2" t="s">
        <v>117</v>
      </c>
      <c r="B81" s="3">
        <v>44927</v>
      </c>
      <c r="C81" s="2" t="s">
        <v>22</v>
      </c>
      <c r="D81" s="2" t="s">
        <v>11</v>
      </c>
      <c r="E81" s="2" t="s">
        <v>12</v>
      </c>
      <c r="F81" s="2">
        <v>915.24</v>
      </c>
      <c r="G81" s="2">
        <v>136.30000000000001</v>
      </c>
      <c r="H81" s="2" t="s">
        <v>28</v>
      </c>
      <c r="I81" s="2" t="s">
        <v>34</v>
      </c>
    </row>
    <row r="82" spans="1:9" x14ac:dyDescent="0.35">
      <c r="A82" s="2" t="s">
        <v>118</v>
      </c>
      <c r="B82" s="3">
        <v>45485</v>
      </c>
      <c r="C82" s="2" t="s">
        <v>22</v>
      </c>
      <c r="D82" s="2" t="s">
        <v>17</v>
      </c>
      <c r="E82" s="2" t="s">
        <v>18</v>
      </c>
      <c r="F82" s="2">
        <v>1198.95</v>
      </c>
      <c r="G82" s="2">
        <v>303.91000000000003</v>
      </c>
      <c r="H82" s="2" t="s">
        <v>19</v>
      </c>
      <c r="I82" s="2" t="s">
        <v>29</v>
      </c>
    </row>
    <row r="83" spans="1:9" x14ac:dyDescent="0.35">
      <c r="A83" s="2" t="s">
        <v>119</v>
      </c>
      <c r="B83" s="3">
        <v>45141</v>
      </c>
      <c r="C83" s="2" t="s">
        <v>22</v>
      </c>
      <c r="D83" s="2" t="s">
        <v>41</v>
      </c>
      <c r="E83" s="2" t="s">
        <v>12</v>
      </c>
      <c r="F83" s="2">
        <v>377.57</v>
      </c>
      <c r="G83" s="2">
        <v>101.15</v>
      </c>
      <c r="H83" s="2" t="s">
        <v>13</v>
      </c>
      <c r="I83" s="2" t="s">
        <v>29</v>
      </c>
    </row>
    <row r="84" spans="1:9" x14ac:dyDescent="0.35">
      <c r="A84" s="2" t="s">
        <v>120</v>
      </c>
      <c r="B84" s="3">
        <v>45289</v>
      </c>
      <c r="C84" s="2" t="s">
        <v>25</v>
      </c>
      <c r="D84" s="2" t="s">
        <v>23</v>
      </c>
      <c r="E84" s="2" t="s">
        <v>18</v>
      </c>
      <c r="F84" s="2">
        <v>972.11</v>
      </c>
      <c r="G84" s="2">
        <v>100.83</v>
      </c>
      <c r="H84" s="2" t="s">
        <v>19</v>
      </c>
      <c r="I84" s="2" t="s">
        <v>34</v>
      </c>
    </row>
    <row r="85" spans="1:9" x14ac:dyDescent="0.35">
      <c r="A85" s="2" t="s">
        <v>121</v>
      </c>
      <c r="B85" s="3">
        <v>44578</v>
      </c>
      <c r="C85" s="2" t="s">
        <v>10</v>
      </c>
      <c r="D85" s="2" t="s">
        <v>95</v>
      </c>
      <c r="E85" s="2" t="s">
        <v>18</v>
      </c>
      <c r="F85" s="2">
        <v>138</v>
      </c>
      <c r="G85" s="2">
        <v>39.479999999999997</v>
      </c>
      <c r="H85" s="2" t="s">
        <v>13</v>
      </c>
      <c r="I85" s="2" t="s">
        <v>20</v>
      </c>
    </row>
    <row r="86" spans="1:9" x14ac:dyDescent="0.35">
      <c r="A86" s="2" t="s">
        <v>122</v>
      </c>
      <c r="B86" s="3">
        <v>44840</v>
      </c>
      <c r="C86" s="2" t="s">
        <v>25</v>
      </c>
      <c r="D86" s="2" t="s">
        <v>33</v>
      </c>
      <c r="E86" s="2" t="s">
        <v>18</v>
      </c>
      <c r="F86" s="2">
        <v>1111.29</v>
      </c>
      <c r="G86" s="2">
        <v>90.86</v>
      </c>
      <c r="H86" s="2" t="s">
        <v>28</v>
      </c>
      <c r="I86" s="2" t="s">
        <v>14</v>
      </c>
    </row>
    <row r="87" spans="1:9" x14ac:dyDescent="0.35">
      <c r="A87" s="2" t="s">
        <v>123</v>
      </c>
      <c r="B87" s="3">
        <v>45172</v>
      </c>
      <c r="C87" s="2" t="s">
        <v>25</v>
      </c>
      <c r="D87" s="2" t="s">
        <v>11</v>
      </c>
      <c r="E87" s="2" t="s">
        <v>12</v>
      </c>
      <c r="F87" s="2">
        <v>1480.55</v>
      </c>
      <c r="G87" s="2">
        <v>430.45</v>
      </c>
      <c r="H87" s="2" t="s">
        <v>28</v>
      </c>
      <c r="I87" s="2" t="s">
        <v>20</v>
      </c>
    </row>
    <row r="88" spans="1:9" x14ac:dyDescent="0.35">
      <c r="A88" s="2" t="s">
        <v>124</v>
      </c>
      <c r="B88" s="3">
        <v>45534</v>
      </c>
      <c r="C88" s="2" t="s">
        <v>10</v>
      </c>
      <c r="D88" s="2" t="s">
        <v>95</v>
      </c>
      <c r="E88" s="2" t="s">
        <v>18</v>
      </c>
      <c r="F88" s="2">
        <v>631.67999999999995</v>
      </c>
      <c r="G88" s="2">
        <v>176.43</v>
      </c>
      <c r="H88" s="2" t="s">
        <v>28</v>
      </c>
      <c r="I88" s="2" t="s">
        <v>34</v>
      </c>
    </row>
    <row r="89" spans="1:9" x14ac:dyDescent="0.35">
      <c r="A89" s="2" t="s">
        <v>125</v>
      </c>
      <c r="B89" s="3">
        <v>45194</v>
      </c>
      <c r="C89" s="2" t="s">
        <v>22</v>
      </c>
      <c r="D89" s="2" t="s">
        <v>31</v>
      </c>
      <c r="E89" s="2" t="s">
        <v>12</v>
      </c>
      <c r="F89" s="2">
        <v>1897.44</v>
      </c>
      <c r="G89" s="2">
        <v>329.84</v>
      </c>
      <c r="H89" s="2" t="s">
        <v>13</v>
      </c>
      <c r="I89" s="2" t="s">
        <v>14</v>
      </c>
    </row>
    <row r="90" spans="1:9" x14ac:dyDescent="0.35">
      <c r="A90" s="2" t="s">
        <v>126</v>
      </c>
      <c r="B90" s="3">
        <v>45079</v>
      </c>
      <c r="C90" s="2" t="s">
        <v>16</v>
      </c>
      <c r="D90" s="2" t="s">
        <v>23</v>
      </c>
      <c r="E90" s="2" t="s">
        <v>18</v>
      </c>
      <c r="F90" s="2">
        <v>805.57</v>
      </c>
      <c r="G90" s="2">
        <v>170.34</v>
      </c>
      <c r="H90" s="2" t="s">
        <v>13</v>
      </c>
      <c r="I90" s="2" t="s">
        <v>14</v>
      </c>
    </row>
    <row r="91" spans="1:9" x14ac:dyDescent="0.35">
      <c r="A91" s="2" t="s">
        <v>127</v>
      </c>
      <c r="B91" s="3">
        <v>45326</v>
      </c>
      <c r="C91" s="2" t="s">
        <v>25</v>
      </c>
      <c r="D91" s="2" t="s">
        <v>23</v>
      </c>
      <c r="E91" s="2" t="s">
        <v>18</v>
      </c>
      <c r="F91" s="2">
        <v>1861.02</v>
      </c>
      <c r="G91" s="2">
        <v>162.05000000000001</v>
      </c>
      <c r="H91" s="2" t="s">
        <v>13</v>
      </c>
      <c r="I91" s="2" t="s">
        <v>34</v>
      </c>
    </row>
    <row r="92" spans="1:9" x14ac:dyDescent="0.35">
      <c r="A92" s="2" t="s">
        <v>128</v>
      </c>
      <c r="B92" s="3">
        <v>44715</v>
      </c>
      <c r="C92" s="2" t="s">
        <v>22</v>
      </c>
      <c r="D92" s="2" t="s">
        <v>50</v>
      </c>
      <c r="E92" s="2" t="s">
        <v>12</v>
      </c>
      <c r="F92" s="2">
        <v>1543.12</v>
      </c>
      <c r="G92" s="2">
        <v>449.75</v>
      </c>
      <c r="H92" s="2" t="s">
        <v>13</v>
      </c>
      <c r="I92" s="2" t="s">
        <v>14</v>
      </c>
    </row>
    <row r="93" spans="1:9" x14ac:dyDescent="0.35">
      <c r="A93" s="2" t="s">
        <v>129</v>
      </c>
      <c r="B93" s="3">
        <v>45606</v>
      </c>
      <c r="C93" s="2" t="s">
        <v>25</v>
      </c>
      <c r="D93" s="2" t="s">
        <v>33</v>
      </c>
      <c r="E93" s="2" t="s">
        <v>18</v>
      </c>
      <c r="F93" s="2">
        <v>638.36</v>
      </c>
      <c r="G93" s="2">
        <v>182.92</v>
      </c>
      <c r="H93" s="2" t="s">
        <v>13</v>
      </c>
      <c r="I93" s="2" t="s">
        <v>34</v>
      </c>
    </row>
    <row r="94" spans="1:9" x14ac:dyDescent="0.35">
      <c r="A94" s="2" t="s">
        <v>130</v>
      </c>
      <c r="B94" s="3">
        <v>44687</v>
      </c>
      <c r="C94" s="2" t="s">
        <v>22</v>
      </c>
      <c r="D94" s="2" t="s">
        <v>73</v>
      </c>
      <c r="E94" s="2" t="s">
        <v>27</v>
      </c>
      <c r="F94" s="2">
        <v>1189.82</v>
      </c>
      <c r="G94" s="2">
        <v>257.39</v>
      </c>
      <c r="H94" s="2" t="s">
        <v>13</v>
      </c>
      <c r="I94" s="2" t="s">
        <v>20</v>
      </c>
    </row>
    <row r="95" spans="1:9" x14ac:dyDescent="0.35">
      <c r="A95" s="2" t="s">
        <v>131</v>
      </c>
      <c r="B95" s="3">
        <v>44986</v>
      </c>
      <c r="C95" s="2" t="s">
        <v>22</v>
      </c>
      <c r="D95" s="2" t="s">
        <v>41</v>
      </c>
      <c r="E95" s="2" t="s">
        <v>12</v>
      </c>
      <c r="F95" s="2">
        <v>75.39</v>
      </c>
      <c r="G95" s="2">
        <v>9.24</v>
      </c>
      <c r="H95" s="2" t="s">
        <v>28</v>
      </c>
      <c r="I95" s="2" t="s">
        <v>34</v>
      </c>
    </row>
    <row r="96" spans="1:9" x14ac:dyDescent="0.35">
      <c r="A96" s="2" t="s">
        <v>132</v>
      </c>
      <c r="B96" s="3">
        <v>45482</v>
      </c>
      <c r="C96" s="2" t="s">
        <v>25</v>
      </c>
      <c r="D96" s="2" t="s">
        <v>11</v>
      </c>
      <c r="E96" s="2" t="s">
        <v>12</v>
      </c>
      <c r="F96" s="2">
        <v>1252.08</v>
      </c>
      <c r="G96" s="2">
        <v>138.37</v>
      </c>
      <c r="H96" s="2" t="s">
        <v>13</v>
      </c>
      <c r="I96" s="2" t="s">
        <v>29</v>
      </c>
    </row>
    <row r="97" spans="1:9" x14ac:dyDescent="0.35">
      <c r="A97" s="2" t="s">
        <v>133</v>
      </c>
      <c r="B97" s="3">
        <v>44834</v>
      </c>
      <c r="C97" s="2" t="s">
        <v>22</v>
      </c>
      <c r="D97" s="2" t="s">
        <v>97</v>
      </c>
      <c r="E97" s="2" t="s">
        <v>27</v>
      </c>
      <c r="F97" s="2">
        <v>1083.71</v>
      </c>
      <c r="G97" s="2">
        <v>172.84</v>
      </c>
      <c r="H97" s="2" t="s">
        <v>28</v>
      </c>
      <c r="I97" s="2" t="s">
        <v>34</v>
      </c>
    </row>
    <row r="98" spans="1:9" x14ac:dyDescent="0.35">
      <c r="A98" s="2" t="s">
        <v>134</v>
      </c>
      <c r="B98" s="3">
        <v>45143</v>
      </c>
      <c r="C98" s="2" t="s">
        <v>16</v>
      </c>
      <c r="D98" s="2" t="s">
        <v>38</v>
      </c>
      <c r="E98" s="2" t="s">
        <v>12</v>
      </c>
      <c r="F98" s="2">
        <v>650.67999999999995</v>
      </c>
      <c r="G98" s="2">
        <v>75.56</v>
      </c>
      <c r="H98" s="2" t="s">
        <v>19</v>
      </c>
      <c r="I98" s="2" t="s">
        <v>20</v>
      </c>
    </row>
    <row r="99" spans="1:9" x14ac:dyDescent="0.35">
      <c r="A99" s="2" t="s">
        <v>135</v>
      </c>
      <c r="B99" s="3">
        <v>45584</v>
      </c>
      <c r="C99" s="2" t="s">
        <v>22</v>
      </c>
      <c r="D99" s="2" t="s">
        <v>17</v>
      </c>
      <c r="E99" s="2" t="s">
        <v>18</v>
      </c>
      <c r="F99" s="2">
        <v>1317.71</v>
      </c>
      <c r="G99" s="2">
        <v>353.93</v>
      </c>
      <c r="H99" s="2" t="s">
        <v>19</v>
      </c>
      <c r="I99" s="2" t="s">
        <v>20</v>
      </c>
    </row>
    <row r="100" spans="1:9" x14ac:dyDescent="0.35">
      <c r="A100" s="2" t="s">
        <v>136</v>
      </c>
      <c r="B100" s="3">
        <v>45370</v>
      </c>
      <c r="C100" s="2" t="s">
        <v>22</v>
      </c>
      <c r="D100" s="2" t="s">
        <v>46</v>
      </c>
      <c r="E100" s="2" t="s">
        <v>18</v>
      </c>
      <c r="F100" s="2">
        <v>599.6</v>
      </c>
      <c r="G100" s="2">
        <v>71.78</v>
      </c>
      <c r="H100" s="2" t="s">
        <v>19</v>
      </c>
      <c r="I100" s="2" t="s">
        <v>34</v>
      </c>
    </row>
    <row r="101" spans="1:9" x14ac:dyDescent="0.35">
      <c r="A101" s="2" t="s">
        <v>137</v>
      </c>
      <c r="B101" s="3">
        <v>45290</v>
      </c>
      <c r="C101" s="2" t="s">
        <v>25</v>
      </c>
      <c r="D101" s="2" t="s">
        <v>97</v>
      </c>
      <c r="E101" s="2" t="s">
        <v>27</v>
      </c>
      <c r="F101" s="2">
        <v>1164.54</v>
      </c>
      <c r="G101" s="2">
        <v>333.36</v>
      </c>
      <c r="H101" s="2" t="s">
        <v>28</v>
      </c>
      <c r="I101" s="2" t="s">
        <v>14</v>
      </c>
    </row>
    <row r="102" spans="1:9" x14ac:dyDescent="0.35">
      <c r="A102" s="2" t="s">
        <v>138</v>
      </c>
      <c r="B102" s="3">
        <v>44822</v>
      </c>
      <c r="C102" s="2" t="s">
        <v>22</v>
      </c>
      <c r="D102" s="2" t="s">
        <v>31</v>
      </c>
      <c r="E102" s="2" t="s">
        <v>12</v>
      </c>
      <c r="F102" s="2">
        <v>1431.17</v>
      </c>
      <c r="G102" s="2">
        <v>304.2</v>
      </c>
      <c r="H102" s="2" t="s">
        <v>19</v>
      </c>
      <c r="I102" s="2" t="s">
        <v>14</v>
      </c>
    </row>
    <row r="103" spans="1:9" x14ac:dyDescent="0.35">
      <c r="A103" s="2" t="s">
        <v>139</v>
      </c>
      <c r="B103" s="3">
        <v>45514</v>
      </c>
      <c r="C103" s="2" t="s">
        <v>25</v>
      </c>
      <c r="D103" s="2" t="s">
        <v>62</v>
      </c>
      <c r="E103" s="2" t="s">
        <v>27</v>
      </c>
      <c r="F103" s="2">
        <v>788.85</v>
      </c>
      <c r="G103" s="2">
        <v>205.95</v>
      </c>
      <c r="H103" s="2" t="s">
        <v>28</v>
      </c>
      <c r="I103" s="2" t="s">
        <v>14</v>
      </c>
    </row>
    <row r="104" spans="1:9" x14ac:dyDescent="0.35">
      <c r="A104" s="2" t="s">
        <v>140</v>
      </c>
      <c r="B104" s="3">
        <v>45006</v>
      </c>
      <c r="C104" s="2" t="s">
        <v>10</v>
      </c>
      <c r="D104" s="2" t="s">
        <v>33</v>
      </c>
      <c r="E104" s="2" t="s">
        <v>18</v>
      </c>
      <c r="F104" s="2">
        <v>1663.56</v>
      </c>
      <c r="G104" s="2">
        <v>145.4</v>
      </c>
      <c r="H104" s="2" t="s">
        <v>19</v>
      </c>
      <c r="I104" s="2" t="s">
        <v>20</v>
      </c>
    </row>
    <row r="105" spans="1:9" x14ac:dyDescent="0.35">
      <c r="A105" s="2" t="s">
        <v>141</v>
      </c>
      <c r="B105" s="3">
        <v>45518</v>
      </c>
      <c r="C105" s="2" t="s">
        <v>25</v>
      </c>
      <c r="D105" s="2" t="s">
        <v>33</v>
      </c>
      <c r="E105" s="2" t="s">
        <v>18</v>
      </c>
      <c r="F105" s="2">
        <v>1763.96</v>
      </c>
      <c r="G105" s="2">
        <v>197.49</v>
      </c>
      <c r="H105" s="2" t="s">
        <v>13</v>
      </c>
      <c r="I105" s="2" t="s">
        <v>34</v>
      </c>
    </row>
    <row r="106" spans="1:9" x14ac:dyDescent="0.35">
      <c r="A106" s="2" t="s">
        <v>142</v>
      </c>
      <c r="B106" s="3">
        <v>45005</v>
      </c>
      <c r="C106" s="2" t="s">
        <v>25</v>
      </c>
      <c r="D106" s="2" t="s">
        <v>38</v>
      </c>
      <c r="E106" s="2" t="s">
        <v>12</v>
      </c>
      <c r="F106" s="2">
        <v>1854.06</v>
      </c>
      <c r="G106" s="2">
        <v>301.11</v>
      </c>
      <c r="H106" s="2" t="s">
        <v>13</v>
      </c>
      <c r="I106" s="2" t="s">
        <v>34</v>
      </c>
    </row>
    <row r="107" spans="1:9" x14ac:dyDescent="0.35">
      <c r="A107" s="2" t="s">
        <v>143</v>
      </c>
      <c r="B107" s="3">
        <v>44941</v>
      </c>
      <c r="C107" s="2" t="s">
        <v>22</v>
      </c>
      <c r="D107" s="2" t="s">
        <v>31</v>
      </c>
      <c r="E107" s="2" t="s">
        <v>12</v>
      </c>
      <c r="F107" s="2">
        <v>80.180000000000007</v>
      </c>
      <c r="G107" s="2">
        <v>21.31</v>
      </c>
      <c r="H107" s="2" t="s">
        <v>28</v>
      </c>
      <c r="I107" s="2" t="s">
        <v>34</v>
      </c>
    </row>
    <row r="108" spans="1:9" x14ac:dyDescent="0.35">
      <c r="A108" s="2" t="s">
        <v>144</v>
      </c>
      <c r="B108" s="3">
        <v>45016</v>
      </c>
      <c r="C108" s="2" t="s">
        <v>22</v>
      </c>
      <c r="D108" s="2" t="s">
        <v>73</v>
      </c>
      <c r="E108" s="2" t="s">
        <v>27</v>
      </c>
      <c r="F108" s="2">
        <v>830.7</v>
      </c>
      <c r="G108" s="2">
        <v>143.4</v>
      </c>
      <c r="H108" s="2" t="s">
        <v>28</v>
      </c>
      <c r="I108" s="2" t="s">
        <v>29</v>
      </c>
    </row>
    <row r="109" spans="1:9" x14ac:dyDescent="0.35">
      <c r="A109" s="2" t="s">
        <v>145</v>
      </c>
      <c r="B109" s="3">
        <v>44990</v>
      </c>
      <c r="C109" s="2" t="s">
        <v>10</v>
      </c>
      <c r="D109" s="2" t="s">
        <v>97</v>
      </c>
      <c r="E109" s="2" t="s">
        <v>27</v>
      </c>
      <c r="F109" s="2">
        <v>1612.99</v>
      </c>
      <c r="G109" s="2">
        <v>360.17</v>
      </c>
      <c r="H109" s="2" t="s">
        <v>13</v>
      </c>
      <c r="I109" s="2" t="s">
        <v>14</v>
      </c>
    </row>
    <row r="110" spans="1:9" x14ac:dyDescent="0.35">
      <c r="A110" s="2" t="s">
        <v>146</v>
      </c>
      <c r="B110" s="3">
        <v>44710</v>
      </c>
      <c r="C110" s="2" t="s">
        <v>25</v>
      </c>
      <c r="D110" s="2" t="s">
        <v>26</v>
      </c>
      <c r="E110" s="2" t="s">
        <v>27</v>
      </c>
      <c r="F110" s="2">
        <v>1521.6</v>
      </c>
      <c r="G110" s="2">
        <v>81.84</v>
      </c>
      <c r="H110" s="2" t="s">
        <v>13</v>
      </c>
      <c r="I110" s="2" t="s">
        <v>34</v>
      </c>
    </row>
    <row r="111" spans="1:9" x14ac:dyDescent="0.35">
      <c r="A111" s="2" t="s">
        <v>147</v>
      </c>
      <c r="B111" s="3">
        <v>44729</v>
      </c>
      <c r="C111" s="2" t="s">
        <v>22</v>
      </c>
      <c r="D111" s="2" t="s">
        <v>97</v>
      </c>
      <c r="E111" s="2" t="s">
        <v>27</v>
      </c>
      <c r="F111" s="2">
        <v>1456.21</v>
      </c>
      <c r="G111" s="2">
        <v>135.35</v>
      </c>
      <c r="H111" s="2" t="s">
        <v>19</v>
      </c>
      <c r="I111" s="2" t="s">
        <v>34</v>
      </c>
    </row>
    <row r="112" spans="1:9" x14ac:dyDescent="0.35">
      <c r="A112" s="2" t="s">
        <v>148</v>
      </c>
      <c r="B112" s="3">
        <v>45593</v>
      </c>
      <c r="C112" s="2" t="s">
        <v>25</v>
      </c>
      <c r="D112" s="2" t="s">
        <v>95</v>
      </c>
      <c r="E112" s="2" t="s">
        <v>18</v>
      </c>
      <c r="F112" s="2">
        <v>883.08</v>
      </c>
      <c r="G112" s="2">
        <v>107.87</v>
      </c>
      <c r="H112" s="2" t="s">
        <v>13</v>
      </c>
      <c r="I112" s="2" t="s">
        <v>29</v>
      </c>
    </row>
    <row r="113" spans="1:9" x14ac:dyDescent="0.35">
      <c r="A113" s="2" t="s">
        <v>149</v>
      </c>
      <c r="B113" s="3">
        <v>45175</v>
      </c>
      <c r="C113" s="2" t="s">
        <v>10</v>
      </c>
      <c r="D113" s="2" t="s">
        <v>95</v>
      </c>
      <c r="E113" s="2" t="s">
        <v>18</v>
      </c>
      <c r="F113" s="2">
        <v>83.42</v>
      </c>
      <c r="G113" s="2">
        <v>23.89</v>
      </c>
      <c r="H113" s="2" t="s">
        <v>28</v>
      </c>
      <c r="I113" s="2" t="s">
        <v>14</v>
      </c>
    </row>
    <row r="114" spans="1:9" x14ac:dyDescent="0.35">
      <c r="A114" s="2" t="s">
        <v>150</v>
      </c>
      <c r="B114" s="3">
        <v>45099</v>
      </c>
      <c r="C114" s="2" t="s">
        <v>16</v>
      </c>
      <c r="D114" s="2" t="s">
        <v>46</v>
      </c>
      <c r="E114" s="2" t="s">
        <v>18</v>
      </c>
      <c r="F114" s="2">
        <v>1427.35</v>
      </c>
      <c r="G114" s="2">
        <v>117.28</v>
      </c>
      <c r="H114" s="2" t="s">
        <v>13</v>
      </c>
      <c r="I114" s="2" t="s">
        <v>20</v>
      </c>
    </row>
    <row r="115" spans="1:9" x14ac:dyDescent="0.35">
      <c r="A115" s="2" t="s">
        <v>151</v>
      </c>
      <c r="B115" s="3">
        <v>45154</v>
      </c>
      <c r="C115" s="2" t="s">
        <v>25</v>
      </c>
      <c r="D115" s="2" t="s">
        <v>73</v>
      </c>
      <c r="E115" s="2" t="s">
        <v>27</v>
      </c>
      <c r="F115" s="2">
        <v>815.53</v>
      </c>
      <c r="G115" s="2">
        <v>205.32</v>
      </c>
      <c r="H115" s="2" t="s">
        <v>13</v>
      </c>
      <c r="I115" s="2" t="s">
        <v>34</v>
      </c>
    </row>
    <row r="116" spans="1:9" x14ac:dyDescent="0.35">
      <c r="A116" s="2" t="s">
        <v>152</v>
      </c>
      <c r="B116" s="3">
        <v>44664</v>
      </c>
      <c r="C116" s="2" t="s">
        <v>22</v>
      </c>
      <c r="D116" s="2" t="s">
        <v>17</v>
      </c>
      <c r="E116" s="2" t="s">
        <v>18</v>
      </c>
      <c r="F116" s="2">
        <v>1717.08</v>
      </c>
      <c r="G116" s="2">
        <v>217.83</v>
      </c>
      <c r="H116" s="2" t="s">
        <v>13</v>
      </c>
      <c r="I116" s="2" t="s">
        <v>14</v>
      </c>
    </row>
    <row r="117" spans="1:9" x14ac:dyDescent="0.35">
      <c r="A117" s="2" t="s">
        <v>153</v>
      </c>
      <c r="B117" s="3">
        <v>45106</v>
      </c>
      <c r="C117" s="2" t="s">
        <v>10</v>
      </c>
      <c r="D117" s="2" t="s">
        <v>31</v>
      </c>
      <c r="E117" s="2" t="s">
        <v>12</v>
      </c>
      <c r="F117" s="2">
        <v>648.82000000000005</v>
      </c>
      <c r="G117" s="2">
        <v>138.30000000000001</v>
      </c>
      <c r="H117" s="2" t="s">
        <v>19</v>
      </c>
      <c r="I117" s="2" t="s">
        <v>14</v>
      </c>
    </row>
    <row r="118" spans="1:9" x14ac:dyDescent="0.35">
      <c r="A118" s="2" t="s">
        <v>154</v>
      </c>
      <c r="B118" s="3">
        <v>44700</v>
      </c>
      <c r="C118" s="2" t="s">
        <v>25</v>
      </c>
      <c r="D118" s="2" t="s">
        <v>73</v>
      </c>
      <c r="E118" s="2" t="s">
        <v>27</v>
      </c>
      <c r="F118" s="2">
        <v>240.7</v>
      </c>
      <c r="G118" s="2">
        <v>43.67</v>
      </c>
      <c r="H118" s="2" t="s">
        <v>13</v>
      </c>
      <c r="I118" s="2" t="s">
        <v>20</v>
      </c>
    </row>
    <row r="119" spans="1:9" x14ac:dyDescent="0.35">
      <c r="A119" s="2" t="s">
        <v>155</v>
      </c>
      <c r="B119" s="3">
        <v>45237</v>
      </c>
      <c r="C119" s="2" t="s">
        <v>25</v>
      </c>
      <c r="D119" s="2" t="s">
        <v>38</v>
      </c>
      <c r="E119" s="2" t="s">
        <v>12</v>
      </c>
      <c r="F119" s="2">
        <v>1287.1600000000001</v>
      </c>
      <c r="G119" s="2">
        <v>195.4</v>
      </c>
      <c r="H119" s="2" t="s">
        <v>28</v>
      </c>
      <c r="I119" s="2" t="s">
        <v>29</v>
      </c>
    </row>
    <row r="120" spans="1:9" x14ac:dyDescent="0.35">
      <c r="A120" s="2" t="s">
        <v>156</v>
      </c>
      <c r="B120" s="3">
        <v>44697</v>
      </c>
      <c r="C120" s="2" t="s">
        <v>22</v>
      </c>
      <c r="D120" s="2" t="s">
        <v>17</v>
      </c>
      <c r="E120" s="2" t="s">
        <v>18</v>
      </c>
      <c r="F120" s="2">
        <v>1706.76</v>
      </c>
      <c r="G120" s="2">
        <v>343.44</v>
      </c>
      <c r="H120" s="2" t="s">
        <v>13</v>
      </c>
      <c r="I120" s="2" t="s">
        <v>20</v>
      </c>
    </row>
    <row r="121" spans="1:9" x14ac:dyDescent="0.35">
      <c r="A121" s="2" t="s">
        <v>157</v>
      </c>
      <c r="B121" s="3">
        <v>45256</v>
      </c>
      <c r="C121" s="2" t="s">
        <v>16</v>
      </c>
      <c r="D121" s="2" t="s">
        <v>33</v>
      </c>
      <c r="E121" s="2" t="s">
        <v>18</v>
      </c>
      <c r="F121" s="2">
        <v>1216.47</v>
      </c>
      <c r="G121" s="2">
        <v>79.94</v>
      </c>
      <c r="H121" s="2" t="s">
        <v>13</v>
      </c>
      <c r="I121" s="2" t="s">
        <v>20</v>
      </c>
    </row>
    <row r="122" spans="1:9" x14ac:dyDescent="0.35">
      <c r="A122" s="2" t="s">
        <v>158</v>
      </c>
      <c r="B122" s="3">
        <v>45533</v>
      </c>
      <c r="C122" s="2" t="s">
        <v>25</v>
      </c>
      <c r="D122" s="2" t="s">
        <v>73</v>
      </c>
      <c r="E122" s="2" t="s">
        <v>27</v>
      </c>
      <c r="F122" s="2">
        <v>1926.92</v>
      </c>
      <c r="G122" s="2">
        <v>415.16</v>
      </c>
      <c r="H122" s="2" t="s">
        <v>13</v>
      </c>
      <c r="I122" s="2" t="s">
        <v>34</v>
      </c>
    </row>
    <row r="123" spans="1:9" x14ac:dyDescent="0.35">
      <c r="A123" s="2" t="s">
        <v>159</v>
      </c>
      <c r="B123" s="3">
        <v>45205</v>
      </c>
      <c r="C123" s="2" t="s">
        <v>25</v>
      </c>
      <c r="D123" s="2" t="s">
        <v>41</v>
      </c>
      <c r="E123" s="2" t="s">
        <v>12</v>
      </c>
      <c r="F123" s="2">
        <v>1725.12</v>
      </c>
      <c r="G123" s="2">
        <v>289.86</v>
      </c>
      <c r="H123" s="2" t="s">
        <v>28</v>
      </c>
      <c r="I123" s="2" t="s">
        <v>20</v>
      </c>
    </row>
    <row r="124" spans="1:9" x14ac:dyDescent="0.35">
      <c r="A124" s="2" t="s">
        <v>160</v>
      </c>
      <c r="B124" s="3">
        <v>45267</v>
      </c>
      <c r="C124" s="2" t="s">
        <v>16</v>
      </c>
      <c r="D124" s="2" t="s">
        <v>57</v>
      </c>
      <c r="E124" s="2" t="s">
        <v>27</v>
      </c>
      <c r="F124" s="2">
        <v>1405.14</v>
      </c>
      <c r="G124" s="2">
        <v>420.23</v>
      </c>
      <c r="H124" s="2" t="s">
        <v>19</v>
      </c>
      <c r="I124" s="2" t="s">
        <v>20</v>
      </c>
    </row>
    <row r="125" spans="1:9" x14ac:dyDescent="0.35">
      <c r="A125" s="2" t="s">
        <v>161</v>
      </c>
      <c r="B125" s="3">
        <v>45428</v>
      </c>
      <c r="C125" s="2" t="s">
        <v>25</v>
      </c>
      <c r="D125" s="2" t="s">
        <v>50</v>
      </c>
      <c r="E125" s="2" t="s">
        <v>12</v>
      </c>
      <c r="F125" s="2">
        <v>978.2</v>
      </c>
      <c r="G125" s="2">
        <v>180.57</v>
      </c>
      <c r="H125" s="2" t="s">
        <v>28</v>
      </c>
      <c r="I125" s="2" t="s">
        <v>34</v>
      </c>
    </row>
    <row r="126" spans="1:9" x14ac:dyDescent="0.35">
      <c r="A126" s="2" t="s">
        <v>162</v>
      </c>
      <c r="B126" s="3">
        <v>44850</v>
      </c>
      <c r="C126" s="2" t="s">
        <v>22</v>
      </c>
      <c r="D126" s="2" t="s">
        <v>46</v>
      </c>
      <c r="E126" s="2" t="s">
        <v>18</v>
      </c>
      <c r="F126" s="2">
        <v>1441.78</v>
      </c>
      <c r="G126" s="2">
        <v>416.21</v>
      </c>
      <c r="H126" s="2" t="s">
        <v>13</v>
      </c>
      <c r="I126" s="2" t="s">
        <v>14</v>
      </c>
    </row>
    <row r="127" spans="1:9" x14ac:dyDescent="0.35">
      <c r="A127" s="2" t="s">
        <v>163</v>
      </c>
      <c r="B127" s="3">
        <v>45513</v>
      </c>
      <c r="C127" s="2" t="s">
        <v>25</v>
      </c>
      <c r="D127" s="2" t="s">
        <v>50</v>
      </c>
      <c r="E127" s="2" t="s">
        <v>12</v>
      </c>
      <c r="F127" s="2">
        <v>919.56</v>
      </c>
      <c r="G127" s="2">
        <v>131.16</v>
      </c>
      <c r="H127" s="2" t="s">
        <v>13</v>
      </c>
      <c r="I127" s="2" t="s">
        <v>29</v>
      </c>
    </row>
    <row r="128" spans="1:9" x14ac:dyDescent="0.35">
      <c r="A128" s="2" t="s">
        <v>164</v>
      </c>
      <c r="B128" s="3">
        <v>45119</v>
      </c>
      <c r="C128" s="2" t="s">
        <v>16</v>
      </c>
      <c r="D128" s="2" t="s">
        <v>23</v>
      </c>
      <c r="E128" s="2" t="s">
        <v>18</v>
      </c>
      <c r="F128" s="2">
        <v>839.57</v>
      </c>
      <c r="G128" s="2">
        <v>123.87</v>
      </c>
      <c r="H128" s="2" t="s">
        <v>19</v>
      </c>
      <c r="I128" s="2" t="s">
        <v>20</v>
      </c>
    </row>
    <row r="129" spans="1:9" x14ac:dyDescent="0.35">
      <c r="A129" s="2" t="s">
        <v>165</v>
      </c>
      <c r="B129" s="3">
        <v>44618</v>
      </c>
      <c r="C129" s="2" t="s">
        <v>22</v>
      </c>
      <c r="D129" s="2" t="s">
        <v>33</v>
      </c>
      <c r="E129" s="2" t="s">
        <v>18</v>
      </c>
      <c r="F129" s="2">
        <v>1833.58</v>
      </c>
      <c r="G129" s="2">
        <v>227.39</v>
      </c>
      <c r="H129" s="2" t="s">
        <v>28</v>
      </c>
      <c r="I129" s="2" t="s">
        <v>14</v>
      </c>
    </row>
    <row r="130" spans="1:9" x14ac:dyDescent="0.35">
      <c r="A130" s="2" t="s">
        <v>166</v>
      </c>
      <c r="B130" s="3">
        <v>44768</v>
      </c>
      <c r="C130" s="2" t="s">
        <v>16</v>
      </c>
      <c r="D130" s="2" t="s">
        <v>57</v>
      </c>
      <c r="E130" s="2" t="s">
        <v>27</v>
      </c>
      <c r="F130" s="2">
        <v>100.8</v>
      </c>
      <c r="G130" s="2">
        <v>8.16</v>
      </c>
      <c r="H130" s="2" t="s">
        <v>28</v>
      </c>
      <c r="I130" s="2" t="s">
        <v>20</v>
      </c>
    </row>
    <row r="131" spans="1:9" x14ac:dyDescent="0.35">
      <c r="A131" s="2" t="s">
        <v>167</v>
      </c>
      <c r="B131" s="3">
        <v>45123</v>
      </c>
      <c r="C131" s="2" t="s">
        <v>22</v>
      </c>
      <c r="D131" s="2" t="s">
        <v>17</v>
      </c>
      <c r="E131" s="2" t="s">
        <v>18</v>
      </c>
      <c r="F131" s="2">
        <v>802.1</v>
      </c>
      <c r="G131" s="2">
        <v>193.72</v>
      </c>
      <c r="H131" s="2" t="s">
        <v>13</v>
      </c>
      <c r="I131" s="2" t="s">
        <v>14</v>
      </c>
    </row>
    <row r="132" spans="1:9" x14ac:dyDescent="0.35">
      <c r="A132" s="2" t="s">
        <v>168</v>
      </c>
      <c r="B132" s="3">
        <v>44654</v>
      </c>
      <c r="C132" s="2" t="s">
        <v>22</v>
      </c>
      <c r="D132" s="2" t="s">
        <v>73</v>
      </c>
      <c r="E132" s="2" t="s">
        <v>27</v>
      </c>
      <c r="F132" s="2">
        <v>1349.02</v>
      </c>
      <c r="G132" s="2">
        <v>127.17</v>
      </c>
      <c r="H132" s="2" t="s">
        <v>19</v>
      </c>
      <c r="I132" s="2" t="s">
        <v>29</v>
      </c>
    </row>
    <row r="133" spans="1:9" x14ac:dyDescent="0.35">
      <c r="A133" s="2" t="s">
        <v>169</v>
      </c>
      <c r="B133" s="3">
        <v>45110</v>
      </c>
      <c r="C133" s="2" t="s">
        <v>25</v>
      </c>
      <c r="D133" s="2" t="s">
        <v>26</v>
      </c>
      <c r="E133" s="2" t="s">
        <v>27</v>
      </c>
      <c r="F133" s="2">
        <v>1610.7</v>
      </c>
      <c r="G133" s="2">
        <v>114.67</v>
      </c>
      <c r="H133" s="2" t="s">
        <v>13</v>
      </c>
      <c r="I133" s="2" t="s">
        <v>34</v>
      </c>
    </row>
    <row r="134" spans="1:9" x14ac:dyDescent="0.35">
      <c r="A134" s="2" t="s">
        <v>170</v>
      </c>
      <c r="B134" s="3">
        <v>45612</v>
      </c>
      <c r="C134" s="2" t="s">
        <v>25</v>
      </c>
      <c r="D134" s="2" t="s">
        <v>26</v>
      </c>
      <c r="E134" s="2" t="s">
        <v>27</v>
      </c>
      <c r="F134" s="2">
        <v>1426.61</v>
      </c>
      <c r="G134" s="2">
        <v>392.71</v>
      </c>
      <c r="H134" s="2" t="s">
        <v>19</v>
      </c>
      <c r="I134" s="2" t="s">
        <v>14</v>
      </c>
    </row>
    <row r="135" spans="1:9" x14ac:dyDescent="0.35">
      <c r="A135" s="2" t="s">
        <v>171</v>
      </c>
      <c r="B135" s="3">
        <v>45095</v>
      </c>
      <c r="C135" s="2" t="s">
        <v>10</v>
      </c>
      <c r="D135" s="2" t="s">
        <v>97</v>
      </c>
      <c r="E135" s="2" t="s">
        <v>27</v>
      </c>
      <c r="F135" s="2">
        <v>439.84</v>
      </c>
      <c r="G135" s="2">
        <v>60.84</v>
      </c>
      <c r="H135" s="2" t="s">
        <v>28</v>
      </c>
      <c r="I135" s="2" t="s">
        <v>29</v>
      </c>
    </row>
    <row r="136" spans="1:9" x14ac:dyDescent="0.35">
      <c r="A136" s="2" t="s">
        <v>172</v>
      </c>
      <c r="B136" s="3">
        <v>45286</v>
      </c>
      <c r="C136" s="2" t="s">
        <v>10</v>
      </c>
      <c r="D136" s="2" t="s">
        <v>62</v>
      </c>
      <c r="E136" s="2" t="s">
        <v>27</v>
      </c>
      <c r="F136" s="2">
        <v>1863.17</v>
      </c>
      <c r="G136" s="2">
        <v>503.56</v>
      </c>
      <c r="H136" s="2" t="s">
        <v>13</v>
      </c>
      <c r="I136" s="2" t="s">
        <v>20</v>
      </c>
    </row>
    <row r="137" spans="1:9" x14ac:dyDescent="0.35">
      <c r="A137" s="2" t="s">
        <v>173</v>
      </c>
      <c r="B137" s="3">
        <v>45015</v>
      </c>
      <c r="C137" s="2" t="s">
        <v>22</v>
      </c>
      <c r="D137" s="2" t="s">
        <v>38</v>
      </c>
      <c r="E137" s="2" t="s">
        <v>12</v>
      </c>
      <c r="F137" s="2">
        <v>1213.0899999999999</v>
      </c>
      <c r="G137" s="2">
        <v>123.37</v>
      </c>
      <c r="H137" s="2" t="s">
        <v>19</v>
      </c>
      <c r="I137" s="2" t="s">
        <v>14</v>
      </c>
    </row>
    <row r="138" spans="1:9" x14ac:dyDescent="0.35">
      <c r="A138" s="2" t="s">
        <v>174</v>
      </c>
      <c r="B138" s="3">
        <v>45136</v>
      </c>
      <c r="C138" s="2" t="s">
        <v>22</v>
      </c>
      <c r="D138" s="2" t="s">
        <v>38</v>
      </c>
      <c r="E138" s="2" t="s">
        <v>12</v>
      </c>
      <c r="F138" s="2">
        <v>723.32</v>
      </c>
      <c r="G138" s="2">
        <v>151.08000000000001</v>
      </c>
      <c r="H138" s="2" t="s">
        <v>28</v>
      </c>
      <c r="I138" s="2" t="s">
        <v>14</v>
      </c>
    </row>
    <row r="139" spans="1:9" x14ac:dyDescent="0.35">
      <c r="A139" s="2" t="s">
        <v>175</v>
      </c>
      <c r="B139" s="3">
        <v>45057</v>
      </c>
      <c r="C139" s="2" t="s">
        <v>10</v>
      </c>
      <c r="D139" s="2" t="s">
        <v>38</v>
      </c>
      <c r="E139" s="2" t="s">
        <v>12</v>
      </c>
      <c r="F139" s="2">
        <v>1058.73</v>
      </c>
      <c r="G139" s="2">
        <v>90.51</v>
      </c>
      <c r="H139" s="2" t="s">
        <v>28</v>
      </c>
      <c r="I139" s="2" t="s">
        <v>29</v>
      </c>
    </row>
    <row r="140" spans="1:9" x14ac:dyDescent="0.35">
      <c r="A140" s="2" t="s">
        <v>176</v>
      </c>
      <c r="B140" s="3">
        <v>44599</v>
      </c>
      <c r="C140" s="2" t="s">
        <v>25</v>
      </c>
      <c r="D140" s="2" t="s">
        <v>23</v>
      </c>
      <c r="E140" s="2" t="s">
        <v>18</v>
      </c>
      <c r="F140" s="2">
        <v>283.22000000000003</v>
      </c>
      <c r="G140" s="2">
        <v>15.32</v>
      </c>
      <c r="H140" s="2" t="s">
        <v>19</v>
      </c>
      <c r="I140" s="2" t="s">
        <v>14</v>
      </c>
    </row>
    <row r="141" spans="1:9" x14ac:dyDescent="0.35">
      <c r="A141" s="2" t="s">
        <v>177</v>
      </c>
      <c r="B141" s="3">
        <v>45276</v>
      </c>
      <c r="C141" s="2" t="s">
        <v>16</v>
      </c>
      <c r="D141" s="2" t="s">
        <v>73</v>
      </c>
      <c r="E141" s="2" t="s">
        <v>27</v>
      </c>
      <c r="F141" s="2">
        <v>105.46</v>
      </c>
      <c r="G141" s="2">
        <v>28.79</v>
      </c>
      <c r="H141" s="2" t="s">
        <v>28</v>
      </c>
      <c r="I141" s="2" t="s">
        <v>14</v>
      </c>
    </row>
    <row r="142" spans="1:9" x14ac:dyDescent="0.35">
      <c r="A142" s="2" t="s">
        <v>178</v>
      </c>
      <c r="B142" s="3">
        <v>45619</v>
      </c>
      <c r="C142" s="2" t="s">
        <v>10</v>
      </c>
      <c r="D142" s="2" t="s">
        <v>73</v>
      </c>
      <c r="E142" s="2" t="s">
        <v>27</v>
      </c>
      <c r="F142" s="2">
        <v>1847.39</v>
      </c>
      <c r="G142" s="2">
        <v>426.98</v>
      </c>
      <c r="H142" s="2" t="s">
        <v>13</v>
      </c>
      <c r="I142" s="2" t="s">
        <v>29</v>
      </c>
    </row>
    <row r="143" spans="1:9" x14ac:dyDescent="0.35">
      <c r="A143" s="2" t="s">
        <v>179</v>
      </c>
      <c r="B143" s="3">
        <v>45464</v>
      </c>
      <c r="C143" s="2" t="s">
        <v>22</v>
      </c>
      <c r="D143" s="2" t="s">
        <v>26</v>
      </c>
      <c r="E143" s="2" t="s">
        <v>27</v>
      </c>
      <c r="F143" s="2">
        <v>887.58</v>
      </c>
      <c r="G143" s="2">
        <v>126.71</v>
      </c>
      <c r="H143" s="2" t="s">
        <v>19</v>
      </c>
      <c r="I143" s="2" t="s">
        <v>29</v>
      </c>
    </row>
    <row r="144" spans="1:9" x14ac:dyDescent="0.35">
      <c r="A144" s="2" t="s">
        <v>180</v>
      </c>
      <c r="B144" s="3">
        <v>44675</v>
      </c>
      <c r="C144" s="2" t="s">
        <v>25</v>
      </c>
      <c r="D144" s="2" t="s">
        <v>41</v>
      </c>
      <c r="E144" s="2" t="s">
        <v>12</v>
      </c>
      <c r="F144" s="2">
        <v>308.99</v>
      </c>
      <c r="G144" s="2">
        <v>33.299999999999997</v>
      </c>
      <c r="H144" s="2" t="s">
        <v>28</v>
      </c>
      <c r="I144" s="2" t="s">
        <v>20</v>
      </c>
    </row>
    <row r="145" spans="1:9" x14ac:dyDescent="0.35">
      <c r="A145" s="2" t="s">
        <v>181</v>
      </c>
      <c r="B145" s="3">
        <v>44934</v>
      </c>
      <c r="C145" s="2" t="s">
        <v>10</v>
      </c>
      <c r="D145" s="2" t="s">
        <v>62</v>
      </c>
      <c r="E145" s="2" t="s">
        <v>27</v>
      </c>
      <c r="F145" s="2">
        <v>1892.6</v>
      </c>
      <c r="G145" s="2">
        <v>317.02</v>
      </c>
      <c r="H145" s="2" t="s">
        <v>19</v>
      </c>
      <c r="I145" s="2" t="s">
        <v>20</v>
      </c>
    </row>
    <row r="146" spans="1:9" x14ac:dyDescent="0.35">
      <c r="A146" s="2" t="s">
        <v>182</v>
      </c>
      <c r="B146" s="3">
        <v>45431</v>
      </c>
      <c r="C146" s="2" t="s">
        <v>25</v>
      </c>
      <c r="D146" s="2" t="s">
        <v>23</v>
      </c>
      <c r="E146" s="2" t="s">
        <v>18</v>
      </c>
      <c r="F146" s="2">
        <v>711.27</v>
      </c>
      <c r="G146" s="2">
        <v>72.92</v>
      </c>
      <c r="H146" s="2" t="s">
        <v>13</v>
      </c>
      <c r="I146" s="2" t="s">
        <v>14</v>
      </c>
    </row>
    <row r="147" spans="1:9" x14ac:dyDescent="0.35">
      <c r="A147" s="2" t="s">
        <v>183</v>
      </c>
      <c r="B147" s="3">
        <v>44587</v>
      </c>
      <c r="C147" s="2" t="s">
        <v>16</v>
      </c>
      <c r="D147" s="2" t="s">
        <v>62</v>
      </c>
      <c r="E147" s="2" t="s">
        <v>27</v>
      </c>
      <c r="F147" s="2">
        <v>1294.17</v>
      </c>
      <c r="G147" s="2">
        <v>377.57</v>
      </c>
      <c r="H147" s="2" t="s">
        <v>13</v>
      </c>
      <c r="I147" s="2" t="s">
        <v>20</v>
      </c>
    </row>
    <row r="148" spans="1:9" x14ac:dyDescent="0.35">
      <c r="A148" s="2" t="s">
        <v>184</v>
      </c>
      <c r="B148" s="3">
        <v>45229</v>
      </c>
      <c r="C148" s="2" t="s">
        <v>22</v>
      </c>
      <c r="D148" s="2" t="s">
        <v>17</v>
      </c>
      <c r="E148" s="2" t="s">
        <v>18</v>
      </c>
      <c r="F148" s="2">
        <v>703.25</v>
      </c>
      <c r="G148" s="2">
        <v>175.64</v>
      </c>
      <c r="H148" s="2" t="s">
        <v>28</v>
      </c>
      <c r="I148" s="2" t="s">
        <v>14</v>
      </c>
    </row>
    <row r="149" spans="1:9" x14ac:dyDescent="0.35">
      <c r="A149" s="2" t="s">
        <v>185</v>
      </c>
      <c r="B149" s="3">
        <v>45230</v>
      </c>
      <c r="C149" s="2" t="s">
        <v>25</v>
      </c>
      <c r="D149" s="2" t="s">
        <v>97</v>
      </c>
      <c r="E149" s="2" t="s">
        <v>27</v>
      </c>
      <c r="F149" s="2">
        <v>1362.99</v>
      </c>
      <c r="G149" s="2">
        <v>196.85</v>
      </c>
      <c r="H149" s="2" t="s">
        <v>13</v>
      </c>
      <c r="I149" s="2" t="s">
        <v>14</v>
      </c>
    </row>
    <row r="150" spans="1:9" x14ac:dyDescent="0.35">
      <c r="A150" s="2" t="s">
        <v>186</v>
      </c>
      <c r="B150" s="3">
        <v>44818</v>
      </c>
      <c r="C150" s="2" t="s">
        <v>22</v>
      </c>
      <c r="D150" s="2" t="s">
        <v>31</v>
      </c>
      <c r="E150" s="2" t="s">
        <v>12</v>
      </c>
      <c r="F150" s="2">
        <v>1474.12</v>
      </c>
      <c r="G150" s="2">
        <v>164.33</v>
      </c>
      <c r="H150" s="2" t="s">
        <v>28</v>
      </c>
      <c r="I150" s="2" t="s">
        <v>29</v>
      </c>
    </row>
    <row r="151" spans="1:9" x14ac:dyDescent="0.35">
      <c r="A151" s="2" t="s">
        <v>187</v>
      </c>
      <c r="B151" s="3">
        <v>44920</v>
      </c>
      <c r="C151" s="2" t="s">
        <v>22</v>
      </c>
      <c r="D151" s="2" t="s">
        <v>62</v>
      </c>
      <c r="E151" s="2" t="s">
        <v>27</v>
      </c>
      <c r="F151" s="2">
        <v>356.25</v>
      </c>
      <c r="G151" s="2">
        <v>106.56</v>
      </c>
      <c r="H151" s="2" t="s">
        <v>13</v>
      </c>
      <c r="I151" s="2" t="s">
        <v>14</v>
      </c>
    </row>
    <row r="152" spans="1:9" x14ac:dyDescent="0.35">
      <c r="A152" s="2" t="s">
        <v>188</v>
      </c>
      <c r="B152" s="3">
        <v>45525</v>
      </c>
      <c r="C152" s="2" t="s">
        <v>10</v>
      </c>
      <c r="D152" s="2" t="s">
        <v>41</v>
      </c>
      <c r="E152" s="2" t="s">
        <v>12</v>
      </c>
      <c r="F152" s="2">
        <v>652.37</v>
      </c>
      <c r="G152" s="2">
        <v>138.30000000000001</v>
      </c>
      <c r="H152" s="2" t="s">
        <v>13</v>
      </c>
      <c r="I152" s="2" t="s">
        <v>14</v>
      </c>
    </row>
    <row r="153" spans="1:9" x14ac:dyDescent="0.35">
      <c r="A153" s="2" t="s">
        <v>189</v>
      </c>
      <c r="B153" s="3">
        <v>45588</v>
      </c>
      <c r="C153" s="2" t="s">
        <v>25</v>
      </c>
      <c r="D153" s="2" t="s">
        <v>62</v>
      </c>
      <c r="E153" s="2" t="s">
        <v>27</v>
      </c>
      <c r="F153" s="2">
        <v>694.43</v>
      </c>
      <c r="G153" s="2">
        <v>122</v>
      </c>
      <c r="H153" s="2" t="s">
        <v>13</v>
      </c>
      <c r="I153" s="2" t="s">
        <v>34</v>
      </c>
    </row>
    <row r="154" spans="1:9" x14ac:dyDescent="0.35">
      <c r="A154" s="2" t="s">
        <v>190</v>
      </c>
      <c r="B154" s="3">
        <v>45416</v>
      </c>
      <c r="C154" s="2" t="s">
        <v>22</v>
      </c>
      <c r="D154" s="2" t="s">
        <v>33</v>
      </c>
      <c r="E154" s="2" t="s">
        <v>18</v>
      </c>
      <c r="F154" s="2">
        <v>438.33</v>
      </c>
      <c r="G154" s="2">
        <v>95.37</v>
      </c>
      <c r="H154" s="2" t="s">
        <v>13</v>
      </c>
      <c r="I154" s="2" t="s">
        <v>14</v>
      </c>
    </row>
    <row r="155" spans="1:9" x14ac:dyDescent="0.35">
      <c r="A155" s="2" t="s">
        <v>191</v>
      </c>
      <c r="B155" s="3">
        <v>45267</v>
      </c>
      <c r="C155" s="2" t="s">
        <v>22</v>
      </c>
      <c r="D155" s="2" t="s">
        <v>11</v>
      </c>
      <c r="E155" s="2" t="s">
        <v>12</v>
      </c>
      <c r="F155" s="2">
        <v>1594.03</v>
      </c>
      <c r="G155" s="2">
        <v>355.06</v>
      </c>
      <c r="H155" s="2" t="s">
        <v>13</v>
      </c>
      <c r="I155" s="2" t="s">
        <v>34</v>
      </c>
    </row>
    <row r="156" spans="1:9" x14ac:dyDescent="0.35">
      <c r="A156" s="2" t="s">
        <v>192</v>
      </c>
      <c r="B156" s="3">
        <v>45586</v>
      </c>
      <c r="C156" s="2" t="s">
        <v>22</v>
      </c>
      <c r="D156" s="2" t="s">
        <v>57</v>
      </c>
      <c r="E156" s="2" t="s">
        <v>27</v>
      </c>
      <c r="F156" s="2">
        <v>301.42</v>
      </c>
      <c r="G156" s="2">
        <v>59.88</v>
      </c>
      <c r="H156" s="2" t="s">
        <v>19</v>
      </c>
      <c r="I156" s="2" t="s">
        <v>34</v>
      </c>
    </row>
    <row r="157" spans="1:9" x14ac:dyDescent="0.35">
      <c r="A157" s="2" t="s">
        <v>193</v>
      </c>
      <c r="B157" s="3">
        <v>45370</v>
      </c>
      <c r="C157" s="2" t="s">
        <v>10</v>
      </c>
      <c r="D157" s="2" t="s">
        <v>11</v>
      </c>
      <c r="E157" s="2" t="s">
        <v>12</v>
      </c>
      <c r="F157" s="2">
        <v>739.26</v>
      </c>
      <c r="G157" s="2">
        <v>161.87</v>
      </c>
      <c r="H157" s="2" t="s">
        <v>13</v>
      </c>
      <c r="I157" s="2" t="s">
        <v>34</v>
      </c>
    </row>
    <row r="158" spans="1:9" x14ac:dyDescent="0.35">
      <c r="A158" s="2" t="s">
        <v>194</v>
      </c>
      <c r="B158" s="3">
        <v>45551</v>
      </c>
      <c r="C158" s="2" t="s">
        <v>25</v>
      </c>
      <c r="D158" s="2" t="s">
        <v>57</v>
      </c>
      <c r="E158" s="2" t="s">
        <v>27</v>
      </c>
      <c r="F158" s="2">
        <v>217.39</v>
      </c>
      <c r="G158" s="2">
        <v>15.65</v>
      </c>
      <c r="H158" s="2" t="s">
        <v>19</v>
      </c>
      <c r="I158" s="2" t="s">
        <v>34</v>
      </c>
    </row>
    <row r="159" spans="1:9" x14ac:dyDescent="0.35">
      <c r="A159" s="2" t="s">
        <v>195</v>
      </c>
      <c r="B159" s="3">
        <v>45195</v>
      </c>
      <c r="C159" s="2" t="s">
        <v>10</v>
      </c>
      <c r="D159" s="2" t="s">
        <v>46</v>
      </c>
      <c r="E159" s="2" t="s">
        <v>18</v>
      </c>
      <c r="F159" s="2">
        <v>910.47</v>
      </c>
      <c r="G159" s="2">
        <v>168.16</v>
      </c>
      <c r="H159" s="2" t="s">
        <v>28</v>
      </c>
      <c r="I159" s="2" t="s">
        <v>14</v>
      </c>
    </row>
    <row r="160" spans="1:9" x14ac:dyDescent="0.35">
      <c r="A160" s="2" t="s">
        <v>196</v>
      </c>
      <c r="B160" s="3">
        <v>44966</v>
      </c>
      <c r="C160" s="2" t="s">
        <v>10</v>
      </c>
      <c r="D160" s="2" t="s">
        <v>11</v>
      </c>
      <c r="E160" s="2" t="s">
        <v>12</v>
      </c>
      <c r="F160" s="2">
        <v>922.53</v>
      </c>
      <c r="G160" s="2">
        <v>239.13</v>
      </c>
      <c r="H160" s="2" t="s">
        <v>28</v>
      </c>
      <c r="I160" s="2" t="s">
        <v>14</v>
      </c>
    </row>
    <row r="161" spans="1:9" x14ac:dyDescent="0.35">
      <c r="A161" s="2" t="s">
        <v>197</v>
      </c>
      <c r="B161" s="3">
        <v>44865</v>
      </c>
      <c r="C161" s="2" t="s">
        <v>16</v>
      </c>
      <c r="D161" s="2" t="s">
        <v>46</v>
      </c>
      <c r="E161" s="2" t="s">
        <v>18</v>
      </c>
      <c r="F161" s="2">
        <v>1888.23</v>
      </c>
      <c r="G161" s="2">
        <v>552.9</v>
      </c>
      <c r="H161" s="2" t="s">
        <v>28</v>
      </c>
      <c r="I161" s="2" t="s">
        <v>20</v>
      </c>
    </row>
    <row r="162" spans="1:9" x14ac:dyDescent="0.35">
      <c r="A162" s="2" t="s">
        <v>198</v>
      </c>
      <c r="B162" s="3">
        <v>44939</v>
      </c>
      <c r="C162" s="2" t="s">
        <v>16</v>
      </c>
      <c r="D162" s="2" t="s">
        <v>17</v>
      </c>
      <c r="E162" s="2" t="s">
        <v>18</v>
      </c>
      <c r="F162" s="2">
        <v>1701.68</v>
      </c>
      <c r="G162" s="2">
        <v>500.75</v>
      </c>
      <c r="H162" s="2" t="s">
        <v>19</v>
      </c>
      <c r="I162" s="2" t="s">
        <v>14</v>
      </c>
    </row>
    <row r="163" spans="1:9" x14ac:dyDescent="0.35">
      <c r="A163" s="2" t="s">
        <v>199</v>
      </c>
      <c r="B163" s="3">
        <v>45432</v>
      </c>
      <c r="C163" s="2" t="s">
        <v>25</v>
      </c>
      <c r="D163" s="2" t="s">
        <v>41</v>
      </c>
      <c r="E163" s="2" t="s">
        <v>12</v>
      </c>
      <c r="F163" s="2">
        <v>1158.97</v>
      </c>
      <c r="G163" s="2">
        <v>265.22000000000003</v>
      </c>
      <c r="H163" s="2" t="s">
        <v>28</v>
      </c>
      <c r="I163" s="2" t="s">
        <v>29</v>
      </c>
    </row>
    <row r="164" spans="1:9" x14ac:dyDescent="0.35">
      <c r="A164" s="2" t="s">
        <v>200</v>
      </c>
      <c r="B164" s="3">
        <v>45563</v>
      </c>
      <c r="C164" s="2" t="s">
        <v>16</v>
      </c>
      <c r="D164" s="2" t="s">
        <v>26</v>
      </c>
      <c r="E164" s="2" t="s">
        <v>27</v>
      </c>
      <c r="F164" s="2">
        <v>1520.33</v>
      </c>
      <c r="G164" s="2">
        <v>223.23</v>
      </c>
      <c r="H164" s="2" t="s">
        <v>13</v>
      </c>
      <c r="I164" s="2" t="s">
        <v>34</v>
      </c>
    </row>
    <row r="165" spans="1:9" x14ac:dyDescent="0.35">
      <c r="A165" s="2" t="s">
        <v>201</v>
      </c>
      <c r="B165" s="3">
        <v>45054</v>
      </c>
      <c r="C165" s="2" t="s">
        <v>16</v>
      </c>
      <c r="D165" s="2" t="s">
        <v>33</v>
      </c>
      <c r="E165" s="2" t="s">
        <v>18</v>
      </c>
      <c r="F165" s="2">
        <v>635.71</v>
      </c>
      <c r="G165" s="2">
        <v>117.83</v>
      </c>
      <c r="H165" s="2" t="s">
        <v>28</v>
      </c>
      <c r="I165" s="2" t="s">
        <v>34</v>
      </c>
    </row>
    <row r="166" spans="1:9" x14ac:dyDescent="0.35">
      <c r="A166" s="2" t="s">
        <v>202</v>
      </c>
      <c r="B166" s="3">
        <v>45524</v>
      </c>
      <c r="C166" s="2" t="s">
        <v>25</v>
      </c>
      <c r="D166" s="2" t="s">
        <v>11</v>
      </c>
      <c r="E166" s="2" t="s">
        <v>12</v>
      </c>
      <c r="F166" s="2">
        <v>1953.16</v>
      </c>
      <c r="G166" s="2">
        <v>561.97</v>
      </c>
      <c r="H166" s="2" t="s">
        <v>19</v>
      </c>
      <c r="I166" s="2" t="s">
        <v>14</v>
      </c>
    </row>
    <row r="167" spans="1:9" x14ac:dyDescent="0.35">
      <c r="A167" s="2" t="s">
        <v>203</v>
      </c>
      <c r="B167" s="3">
        <v>45560</v>
      </c>
      <c r="C167" s="2" t="s">
        <v>25</v>
      </c>
      <c r="D167" s="2" t="s">
        <v>11</v>
      </c>
      <c r="E167" s="2" t="s">
        <v>12</v>
      </c>
      <c r="F167" s="2">
        <v>173.32</v>
      </c>
      <c r="G167" s="2">
        <v>27.1</v>
      </c>
      <c r="H167" s="2" t="s">
        <v>13</v>
      </c>
      <c r="I167" s="2" t="s">
        <v>14</v>
      </c>
    </row>
    <row r="168" spans="1:9" x14ac:dyDescent="0.35">
      <c r="A168" s="2" t="s">
        <v>204</v>
      </c>
      <c r="B168" s="3">
        <v>45494</v>
      </c>
      <c r="C168" s="2" t="s">
        <v>16</v>
      </c>
      <c r="D168" s="2" t="s">
        <v>33</v>
      </c>
      <c r="E168" s="2" t="s">
        <v>18</v>
      </c>
      <c r="F168" s="2">
        <v>1094.6600000000001</v>
      </c>
      <c r="G168" s="2">
        <v>100.49</v>
      </c>
      <c r="H168" s="2" t="s">
        <v>13</v>
      </c>
      <c r="I168" s="2" t="s">
        <v>14</v>
      </c>
    </row>
    <row r="169" spans="1:9" x14ac:dyDescent="0.35">
      <c r="A169" s="2" t="s">
        <v>205</v>
      </c>
      <c r="B169" s="3">
        <v>45597</v>
      </c>
      <c r="C169" s="2" t="s">
        <v>22</v>
      </c>
      <c r="D169" s="2" t="s">
        <v>17</v>
      </c>
      <c r="E169" s="2" t="s">
        <v>18</v>
      </c>
      <c r="F169" s="2">
        <v>408.59</v>
      </c>
      <c r="G169" s="2">
        <v>106.01</v>
      </c>
      <c r="H169" s="2" t="s">
        <v>19</v>
      </c>
      <c r="I169" s="2" t="s">
        <v>14</v>
      </c>
    </row>
    <row r="170" spans="1:9" x14ac:dyDescent="0.35">
      <c r="A170" s="2" t="s">
        <v>206</v>
      </c>
      <c r="B170" s="3">
        <v>45480</v>
      </c>
      <c r="C170" s="2" t="s">
        <v>10</v>
      </c>
      <c r="D170" s="2" t="s">
        <v>97</v>
      </c>
      <c r="E170" s="2" t="s">
        <v>27</v>
      </c>
      <c r="F170" s="2">
        <v>506.47</v>
      </c>
      <c r="G170" s="2">
        <v>32.26</v>
      </c>
      <c r="H170" s="2" t="s">
        <v>28</v>
      </c>
      <c r="I170" s="2" t="s">
        <v>14</v>
      </c>
    </row>
    <row r="171" spans="1:9" x14ac:dyDescent="0.35">
      <c r="A171" s="2" t="s">
        <v>207</v>
      </c>
      <c r="B171" s="3">
        <v>45622</v>
      </c>
      <c r="C171" s="2" t="s">
        <v>22</v>
      </c>
      <c r="D171" s="2" t="s">
        <v>46</v>
      </c>
      <c r="E171" s="2" t="s">
        <v>18</v>
      </c>
      <c r="F171" s="2">
        <v>1226.71</v>
      </c>
      <c r="G171" s="2">
        <v>326.13</v>
      </c>
      <c r="H171" s="2" t="s">
        <v>13</v>
      </c>
      <c r="I171" s="2" t="s">
        <v>20</v>
      </c>
    </row>
    <row r="172" spans="1:9" x14ac:dyDescent="0.35">
      <c r="A172" s="2" t="s">
        <v>208</v>
      </c>
      <c r="B172" s="3">
        <v>44766</v>
      </c>
      <c r="C172" s="2" t="s">
        <v>25</v>
      </c>
      <c r="D172" s="2" t="s">
        <v>33</v>
      </c>
      <c r="E172" s="2" t="s">
        <v>18</v>
      </c>
      <c r="F172" s="2">
        <v>1965.79</v>
      </c>
      <c r="G172" s="2">
        <v>391.92</v>
      </c>
      <c r="H172" s="2" t="s">
        <v>19</v>
      </c>
      <c r="I172" s="2" t="s">
        <v>29</v>
      </c>
    </row>
    <row r="173" spans="1:9" x14ac:dyDescent="0.35">
      <c r="A173" s="2" t="s">
        <v>209</v>
      </c>
      <c r="B173" s="3">
        <v>44770</v>
      </c>
      <c r="C173" s="2" t="s">
        <v>16</v>
      </c>
      <c r="D173" s="2" t="s">
        <v>31</v>
      </c>
      <c r="E173" s="2" t="s">
        <v>12</v>
      </c>
      <c r="F173" s="2">
        <v>155.97999999999999</v>
      </c>
      <c r="G173" s="2">
        <v>8.23</v>
      </c>
      <c r="H173" s="2" t="s">
        <v>13</v>
      </c>
      <c r="I173" s="2" t="s">
        <v>20</v>
      </c>
    </row>
    <row r="174" spans="1:9" x14ac:dyDescent="0.35">
      <c r="A174" s="2" t="s">
        <v>210</v>
      </c>
      <c r="B174" s="3">
        <v>44713</v>
      </c>
      <c r="C174" s="2" t="s">
        <v>22</v>
      </c>
      <c r="D174" s="2" t="s">
        <v>38</v>
      </c>
      <c r="E174" s="2" t="s">
        <v>12</v>
      </c>
      <c r="F174" s="2">
        <v>375.93</v>
      </c>
      <c r="G174" s="2">
        <v>21.89</v>
      </c>
      <c r="H174" s="2" t="s">
        <v>13</v>
      </c>
      <c r="I174" s="2" t="s">
        <v>20</v>
      </c>
    </row>
    <row r="175" spans="1:9" x14ac:dyDescent="0.35">
      <c r="A175" s="2" t="s">
        <v>211</v>
      </c>
      <c r="B175" s="3">
        <v>44940</v>
      </c>
      <c r="C175" s="2" t="s">
        <v>16</v>
      </c>
      <c r="D175" s="2" t="s">
        <v>50</v>
      </c>
      <c r="E175" s="2" t="s">
        <v>12</v>
      </c>
      <c r="F175" s="2">
        <v>909.77</v>
      </c>
      <c r="G175" s="2">
        <v>106.54</v>
      </c>
      <c r="H175" s="2" t="s">
        <v>28</v>
      </c>
      <c r="I175" s="2" t="s">
        <v>34</v>
      </c>
    </row>
    <row r="176" spans="1:9" x14ac:dyDescent="0.35">
      <c r="A176" s="2" t="s">
        <v>212</v>
      </c>
      <c r="B176" s="3">
        <v>44661</v>
      </c>
      <c r="C176" s="2" t="s">
        <v>25</v>
      </c>
      <c r="D176" s="2" t="s">
        <v>26</v>
      </c>
      <c r="E176" s="2" t="s">
        <v>27</v>
      </c>
      <c r="F176" s="2">
        <v>1045.3499999999999</v>
      </c>
      <c r="G176" s="2">
        <v>302.27999999999997</v>
      </c>
      <c r="H176" s="2" t="s">
        <v>28</v>
      </c>
      <c r="I176" s="2" t="s">
        <v>14</v>
      </c>
    </row>
    <row r="177" spans="1:9" x14ac:dyDescent="0.35">
      <c r="A177" s="2" t="s">
        <v>213</v>
      </c>
      <c r="B177" s="3">
        <v>44570</v>
      </c>
      <c r="C177" s="2" t="s">
        <v>10</v>
      </c>
      <c r="D177" s="2" t="s">
        <v>73</v>
      </c>
      <c r="E177" s="2" t="s">
        <v>27</v>
      </c>
      <c r="F177" s="2">
        <v>605.66</v>
      </c>
      <c r="G177" s="2">
        <v>78.61</v>
      </c>
      <c r="H177" s="2" t="s">
        <v>13</v>
      </c>
      <c r="I177" s="2" t="s">
        <v>20</v>
      </c>
    </row>
    <row r="178" spans="1:9" x14ac:dyDescent="0.35">
      <c r="A178" s="2" t="s">
        <v>214</v>
      </c>
      <c r="B178" s="3">
        <v>44858</v>
      </c>
      <c r="C178" s="2" t="s">
        <v>16</v>
      </c>
      <c r="D178" s="2" t="s">
        <v>33</v>
      </c>
      <c r="E178" s="2" t="s">
        <v>18</v>
      </c>
      <c r="F178" s="2">
        <v>219.06</v>
      </c>
      <c r="G178" s="2">
        <v>25.13</v>
      </c>
      <c r="H178" s="2" t="s">
        <v>19</v>
      </c>
      <c r="I178" s="2" t="s">
        <v>20</v>
      </c>
    </row>
    <row r="179" spans="1:9" x14ac:dyDescent="0.35">
      <c r="A179" s="2" t="s">
        <v>215</v>
      </c>
      <c r="B179" s="3">
        <v>45201</v>
      </c>
      <c r="C179" s="2" t="s">
        <v>16</v>
      </c>
      <c r="D179" s="2" t="s">
        <v>26</v>
      </c>
      <c r="E179" s="2" t="s">
        <v>27</v>
      </c>
      <c r="F179" s="2">
        <v>771.11</v>
      </c>
      <c r="G179" s="2">
        <v>141.03</v>
      </c>
      <c r="H179" s="2" t="s">
        <v>19</v>
      </c>
      <c r="I179" s="2" t="s">
        <v>14</v>
      </c>
    </row>
    <row r="180" spans="1:9" x14ac:dyDescent="0.35">
      <c r="A180" s="2" t="s">
        <v>216</v>
      </c>
      <c r="B180" s="3">
        <v>45636</v>
      </c>
      <c r="C180" s="2" t="s">
        <v>25</v>
      </c>
      <c r="D180" s="2" t="s">
        <v>17</v>
      </c>
      <c r="E180" s="2" t="s">
        <v>18</v>
      </c>
      <c r="F180" s="2">
        <v>835.75</v>
      </c>
      <c r="G180" s="2">
        <v>64.77</v>
      </c>
      <c r="H180" s="2" t="s">
        <v>13</v>
      </c>
      <c r="I180" s="2" t="s">
        <v>34</v>
      </c>
    </row>
    <row r="181" spans="1:9" x14ac:dyDescent="0.35">
      <c r="A181" s="2" t="s">
        <v>217</v>
      </c>
      <c r="B181" s="3">
        <v>45362</v>
      </c>
      <c r="C181" s="2" t="s">
        <v>25</v>
      </c>
      <c r="D181" s="2" t="s">
        <v>97</v>
      </c>
      <c r="E181" s="2" t="s">
        <v>27</v>
      </c>
      <c r="F181" s="2">
        <v>1908.89</v>
      </c>
      <c r="G181" s="2">
        <v>280.76</v>
      </c>
      <c r="H181" s="2" t="s">
        <v>13</v>
      </c>
      <c r="I181" s="2" t="s">
        <v>34</v>
      </c>
    </row>
    <row r="182" spans="1:9" x14ac:dyDescent="0.35">
      <c r="A182" s="2" t="s">
        <v>218</v>
      </c>
      <c r="B182" s="3">
        <v>44903</v>
      </c>
      <c r="C182" s="2" t="s">
        <v>16</v>
      </c>
      <c r="D182" s="2" t="s">
        <v>33</v>
      </c>
      <c r="E182" s="2" t="s">
        <v>18</v>
      </c>
      <c r="F182" s="2">
        <v>1268.83</v>
      </c>
      <c r="G182" s="2">
        <v>263.20999999999998</v>
      </c>
      <c r="H182" s="2" t="s">
        <v>13</v>
      </c>
      <c r="I182" s="2" t="s">
        <v>34</v>
      </c>
    </row>
    <row r="183" spans="1:9" x14ac:dyDescent="0.35">
      <c r="A183" s="2" t="s">
        <v>219</v>
      </c>
      <c r="B183" s="3">
        <v>45330</v>
      </c>
      <c r="C183" s="2" t="s">
        <v>25</v>
      </c>
      <c r="D183" s="2" t="s">
        <v>23</v>
      </c>
      <c r="E183" s="2" t="s">
        <v>18</v>
      </c>
      <c r="F183" s="2">
        <v>74.819999999999993</v>
      </c>
      <c r="G183" s="2">
        <v>19.649999999999999</v>
      </c>
      <c r="H183" s="2" t="s">
        <v>13</v>
      </c>
      <c r="I183" s="2" t="s">
        <v>29</v>
      </c>
    </row>
    <row r="184" spans="1:9" x14ac:dyDescent="0.35">
      <c r="A184" s="2" t="s">
        <v>220</v>
      </c>
      <c r="B184" s="3">
        <v>45144</v>
      </c>
      <c r="C184" s="2" t="s">
        <v>16</v>
      </c>
      <c r="D184" s="2" t="s">
        <v>62</v>
      </c>
      <c r="E184" s="2" t="s">
        <v>27</v>
      </c>
      <c r="F184" s="2">
        <v>919.8</v>
      </c>
      <c r="G184" s="2">
        <v>64.59</v>
      </c>
      <c r="H184" s="2" t="s">
        <v>19</v>
      </c>
      <c r="I184" s="2" t="s">
        <v>20</v>
      </c>
    </row>
    <row r="185" spans="1:9" x14ac:dyDescent="0.35">
      <c r="A185" s="2" t="s">
        <v>221</v>
      </c>
      <c r="B185" s="3">
        <v>44952</v>
      </c>
      <c r="C185" s="2" t="s">
        <v>25</v>
      </c>
      <c r="D185" s="2" t="s">
        <v>23</v>
      </c>
      <c r="E185" s="2" t="s">
        <v>18</v>
      </c>
      <c r="F185" s="2">
        <v>1841.16</v>
      </c>
      <c r="G185" s="2">
        <v>466.46</v>
      </c>
      <c r="H185" s="2" t="s">
        <v>19</v>
      </c>
      <c r="I185" s="2" t="s">
        <v>14</v>
      </c>
    </row>
    <row r="186" spans="1:9" x14ac:dyDescent="0.35">
      <c r="A186" s="2" t="s">
        <v>222</v>
      </c>
      <c r="B186" s="3">
        <v>45559</v>
      </c>
      <c r="C186" s="2" t="s">
        <v>22</v>
      </c>
      <c r="D186" s="2" t="s">
        <v>38</v>
      </c>
      <c r="E186" s="2" t="s">
        <v>12</v>
      </c>
      <c r="F186" s="2">
        <v>635.07000000000005</v>
      </c>
      <c r="G186" s="2">
        <v>142.22</v>
      </c>
      <c r="H186" s="2" t="s">
        <v>28</v>
      </c>
      <c r="I186" s="2" t="s">
        <v>29</v>
      </c>
    </row>
    <row r="187" spans="1:9" x14ac:dyDescent="0.35">
      <c r="A187" s="2" t="s">
        <v>223</v>
      </c>
      <c r="B187" s="3">
        <v>44615</v>
      </c>
      <c r="C187" s="2" t="s">
        <v>16</v>
      </c>
      <c r="D187" s="2" t="s">
        <v>41</v>
      </c>
      <c r="E187" s="2" t="s">
        <v>12</v>
      </c>
      <c r="F187" s="2">
        <v>253.71</v>
      </c>
      <c r="G187" s="2">
        <v>34.630000000000003</v>
      </c>
      <c r="H187" s="2" t="s">
        <v>28</v>
      </c>
      <c r="I187" s="2" t="s">
        <v>14</v>
      </c>
    </row>
    <row r="188" spans="1:9" x14ac:dyDescent="0.35">
      <c r="A188" s="2" t="s">
        <v>224</v>
      </c>
      <c r="B188" s="3">
        <v>45649</v>
      </c>
      <c r="C188" s="2" t="s">
        <v>22</v>
      </c>
      <c r="D188" s="2" t="s">
        <v>33</v>
      </c>
      <c r="E188" s="2" t="s">
        <v>18</v>
      </c>
      <c r="F188" s="2">
        <v>831.83</v>
      </c>
      <c r="G188" s="2">
        <v>64.84</v>
      </c>
      <c r="H188" s="2" t="s">
        <v>28</v>
      </c>
      <c r="I188" s="2" t="s">
        <v>20</v>
      </c>
    </row>
    <row r="189" spans="1:9" x14ac:dyDescent="0.35">
      <c r="A189" s="2" t="s">
        <v>225</v>
      </c>
      <c r="B189" s="3">
        <v>44939</v>
      </c>
      <c r="C189" s="2" t="s">
        <v>16</v>
      </c>
      <c r="D189" s="2" t="s">
        <v>95</v>
      </c>
      <c r="E189" s="2" t="s">
        <v>18</v>
      </c>
      <c r="F189" s="2">
        <v>1729</v>
      </c>
      <c r="G189" s="2">
        <v>360.58</v>
      </c>
      <c r="H189" s="2" t="s">
        <v>28</v>
      </c>
      <c r="I189" s="2" t="s">
        <v>14</v>
      </c>
    </row>
    <row r="190" spans="1:9" x14ac:dyDescent="0.35">
      <c r="A190" s="2" t="s">
        <v>226</v>
      </c>
      <c r="B190" s="3">
        <v>45290</v>
      </c>
      <c r="C190" s="2" t="s">
        <v>10</v>
      </c>
      <c r="D190" s="2" t="s">
        <v>31</v>
      </c>
      <c r="E190" s="2" t="s">
        <v>12</v>
      </c>
      <c r="F190" s="2">
        <v>886.54</v>
      </c>
      <c r="G190" s="2">
        <v>66.72</v>
      </c>
      <c r="H190" s="2" t="s">
        <v>13</v>
      </c>
      <c r="I190" s="2" t="s">
        <v>29</v>
      </c>
    </row>
    <row r="191" spans="1:9" x14ac:dyDescent="0.35">
      <c r="A191" s="2" t="s">
        <v>227</v>
      </c>
      <c r="B191" s="3">
        <v>45552</v>
      </c>
      <c r="C191" s="2" t="s">
        <v>16</v>
      </c>
      <c r="D191" s="2" t="s">
        <v>17</v>
      </c>
      <c r="E191" s="2" t="s">
        <v>18</v>
      </c>
      <c r="F191" s="2">
        <v>1720.7</v>
      </c>
      <c r="G191" s="2">
        <v>309.60000000000002</v>
      </c>
      <c r="H191" s="2" t="s">
        <v>28</v>
      </c>
      <c r="I191" s="2" t="s">
        <v>20</v>
      </c>
    </row>
    <row r="192" spans="1:9" x14ac:dyDescent="0.35">
      <c r="A192" s="2" t="s">
        <v>228</v>
      </c>
      <c r="B192" s="3">
        <v>44653</v>
      </c>
      <c r="C192" s="2" t="s">
        <v>10</v>
      </c>
      <c r="D192" s="2" t="s">
        <v>95</v>
      </c>
      <c r="E192" s="2" t="s">
        <v>18</v>
      </c>
      <c r="F192" s="2">
        <v>388.91</v>
      </c>
      <c r="G192" s="2">
        <v>62.65</v>
      </c>
      <c r="H192" s="2" t="s">
        <v>19</v>
      </c>
      <c r="I192" s="2" t="s">
        <v>20</v>
      </c>
    </row>
    <row r="193" spans="1:9" x14ac:dyDescent="0.35">
      <c r="A193" s="2" t="s">
        <v>229</v>
      </c>
      <c r="B193" s="3">
        <v>44775</v>
      </c>
      <c r="C193" s="2" t="s">
        <v>22</v>
      </c>
      <c r="D193" s="2" t="s">
        <v>33</v>
      </c>
      <c r="E193" s="2" t="s">
        <v>18</v>
      </c>
      <c r="F193" s="2">
        <v>836.88</v>
      </c>
      <c r="G193" s="2">
        <v>132.66999999999999</v>
      </c>
      <c r="H193" s="2" t="s">
        <v>13</v>
      </c>
      <c r="I193" s="2" t="s">
        <v>14</v>
      </c>
    </row>
    <row r="194" spans="1:9" x14ac:dyDescent="0.35">
      <c r="A194" s="2" t="s">
        <v>230</v>
      </c>
      <c r="B194" s="3">
        <v>44893</v>
      </c>
      <c r="C194" s="2" t="s">
        <v>25</v>
      </c>
      <c r="D194" s="2" t="s">
        <v>97</v>
      </c>
      <c r="E194" s="2" t="s">
        <v>27</v>
      </c>
      <c r="F194" s="2">
        <v>1794.38</v>
      </c>
      <c r="G194" s="2">
        <v>367.51</v>
      </c>
      <c r="H194" s="2" t="s">
        <v>13</v>
      </c>
      <c r="I194" s="2" t="s">
        <v>20</v>
      </c>
    </row>
    <row r="195" spans="1:9" x14ac:dyDescent="0.35">
      <c r="A195" s="2" t="s">
        <v>231</v>
      </c>
      <c r="B195" s="3">
        <v>44972</v>
      </c>
      <c r="C195" s="2" t="s">
        <v>22</v>
      </c>
      <c r="D195" s="2" t="s">
        <v>46</v>
      </c>
      <c r="E195" s="2" t="s">
        <v>18</v>
      </c>
      <c r="F195" s="2">
        <v>470.74</v>
      </c>
      <c r="G195" s="2">
        <v>126.61</v>
      </c>
      <c r="H195" s="2" t="s">
        <v>19</v>
      </c>
      <c r="I195" s="2" t="s">
        <v>34</v>
      </c>
    </row>
    <row r="196" spans="1:9" x14ac:dyDescent="0.35">
      <c r="A196" s="2" t="s">
        <v>232</v>
      </c>
      <c r="B196" s="3">
        <v>45200</v>
      </c>
      <c r="C196" s="2" t="s">
        <v>16</v>
      </c>
      <c r="D196" s="2" t="s">
        <v>73</v>
      </c>
      <c r="E196" s="2" t="s">
        <v>27</v>
      </c>
      <c r="F196" s="2">
        <v>1655.8</v>
      </c>
      <c r="G196" s="2">
        <v>110.44</v>
      </c>
      <c r="H196" s="2" t="s">
        <v>19</v>
      </c>
      <c r="I196" s="2" t="s">
        <v>34</v>
      </c>
    </row>
    <row r="197" spans="1:9" x14ac:dyDescent="0.35">
      <c r="A197" s="2" t="s">
        <v>233</v>
      </c>
      <c r="B197" s="3">
        <v>44870</v>
      </c>
      <c r="C197" s="2" t="s">
        <v>10</v>
      </c>
      <c r="D197" s="2" t="s">
        <v>62</v>
      </c>
      <c r="E197" s="2" t="s">
        <v>27</v>
      </c>
      <c r="F197" s="2">
        <v>235.61</v>
      </c>
      <c r="G197" s="2">
        <v>61.7</v>
      </c>
      <c r="H197" s="2" t="s">
        <v>19</v>
      </c>
      <c r="I197" s="2" t="s">
        <v>14</v>
      </c>
    </row>
    <row r="198" spans="1:9" x14ac:dyDescent="0.35">
      <c r="A198" s="2" t="s">
        <v>234</v>
      </c>
      <c r="B198" s="3">
        <v>45046</v>
      </c>
      <c r="C198" s="2" t="s">
        <v>25</v>
      </c>
      <c r="D198" s="2" t="s">
        <v>62</v>
      </c>
      <c r="E198" s="2" t="s">
        <v>27</v>
      </c>
      <c r="F198" s="2">
        <v>203.28</v>
      </c>
      <c r="G198" s="2">
        <v>17.8</v>
      </c>
      <c r="H198" s="2" t="s">
        <v>19</v>
      </c>
      <c r="I198" s="2" t="s">
        <v>14</v>
      </c>
    </row>
    <row r="199" spans="1:9" x14ac:dyDescent="0.35">
      <c r="A199" s="2" t="s">
        <v>235</v>
      </c>
      <c r="B199" s="3">
        <v>45305</v>
      </c>
      <c r="C199" s="2" t="s">
        <v>10</v>
      </c>
      <c r="D199" s="2" t="s">
        <v>73</v>
      </c>
      <c r="E199" s="2" t="s">
        <v>27</v>
      </c>
      <c r="F199" s="2">
        <v>1507.9</v>
      </c>
      <c r="G199" s="2">
        <v>333.36</v>
      </c>
      <c r="H199" s="2" t="s">
        <v>28</v>
      </c>
      <c r="I199" s="2" t="s">
        <v>29</v>
      </c>
    </row>
    <row r="200" spans="1:9" x14ac:dyDescent="0.35">
      <c r="A200" s="2" t="s">
        <v>236</v>
      </c>
      <c r="B200" s="3">
        <v>44672</v>
      </c>
      <c r="C200" s="2" t="s">
        <v>22</v>
      </c>
      <c r="D200" s="2" t="s">
        <v>41</v>
      </c>
      <c r="E200" s="2" t="s">
        <v>12</v>
      </c>
      <c r="F200" s="2">
        <v>104.88</v>
      </c>
      <c r="G200" s="2">
        <v>24.33</v>
      </c>
      <c r="H200" s="2" t="s">
        <v>19</v>
      </c>
      <c r="I200" s="2" t="s">
        <v>14</v>
      </c>
    </row>
    <row r="201" spans="1:9" x14ac:dyDescent="0.35">
      <c r="A201" s="2" t="s">
        <v>237</v>
      </c>
      <c r="B201" s="3">
        <v>44900</v>
      </c>
      <c r="C201" s="2" t="s">
        <v>10</v>
      </c>
      <c r="D201" s="2" t="s">
        <v>33</v>
      </c>
      <c r="E201" s="2" t="s">
        <v>18</v>
      </c>
      <c r="F201" s="2">
        <v>1132.67</v>
      </c>
      <c r="G201" s="2">
        <v>307.18</v>
      </c>
      <c r="H201" s="2" t="s">
        <v>28</v>
      </c>
      <c r="I201" s="2" t="s">
        <v>14</v>
      </c>
    </row>
    <row r="202" spans="1:9" x14ac:dyDescent="0.35">
      <c r="A202" s="2" t="s">
        <v>238</v>
      </c>
      <c r="B202" s="3">
        <v>45287</v>
      </c>
      <c r="C202" s="2" t="s">
        <v>16</v>
      </c>
      <c r="D202" s="2" t="s">
        <v>57</v>
      </c>
      <c r="E202" s="2" t="s">
        <v>27</v>
      </c>
      <c r="F202" s="2">
        <v>192.6</v>
      </c>
      <c r="G202" s="2">
        <v>38.090000000000003</v>
      </c>
      <c r="H202" s="2" t="s">
        <v>28</v>
      </c>
      <c r="I202" s="2" t="s">
        <v>29</v>
      </c>
    </row>
    <row r="203" spans="1:9" x14ac:dyDescent="0.35">
      <c r="A203" s="2" t="s">
        <v>239</v>
      </c>
      <c r="B203" s="3">
        <v>45492</v>
      </c>
      <c r="C203" s="2" t="s">
        <v>16</v>
      </c>
      <c r="D203" s="2" t="s">
        <v>33</v>
      </c>
      <c r="E203" s="2" t="s">
        <v>18</v>
      </c>
      <c r="F203" s="2">
        <v>203.04</v>
      </c>
      <c r="G203" s="2">
        <v>53.26</v>
      </c>
      <c r="H203" s="2" t="s">
        <v>19</v>
      </c>
      <c r="I203" s="2" t="s">
        <v>14</v>
      </c>
    </row>
    <row r="204" spans="1:9" x14ac:dyDescent="0.35">
      <c r="A204" s="2" t="s">
        <v>240</v>
      </c>
      <c r="B204" s="3">
        <v>45459</v>
      </c>
      <c r="C204" s="2" t="s">
        <v>16</v>
      </c>
      <c r="D204" s="2" t="s">
        <v>38</v>
      </c>
      <c r="E204" s="2" t="s">
        <v>12</v>
      </c>
      <c r="F204" s="2">
        <v>1270.03</v>
      </c>
      <c r="G204" s="2">
        <v>185.57</v>
      </c>
      <c r="H204" s="2" t="s">
        <v>19</v>
      </c>
      <c r="I204" s="2" t="s">
        <v>14</v>
      </c>
    </row>
    <row r="205" spans="1:9" x14ac:dyDescent="0.35">
      <c r="A205" s="2" t="s">
        <v>241</v>
      </c>
      <c r="B205" s="3">
        <v>45345</v>
      </c>
      <c r="C205" s="2" t="s">
        <v>22</v>
      </c>
      <c r="D205" s="2" t="s">
        <v>95</v>
      </c>
      <c r="E205" s="2" t="s">
        <v>18</v>
      </c>
      <c r="F205" s="2">
        <v>1289.74</v>
      </c>
      <c r="G205" s="2">
        <v>214.02</v>
      </c>
      <c r="H205" s="2" t="s">
        <v>13</v>
      </c>
      <c r="I205" s="2" t="s">
        <v>14</v>
      </c>
    </row>
    <row r="206" spans="1:9" x14ac:dyDescent="0.35">
      <c r="A206" s="2" t="s">
        <v>242</v>
      </c>
      <c r="B206" s="3">
        <v>44682</v>
      </c>
      <c r="C206" s="2" t="s">
        <v>16</v>
      </c>
      <c r="D206" s="2" t="s">
        <v>95</v>
      </c>
      <c r="E206" s="2" t="s">
        <v>18</v>
      </c>
      <c r="F206" s="2">
        <v>934.45</v>
      </c>
      <c r="G206" s="2">
        <v>111.93</v>
      </c>
      <c r="H206" s="2" t="s">
        <v>19</v>
      </c>
      <c r="I206" s="2" t="s">
        <v>20</v>
      </c>
    </row>
    <row r="207" spans="1:9" x14ac:dyDescent="0.35">
      <c r="A207" s="2" t="s">
        <v>243</v>
      </c>
      <c r="B207" s="3">
        <v>45556</v>
      </c>
      <c r="C207" s="2" t="s">
        <v>22</v>
      </c>
      <c r="D207" s="2" t="s">
        <v>26</v>
      </c>
      <c r="E207" s="2" t="s">
        <v>27</v>
      </c>
      <c r="F207" s="2">
        <v>1902.74</v>
      </c>
      <c r="G207" s="2">
        <v>553.92999999999995</v>
      </c>
      <c r="H207" s="2" t="s">
        <v>19</v>
      </c>
      <c r="I207" s="2" t="s">
        <v>34</v>
      </c>
    </row>
    <row r="208" spans="1:9" x14ac:dyDescent="0.35">
      <c r="A208" s="2" t="s">
        <v>244</v>
      </c>
      <c r="B208" s="3">
        <v>44681</v>
      </c>
      <c r="C208" s="2" t="s">
        <v>25</v>
      </c>
      <c r="D208" s="2" t="s">
        <v>33</v>
      </c>
      <c r="E208" s="2" t="s">
        <v>18</v>
      </c>
      <c r="F208" s="2">
        <v>1902.71</v>
      </c>
      <c r="G208" s="2">
        <v>134.02000000000001</v>
      </c>
      <c r="H208" s="2" t="s">
        <v>19</v>
      </c>
      <c r="I208" s="2" t="s">
        <v>29</v>
      </c>
    </row>
    <row r="209" spans="1:9" x14ac:dyDescent="0.35">
      <c r="A209" s="2" t="s">
        <v>245</v>
      </c>
      <c r="B209" s="3">
        <v>44729</v>
      </c>
      <c r="C209" s="2" t="s">
        <v>16</v>
      </c>
      <c r="D209" s="2" t="s">
        <v>41</v>
      </c>
      <c r="E209" s="2" t="s">
        <v>12</v>
      </c>
      <c r="F209" s="2">
        <v>338.46</v>
      </c>
      <c r="G209" s="2">
        <v>23.88</v>
      </c>
      <c r="H209" s="2" t="s">
        <v>28</v>
      </c>
      <c r="I209" s="2" t="s">
        <v>20</v>
      </c>
    </row>
    <row r="210" spans="1:9" x14ac:dyDescent="0.35">
      <c r="A210" s="2" t="s">
        <v>246</v>
      </c>
      <c r="B210" s="3">
        <v>45521</v>
      </c>
      <c r="C210" s="2" t="s">
        <v>16</v>
      </c>
      <c r="D210" s="2" t="s">
        <v>11</v>
      </c>
      <c r="E210" s="2" t="s">
        <v>12</v>
      </c>
      <c r="F210" s="2">
        <v>507.48</v>
      </c>
      <c r="G210" s="2">
        <v>59.55</v>
      </c>
      <c r="H210" s="2" t="s">
        <v>28</v>
      </c>
      <c r="I210" s="2" t="s">
        <v>20</v>
      </c>
    </row>
    <row r="211" spans="1:9" x14ac:dyDescent="0.35">
      <c r="A211" s="2" t="s">
        <v>247</v>
      </c>
      <c r="B211" s="3">
        <v>45036</v>
      </c>
      <c r="C211" s="2" t="s">
        <v>16</v>
      </c>
      <c r="D211" s="2" t="s">
        <v>38</v>
      </c>
      <c r="E211" s="2" t="s">
        <v>12</v>
      </c>
      <c r="F211" s="2">
        <v>142.16999999999999</v>
      </c>
      <c r="G211" s="2">
        <v>23.78</v>
      </c>
      <c r="H211" s="2" t="s">
        <v>13</v>
      </c>
      <c r="I211" s="2" t="s">
        <v>14</v>
      </c>
    </row>
    <row r="212" spans="1:9" x14ac:dyDescent="0.35">
      <c r="A212" s="2" t="s">
        <v>248</v>
      </c>
      <c r="B212" s="3">
        <v>44812</v>
      </c>
      <c r="C212" s="2" t="s">
        <v>22</v>
      </c>
      <c r="D212" s="2" t="s">
        <v>23</v>
      </c>
      <c r="E212" s="2" t="s">
        <v>18</v>
      </c>
      <c r="F212" s="2">
        <v>836.63</v>
      </c>
      <c r="G212" s="2">
        <v>97.39</v>
      </c>
      <c r="H212" s="2" t="s">
        <v>19</v>
      </c>
      <c r="I212" s="2" t="s">
        <v>20</v>
      </c>
    </row>
    <row r="213" spans="1:9" x14ac:dyDescent="0.35">
      <c r="A213" s="2" t="s">
        <v>249</v>
      </c>
      <c r="B213" s="3">
        <v>45282</v>
      </c>
      <c r="C213" s="2" t="s">
        <v>16</v>
      </c>
      <c r="D213" s="2" t="s">
        <v>46</v>
      </c>
      <c r="E213" s="2" t="s">
        <v>18</v>
      </c>
      <c r="F213" s="2">
        <v>1177.29</v>
      </c>
      <c r="G213" s="2">
        <v>162.02000000000001</v>
      </c>
      <c r="H213" s="2" t="s">
        <v>13</v>
      </c>
      <c r="I213" s="2" t="s">
        <v>29</v>
      </c>
    </row>
    <row r="214" spans="1:9" x14ac:dyDescent="0.35">
      <c r="A214" s="2" t="s">
        <v>250</v>
      </c>
      <c r="B214" s="3">
        <v>44805</v>
      </c>
      <c r="C214" s="2" t="s">
        <v>22</v>
      </c>
      <c r="D214" s="2" t="s">
        <v>73</v>
      </c>
      <c r="E214" s="2" t="s">
        <v>27</v>
      </c>
      <c r="F214" s="2">
        <v>771.97</v>
      </c>
      <c r="G214" s="2">
        <v>80.72</v>
      </c>
      <c r="H214" s="2" t="s">
        <v>13</v>
      </c>
      <c r="I214" s="2" t="s">
        <v>29</v>
      </c>
    </row>
    <row r="215" spans="1:9" x14ac:dyDescent="0.35">
      <c r="A215" s="2" t="s">
        <v>251</v>
      </c>
      <c r="B215" s="3">
        <v>44672</v>
      </c>
      <c r="C215" s="2" t="s">
        <v>25</v>
      </c>
      <c r="D215" s="2" t="s">
        <v>17</v>
      </c>
      <c r="E215" s="2" t="s">
        <v>18</v>
      </c>
      <c r="F215" s="2">
        <v>727.61</v>
      </c>
      <c r="G215" s="2">
        <v>65.599999999999994</v>
      </c>
      <c r="H215" s="2" t="s">
        <v>28</v>
      </c>
      <c r="I215" s="2" t="s">
        <v>34</v>
      </c>
    </row>
    <row r="216" spans="1:9" x14ac:dyDescent="0.35">
      <c r="A216" s="2" t="s">
        <v>252</v>
      </c>
      <c r="B216" s="3">
        <v>44828</v>
      </c>
      <c r="C216" s="2" t="s">
        <v>22</v>
      </c>
      <c r="D216" s="2" t="s">
        <v>38</v>
      </c>
      <c r="E216" s="2" t="s">
        <v>12</v>
      </c>
      <c r="F216" s="2">
        <v>1087.5899999999999</v>
      </c>
      <c r="G216" s="2">
        <v>273.63</v>
      </c>
      <c r="H216" s="2" t="s">
        <v>13</v>
      </c>
      <c r="I216" s="2" t="s">
        <v>29</v>
      </c>
    </row>
    <row r="217" spans="1:9" x14ac:dyDescent="0.35">
      <c r="A217" s="2" t="s">
        <v>253</v>
      </c>
      <c r="B217" s="3">
        <v>44761</v>
      </c>
      <c r="C217" s="2" t="s">
        <v>22</v>
      </c>
      <c r="D217" s="2" t="s">
        <v>17</v>
      </c>
      <c r="E217" s="2" t="s">
        <v>18</v>
      </c>
      <c r="F217" s="2">
        <v>1063.1300000000001</v>
      </c>
      <c r="G217" s="2">
        <v>286.63</v>
      </c>
      <c r="H217" s="2" t="s">
        <v>13</v>
      </c>
      <c r="I217" s="2" t="s">
        <v>14</v>
      </c>
    </row>
    <row r="218" spans="1:9" x14ac:dyDescent="0.35">
      <c r="A218" s="2" t="s">
        <v>254</v>
      </c>
      <c r="B218" s="3">
        <v>44921</v>
      </c>
      <c r="C218" s="2" t="s">
        <v>16</v>
      </c>
      <c r="D218" s="2" t="s">
        <v>23</v>
      </c>
      <c r="E218" s="2" t="s">
        <v>18</v>
      </c>
      <c r="F218" s="2">
        <v>1592.64</v>
      </c>
      <c r="G218" s="2">
        <v>138.47999999999999</v>
      </c>
      <c r="H218" s="2" t="s">
        <v>19</v>
      </c>
      <c r="I218" s="2" t="s">
        <v>20</v>
      </c>
    </row>
    <row r="219" spans="1:9" x14ac:dyDescent="0.35">
      <c r="A219" s="2" t="s">
        <v>255</v>
      </c>
      <c r="B219" s="3">
        <v>45462</v>
      </c>
      <c r="C219" s="2" t="s">
        <v>22</v>
      </c>
      <c r="D219" s="2" t="s">
        <v>50</v>
      </c>
      <c r="E219" s="2" t="s">
        <v>12</v>
      </c>
      <c r="F219" s="2">
        <v>56.89</v>
      </c>
      <c r="G219" s="2">
        <v>13.16</v>
      </c>
      <c r="H219" s="2" t="s">
        <v>28</v>
      </c>
      <c r="I219" s="2" t="s">
        <v>14</v>
      </c>
    </row>
    <row r="220" spans="1:9" x14ac:dyDescent="0.35">
      <c r="A220" s="2" t="s">
        <v>256</v>
      </c>
      <c r="B220" s="3">
        <v>45034</v>
      </c>
      <c r="C220" s="2" t="s">
        <v>10</v>
      </c>
      <c r="D220" s="2" t="s">
        <v>17</v>
      </c>
      <c r="E220" s="2" t="s">
        <v>18</v>
      </c>
      <c r="F220" s="2">
        <v>930.29</v>
      </c>
      <c r="G220" s="2">
        <v>147.19999999999999</v>
      </c>
      <c r="H220" s="2" t="s">
        <v>19</v>
      </c>
      <c r="I220" s="2" t="s">
        <v>34</v>
      </c>
    </row>
    <row r="221" spans="1:9" x14ac:dyDescent="0.35">
      <c r="A221" s="2" t="s">
        <v>257</v>
      </c>
      <c r="B221" s="3">
        <v>44858</v>
      </c>
      <c r="C221" s="2" t="s">
        <v>16</v>
      </c>
      <c r="D221" s="2" t="s">
        <v>50</v>
      </c>
      <c r="E221" s="2" t="s">
        <v>12</v>
      </c>
      <c r="F221" s="2">
        <v>607.27</v>
      </c>
      <c r="G221" s="2">
        <v>109.53</v>
      </c>
      <c r="H221" s="2" t="s">
        <v>13</v>
      </c>
      <c r="I221" s="2" t="s">
        <v>29</v>
      </c>
    </row>
    <row r="222" spans="1:9" x14ac:dyDescent="0.35">
      <c r="A222" s="2" t="s">
        <v>258</v>
      </c>
      <c r="B222" s="3">
        <v>45305</v>
      </c>
      <c r="C222" s="2" t="s">
        <v>25</v>
      </c>
      <c r="D222" s="2" t="s">
        <v>46</v>
      </c>
      <c r="E222" s="2" t="s">
        <v>18</v>
      </c>
      <c r="F222" s="2">
        <v>1646.44</v>
      </c>
      <c r="G222" s="2">
        <v>165.09</v>
      </c>
      <c r="H222" s="2" t="s">
        <v>19</v>
      </c>
      <c r="I222" s="2" t="s">
        <v>34</v>
      </c>
    </row>
    <row r="223" spans="1:9" x14ac:dyDescent="0.35">
      <c r="A223" s="2" t="s">
        <v>259</v>
      </c>
      <c r="B223" s="3">
        <v>45413</v>
      </c>
      <c r="C223" s="2" t="s">
        <v>10</v>
      </c>
      <c r="D223" s="2" t="s">
        <v>73</v>
      </c>
      <c r="E223" s="2" t="s">
        <v>27</v>
      </c>
      <c r="F223" s="2">
        <v>953.32</v>
      </c>
      <c r="G223" s="2">
        <v>65.5</v>
      </c>
      <c r="H223" s="2" t="s">
        <v>13</v>
      </c>
      <c r="I223" s="2" t="s">
        <v>20</v>
      </c>
    </row>
    <row r="224" spans="1:9" x14ac:dyDescent="0.35">
      <c r="A224" s="2" t="s">
        <v>260</v>
      </c>
      <c r="B224" s="3">
        <v>44876</v>
      </c>
      <c r="C224" s="2" t="s">
        <v>25</v>
      </c>
      <c r="D224" s="2" t="s">
        <v>95</v>
      </c>
      <c r="E224" s="2" t="s">
        <v>18</v>
      </c>
      <c r="F224" s="2">
        <v>827.08</v>
      </c>
      <c r="G224" s="2">
        <v>111.23</v>
      </c>
      <c r="H224" s="2" t="s">
        <v>19</v>
      </c>
      <c r="I224" s="2" t="s">
        <v>29</v>
      </c>
    </row>
    <row r="225" spans="1:9" x14ac:dyDescent="0.35">
      <c r="A225" s="2" t="s">
        <v>261</v>
      </c>
      <c r="B225" s="3">
        <v>45272</v>
      </c>
      <c r="C225" s="2" t="s">
        <v>25</v>
      </c>
      <c r="D225" s="2" t="s">
        <v>41</v>
      </c>
      <c r="E225" s="2" t="s">
        <v>12</v>
      </c>
      <c r="F225" s="2">
        <v>742.37</v>
      </c>
      <c r="G225" s="2">
        <v>216.47</v>
      </c>
      <c r="H225" s="2" t="s">
        <v>28</v>
      </c>
      <c r="I225" s="2" t="s">
        <v>29</v>
      </c>
    </row>
    <row r="226" spans="1:9" x14ac:dyDescent="0.35">
      <c r="A226" s="2" t="s">
        <v>262</v>
      </c>
      <c r="B226" s="3">
        <v>45343</v>
      </c>
      <c r="C226" s="2" t="s">
        <v>22</v>
      </c>
      <c r="D226" s="2" t="s">
        <v>95</v>
      </c>
      <c r="E226" s="2" t="s">
        <v>18</v>
      </c>
      <c r="F226" s="2">
        <v>443.38</v>
      </c>
      <c r="G226" s="2">
        <v>97.62</v>
      </c>
      <c r="H226" s="2" t="s">
        <v>13</v>
      </c>
      <c r="I226" s="2" t="s">
        <v>20</v>
      </c>
    </row>
    <row r="227" spans="1:9" x14ac:dyDescent="0.35">
      <c r="A227" s="2" t="s">
        <v>263</v>
      </c>
      <c r="B227" s="3">
        <v>44849</v>
      </c>
      <c r="C227" s="2" t="s">
        <v>10</v>
      </c>
      <c r="D227" s="2" t="s">
        <v>33</v>
      </c>
      <c r="E227" s="2" t="s">
        <v>18</v>
      </c>
      <c r="F227" s="2">
        <v>1861.43</v>
      </c>
      <c r="G227" s="2">
        <v>558.4</v>
      </c>
      <c r="H227" s="2" t="s">
        <v>19</v>
      </c>
      <c r="I227" s="2" t="s">
        <v>14</v>
      </c>
    </row>
    <row r="228" spans="1:9" x14ac:dyDescent="0.35">
      <c r="A228" s="2" t="s">
        <v>264</v>
      </c>
      <c r="B228" s="3">
        <v>45566</v>
      </c>
      <c r="C228" s="2" t="s">
        <v>10</v>
      </c>
      <c r="D228" s="2" t="s">
        <v>17</v>
      </c>
      <c r="E228" s="2" t="s">
        <v>18</v>
      </c>
      <c r="F228" s="2">
        <v>179.48</v>
      </c>
      <c r="G228" s="2">
        <v>42.18</v>
      </c>
      <c r="H228" s="2" t="s">
        <v>13</v>
      </c>
      <c r="I228" s="2" t="s">
        <v>14</v>
      </c>
    </row>
    <row r="229" spans="1:9" x14ac:dyDescent="0.35">
      <c r="A229" s="2" t="s">
        <v>265</v>
      </c>
      <c r="B229" s="3">
        <v>44779</v>
      </c>
      <c r="C229" s="2" t="s">
        <v>16</v>
      </c>
      <c r="D229" s="2" t="s">
        <v>11</v>
      </c>
      <c r="E229" s="2" t="s">
        <v>12</v>
      </c>
      <c r="F229" s="2">
        <v>455.66</v>
      </c>
      <c r="G229" s="2">
        <v>50.81</v>
      </c>
      <c r="H229" s="2" t="s">
        <v>28</v>
      </c>
      <c r="I229" s="2" t="s">
        <v>34</v>
      </c>
    </row>
    <row r="230" spans="1:9" x14ac:dyDescent="0.35">
      <c r="A230" s="2" t="s">
        <v>266</v>
      </c>
      <c r="B230" s="3">
        <v>45176</v>
      </c>
      <c r="C230" s="2" t="s">
        <v>25</v>
      </c>
      <c r="D230" s="2" t="s">
        <v>95</v>
      </c>
      <c r="E230" s="2" t="s">
        <v>18</v>
      </c>
      <c r="F230" s="2">
        <v>815.24</v>
      </c>
      <c r="G230" s="2">
        <v>179.21</v>
      </c>
      <c r="H230" s="2" t="s">
        <v>13</v>
      </c>
      <c r="I230" s="2" t="s">
        <v>29</v>
      </c>
    </row>
    <row r="231" spans="1:9" x14ac:dyDescent="0.35">
      <c r="A231" s="2" t="s">
        <v>267</v>
      </c>
      <c r="B231" s="3">
        <v>44682</v>
      </c>
      <c r="C231" s="2" t="s">
        <v>25</v>
      </c>
      <c r="D231" s="2" t="s">
        <v>95</v>
      </c>
      <c r="E231" s="2" t="s">
        <v>18</v>
      </c>
      <c r="F231" s="2">
        <v>1365.65</v>
      </c>
      <c r="G231" s="2">
        <v>391.83</v>
      </c>
      <c r="H231" s="2" t="s">
        <v>28</v>
      </c>
      <c r="I231" s="2" t="s">
        <v>29</v>
      </c>
    </row>
    <row r="232" spans="1:9" x14ac:dyDescent="0.35">
      <c r="A232" s="2" t="s">
        <v>268</v>
      </c>
      <c r="B232" s="3">
        <v>44920</v>
      </c>
      <c r="C232" s="2" t="s">
        <v>10</v>
      </c>
      <c r="D232" s="2" t="s">
        <v>26</v>
      </c>
      <c r="E232" s="2" t="s">
        <v>27</v>
      </c>
      <c r="F232" s="2">
        <v>1559.44</v>
      </c>
      <c r="G232" s="2">
        <v>169.54</v>
      </c>
      <c r="H232" s="2" t="s">
        <v>19</v>
      </c>
      <c r="I232" s="2" t="s">
        <v>34</v>
      </c>
    </row>
    <row r="233" spans="1:9" x14ac:dyDescent="0.35">
      <c r="A233" s="2" t="s">
        <v>269</v>
      </c>
      <c r="B233" s="3">
        <v>45559</v>
      </c>
      <c r="C233" s="2" t="s">
        <v>25</v>
      </c>
      <c r="D233" s="2" t="s">
        <v>33</v>
      </c>
      <c r="E233" s="2" t="s">
        <v>18</v>
      </c>
      <c r="F233" s="2">
        <v>1460.9</v>
      </c>
      <c r="G233" s="2">
        <v>408.25</v>
      </c>
      <c r="H233" s="2" t="s">
        <v>13</v>
      </c>
      <c r="I233" s="2" t="s">
        <v>14</v>
      </c>
    </row>
    <row r="234" spans="1:9" x14ac:dyDescent="0.35">
      <c r="A234" s="2" t="s">
        <v>270</v>
      </c>
      <c r="B234" s="3">
        <v>45562</v>
      </c>
      <c r="C234" s="2" t="s">
        <v>25</v>
      </c>
      <c r="D234" s="2" t="s">
        <v>17</v>
      </c>
      <c r="E234" s="2" t="s">
        <v>18</v>
      </c>
      <c r="F234" s="2">
        <v>1176.5999999999999</v>
      </c>
      <c r="G234" s="2">
        <v>215.43</v>
      </c>
      <c r="H234" s="2" t="s">
        <v>28</v>
      </c>
      <c r="I234" s="2" t="s">
        <v>20</v>
      </c>
    </row>
    <row r="235" spans="1:9" x14ac:dyDescent="0.35">
      <c r="A235" s="2" t="s">
        <v>271</v>
      </c>
      <c r="B235" s="3">
        <v>44967</v>
      </c>
      <c r="C235" s="2" t="s">
        <v>10</v>
      </c>
      <c r="D235" s="2" t="s">
        <v>38</v>
      </c>
      <c r="E235" s="2" t="s">
        <v>12</v>
      </c>
      <c r="F235" s="2">
        <v>1706.32</v>
      </c>
      <c r="G235" s="2">
        <v>128.53</v>
      </c>
      <c r="H235" s="2" t="s">
        <v>13</v>
      </c>
      <c r="I235" s="2" t="s">
        <v>20</v>
      </c>
    </row>
    <row r="236" spans="1:9" x14ac:dyDescent="0.35">
      <c r="A236" s="2" t="s">
        <v>272</v>
      </c>
      <c r="B236" s="3">
        <v>44832</v>
      </c>
      <c r="C236" s="2" t="s">
        <v>22</v>
      </c>
      <c r="D236" s="2" t="s">
        <v>41</v>
      </c>
      <c r="E236" s="2" t="s">
        <v>12</v>
      </c>
      <c r="F236" s="2">
        <v>333.04</v>
      </c>
      <c r="G236" s="2">
        <v>80.41</v>
      </c>
      <c r="H236" s="2" t="s">
        <v>28</v>
      </c>
      <c r="I236" s="2" t="s">
        <v>34</v>
      </c>
    </row>
    <row r="237" spans="1:9" x14ac:dyDescent="0.35">
      <c r="A237" s="2" t="s">
        <v>273</v>
      </c>
      <c r="B237" s="3">
        <v>45408</v>
      </c>
      <c r="C237" s="2" t="s">
        <v>22</v>
      </c>
      <c r="D237" s="2" t="s">
        <v>41</v>
      </c>
      <c r="E237" s="2" t="s">
        <v>12</v>
      </c>
      <c r="F237" s="2">
        <v>1043.9000000000001</v>
      </c>
      <c r="G237" s="2">
        <v>130.5</v>
      </c>
      <c r="H237" s="2" t="s">
        <v>19</v>
      </c>
      <c r="I237" s="2" t="s">
        <v>29</v>
      </c>
    </row>
    <row r="238" spans="1:9" x14ac:dyDescent="0.35">
      <c r="A238" s="2" t="s">
        <v>274</v>
      </c>
      <c r="B238" s="3">
        <v>45118</v>
      </c>
      <c r="C238" s="2" t="s">
        <v>22</v>
      </c>
      <c r="D238" s="2" t="s">
        <v>17</v>
      </c>
      <c r="E238" s="2" t="s">
        <v>18</v>
      </c>
      <c r="F238" s="2">
        <v>1192.32</v>
      </c>
      <c r="G238" s="2">
        <v>276.20999999999998</v>
      </c>
      <c r="H238" s="2" t="s">
        <v>28</v>
      </c>
      <c r="I238" s="2" t="s">
        <v>20</v>
      </c>
    </row>
    <row r="239" spans="1:9" x14ac:dyDescent="0.35">
      <c r="A239" s="2" t="s">
        <v>275</v>
      </c>
      <c r="B239" s="3">
        <v>45458</v>
      </c>
      <c r="C239" s="2" t="s">
        <v>25</v>
      </c>
      <c r="D239" s="2" t="s">
        <v>57</v>
      </c>
      <c r="E239" s="2" t="s">
        <v>27</v>
      </c>
      <c r="F239" s="2">
        <v>685.88</v>
      </c>
      <c r="G239" s="2">
        <v>37.46</v>
      </c>
      <c r="H239" s="2" t="s">
        <v>19</v>
      </c>
      <c r="I239" s="2" t="s">
        <v>29</v>
      </c>
    </row>
    <row r="240" spans="1:9" x14ac:dyDescent="0.35">
      <c r="A240" s="2" t="s">
        <v>276</v>
      </c>
      <c r="B240" s="3">
        <v>45159</v>
      </c>
      <c r="C240" s="2" t="s">
        <v>10</v>
      </c>
      <c r="D240" s="2" t="s">
        <v>97</v>
      </c>
      <c r="E240" s="2" t="s">
        <v>27</v>
      </c>
      <c r="F240" s="2">
        <v>1041.53</v>
      </c>
      <c r="G240" s="2">
        <v>138.85</v>
      </c>
      <c r="H240" s="2" t="s">
        <v>13</v>
      </c>
      <c r="I240" s="2" t="s">
        <v>14</v>
      </c>
    </row>
    <row r="241" spans="1:9" x14ac:dyDescent="0.35">
      <c r="A241" s="2" t="s">
        <v>277</v>
      </c>
      <c r="B241" s="3">
        <v>44644</v>
      </c>
      <c r="C241" s="2" t="s">
        <v>22</v>
      </c>
      <c r="D241" s="2" t="s">
        <v>46</v>
      </c>
      <c r="E241" s="2" t="s">
        <v>18</v>
      </c>
      <c r="F241" s="2">
        <v>705.27</v>
      </c>
      <c r="G241" s="2">
        <v>194.39</v>
      </c>
      <c r="H241" s="2" t="s">
        <v>28</v>
      </c>
      <c r="I241" s="2" t="s">
        <v>34</v>
      </c>
    </row>
    <row r="242" spans="1:9" x14ac:dyDescent="0.35">
      <c r="A242" s="2" t="s">
        <v>278</v>
      </c>
      <c r="B242" s="3">
        <v>45527</v>
      </c>
      <c r="C242" s="2" t="s">
        <v>10</v>
      </c>
      <c r="D242" s="2" t="s">
        <v>11</v>
      </c>
      <c r="E242" s="2" t="s">
        <v>12</v>
      </c>
      <c r="F242" s="2">
        <v>903.3</v>
      </c>
      <c r="G242" s="2">
        <v>71.81</v>
      </c>
      <c r="H242" s="2" t="s">
        <v>28</v>
      </c>
      <c r="I242" s="2" t="s">
        <v>29</v>
      </c>
    </row>
    <row r="243" spans="1:9" x14ac:dyDescent="0.35">
      <c r="A243" s="2" t="s">
        <v>279</v>
      </c>
      <c r="B243" s="3">
        <v>44606</v>
      </c>
      <c r="C243" s="2" t="s">
        <v>22</v>
      </c>
      <c r="D243" s="2" t="s">
        <v>57</v>
      </c>
      <c r="E243" s="2" t="s">
        <v>27</v>
      </c>
      <c r="F243" s="2">
        <v>1842.03</v>
      </c>
      <c r="G243" s="2">
        <v>470.72</v>
      </c>
      <c r="H243" s="2" t="s">
        <v>19</v>
      </c>
      <c r="I243" s="2" t="s">
        <v>29</v>
      </c>
    </row>
    <row r="244" spans="1:9" x14ac:dyDescent="0.35">
      <c r="A244" s="2" t="s">
        <v>280</v>
      </c>
      <c r="B244" s="3">
        <v>44577</v>
      </c>
      <c r="C244" s="2" t="s">
        <v>22</v>
      </c>
      <c r="D244" s="2" t="s">
        <v>31</v>
      </c>
      <c r="E244" s="2" t="s">
        <v>12</v>
      </c>
      <c r="F244" s="2">
        <v>1910.15</v>
      </c>
      <c r="G244" s="2">
        <v>374.74</v>
      </c>
      <c r="H244" s="2" t="s">
        <v>19</v>
      </c>
      <c r="I244" s="2" t="s">
        <v>29</v>
      </c>
    </row>
    <row r="245" spans="1:9" x14ac:dyDescent="0.35">
      <c r="A245" s="2" t="s">
        <v>281</v>
      </c>
      <c r="B245" s="3">
        <v>45145</v>
      </c>
      <c r="C245" s="2" t="s">
        <v>16</v>
      </c>
      <c r="D245" s="2" t="s">
        <v>62</v>
      </c>
      <c r="E245" s="2" t="s">
        <v>27</v>
      </c>
      <c r="F245" s="2">
        <v>716.04</v>
      </c>
      <c r="G245" s="2">
        <v>62.91</v>
      </c>
      <c r="H245" s="2" t="s">
        <v>19</v>
      </c>
      <c r="I245" s="2" t="s">
        <v>29</v>
      </c>
    </row>
    <row r="246" spans="1:9" x14ac:dyDescent="0.35">
      <c r="A246" s="2" t="s">
        <v>282</v>
      </c>
      <c r="B246" s="3">
        <v>44691</v>
      </c>
      <c r="C246" s="2" t="s">
        <v>16</v>
      </c>
      <c r="D246" s="2" t="s">
        <v>73</v>
      </c>
      <c r="E246" s="2" t="s">
        <v>27</v>
      </c>
      <c r="F246" s="2">
        <v>238.43</v>
      </c>
      <c r="G246" s="2">
        <v>13.44</v>
      </c>
      <c r="H246" s="2" t="s">
        <v>28</v>
      </c>
      <c r="I246" s="2" t="s">
        <v>20</v>
      </c>
    </row>
    <row r="247" spans="1:9" x14ac:dyDescent="0.35">
      <c r="A247" s="2" t="s">
        <v>283</v>
      </c>
      <c r="B247" s="3">
        <v>44883</v>
      </c>
      <c r="C247" s="2" t="s">
        <v>16</v>
      </c>
      <c r="D247" s="2" t="s">
        <v>57</v>
      </c>
      <c r="E247" s="2" t="s">
        <v>27</v>
      </c>
      <c r="F247" s="2">
        <v>1224.51</v>
      </c>
      <c r="G247" s="2">
        <v>83.28</v>
      </c>
      <c r="H247" s="2" t="s">
        <v>28</v>
      </c>
      <c r="I247" s="2" t="s">
        <v>14</v>
      </c>
    </row>
    <row r="248" spans="1:9" x14ac:dyDescent="0.35">
      <c r="A248" s="2" t="s">
        <v>284</v>
      </c>
      <c r="B248" s="3">
        <v>44572</v>
      </c>
      <c r="C248" s="2" t="s">
        <v>10</v>
      </c>
      <c r="D248" s="2" t="s">
        <v>73</v>
      </c>
      <c r="E248" s="2" t="s">
        <v>27</v>
      </c>
      <c r="F248" s="2">
        <v>505.12</v>
      </c>
      <c r="G248" s="2">
        <v>29.69</v>
      </c>
      <c r="H248" s="2" t="s">
        <v>19</v>
      </c>
      <c r="I248" s="2" t="s">
        <v>20</v>
      </c>
    </row>
    <row r="249" spans="1:9" x14ac:dyDescent="0.35">
      <c r="A249" s="2" t="s">
        <v>285</v>
      </c>
      <c r="B249" s="3">
        <v>45427</v>
      </c>
      <c r="C249" s="2" t="s">
        <v>16</v>
      </c>
      <c r="D249" s="2" t="s">
        <v>50</v>
      </c>
      <c r="E249" s="2" t="s">
        <v>12</v>
      </c>
      <c r="F249" s="2">
        <v>346.25</v>
      </c>
      <c r="G249" s="2">
        <v>75.290000000000006</v>
      </c>
      <c r="H249" s="2" t="s">
        <v>19</v>
      </c>
      <c r="I249" s="2" t="s">
        <v>14</v>
      </c>
    </row>
    <row r="250" spans="1:9" x14ac:dyDescent="0.35">
      <c r="A250" s="2" t="s">
        <v>286</v>
      </c>
      <c r="B250" s="3">
        <v>45038</v>
      </c>
      <c r="C250" s="2" t="s">
        <v>25</v>
      </c>
      <c r="D250" s="2" t="s">
        <v>73</v>
      </c>
      <c r="E250" s="2" t="s">
        <v>27</v>
      </c>
      <c r="F250" s="2">
        <v>475.44</v>
      </c>
      <c r="G250" s="2">
        <v>86.45</v>
      </c>
      <c r="H250" s="2" t="s">
        <v>13</v>
      </c>
      <c r="I250" s="2" t="s">
        <v>34</v>
      </c>
    </row>
    <row r="251" spans="1:9" x14ac:dyDescent="0.35">
      <c r="A251" s="2" t="s">
        <v>287</v>
      </c>
      <c r="B251" s="3">
        <v>45031</v>
      </c>
      <c r="C251" s="2" t="s">
        <v>22</v>
      </c>
      <c r="D251" s="2" t="s">
        <v>95</v>
      </c>
      <c r="E251" s="2" t="s">
        <v>18</v>
      </c>
      <c r="F251" s="2">
        <v>537.26</v>
      </c>
      <c r="G251" s="2">
        <v>69.55</v>
      </c>
      <c r="H251" s="2" t="s">
        <v>13</v>
      </c>
      <c r="I251" s="2" t="s">
        <v>29</v>
      </c>
    </row>
    <row r="252" spans="1:9" x14ac:dyDescent="0.35">
      <c r="A252" s="2" t="s">
        <v>288</v>
      </c>
      <c r="B252" s="3">
        <v>44773</v>
      </c>
      <c r="C252" s="2" t="s">
        <v>16</v>
      </c>
      <c r="D252" s="2" t="s">
        <v>26</v>
      </c>
      <c r="E252" s="2" t="s">
        <v>27</v>
      </c>
      <c r="F252" s="2">
        <v>223.73</v>
      </c>
      <c r="G252" s="2">
        <v>55.94</v>
      </c>
      <c r="H252" s="2" t="s">
        <v>13</v>
      </c>
      <c r="I252" s="2" t="s">
        <v>29</v>
      </c>
    </row>
    <row r="253" spans="1:9" x14ac:dyDescent="0.35">
      <c r="A253" s="2" t="s">
        <v>289</v>
      </c>
      <c r="B253" s="3">
        <v>44770</v>
      </c>
      <c r="C253" s="2" t="s">
        <v>22</v>
      </c>
      <c r="D253" s="2" t="s">
        <v>17</v>
      </c>
      <c r="E253" s="2" t="s">
        <v>18</v>
      </c>
      <c r="F253" s="2">
        <v>1769.95</v>
      </c>
      <c r="G253" s="2">
        <v>186.63</v>
      </c>
      <c r="H253" s="2" t="s">
        <v>28</v>
      </c>
      <c r="I253" s="2" t="s">
        <v>34</v>
      </c>
    </row>
    <row r="254" spans="1:9" x14ac:dyDescent="0.35">
      <c r="A254" s="2" t="s">
        <v>290</v>
      </c>
      <c r="B254" s="3">
        <v>44865</v>
      </c>
      <c r="C254" s="2" t="s">
        <v>22</v>
      </c>
      <c r="D254" s="2" t="s">
        <v>97</v>
      </c>
      <c r="E254" s="2" t="s">
        <v>27</v>
      </c>
      <c r="F254" s="2">
        <v>365.66</v>
      </c>
      <c r="G254" s="2">
        <v>108.74</v>
      </c>
      <c r="H254" s="2" t="s">
        <v>13</v>
      </c>
      <c r="I254" s="2" t="s">
        <v>14</v>
      </c>
    </row>
    <row r="255" spans="1:9" x14ac:dyDescent="0.35">
      <c r="A255" s="2" t="s">
        <v>291</v>
      </c>
      <c r="B255" s="3">
        <v>45544</v>
      </c>
      <c r="C255" s="2" t="s">
        <v>16</v>
      </c>
      <c r="D255" s="2" t="s">
        <v>50</v>
      </c>
      <c r="E255" s="2" t="s">
        <v>12</v>
      </c>
      <c r="F255" s="2">
        <v>1329.93</v>
      </c>
      <c r="G255" s="2">
        <v>365.5</v>
      </c>
      <c r="H255" s="2" t="s">
        <v>28</v>
      </c>
      <c r="I255" s="2" t="s">
        <v>29</v>
      </c>
    </row>
    <row r="256" spans="1:9" x14ac:dyDescent="0.35">
      <c r="A256" s="2" t="s">
        <v>292</v>
      </c>
      <c r="B256" s="3">
        <v>45049</v>
      </c>
      <c r="C256" s="2" t="s">
        <v>16</v>
      </c>
      <c r="D256" s="2" t="s">
        <v>11</v>
      </c>
      <c r="E256" s="2" t="s">
        <v>12</v>
      </c>
      <c r="F256" s="2">
        <v>1697.85</v>
      </c>
      <c r="G256" s="2">
        <v>259.27999999999997</v>
      </c>
      <c r="H256" s="2" t="s">
        <v>19</v>
      </c>
      <c r="I256" s="2" t="s">
        <v>14</v>
      </c>
    </row>
    <row r="257" spans="1:9" x14ac:dyDescent="0.35">
      <c r="A257" s="2" t="s">
        <v>293</v>
      </c>
      <c r="B257" s="3">
        <v>45274</v>
      </c>
      <c r="C257" s="2" t="s">
        <v>10</v>
      </c>
      <c r="D257" s="2" t="s">
        <v>23</v>
      </c>
      <c r="E257" s="2" t="s">
        <v>18</v>
      </c>
      <c r="F257" s="2">
        <v>219.21</v>
      </c>
      <c r="G257" s="2">
        <v>38.86</v>
      </c>
      <c r="H257" s="2" t="s">
        <v>19</v>
      </c>
      <c r="I257" s="2" t="s">
        <v>34</v>
      </c>
    </row>
    <row r="258" spans="1:9" x14ac:dyDescent="0.35">
      <c r="A258" s="2" t="s">
        <v>294</v>
      </c>
      <c r="B258" s="3">
        <v>44564</v>
      </c>
      <c r="C258" s="2" t="s">
        <v>25</v>
      </c>
      <c r="D258" s="2" t="s">
        <v>50</v>
      </c>
      <c r="E258" s="2" t="s">
        <v>12</v>
      </c>
      <c r="F258" s="2">
        <v>182.47</v>
      </c>
      <c r="G258" s="2">
        <v>14.04</v>
      </c>
      <c r="H258" s="2" t="s">
        <v>13</v>
      </c>
      <c r="I258" s="2" t="s">
        <v>29</v>
      </c>
    </row>
    <row r="259" spans="1:9" x14ac:dyDescent="0.35">
      <c r="A259" s="2" t="s">
        <v>295</v>
      </c>
      <c r="B259" s="3">
        <v>44648</v>
      </c>
      <c r="C259" s="2" t="s">
        <v>22</v>
      </c>
      <c r="D259" s="2" t="s">
        <v>11</v>
      </c>
      <c r="E259" s="2" t="s">
        <v>12</v>
      </c>
      <c r="F259" s="2">
        <v>133.49</v>
      </c>
      <c r="G259" s="2">
        <v>39.01</v>
      </c>
      <c r="H259" s="2" t="s">
        <v>28</v>
      </c>
      <c r="I259" s="2" t="s">
        <v>14</v>
      </c>
    </row>
    <row r="260" spans="1:9" x14ac:dyDescent="0.35">
      <c r="A260" s="2" t="s">
        <v>296</v>
      </c>
      <c r="B260" s="3">
        <v>45015</v>
      </c>
      <c r="C260" s="2" t="s">
        <v>10</v>
      </c>
      <c r="D260" s="2" t="s">
        <v>26</v>
      </c>
      <c r="E260" s="2" t="s">
        <v>27</v>
      </c>
      <c r="F260" s="2">
        <v>1379.84</v>
      </c>
      <c r="G260" s="2">
        <v>346.52</v>
      </c>
      <c r="H260" s="2" t="s">
        <v>19</v>
      </c>
      <c r="I260" s="2" t="s">
        <v>20</v>
      </c>
    </row>
    <row r="261" spans="1:9" x14ac:dyDescent="0.35">
      <c r="A261" s="2" t="s">
        <v>297</v>
      </c>
      <c r="B261" s="3">
        <v>45259</v>
      </c>
      <c r="C261" s="2" t="s">
        <v>25</v>
      </c>
      <c r="D261" s="2" t="s">
        <v>50</v>
      </c>
      <c r="E261" s="2" t="s">
        <v>12</v>
      </c>
      <c r="F261" s="2">
        <v>973.2</v>
      </c>
      <c r="G261" s="2">
        <v>188.99</v>
      </c>
      <c r="H261" s="2" t="s">
        <v>19</v>
      </c>
      <c r="I261" s="2" t="s">
        <v>14</v>
      </c>
    </row>
    <row r="262" spans="1:9" x14ac:dyDescent="0.35">
      <c r="A262" s="2" t="s">
        <v>298</v>
      </c>
      <c r="B262" s="3">
        <v>45146</v>
      </c>
      <c r="C262" s="2" t="s">
        <v>10</v>
      </c>
      <c r="D262" s="2" t="s">
        <v>23</v>
      </c>
      <c r="E262" s="2" t="s">
        <v>18</v>
      </c>
      <c r="F262" s="2">
        <v>1891.14</v>
      </c>
      <c r="G262" s="2">
        <v>559.24</v>
      </c>
      <c r="H262" s="2" t="s">
        <v>28</v>
      </c>
      <c r="I262" s="2" t="s">
        <v>20</v>
      </c>
    </row>
    <row r="263" spans="1:9" x14ac:dyDescent="0.35">
      <c r="A263" s="2" t="s">
        <v>299</v>
      </c>
      <c r="B263" s="3">
        <v>45148</v>
      </c>
      <c r="C263" s="2" t="s">
        <v>22</v>
      </c>
      <c r="D263" s="2" t="s">
        <v>17</v>
      </c>
      <c r="E263" s="2" t="s">
        <v>18</v>
      </c>
      <c r="F263" s="2">
        <v>435.92</v>
      </c>
      <c r="G263" s="2">
        <v>86.66</v>
      </c>
      <c r="H263" s="2" t="s">
        <v>19</v>
      </c>
      <c r="I263" s="2" t="s">
        <v>14</v>
      </c>
    </row>
    <row r="264" spans="1:9" x14ac:dyDescent="0.35">
      <c r="A264" s="2" t="s">
        <v>300</v>
      </c>
      <c r="B264" s="3">
        <v>44703</v>
      </c>
      <c r="C264" s="2" t="s">
        <v>22</v>
      </c>
      <c r="D264" s="2" t="s">
        <v>97</v>
      </c>
      <c r="E264" s="2" t="s">
        <v>27</v>
      </c>
      <c r="F264" s="2">
        <v>1191.22</v>
      </c>
      <c r="G264" s="2">
        <v>347.23</v>
      </c>
      <c r="H264" s="2" t="s">
        <v>28</v>
      </c>
      <c r="I264" s="2" t="s">
        <v>29</v>
      </c>
    </row>
    <row r="265" spans="1:9" x14ac:dyDescent="0.35">
      <c r="A265" s="2" t="s">
        <v>301</v>
      </c>
      <c r="B265" s="3">
        <v>45598</v>
      </c>
      <c r="C265" s="2" t="s">
        <v>22</v>
      </c>
      <c r="D265" s="2" t="s">
        <v>33</v>
      </c>
      <c r="E265" s="2" t="s">
        <v>18</v>
      </c>
      <c r="F265" s="2">
        <v>1101.06</v>
      </c>
      <c r="G265" s="2">
        <v>255.17</v>
      </c>
      <c r="H265" s="2" t="s">
        <v>13</v>
      </c>
      <c r="I265" s="2" t="s">
        <v>34</v>
      </c>
    </row>
    <row r="266" spans="1:9" x14ac:dyDescent="0.35">
      <c r="A266" s="2" t="s">
        <v>302</v>
      </c>
      <c r="B266" s="3">
        <v>45335</v>
      </c>
      <c r="C266" s="2" t="s">
        <v>16</v>
      </c>
      <c r="D266" s="2" t="s">
        <v>11</v>
      </c>
      <c r="E266" s="2" t="s">
        <v>12</v>
      </c>
      <c r="F266" s="2">
        <v>1833.13</v>
      </c>
      <c r="G266" s="2">
        <v>478.69</v>
      </c>
      <c r="H266" s="2" t="s">
        <v>13</v>
      </c>
      <c r="I266" s="2" t="s">
        <v>14</v>
      </c>
    </row>
    <row r="267" spans="1:9" x14ac:dyDescent="0.35">
      <c r="A267" s="2" t="s">
        <v>303</v>
      </c>
      <c r="B267" s="3">
        <v>45236</v>
      </c>
      <c r="C267" s="2" t="s">
        <v>16</v>
      </c>
      <c r="D267" s="2" t="s">
        <v>26</v>
      </c>
      <c r="E267" s="2" t="s">
        <v>27</v>
      </c>
      <c r="F267" s="2">
        <v>1304.23</v>
      </c>
      <c r="G267" s="2">
        <v>106.02</v>
      </c>
      <c r="H267" s="2" t="s">
        <v>13</v>
      </c>
      <c r="I267" s="2" t="s">
        <v>14</v>
      </c>
    </row>
    <row r="268" spans="1:9" x14ac:dyDescent="0.35">
      <c r="A268" s="2" t="s">
        <v>304</v>
      </c>
      <c r="B268" s="3">
        <v>45079</v>
      </c>
      <c r="C268" s="2" t="s">
        <v>16</v>
      </c>
      <c r="D268" s="2" t="s">
        <v>50</v>
      </c>
      <c r="E268" s="2" t="s">
        <v>12</v>
      </c>
      <c r="F268" s="2">
        <v>1175.3699999999999</v>
      </c>
      <c r="G268" s="2">
        <v>296.7</v>
      </c>
      <c r="H268" s="2" t="s">
        <v>28</v>
      </c>
      <c r="I268" s="2" t="s">
        <v>34</v>
      </c>
    </row>
    <row r="269" spans="1:9" x14ac:dyDescent="0.35">
      <c r="A269" s="2" t="s">
        <v>305</v>
      </c>
      <c r="B269" s="3">
        <v>45471</v>
      </c>
      <c r="C269" s="2" t="s">
        <v>16</v>
      </c>
      <c r="D269" s="2" t="s">
        <v>50</v>
      </c>
      <c r="E269" s="2" t="s">
        <v>12</v>
      </c>
      <c r="F269" s="2">
        <v>127.1</v>
      </c>
      <c r="G269" s="2">
        <v>26.93</v>
      </c>
      <c r="H269" s="2" t="s">
        <v>28</v>
      </c>
      <c r="I269" s="2" t="s">
        <v>29</v>
      </c>
    </row>
    <row r="270" spans="1:9" x14ac:dyDescent="0.35">
      <c r="A270" s="2" t="s">
        <v>306</v>
      </c>
      <c r="B270" s="3">
        <v>45445</v>
      </c>
      <c r="C270" s="2" t="s">
        <v>25</v>
      </c>
      <c r="D270" s="2" t="s">
        <v>57</v>
      </c>
      <c r="E270" s="2" t="s">
        <v>27</v>
      </c>
      <c r="F270" s="2">
        <v>357.26</v>
      </c>
      <c r="G270" s="2">
        <v>33.840000000000003</v>
      </c>
      <c r="H270" s="2" t="s">
        <v>28</v>
      </c>
      <c r="I270" s="2" t="s">
        <v>29</v>
      </c>
    </row>
    <row r="271" spans="1:9" x14ac:dyDescent="0.35">
      <c r="A271" s="2" t="s">
        <v>307</v>
      </c>
      <c r="B271" s="3">
        <v>44636</v>
      </c>
      <c r="C271" s="2" t="s">
        <v>16</v>
      </c>
      <c r="D271" s="2" t="s">
        <v>95</v>
      </c>
      <c r="E271" s="2" t="s">
        <v>18</v>
      </c>
      <c r="F271" s="2">
        <v>330.1</v>
      </c>
      <c r="G271" s="2">
        <v>84.43</v>
      </c>
      <c r="H271" s="2" t="s">
        <v>19</v>
      </c>
      <c r="I271" s="2" t="s">
        <v>14</v>
      </c>
    </row>
    <row r="272" spans="1:9" x14ac:dyDescent="0.35">
      <c r="A272" s="2" t="s">
        <v>308</v>
      </c>
      <c r="B272" s="3">
        <v>45127</v>
      </c>
      <c r="C272" s="2" t="s">
        <v>16</v>
      </c>
      <c r="D272" s="2" t="s">
        <v>31</v>
      </c>
      <c r="E272" s="2" t="s">
        <v>12</v>
      </c>
      <c r="F272" s="2">
        <v>209.73</v>
      </c>
      <c r="G272" s="2">
        <v>23.29</v>
      </c>
      <c r="H272" s="2" t="s">
        <v>19</v>
      </c>
      <c r="I272" s="2" t="s">
        <v>14</v>
      </c>
    </row>
    <row r="273" spans="1:9" x14ac:dyDescent="0.35">
      <c r="A273" s="2" t="s">
        <v>309</v>
      </c>
      <c r="B273" s="3">
        <v>45471</v>
      </c>
      <c r="C273" s="2" t="s">
        <v>25</v>
      </c>
      <c r="D273" s="2" t="s">
        <v>41</v>
      </c>
      <c r="E273" s="2" t="s">
        <v>12</v>
      </c>
      <c r="F273" s="2">
        <v>897.14</v>
      </c>
      <c r="G273" s="2">
        <v>258.10000000000002</v>
      </c>
      <c r="H273" s="2" t="s">
        <v>19</v>
      </c>
      <c r="I273" s="2" t="s">
        <v>34</v>
      </c>
    </row>
    <row r="274" spans="1:9" x14ac:dyDescent="0.35">
      <c r="A274" s="2" t="s">
        <v>310</v>
      </c>
      <c r="B274" s="3">
        <v>44872</v>
      </c>
      <c r="C274" s="2" t="s">
        <v>25</v>
      </c>
      <c r="D274" s="2" t="s">
        <v>46</v>
      </c>
      <c r="E274" s="2" t="s">
        <v>18</v>
      </c>
      <c r="F274" s="2">
        <v>1956.89</v>
      </c>
      <c r="G274" s="2">
        <v>420.92</v>
      </c>
      <c r="H274" s="2" t="s">
        <v>13</v>
      </c>
      <c r="I274" s="2" t="s">
        <v>20</v>
      </c>
    </row>
    <row r="275" spans="1:9" x14ac:dyDescent="0.35">
      <c r="A275" s="2" t="s">
        <v>311</v>
      </c>
      <c r="B275" s="3">
        <v>45219</v>
      </c>
      <c r="C275" s="2" t="s">
        <v>10</v>
      </c>
      <c r="D275" s="2" t="s">
        <v>17</v>
      </c>
      <c r="E275" s="2" t="s">
        <v>18</v>
      </c>
      <c r="F275" s="2">
        <v>386.47</v>
      </c>
      <c r="G275" s="2">
        <v>54.36</v>
      </c>
      <c r="H275" s="2" t="s">
        <v>13</v>
      </c>
      <c r="I275" s="2" t="s">
        <v>29</v>
      </c>
    </row>
    <row r="276" spans="1:9" x14ac:dyDescent="0.35">
      <c r="A276" s="2" t="s">
        <v>312</v>
      </c>
      <c r="B276" s="3">
        <v>44835</v>
      </c>
      <c r="C276" s="2" t="s">
        <v>25</v>
      </c>
      <c r="D276" s="2" t="s">
        <v>73</v>
      </c>
      <c r="E276" s="2" t="s">
        <v>27</v>
      </c>
      <c r="F276" s="2">
        <v>247.38</v>
      </c>
      <c r="G276" s="2">
        <v>34.39</v>
      </c>
      <c r="H276" s="2" t="s">
        <v>19</v>
      </c>
      <c r="I276" s="2" t="s">
        <v>29</v>
      </c>
    </row>
    <row r="277" spans="1:9" x14ac:dyDescent="0.35">
      <c r="A277" s="2" t="s">
        <v>313</v>
      </c>
      <c r="B277" s="3">
        <v>45641</v>
      </c>
      <c r="C277" s="2" t="s">
        <v>10</v>
      </c>
      <c r="D277" s="2" t="s">
        <v>33</v>
      </c>
      <c r="E277" s="2" t="s">
        <v>18</v>
      </c>
      <c r="F277" s="2">
        <v>167.41</v>
      </c>
      <c r="G277" s="2">
        <v>21.98</v>
      </c>
      <c r="H277" s="2" t="s">
        <v>13</v>
      </c>
      <c r="I277" s="2" t="s">
        <v>20</v>
      </c>
    </row>
    <row r="278" spans="1:9" x14ac:dyDescent="0.35">
      <c r="A278" s="2" t="s">
        <v>314</v>
      </c>
      <c r="B278" s="3">
        <v>45039</v>
      </c>
      <c r="C278" s="2" t="s">
        <v>22</v>
      </c>
      <c r="D278" s="2" t="s">
        <v>38</v>
      </c>
      <c r="E278" s="2" t="s">
        <v>12</v>
      </c>
      <c r="F278" s="2">
        <v>1173.1500000000001</v>
      </c>
      <c r="G278" s="2">
        <v>269.02</v>
      </c>
      <c r="H278" s="2" t="s">
        <v>13</v>
      </c>
      <c r="I278" s="2" t="s">
        <v>29</v>
      </c>
    </row>
    <row r="279" spans="1:9" x14ac:dyDescent="0.35">
      <c r="A279" s="2" t="s">
        <v>315</v>
      </c>
      <c r="B279" s="3">
        <v>45653</v>
      </c>
      <c r="C279" s="2" t="s">
        <v>16</v>
      </c>
      <c r="D279" s="2" t="s">
        <v>97</v>
      </c>
      <c r="E279" s="2" t="s">
        <v>27</v>
      </c>
      <c r="F279" s="2">
        <v>1746.69</v>
      </c>
      <c r="G279" s="2">
        <v>280.87</v>
      </c>
      <c r="H279" s="2" t="s">
        <v>13</v>
      </c>
      <c r="I279" s="2" t="s">
        <v>29</v>
      </c>
    </row>
    <row r="280" spans="1:9" x14ac:dyDescent="0.35">
      <c r="A280" s="2" t="s">
        <v>316</v>
      </c>
      <c r="B280" s="3">
        <v>44853</v>
      </c>
      <c r="C280" s="2" t="s">
        <v>16</v>
      </c>
      <c r="D280" s="2" t="s">
        <v>62</v>
      </c>
      <c r="E280" s="2" t="s">
        <v>27</v>
      </c>
      <c r="F280" s="2">
        <v>1292.6099999999999</v>
      </c>
      <c r="G280" s="2">
        <v>305.69</v>
      </c>
      <c r="H280" s="2" t="s">
        <v>28</v>
      </c>
      <c r="I280" s="2" t="s">
        <v>14</v>
      </c>
    </row>
    <row r="281" spans="1:9" x14ac:dyDescent="0.35">
      <c r="A281" s="2" t="s">
        <v>317</v>
      </c>
      <c r="B281" s="3">
        <v>44707</v>
      </c>
      <c r="C281" s="2" t="s">
        <v>10</v>
      </c>
      <c r="D281" s="2" t="s">
        <v>50</v>
      </c>
      <c r="E281" s="2" t="s">
        <v>12</v>
      </c>
      <c r="F281" s="2">
        <v>1256.23</v>
      </c>
      <c r="G281" s="2">
        <v>89.78</v>
      </c>
      <c r="H281" s="2" t="s">
        <v>19</v>
      </c>
      <c r="I281" s="2" t="s">
        <v>14</v>
      </c>
    </row>
    <row r="282" spans="1:9" x14ac:dyDescent="0.35">
      <c r="A282" s="2" t="s">
        <v>318</v>
      </c>
      <c r="B282" s="3">
        <v>45456</v>
      </c>
      <c r="C282" s="2" t="s">
        <v>10</v>
      </c>
      <c r="D282" s="2" t="s">
        <v>38</v>
      </c>
      <c r="E282" s="2" t="s">
        <v>12</v>
      </c>
      <c r="F282" s="2">
        <v>1785.16</v>
      </c>
      <c r="G282" s="2">
        <v>258.56</v>
      </c>
      <c r="H282" s="2" t="s">
        <v>28</v>
      </c>
      <c r="I282" s="2" t="s">
        <v>14</v>
      </c>
    </row>
    <row r="283" spans="1:9" x14ac:dyDescent="0.35">
      <c r="A283" s="2" t="s">
        <v>319</v>
      </c>
      <c r="B283" s="3">
        <v>45409</v>
      </c>
      <c r="C283" s="2" t="s">
        <v>22</v>
      </c>
      <c r="D283" s="2" t="s">
        <v>23</v>
      </c>
      <c r="E283" s="2" t="s">
        <v>18</v>
      </c>
      <c r="F283" s="2">
        <v>344.96</v>
      </c>
      <c r="G283" s="2">
        <v>44.8</v>
      </c>
      <c r="H283" s="2" t="s">
        <v>13</v>
      </c>
      <c r="I283" s="2" t="s">
        <v>20</v>
      </c>
    </row>
    <row r="284" spans="1:9" x14ac:dyDescent="0.35">
      <c r="A284" s="2" t="s">
        <v>320</v>
      </c>
      <c r="B284" s="3">
        <v>44914</v>
      </c>
      <c r="C284" s="2" t="s">
        <v>10</v>
      </c>
      <c r="D284" s="2" t="s">
        <v>23</v>
      </c>
      <c r="E284" s="2" t="s">
        <v>18</v>
      </c>
      <c r="F284" s="2">
        <v>1414.87</v>
      </c>
      <c r="G284" s="2">
        <v>328.85</v>
      </c>
      <c r="H284" s="2" t="s">
        <v>13</v>
      </c>
      <c r="I284" s="2" t="s">
        <v>29</v>
      </c>
    </row>
    <row r="285" spans="1:9" x14ac:dyDescent="0.35">
      <c r="A285" s="2" t="s">
        <v>321</v>
      </c>
      <c r="B285" s="3">
        <v>45239</v>
      </c>
      <c r="C285" s="2" t="s">
        <v>22</v>
      </c>
      <c r="D285" s="2" t="s">
        <v>23</v>
      </c>
      <c r="E285" s="2" t="s">
        <v>18</v>
      </c>
      <c r="F285" s="2">
        <v>1804.21</v>
      </c>
      <c r="G285" s="2">
        <v>294.92</v>
      </c>
      <c r="H285" s="2" t="s">
        <v>19</v>
      </c>
      <c r="I285" s="2" t="s">
        <v>34</v>
      </c>
    </row>
    <row r="286" spans="1:9" x14ac:dyDescent="0.35">
      <c r="A286" s="2" t="s">
        <v>322</v>
      </c>
      <c r="B286" s="3">
        <v>45456</v>
      </c>
      <c r="C286" s="2" t="s">
        <v>16</v>
      </c>
      <c r="D286" s="2" t="s">
        <v>57</v>
      </c>
      <c r="E286" s="2" t="s">
        <v>27</v>
      </c>
      <c r="F286" s="2">
        <v>1159.1099999999999</v>
      </c>
      <c r="G286" s="2">
        <v>88.11</v>
      </c>
      <c r="H286" s="2" t="s">
        <v>13</v>
      </c>
      <c r="I286" s="2" t="s">
        <v>29</v>
      </c>
    </row>
    <row r="287" spans="1:9" x14ac:dyDescent="0.35">
      <c r="A287" s="2" t="s">
        <v>323</v>
      </c>
      <c r="B287" s="3">
        <v>44617</v>
      </c>
      <c r="C287" s="2" t="s">
        <v>10</v>
      </c>
      <c r="D287" s="2" t="s">
        <v>50</v>
      </c>
      <c r="E287" s="2" t="s">
        <v>12</v>
      </c>
      <c r="F287" s="2">
        <v>1640.48</v>
      </c>
      <c r="G287" s="2">
        <v>367.29</v>
      </c>
      <c r="H287" s="2" t="s">
        <v>13</v>
      </c>
      <c r="I287" s="2" t="s">
        <v>34</v>
      </c>
    </row>
    <row r="288" spans="1:9" x14ac:dyDescent="0.35">
      <c r="A288" s="2" t="s">
        <v>324</v>
      </c>
      <c r="B288" s="3">
        <v>45550</v>
      </c>
      <c r="C288" s="2" t="s">
        <v>22</v>
      </c>
      <c r="D288" s="2" t="s">
        <v>26</v>
      </c>
      <c r="E288" s="2" t="s">
        <v>27</v>
      </c>
      <c r="F288" s="2">
        <v>1020.55</v>
      </c>
      <c r="G288" s="2">
        <v>75.760000000000005</v>
      </c>
      <c r="H288" s="2" t="s">
        <v>28</v>
      </c>
      <c r="I288" s="2" t="s">
        <v>34</v>
      </c>
    </row>
    <row r="289" spans="1:9" x14ac:dyDescent="0.35">
      <c r="A289" s="2" t="s">
        <v>325</v>
      </c>
      <c r="B289" s="3">
        <v>44825</v>
      </c>
      <c r="C289" s="2" t="s">
        <v>22</v>
      </c>
      <c r="D289" s="2" t="s">
        <v>62</v>
      </c>
      <c r="E289" s="2" t="s">
        <v>27</v>
      </c>
      <c r="F289" s="2">
        <v>1779.56</v>
      </c>
      <c r="G289" s="2">
        <v>214.48</v>
      </c>
      <c r="H289" s="2" t="s">
        <v>28</v>
      </c>
      <c r="I289" s="2" t="s">
        <v>34</v>
      </c>
    </row>
    <row r="290" spans="1:9" x14ac:dyDescent="0.35">
      <c r="A290" s="2" t="s">
        <v>326</v>
      </c>
      <c r="B290" s="3">
        <v>45630</v>
      </c>
      <c r="C290" s="2" t="s">
        <v>25</v>
      </c>
      <c r="D290" s="2" t="s">
        <v>41</v>
      </c>
      <c r="E290" s="2" t="s">
        <v>12</v>
      </c>
      <c r="F290" s="2">
        <v>709.14</v>
      </c>
      <c r="G290" s="2">
        <v>172.41</v>
      </c>
      <c r="H290" s="2" t="s">
        <v>13</v>
      </c>
      <c r="I290" s="2" t="s">
        <v>20</v>
      </c>
    </row>
    <row r="291" spans="1:9" x14ac:dyDescent="0.35">
      <c r="A291" s="2" t="s">
        <v>327</v>
      </c>
      <c r="B291" s="3">
        <v>45127</v>
      </c>
      <c r="C291" s="2" t="s">
        <v>25</v>
      </c>
      <c r="D291" s="2" t="s">
        <v>50</v>
      </c>
      <c r="E291" s="2" t="s">
        <v>12</v>
      </c>
      <c r="F291" s="2">
        <v>1436.37</v>
      </c>
      <c r="G291" s="2">
        <v>171.5</v>
      </c>
      <c r="H291" s="2" t="s">
        <v>28</v>
      </c>
      <c r="I291" s="2" t="s">
        <v>20</v>
      </c>
    </row>
    <row r="292" spans="1:9" x14ac:dyDescent="0.35">
      <c r="A292" s="2" t="s">
        <v>328</v>
      </c>
      <c r="B292" s="3">
        <v>44665</v>
      </c>
      <c r="C292" s="2" t="s">
        <v>22</v>
      </c>
      <c r="D292" s="2" t="s">
        <v>46</v>
      </c>
      <c r="E292" s="2" t="s">
        <v>18</v>
      </c>
      <c r="F292" s="2">
        <v>1936.65</v>
      </c>
      <c r="G292" s="2">
        <v>523.11</v>
      </c>
      <c r="H292" s="2" t="s">
        <v>28</v>
      </c>
      <c r="I292" s="2" t="s">
        <v>14</v>
      </c>
    </row>
    <row r="293" spans="1:9" x14ac:dyDescent="0.35">
      <c r="A293" s="2" t="s">
        <v>329</v>
      </c>
      <c r="B293" s="3">
        <v>45295</v>
      </c>
      <c r="C293" s="2" t="s">
        <v>10</v>
      </c>
      <c r="D293" s="2" t="s">
        <v>57</v>
      </c>
      <c r="E293" s="2" t="s">
        <v>27</v>
      </c>
      <c r="F293" s="2">
        <v>1582.99</v>
      </c>
      <c r="G293" s="2">
        <v>129.61000000000001</v>
      </c>
      <c r="H293" s="2" t="s">
        <v>19</v>
      </c>
      <c r="I293" s="2" t="s">
        <v>20</v>
      </c>
    </row>
    <row r="294" spans="1:9" x14ac:dyDescent="0.35">
      <c r="A294" s="2" t="s">
        <v>330</v>
      </c>
      <c r="B294" s="3">
        <v>45057</v>
      </c>
      <c r="C294" s="2" t="s">
        <v>16</v>
      </c>
      <c r="D294" s="2" t="s">
        <v>62</v>
      </c>
      <c r="E294" s="2" t="s">
        <v>27</v>
      </c>
      <c r="F294" s="2">
        <v>1665.33</v>
      </c>
      <c r="G294" s="2">
        <v>350.83</v>
      </c>
      <c r="H294" s="2" t="s">
        <v>28</v>
      </c>
      <c r="I294" s="2" t="s">
        <v>20</v>
      </c>
    </row>
    <row r="295" spans="1:9" x14ac:dyDescent="0.35">
      <c r="A295" s="2" t="s">
        <v>331</v>
      </c>
      <c r="B295" s="3">
        <v>45125</v>
      </c>
      <c r="C295" s="2" t="s">
        <v>25</v>
      </c>
      <c r="D295" s="2" t="s">
        <v>38</v>
      </c>
      <c r="E295" s="2" t="s">
        <v>12</v>
      </c>
      <c r="F295" s="2">
        <v>1248.2</v>
      </c>
      <c r="G295" s="2">
        <v>175.13</v>
      </c>
      <c r="H295" s="2" t="s">
        <v>19</v>
      </c>
      <c r="I295" s="2" t="s">
        <v>20</v>
      </c>
    </row>
    <row r="296" spans="1:9" x14ac:dyDescent="0.35">
      <c r="A296" s="2" t="s">
        <v>332</v>
      </c>
      <c r="B296" s="3">
        <v>44927</v>
      </c>
      <c r="C296" s="2" t="s">
        <v>10</v>
      </c>
      <c r="D296" s="2" t="s">
        <v>11</v>
      </c>
      <c r="E296" s="2" t="s">
        <v>12</v>
      </c>
      <c r="F296" s="2">
        <v>539.39</v>
      </c>
      <c r="G296" s="2">
        <v>103.06</v>
      </c>
      <c r="H296" s="2" t="s">
        <v>19</v>
      </c>
      <c r="I296" s="2" t="s">
        <v>34</v>
      </c>
    </row>
    <row r="297" spans="1:9" x14ac:dyDescent="0.35">
      <c r="A297" s="2" t="s">
        <v>333</v>
      </c>
      <c r="B297" s="3">
        <v>44985</v>
      </c>
      <c r="C297" s="2" t="s">
        <v>25</v>
      </c>
      <c r="D297" s="2" t="s">
        <v>73</v>
      </c>
      <c r="E297" s="2" t="s">
        <v>27</v>
      </c>
      <c r="F297" s="2">
        <v>1736.82</v>
      </c>
      <c r="G297" s="2">
        <v>303.13</v>
      </c>
      <c r="H297" s="2" t="s">
        <v>13</v>
      </c>
      <c r="I297" s="2" t="s">
        <v>14</v>
      </c>
    </row>
    <row r="298" spans="1:9" x14ac:dyDescent="0.35">
      <c r="A298" s="2" t="s">
        <v>334</v>
      </c>
      <c r="B298" s="3">
        <v>45433</v>
      </c>
      <c r="C298" s="2" t="s">
        <v>22</v>
      </c>
      <c r="D298" s="2" t="s">
        <v>17</v>
      </c>
      <c r="E298" s="2" t="s">
        <v>18</v>
      </c>
      <c r="F298" s="2">
        <v>1315.51</v>
      </c>
      <c r="G298" s="2">
        <v>345.68</v>
      </c>
      <c r="H298" s="2" t="s">
        <v>13</v>
      </c>
      <c r="I298" s="2" t="s">
        <v>34</v>
      </c>
    </row>
    <row r="299" spans="1:9" x14ac:dyDescent="0.35">
      <c r="A299" s="2" t="s">
        <v>335</v>
      </c>
      <c r="B299" s="3">
        <v>44934</v>
      </c>
      <c r="C299" s="2" t="s">
        <v>10</v>
      </c>
      <c r="D299" s="2" t="s">
        <v>31</v>
      </c>
      <c r="E299" s="2" t="s">
        <v>12</v>
      </c>
      <c r="F299" s="2">
        <v>1785.88</v>
      </c>
      <c r="G299" s="2">
        <v>256.75</v>
      </c>
      <c r="H299" s="2" t="s">
        <v>28</v>
      </c>
      <c r="I299" s="2" t="s">
        <v>34</v>
      </c>
    </row>
    <row r="300" spans="1:9" x14ac:dyDescent="0.35">
      <c r="A300" s="2" t="s">
        <v>336</v>
      </c>
      <c r="B300" s="3">
        <v>45232</v>
      </c>
      <c r="C300" s="2" t="s">
        <v>10</v>
      </c>
      <c r="D300" s="2" t="s">
        <v>26</v>
      </c>
      <c r="E300" s="2" t="s">
        <v>27</v>
      </c>
      <c r="F300" s="2">
        <v>851.34</v>
      </c>
      <c r="G300" s="2">
        <v>220.56</v>
      </c>
      <c r="H300" s="2" t="s">
        <v>28</v>
      </c>
      <c r="I300" s="2" t="s">
        <v>14</v>
      </c>
    </row>
    <row r="301" spans="1:9" x14ac:dyDescent="0.35">
      <c r="A301" s="2" t="s">
        <v>337</v>
      </c>
      <c r="B301" s="3">
        <v>45523</v>
      </c>
      <c r="C301" s="2" t="s">
        <v>25</v>
      </c>
      <c r="D301" s="2" t="s">
        <v>38</v>
      </c>
      <c r="E301" s="2" t="s">
        <v>12</v>
      </c>
      <c r="F301" s="2">
        <v>848.49</v>
      </c>
      <c r="G301" s="2">
        <v>85.54</v>
      </c>
      <c r="H301" s="2" t="s">
        <v>13</v>
      </c>
      <c r="I301" s="2" t="s">
        <v>20</v>
      </c>
    </row>
    <row r="302" spans="1:9" x14ac:dyDescent="0.35">
      <c r="A302" s="2" t="s">
        <v>338</v>
      </c>
      <c r="B302" s="3">
        <v>44935</v>
      </c>
      <c r="C302" s="2" t="s">
        <v>16</v>
      </c>
      <c r="D302" s="2" t="s">
        <v>33</v>
      </c>
      <c r="E302" s="2" t="s">
        <v>18</v>
      </c>
      <c r="F302" s="2">
        <v>367.09</v>
      </c>
      <c r="G302" s="2">
        <v>99.52</v>
      </c>
      <c r="H302" s="2" t="s">
        <v>19</v>
      </c>
      <c r="I302" s="2" t="s">
        <v>29</v>
      </c>
    </row>
    <row r="303" spans="1:9" x14ac:dyDescent="0.35">
      <c r="A303" s="2" t="s">
        <v>339</v>
      </c>
      <c r="B303" s="3">
        <v>44925</v>
      </c>
      <c r="C303" s="2" t="s">
        <v>22</v>
      </c>
      <c r="D303" s="2" t="s">
        <v>17</v>
      </c>
      <c r="E303" s="2" t="s">
        <v>18</v>
      </c>
      <c r="F303" s="2">
        <v>1456.69</v>
      </c>
      <c r="G303" s="2">
        <v>228.57</v>
      </c>
      <c r="H303" s="2" t="s">
        <v>28</v>
      </c>
      <c r="I303" s="2" t="s">
        <v>14</v>
      </c>
    </row>
    <row r="304" spans="1:9" x14ac:dyDescent="0.35">
      <c r="A304" s="2" t="s">
        <v>340</v>
      </c>
      <c r="B304" s="3">
        <v>45464</v>
      </c>
      <c r="C304" s="2" t="s">
        <v>22</v>
      </c>
      <c r="D304" s="2" t="s">
        <v>17</v>
      </c>
      <c r="E304" s="2" t="s">
        <v>18</v>
      </c>
      <c r="F304" s="2">
        <v>1289.99</v>
      </c>
      <c r="G304" s="2">
        <v>282.79000000000002</v>
      </c>
      <c r="H304" s="2" t="s">
        <v>19</v>
      </c>
      <c r="I304" s="2" t="s">
        <v>29</v>
      </c>
    </row>
    <row r="305" spans="1:9" x14ac:dyDescent="0.35">
      <c r="A305" s="2" t="s">
        <v>341</v>
      </c>
      <c r="B305" s="3">
        <v>45042</v>
      </c>
      <c r="C305" s="2" t="s">
        <v>16</v>
      </c>
      <c r="D305" s="2" t="s">
        <v>17</v>
      </c>
      <c r="E305" s="2" t="s">
        <v>18</v>
      </c>
      <c r="F305" s="2">
        <v>650.51</v>
      </c>
      <c r="G305" s="2">
        <v>103.45</v>
      </c>
      <c r="H305" s="2" t="s">
        <v>19</v>
      </c>
      <c r="I305" s="2" t="s">
        <v>20</v>
      </c>
    </row>
    <row r="306" spans="1:9" x14ac:dyDescent="0.35">
      <c r="A306" s="2" t="s">
        <v>342</v>
      </c>
      <c r="B306" s="3">
        <v>44740</v>
      </c>
      <c r="C306" s="2" t="s">
        <v>16</v>
      </c>
      <c r="D306" s="2" t="s">
        <v>41</v>
      </c>
      <c r="E306" s="2" t="s">
        <v>12</v>
      </c>
      <c r="F306" s="2">
        <v>1769.87</v>
      </c>
      <c r="G306" s="2">
        <v>300.23</v>
      </c>
      <c r="H306" s="2" t="s">
        <v>19</v>
      </c>
      <c r="I306" s="2" t="s">
        <v>34</v>
      </c>
    </row>
    <row r="307" spans="1:9" x14ac:dyDescent="0.35">
      <c r="A307" s="2" t="s">
        <v>343</v>
      </c>
      <c r="B307" s="3">
        <v>45474</v>
      </c>
      <c r="C307" s="2" t="s">
        <v>22</v>
      </c>
      <c r="D307" s="2" t="s">
        <v>38</v>
      </c>
      <c r="E307" s="2" t="s">
        <v>12</v>
      </c>
      <c r="F307" s="2">
        <v>1969.95</v>
      </c>
      <c r="G307" s="2">
        <v>507.39</v>
      </c>
      <c r="H307" s="2" t="s">
        <v>13</v>
      </c>
      <c r="I307" s="2" t="s">
        <v>34</v>
      </c>
    </row>
    <row r="308" spans="1:9" x14ac:dyDescent="0.35">
      <c r="A308" s="2" t="s">
        <v>344</v>
      </c>
      <c r="B308" s="3">
        <v>45467</v>
      </c>
      <c r="C308" s="2" t="s">
        <v>10</v>
      </c>
      <c r="D308" s="2" t="s">
        <v>26</v>
      </c>
      <c r="E308" s="2" t="s">
        <v>27</v>
      </c>
      <c r="F308" s="2">
        <v>847.59</v>
      </c>
      <c r="G308" s="2">
        <v>58.29</v>
      </c>
      <c r="H308" s="2" t="s">
        <v>28</v>
      </c>
      <c r="I308" s="2" t="s">
        <v>20</v>
      </c>
    </row>
    <row r="309" spans="1:9" x14ac:dyDescent="0.35">
      <c r="A309" s="2" t="s">
        <v>345</v>
      </c>
      <c r="B309" s="3">
        <v>44736</v>
      </c>
      <c r="C309" s="2" t="s">
        <v>16</v>
      </c>
      <c r="D309" s="2" t="s">
        <v>23</v>
      </c>
      <c r="E309" s="2" t="s">
        <v>18</v>
      </c>
      <c r="F309" s="2">
        <v>1862.94</v>
      </c>
      <c r="G309" s="2">
        <v>222.32</v>
      </c>
      <c r="H309" s="2" t="s">
        <v>28</v>
      </c>
      <c r="I309" s="2" t="s">
        <v>20</v>
      </c>
    </row>
    <row r="310" spans="1:9" x14ac:dyDescent="0.35">
      <c r="A310" s="2" t="s">
        <v>346</v>
      </c>
      <c r="B310" s="3">
        <v>45470</v>
      </c>
      <c r="C310" s="2" t="s">
        <v>22</v>
      </c>
      <c r="D310" s="2" t="s">
        <v>33</v>
      </c>
      <c r="E310" s="2" t="s">
        <v>18</v>
      </c>
      <c r="F310" s="2">
        <v>1276.25</v>
      </c>
      <c r="G310" s="2">
        <v>382.67</v>
      </c>
      <c r="H310" s="2" t="s">
        <v>19</v>
      </c>
      <c r="I310" s="2" t="s">
        <v>29</v>
      </c>
    </row>
    <row r="311" spans="1:9" x14ac:dyDescent="0.35">
      <c r="A311" s="2" t="s">
        <v>347</v>
      </c>
      <c r="B311" s="3">
        <v>44709</v>
      </c>
      <c r="C311" s="2" t="s">
        <v>25</v>
      </c>
      <c r="D311" s="2" t="s">
        <v>33</v>
      </c>
      <c r="E311" s="2" t="s">
        <v>18</v>
      </c>
      <c r="F311" s="2">
        <v>436.13</v>
      </c>
      <c r="G311" s="2">
        <v>106.63</v>
      </c>
      <c r="H311" s="2" t="s">
        <v>19</v>
      </c>
      <c r="I311" s="2" t="s">
        <v>29</v>
      </c>
    </row>
    <row r="312" spans="1:9" x14ac:dyDescent="0.35">
      <c r="A312" s="2" t="s">
        <v>348</v>
      </c>
      <c r="B312" s="3">
        <v>45365</v>
      </c>
      <c r="C312" s="2" t="s">
        <v>16</v>
      </c>
      <c r="D312" s="2" t="s">
        <v>26</v>
      </c>
      <c r="E312" s="2" t="s">
        <v>27</v>
      </c>
      <c r="F312" s="2">
        <v>1105.55</v>
      </c>
      <c r="G312" s="2">
        <v>234.92</v>
      </c>
      <c r="H312" s="2" t="s">
        <v>13</v>
      </c>
      <c r="I312" s="2" t="s">
        <v>29</v>
      </c>
    </row>
    <row r="313" spans="1:9" x14ac:dyDescent="0.35">
      <c r="A313" s="2" t="s">
        <v>349</v>
      </c>
      <c r="B313" s="3">
        <v>45164</v>
      </c>
      <c r="C313" s="2" t="s">
        <v>10</v>
      </c>
      <c r="D313" s="2" t="s">
        <v>41</v>
      </c>
      <c r="E313" s="2" t="s">
        <v>12</v>
      </c>
      <c r="F313" s="2">
        <v>1185.29</v>
      </c>
      <c r="G313" s="2">
        <v>74.650000000000006</v>
      </c>
      <c r="H313" s="2" t="s">
        <v>28</v>
      </c>
      <c r="I313" s="2" t="s">
        <v>34</v>
      </c>
    </row>
    <row r="314" spans="1:9" x14ac:dyDescent="0.35">
      <c r="A314" s="2" t="s">
        <v>350</v>
      </c>
      <c r="B314" s="3">
        <v>44643</v>
      </c>
      <c r="C314" s="2" t="s">
        <v>25</v>
      </c>
      <c r="D314" s="2" t="s">
        <v>26</v>
      </c>
      <c r="E314" s="2" t="s">
        <v>27</v>
      </c>
      <c r="F314" s="2">
        <v>1577.75</v>
      </c>
      <c r="G314" s="2">
        <v>466.3</v>
      </c>
      <c r="H314" s="2" t="s">
        <v>19</v>
      </c>
      <c r="I314" s="2" t="s">
        <v>34</v>
      </c>
    </row>
    <row r="315" spans="1:9" x14ac:dyDescent="0.35">
      <c r="A315" s="2" t="s">
        <v>351</v>
      </c>
      <c r="B315" s="3">
        <v>44692</v>
      </c>
      <c r="C315" s="2" t="s">
        <v>22</v>
      </c>
      <c r="D315" s="2" t="s">
        <v>17</v>
      </c>
      <c r="E315" s="2" t="s">
        <v>18</v>
      </c>
      <c r="F315" s="2">
        <v>281.63</v>
      </c>
      <c r="G315" s="2">
        <v>83.12</v>
      </c>
      <c r="H315" s="2" t="s">
        <v>19</v>
      </c>
      <c r="I315" s="2" t="s">
        <v>14</v>
      </c>
    </row>
    <row r="316" spans="1:9" x14ac:dyDescent="0.35">
      <c r="A316" s="2" t="s">
        <v>352</v>
      </c>
      <c r="B316" s="3">
        <v>44829</v>
      </c>
      <c r="C316" s="2" t="s">
        <v>25</v>
      </c>
      <c r="D316" s="2" t="s">
        <v>95</v>
      </c>
      <c r="E316" s="2" t="s">
        <v>18</v>
      </c>
      <c r="F316" s="2">
        <v>242.97</v>
      </c>
      <c r="G316" s="2">
        <v>53.28</v>
      </c>
      <c r="H316" s="2" t="s">
        <v>13</v>
      </c>
      <c r="I316" s="2" t="s">
        <v>14</v>
      </c>
    </row>
    <row r="317" spans="1:9" x14ac:dyDescent="0.35">
      <c r="A317" s="2" t="s">
        <v>353</v>
      </c>
      <c r="B317" s="3">
        <v>44686</v>
      </c>
      <c r="C317" s="2" t="s">
        <v>22</v>
      </c>
      <c r="D317" s="2" t="s">
        <v>26</v>
      </c>
      <c r="E317" s="2" t="s">
        <v>27</v>
      </c>
      <c r="F317" s="2">
        <v>347.6</v>
      </c>
      <c r="G317" s="2">
        <v>92.02</v>
      </c>
      <c r="H317" s="2" t="s">
        <v>19</v>
      </c>
      <c r="I317" s="2" t="s">
        <v>14</v>
      </c>
    </row>
    <row r="318" spans="1:9" x14ac:dyDescent="0.35">
      <c r="A318" s="2" t="s">
        <v>354</v>
      </c>
      <c r="B318" s="3">
        <v>45144</v>
      </c>
      <c r="C318" s="2" t="s">
        <v>10</v>
      </c>
      <c r="D318" s="2" t="s">
        <v>62</v>
      </c>
      <c r="E318" s="2" t="s">
        <v>27</v>
      </c>
      <c r="F318" s="2">
        <v>1524.82</v>
      </c>
      <c r="G318" s="2">
        <v>450.35</v>
      </c>
      <c r="H318" s="2" t="s">
        <v>13</v>
      </c>
      <c r="I318" s="2" t="s">
        <v>34</v>
      </c>
    </row>
    <row r="319" spans="1:9" x14ac:dyDescent="0.35">
      <c r="A319" s="2" t="s">
        <v>355</v>
      </c>
      <c r="B319" s="3">
        <v>44860</v>
      </c>
      <c r="C319" s="2" t="s">
        <v>25</v>
      </c>
      <c r="D319" s="2" t="s">
        <v>23</v>
      </c>
      <c r="E319" s="2" t="s">
        <v>18</v>
      </c>
      <c r="F319" s="2">
        <v>824.92</v>
      </c>
      <c r="G319" s="2">
        <v>137.06</v>
      </c>
      <c r="H319" s="2" t="s">
        <v>13</v>
      </c>
      <c r="I319" s="2" t="s">
        <v>14</v>
      </c>
    </row>
    <row r="320" spans="1:9" x14ac:dyDescent="0.35">
      <c r="A320" s="2" t="s">
        <v>356</v>
      </c>
      <c r="B320" s="3">
        <v>44841</v>
      </c>
      <c r="C320" s="2" t="s">
        <v>22</v>
      </c>
      <c r="D320" s="2" t="s">
        <v>11</v>
      </c>
      <c r="E320" s="2" t="s">
        <v>12</v>
      </c>
      <c r="F320" s="2">
        <v>1220.6199999999999</v>
      </c>
      <c r="G320" s="2">
        <v>105.95</v>
      </c>
      <c r="H320" s="2" t="s">
        <v>19</v>
      </c>
      <c r="I320" s="2" t="s">
        <v>20</v>
      </c>
    </row>
    <row r="321" spans="1:9" x14ac:dyDescent="0.35">
      <c r="A321" s="2" t="s">
        <v>357</v>
      </c>
      <c r="B321" s="3">
        <v>45290</v>
      </c>
      <c r="C321" s="2" t="s">
        <v>22</v>
      </c>
      <c r="D321" s="2" t="s">
        <v>73</v>
      </c>
      <c r="E321" s="2" t="s">
        <v>27</v>
      </c>
      <c r="F321" s="2">
        <v>608.29999999999995</v>
      </c>
      <c r="G321" s="2">
        <v>93.46</v>
      </c>
      <c r="H321" s="2" t="s">
        <v>28</v>
      </c>
      <c r="I321" s="2" t="s">
        <v>14</v>
      </c>
    </row>
    <row r="322" spans="1:9" x14ac:dyDescent="0.35">
      <c r="A322" s="2" t="s">
        <v>358</v>
      </c>
      <c r="B322" s="3">
        <v>45652</v>
      </c>
      <c r="C322" s="2" t="s">
        <v>10</v>
      </c>
      <c r="D322" s="2" t="s">
        <v>97</v>
      </c>
      <c r="E322" s="2" t="s">
        <v>27</v>
      </c>
      <c r="F322" s="2">
        <v>1134.26</v>
      </c>
      <c r="G322" s="2">
        <v>177.07</v>
      </c>
      <c r="H322" s="2" t="s">
        <v>28</v>
      </c>
      <c r="I322" s="2" t="s">
        <v>20</v>
      </c>
    </row>
    <row r="323" spans="1:9" x14ac:dyDescent="0.35">
      <c r="A323" s="2" t="s">
        <v>359</v>
      </c>
      <c r="B323" s="3">
        <v>45271</v>
      </c>
      <c r="C323" s="2" t="s">
        <v>25</v>
      </c>
      <c r="D323" s="2" t="s">
        <v>23</v>
      </c>
      <c r="E323" s="2" t="s">
        <v>18</v>
      </c>
      <c r="F323" s="2">
        <v>296.8</v>
      </c>
      <c r="G323" s="2">
        <v>40.33</v>
      </c>
      <c r="H323" s="2" t="s">
        <v>28</v>
      </c>
      <c r="I323" s="2" t="s">
        <v>14</v>
      </c>
    </row>
    <row r="324" spans="1:9" x14ac:dyDescent="0.35">
      <c r="A324" s="2" t="s">
        <v>360</v>
      </c>
      <c r="B324" s="3">
        <v>45436</v>
      </c>
      <c r="C324" s="2" t="s">
        <v>22</v>
      </c>
      <c r="D324" s="2" t="s">
        <v>73</v>
      </c>
      <c r="E324" s="2" t="s">
        <v>27</v>
      </c>
      <c r="F324" s="2">
        <v>208.3</v>
      </c>
      <c r="G324" s="2">
        <v>30.7</v>
      </c>
      <c r="H324" s="2" t="s">
        <v>13</v>
      </c>
      <c r="I324" s="2" t="s">
        <v>14</v>
      </c>
    </row>
    <row r="325" spans="1:9" x14ac:dyDescent="0.35">
      <c r="A325" s="2" t="s">
        <v>361</v>
      </c>
      <c r="B325" s="3">
        <v>45073</v>
      </c>
      <c r="C325" s="2" t="s">
        <v>22</v>
      </c>
      <c r="D325" s="2" t="s">
        <v>11</v>
      </c>
      <c r="E325" s="2" t="s">
        <v>12</v>
      </c>
      <c r="F325" s="2">
        <v>734.86</v>
      </c>
      <c r="G325" s="2">
        <v>83.88</v>
      </c>
      <c r="H325" s="2" t="s">
        <v>19</v>
      </c>
      <c r="I325" s="2" t="s">
        <v>34</v>
      </c>
    </row>
    <row r="326" spans="1:9" x14ac:dyDescent="0.35">
      <c r="A326" s="2" t="s">
        <v>362</v>
      </c>
      <c r="B326" s="3">
        <v>44715</v>
      </c>
      <c r="C326" s="2" t="s">
        <v>16</v>
      </c>
      <c r="D326" s="2" t="s">
        <v>62</v>
      </c>
      <c r="E326" s="2" t="s">
        <v>27</v>
      </c>
      <c r="F326" s="2">
        <v>74.37</v>
      </c>
      <c r="G326" s="2">
        <v>13.34</v>
      </c>
      <c r="H326" s="2" t="s">
        <v>28</v>
      </c>
      <c r="I326" s="2" t="s">
        <v>34</v>
      </c>
    </row>
    <row r="327" spans="1:9" x14ac:dyDescent="0.35">
      <c r="A327" s="2" t="s">
        <v>363</v>
      </c>
      <c r="B327" s="3">
        <v>45142</v>
      </c>
      <c r="C327" s="2" t="s">
        <v>22</v>
      </c>
      <c r="D327" s="2" t="s">
        <v>73</v>
      </c>
      <c r="E327" s="2" t="s">
        <v>27</v>
      </c>
      <c r="F327" s="2">
        <v>800.38</v>
      </c>
      <c r="G327" s="2">
        <v>80.260000000000005</v>
      </c>
      <c r="H327" s="2" t="s">
        <v>19</v>
      </c>
      <c r="I327" s="2" t="s">
        <v>20</v>
      </c>
    </row>
    <row r="328" spans="1:9" x14ac:dyDescent="0.35">
      <c r="A328" s="2" t="s">
        <v>364</v>
      </c>
      <c r="B328" s="3">
        <v>44653</v>
      </c>
      <c r="C328" s="2" t="s">
        <v>22</v>
      </c>
      <c r="D328" s="2" t="s">
        <v>50</v>
      </c>
      <c r="E328" s="2" t="s">
        <v>12</v>
      </c>
      <c r="F328" s="2">
        <v>178.53</v>
      </c>
      <c r="G328" s="2">
        <v>18.82</v>
      </c>
      <c r="H328" s="2" t="s">
        <v>28</v>
      </c>
      <c r="I328" s="2" t="s">
        <v>20</v>
      </c>
    </row>
    <row r="329" spans="1:9" x14ac:dyDescent="0.35">
      <c r="A329" s="2" t="s">
        <v>365</v>
      </c>
      <c r="B329" s="3">
        <v>44810</v>
      </c>
      <c r="C329" s="2" t="s">
        <v>25</v>
      </c>
      <c r="D329" s="2" t="s">
        <v>26</v>
      </c>
      <c r="E329" s="2" t="s">
        <v>27</v>
      </c>
      <c r="F329" s="2">
        <v>1805.78</v>
      </c>
      <c r="G329" s="2">
        <v>214.6</v>
      </c>
      <c r="H329" s="2" t="s">
        <v>13</v>
      </c>
      <c r="I329" s="2" t="s">
        <v>14</v>
      </c>
    </row>
    <row r="330" spans="1:9" x14ac:dyDescent="0.35">
      <c r="A330" s="2" t="s">
        <v>366</v>
      </c>
      <c r="B330" s="3">
        <v>44802</v>
      </c>
      <c r="C330" s="2" t="s">
        <v>22</v>
      </c>
      <c r="D330" s="2" t="s">
        <v>41</v>
      </c>
      <c r="E330" s="2" t="s">
        <v>12</v>
      </c>
      <c r="F330" s="2">
        <v>1682.71</v>
      </c>
      <c r="G330" s="2">
        <v>265.86</v>
      </c>
      <c r="H330" s="2" t="s">
        <v>19</v>
      </c>
      <c r="I330" s="2" t="s">
        <v>34</v>
      </c>
    </row>
    <row r="331" spans="1:9" x14ac:dyDescent="0.35">
      <c r="A331" s="2" t="s">
        <v>367</v>
      </c>
      <c r="B331" s="3">
        <v>44589</v>
      </c>
      <c r="C331" s="2" t="s">
        <v>25</v>
      </c>
      <c r="D331" s="2" t="s">
        <v>62</v>
      </c>
      <c r="E331" s="2" t="s">
        <v>27</v>
      </c>
      <c r="F331" s="2">
        <v>228.37</v>
      </c>
      <c r="G331" s="2">
        <v>46.86</v>
      </c>
      <c r="H331" s="2" t="s">
        <v>28</v>
      </c>
      <c r="I331" s="2" t="s">
        <v>20</v>
      </c>
    </row>
    <row r="332" spans="1:9" x14ac:dyDescent="0.35">
      <c r="A332" s="2" t="s">
        <v>368</v>
      </c>
      <c r="B332" s="3">
        <v>45060</v>
      </c>
      <c r="C332" s="2" t="s">
        <v>25</v>
      </c>
      <c r="D332" s="2" t="s">
        <v>97</v>
      </c>
      <c r="E332" s="2" t="s">
        <v>27</v>
      </c>
      <c r="F332" s="2">
        <v>1171.49</v>
      </c>
      <c r="G332" s="2">
        <v>323.93</v>
      </c>
      <c r="H332" s="2" t="s">
        <v>13</v>
      </c>
      <c r="I332" s="2" t="s">
        <v>34</v>
      </c>
    </row>
    <row r="333" spans="1:9" x14ac:dyDescent="0.35">
      <c r="A333" s="2" t="s">
        <v>369</v>
      </c>
      <c r="B333" s="3">
        <v>45153</v>
      </c>
      <c r="C333" s="2" t="s">
        <v>25</v>
      </c>
      <c r="D333" s="2" t="s">
        <v>38</v>
      </c>
      <c r="E333" s="2" t="s">
        <v>12</v>
      </c>
      <c r="F333" s="2">
        <v>1762.16</v>
      </c>
      <c r="G333" s="2">
        <v>410.54</v>
      </c>
      <c r="H333" s="2" t="s">
        <v>28</v>
      </c>
      <c r="I333" s="2" t="s">
        <v>20</v>
      </c>
    </row>
    <row r="334" spans="1:9" x14ac:dyDescent="0.35">
      <c r="A334" s="2" t="s">
        <v>370</v>
      </c>
      <c r="B334" s="3">
        <v>45292</v>
      </c>
      <c r="C334" s="2" t="s">
        <v>25</v>
      </c>
      <c r="D334" s="2" t="s">
        <v>73</v>
      </c>
      <c r="E334" s="2" t="s">
        <v>27</v>
      </c>
      <c r="F334" s="2">
        <v>1546.08</v>
      </c>
      <c r="G334" s="2">
        <v>429.72</v>
      </c>
      <c r="H334" s="2" t="s">
        <v>28</v>
      </c>
      <c r="I334" s="2" t="s">
        <v>14</v>
      </c>
    </row>
    <row r="335" spans="1:9" x14ac:dyDescent="0.35">
      <c r="A335" s="2" t="s">
        <v>371</v>
      </c>
      <c r="B335" s="3">
        <v>44986</v>
      </c>
      <c r="C335" s="2" t="s">
        <v>25</v>
      </c>
      <c r="D335" s="2" t="s">
        <v>11</v>
      </c>
      <c r="E335" s="2" t="s">
        <v>12</v>
      </c>
      <c r="F335" s="2">
        <v>1363.18</v>
      </c>
      <c r="G335" s="2">
        <v>151.72999999999999</v>
      </c>
      <c r="H335" s="2" t="s">
        <v>19</v>
      </c>
      <c r="I335" s="2" t="s">
        <v>20</v>
      </c>
    </row>
    <row r="336" spans="1:9" x14ac:dyDescent="0.35">
      <c r="A336" s="2" t="s">
        <v>372</v>
      </c>
      <c r="B336" s="3">
        <v>45363</v>
      </c>
      <c r="C336" s="2" t="s">
        <v>10</v>
      </c>
      <c r="D336" s="2" t="s">
        <v>41</v>
      </c>
      <c r="E336" s="2" t="s">
        <v>12</v>
      </c>
      <c r="F336" s="2">
        <v>173.95</v>
      </c>
      <c r="G336" s="2">
        <v>32.69</v>
      </c>
      <c r="H336" s="2" t="s">
        <v>13</v>
      </c>
      <c r="I336" s="2" t="s">
        <v>34</v>
      </c>
    </row>
    <row r="337" spans="1:9" x14ac:dyDescent="0.35">
      <c r="A337" s="2" t="s">
        <v>373</v>
      </c>
      <c r="B337" s="3">
        <v>45619</v>
      </c>
      <c r="C337" s="2" t="s">
        <v>25</v>
      </c>
      <c r="D337" s="2" t="s">
        <v>62</v>
      </c>
      <c r="E337" s="2" t="s">
        <v>27</v>
      </c>
      <c r="F337" s="2">
        <v>517.21</v>
      </c>
      <c r="G337" s="2">
        <v>34.85</v>
      </c>
      <c r="H337" s="2" t="s">
        <v>19</v>
      </c>
      <c r="I337" s="2" t="s">
        <v>34</v>
      </c>
    </row>
    <row r="338" spans="1:9" x14ac:dyDescent="0.35">
      <c r="A338" s="2" t="s">
        <v>374</v>
      </c>
      <c r="B338" s="3">
        <v>44749</v>
      </c>
      <c r="C338" s="2" t="s">
        <v>22</v>
      </c>
      <c r="D338" s="2" t="s">
        <v>23</v>
      </c>
      <c r="E338" s="2" t="s">
        <v>18</v>
      </c>
      <c r="F338" s="2">
        <v>864.58</v>
      </c>
      <c r="G338" s="2">
        <v>72.73</v>
      </c>
      <c r="H338" s="2" t="s">
        <v>28</v>
      </c>
      <c r="I338" s="2" t="s">
        <v>20</v>
      </c>
    </row>
    <row r="339" spans="1:9" x14ac:dyDescent="0.35">
      <c r="A339" s="2" t="s">
        <v>375</v>
      </c>
      <c r="B339" s="3">
        <v>45307</v>
      </c>
      <c r="C339" s="2" t="s">
        <v>22</v>
      </c>
      <c r="D339" s="2" t="s">
        <v>17</v>
      </c>
      <c r="E339" s="2" t="s">
        <v>18</v>
      </c>
      <c r="F339" s="2">
        <v>1682.24</v>
      </c>
      <c r="G339" s="2">
        <v>293.54000000000002</v>
      </c>
      <c r="H339" s="2" t="s">
        <v>28</v>
      </c>
      <c r="I339" s="2" t="s">
        <v>34</v>
      </c>
    </row>
    <row r="340" spans="1:9" x14ac:dyDescent="0.35">
      <c r="A340" s="2" t="s">
        <v>376</v>
      </c>
      <c r="B340" s="3">
        <v>45311</v>
      </c>
      <c r="C340" s="2" t="s">
        <v>16</v>
      </c>
      <c r="D340" s="2" t="s">
        <v>97</v>
      </c>
      <c r="E340" s="2" t="s">
        <v>27</v>
      </c>
      <c r="F340" s="2">
        <v>1447.18</v>
      </c>
      <c r="G340" s="2">
        <v>195.59</v>
      </c>
      <c r="H340" s="2" t="s">
        <v>28</v>
      </c>
      <c r="I340" s="2" t="s">
        <v>34</v>
      </c>
    </row>
    <row r="341" spans="1:9" x14ac:dyDescent="0.35">
      <c r="A341" s="2" t="s">
        <v>377</v>
      </c>
      <c r="B341" s="3">
        <v>45349</v>
      </c>
      <c r="C341" s="2" t="s">
        <v>16</v>
      </c>
      <c r="D341" s="2" t="s">
        <v>41</v>
      </c>
      <c r="E341" s="2" t="s">
        <v>12</v>
      </c>
      <c r="F341" s="2">
        <v>720.94</v>
      </c>
      <c r="G341" s="2">
        <v>161.84</v>
      </c>
      <c r="H341" s="2" t="s">
        <v>28</v>
      </c>
      <c r="I341" s="2" t="s">
        <v>29</v>
      </c>
    </row>
    <row r="342" spans="1:9" x14ac:dyDescent="0.35">
      <c r="A342" s="2" t="s">
        <v>378</v>
      </c>
      <c r="B342" s="3">
        <v>44674</v>
      </c>
      <c r="C342" s="2" t="s">
        <v>10</v>
      </c>
      <c r="D342" s="2" t="s">
        <v>62</v>
      </c>
      <c r="E342" s="2" t="s">
        <v>27</v>
      </c>
      <c r="F342" s="2">
        <v>301.06</v>
      </c>
      <c r="G342" s="2">
        <v>84.72</v>
      </c>
      <c r="H342" s="2" t="s">
        <v>19</v>
      </c>
      <c r="I342" s="2" t="s">
        <v>20</v>
      </c>
    </row>
    <row r="343" spans="1:9" x14ac:dyDescent="0.35">
      <c r="A343" s="2" t="s">
        <v>379</v>
      </c>
      <c r="B343" s="3">
        <v>45612</v>
      </c>
      <c r="C343" s="2" t="s">
        <v>22</v>
      </c>
      <c r="D343" s="2" t="s">
        <v>57</v>
      </c>
      <c r="E343" s="2" t="s">
        <v>27</v>
      </c>
      <c r="F343" s="2">
        <v>1911.16</v>
      </c>
      <c r="G343" s="2">
        <v>151.56</v>
      </c>
      <c r="H343" s="2" t="s">
        <v>19</v>
      </c>
      <c r="I343" s="2" t="s">
        <v>34</v>
      </c>
    </row>
    <row r="344" spans="1:9" x14ac:dyDescent="0.35">
      <c r="A344" s="2" t="s">
        <v>380</v>
      </c>
      <c r="B344" s="3">
        <v>45571</v>
      </c>
      <c r="C344" s="2" t="s">
        <v>10</v>
      </c>
      <c r="D344" s="2" t="s">
        <v>95</v>
      </c>
      <c r="E344" s="2" t="s">
        <v>18</v>
      </c>
      <c r="F344" s="2">
        <v>1260.3900000000001</v>
      </c>
      <c r="G344" s="2">
        <v>157.25</v>
      </c>
      <c r="H344" s="2" t="s">
        <v>13</v>
      </c>
      <c r="I344" s="2" t="s">
        <v>20</v>
      </c>
    </row>
    <row r="345" spans="1:9" x14ac:dyDescent="0.35">
      <c r="A345" s="2" t="s">
        <v>381</v>
      </c>
      <c r="B345" s="3">
        <v>45451</v>
      </c>
      <c r="C345" s="2" t="s">
        <v>10</v>
      </c>
      <c r="D345" s="2" t="s">
        <v>41</v>
      </c>
      <c r="E345" s="2" t="s">
        <v>12</v>
      </c>
      <c r="F345" s="2">
        <v>1235.26</v>
      </c>
      <c r="G345" s="2">
        <v>78.959999999999994</v>
      </c>
      <c r="H345" s="2" t="s">
        <v>13</v>
      </c>
      <c r="I345" s="2" t="s">
        <v>29</v>
      </c>
    </row>
    <row r="346" spans="1:9" x14ac:dyDescent="0.35">
      <c r="A346" s="2" t="s">
        <v>382</v>
      </c>
      <c r="B346" s="3">
        <v>45138</v>
      </c>
      <c r="C346" s="2" t="s">
        <v>25</v>
      </c>
      <c r="D346" s="2" t="s">
        <v>97</v>
      </c>
      <c r="E346" s="2" t="s">
        <v>27</v>
      </c>
      <c r="F346" s="2">
        <v>641.48</v>
      </c>
      <c r="G346" s="2">
        <v>137.38</v>
      </c>
      <c r="H346" s="2" t="s">
        <v>13</v>
      </c>
      <c r="I346" s="2" t="s">
        <v>20</v>
      </c>
    </row>
    <row r="347" spans="1:9" x14ac:dyDescent="0.35">
      <c r="A347" s="2" t="s">
        <v>383</v>
      </c>
      <c r="B347" s="3">
        <v>44997</v>
      </c>
      <c r="C347" s="2" t="s">
        <v>16</v>
      </c>
      <c r="D347" s="2" t="s">
        <v>73</v>
      </c>
      <c r="E347" s="2" t="s">
        <v>27</v>
      </c>
      <c r="F347" s="2">
        <v>1373.9</v>
      </c>
      <c r="G347" s="2">
        <v>309.33999999999997</v>
      </c>
      <c r="H347" s="2" t="s">
        <v>19</v>
      </c>
      <c r="I347" s="2" t="s">
        <v>14</v>
      </c>
    </row>
    <row r="348" spans="1:9" x14ac:dyDescent="0.35">
      <c r="A348" s="2" t="s">
        <v>384</v>
      </c>
      <c r="B348" s="3">
        <v>45199</v>
      </c>
      <c r="C348" s="2" t="s">
        <v>25</v>
      </c>
      <c r="D348" s="2" t="s">
        <v>97</v>
      </c>
      <c r="E348" s="2" t="s">
        <v>27</v>
      </c>
      <c r="F348" s="2">
        <v>313.70999999999998</v>
      </c>
      <c r="G348" s="2">
        <v>48.41</v>
      </c>
      <c r="H348" s="2" t="s">
        <v>13</v>
      </c>
      <c r="I348" s="2" t="s">
        <v>34</v>
      </c>
    </row>
    <row r="349" spans="1:9" x14ac:dyDescent="0.35">
      <c r="A349" s="2" t="s">
        <v>385</v>
      </c>
      <c r="B349" s="3">
        <v>44656</v>
      </c>
      <c r="C349" s="2" t="s">
        <v>22</v>
      </c>
      <c r="D349" s="2" t="s">
        <v>46</v>
      </c>
      <c r="E349" s="2" t="s">
        <v>18</v>
      </c>
      <c r="F349" s="2">
        <v>1366.7</v>
      </c>
      <c r="G349" s="2">
        <v>295.22000000000003</v>
      </c>
      <c r="H349" s="2" t="s">
        <v>19</v>
      </c>
      <c r="I349" s="2" t="s">
        <v>29</v>
      </c>
    </row>
    <row r="350" spans="1:9" x14ac:dyDescent="0.35">
      <c r="A350" s="2" t="s">
        <v>386</v>
      </c>
      <c r="B350" s="3">
        <v>44636</v>
      </c>
      <c r="C350" s="2" t="s">
        <v>25</v>
      </c>
      <c r="D350" s="2" t="s">
        <v>38</v>
      </c>
      <c r="E350" s="2" t="s">
        <v>12</v>
      </c>
      <c r="F350" s="2">
        <v>525.9</v>
      </c>
      <c r="G350" s="2">
        <v>125.9</v>
      </c>
      <c r="H350" s="2" t="s">
        <v>28</v>
      </c>
      <c r="I350" s="2" t="s">
        <v>14</v>
      </c>
    </row>
    <row r="351" spans="1:9" x14ac:dyDescent="0.35">
      <c r="A351" s="2" t="s">
        <v>387</v>
      </c>
      <c r="B351" s="3">
        <v>44616</v>
      </c>
      <c r="C351" s="2" t="s">
        <v>25</v>
      </c>
      <c r="D351" s="2" t="s">
        <v>50</v>
      </c>
      <c r="E351" s="2" t="s">
        <v>12</v>
      </c>
      <c r="F351" s="2">
        <v>1463.46</v>
      </c>
      <c r="G351" s="2">
        <v>99.54</v>
      </c>
      <c r="H351" s="2" t="s">
        <v>28</v>
      </c>
      <c r="I351" s="2" t="s">
        <v>14</v>
      </c>
    </row>
    <row r="352" spans="1:9" x14ac:dyDescent="0.35">
      <c r="A352" s="2" t="s">
        <v>388</v>
      </c>
      <c r="B352" s="3">
        <v>45089</v>
      </c>
      <c r="C352" s="2" t="s">
        <v>25</v>
      </c>
      <c r="D352" s="2" t="s">
        <v>97</v>
      </c>
      <c r="E352" s="2" t="s">
        <v>27</v>
      </c>
      <c r="F352" s="2">
        <v>405.86</v>
      </c>
      <c r="G352" s="2">
        <v>68.91</v>
      </c>
      <c r="H352" s="2" t="s">
        <v>28</v>
      </c>
      <c r="I352" s="2" t="s">
        <v>29</v>
      </c>
    </row>
    <row r="353" spans="1:9" x14ac:dyDescent="0.35">
      <c r="A353" s="2" t="s">
        <v>389</v>
      </c>
      <c r="B353" s="3">
        <v>44908</v>
      </c>
      <c r="C353" s="2" t="s">
        <v>25</v>
      </c>
      <c r="D353" s="2" t="s">
        <v>95</v>
      </c>
      <c r="E353" s="2" t="s">
        <v>18</v>
      </c>
      <c r="F353" s="2">
        <v>547.36</v>
      </c>
      <c r="G353" s="2">
        <v>61.91</v>
      </c>
      <c r="H353" s="2" t="s">
        <v>13</v>
      </c>
      <c r="I353" s="2" t="s">
        <v>34</v>
      </c>
    </row>
    <row r="354" spans="1:9" x14ac:dyDescent="0.35">
      <c r="A354" s="2" t="s">
        <v>390</v>
      </c>
      <c r="B354" s="3">
        <v>44930</v>
      </c>
      <c r="C354" s="2" t="s">
        <v>10</v>
      </c>
      <c r="D354" s="2" t="s">
        <v>73</v>
      </c>
      <c r="E354" s="2" t="s">
        <v>27</v>
      </c>
      <c r="F354" s="2">
        <v>1106.93</v>
      </c>
      <c r="G354" s="2">
        <v>219.98</v>
      </c>
      <c r="H354" s="2" t="s">
        <v>28</v>
      </c>
      <c r="I354" s="2" t="s">
        <v>20</v>
      </c>
    </row>
    <row r="355" spans="1:9" x14ac:dyDescent="0.35">
      <c r="A355" s="2" t="s">
        <v>391</v>
      </c>
      <c r="B355" s="3">
        <v>45336</v>
      </c>
      <c r="C355" s="2" t="s">
        <v>22</v>
      </c>
      <c r="D355" s="2" t="s">
        <v>41</v>
      </c>
      <c r="E355" s="2" t="s">
        <v>12</v>
      </c>
      <c r="F355" s="2">
        <v>1567.3</v>
      </c>
      <c r="G355" s="2">
        <v>185.55</v>
      </c>
      <c r="H355" s="2" t="s">
        <v>19</v>
      </c>
      <c r="I355" s="2" t="s">
        <v>29</v>
      </c>
    </row>
    <row r="356" spans="1:9" x14ac:dyDescent="0.35">
      <c r="A356" s="2" t="s">
        <v>392</v>
      </c>
      <c r="B356" s="3">
        <v>44617</v>
      </c>
      <c r="C356" s="2" t="s">
        <v>10</v>
      </c>
      <c r="D356" s="2" t="s">
        <v>62</v>
      </c>
      <c r="E356" s="2" t="s">
        <v>27</v>
      </c>
      <c r="F356" s="2">
        <v>1063.8900000000001</v>
      </c>
      <c r="G356" s="2">
        <v>297.54000000000002</v>
      </c>
      <c r="H356" s="2" t="s">
        <v>28</v>
      </c>
      <c r="I356" s="2" t="s">
        <v>20</v>
      </c>
    </row>
    <row r="357" spans="1:9" x14ac:dyDescent="0.35">
      <c r="A357" s="2" t="s">
        <v>393</v>
      </c>
      <c r="B357" s="3">
        <v>45371</v>
      </c>
      <c r="C357" s="2" t="s">
        <v>10</v>
      </c>
      <c r="D357" s="2" t="s">
        <v>46</v>
      </c>
      <c r="E357" s="2" t="s">
        <v>18</v>
      </c>
      <c r="F357" s="2">
        <v>1761.58</v>
      </c>
      <c r="G357" s="2">
        <v>188.84</v>
      </c>
      <c r="H357" s="2" t="s">
        <v>28</v>
      </c>
      <c r="I357" s="2" t="s">
        <v>14</v>
      </c>
    </row>
    <row r="358" spans="1:9" x14ac:dyDescent="0.35">
      <c r="A358" s="2" t="s">
        <v>394</v>
      </c>
      <c r="B358" s="3">
        <v>44819</v>
      </c>
      <c r="C358" s="2" t="s">
        <v>10</v>
      </c>
      <c r="D358" s="2" t="s">
        <v>11</v>
      </c>
      <c r="E358" s="2" t="s">
        <v>12</v>
      </c>
      <c r="F358" s="2">
        <v>1456.17</v>
      </c>
      <c r="G358" s="2">
        <v>384.73</v>
      </c>
      <c r="H358" s="2" t="s">
        <v>28</v>
      </c>
      <c r="I358" s="2" t="s">
        <v>34</v>
      </c>
    </row>
    <row r="359" spans="1:9" x14ac:dyDescent="0.35">
      <c r="A359" s="2" t="s">
        <v>395</v>
      </c>
      <c r="B359" s="3">
        <v>44618</v>
      </c>
      <c r="C359" s="2" t="s">
        <v>16</v>
      </c>
      <c r="D359" s="2" t="s">
        <v>26</v>
      </c>
      <c r="E359" s="2" t="s">
        <v>27</v>
      </c>
      <c r="F359" s="2">
        <v>899.33</v>
      </c>
      <c r="G359" s="2">
        <v>53.98</v>
      </c>
      <c r="H359" s="2" t="s">
        <v>19</v>
      </c>
      <c r="I359" s="2" t="s">
        <v>20</v>
      </c>
    </row>
    <row r="360" spans="1:9" x14ac:dyDescent="0.35">
      <c r="A360" s="2" t="s">
        <v>396</v>
      </c>
      <c r="B360" s="3">
        <v>44688</v>
      </c>
      <c r="C360" s="2" t="s">
        <v>25</v>
      </c>
      <c r="D360" s="2" t="s">
        <v>97</v>
      </c>
      <c r="E360" s="2" t="s">
        <v>27</v>
      </c>
      <c r="F360" s="2">
        <v>336.11</v>
      </c>
      <c r="G360" s="2">
        <v>68.010000000000005</v>
      </c>
      <c r="H360" s="2" t="s">
        <v>28</v>
      </c>
      <c r="I360" s="2" t="s">
        <v>29</v>
      </c>
    </row>
    <row r="361" spans="1:9" x14ac:dyDescent="0.35">
      <c r="A361" s="2" t="s">
        <v>397</v>
      </c>
      <c r="B361" s="3">
        <v>45653</v>
      </c>
      <c r="C361" s="2" t="s">
        <v>25</v>
      </c>
      <c r="D361" s="2" t="s">
        <v>26</v>
      </c>
      <c r="E361" s="2" t="s">
        <v>27</v>
      </c>
      <c r="F361" s="2">
        <v>736.12</v>
      </c>
      <c r="G361" s="2">
        <v>199.12</v>
      </c>
      <c r="H361" s="2" t="s">
        <v>19</v>
      </c>
      <c r="I361" s="2" t="s">
        <v>29</v>
      </c>
    </row>
    <row r="362" spans="1:9" x14ac:dyDescent="0.35">
      <c r="A362" s="2" t="s">
        <v>398</v>
      </c>
      <c r="B362" s="3">
        <v>45535</v>
      </c>
      <c r="C362" s="2" t="s">
        <v>10</v>
      </c>
      <c r="D362" s="2" t="s">
        <v>46</v>
      </c>
      <c r="E362" s="2" t="s">
        <v>18</v>
      </c>
      <c r="F362" s="2">
        <v>890.31</v>
      </c>
      <c r="G362" s="2">
        <v>114.62</v>
      </c>
      <c r="H362" s="2" t="s">
        <v>13</v>
      </c>
      <c r="I362" s="2" t="s">
        <v>20</v>
      </c>
    </row>
    <row r="363" spans="1:9" x14ac:dyDescent="0.35">
      <c r="A363" s="2" t="s">
        <v>399</v>
      </c>
      <c r="B363" s="3">
        <v>45272</v>
      </c>
      <c r="C363" s="2" t="s">
        <v>25</v>
      </c>
      <c r="D363" s="2" t="s">
        <v>26</v>
      </c>
      <c r="E363" s="2" t="s">
        <v>27</v>
      </c>
      <c r="F363" s="2">
        <v>161.22999999999999</v>
      </c>
      <c r="G363" s="2">
        <v>30.75</v>
      </c>
      <c r="H363" s="2" t="s">
        <v>28</v>
      </c>
      <c r="I363" s="2" t="s">
        <v>29</v>
      </c>
    </row>
    <row r="364" spans="1:9" x14ac:dyDescent="0.35">
      <c r="A364" s="2" t="s">
        <v>400</v>
      </c>
      <c r="B364" s="3">
        <v>44743</v>
      </c>
      <c r="C364" s="2" t="s">
        <v>10</v>
      </c>
      <c r="D364" s="2" t="s">
        <v>95</v>
      </c>
      <c r="E364" s="2" t="s">
        <v>18</v>
      </c>
      <c r="F364" s="2">
        <v>1196.68</v>
      </c>
      <c r="G364" s="2">
        <v>130.69999999999999</v>
      </c>
      <c r="H364" s="2" t="s">
        <v>28</v>
      </c>
      <c r="I364" s="2" t="s">
        <v>34</v>
      </c>
    </row>
    <row r="365" spans="1:9" x14ac:dyDescent="0.35">
      <c r="A365" s="2" t="s">
        <v>401</v>
      </c>
      <c r="B365" s="3">
        <v>44877</v>
      </c>
      <c r="C365" s="2" t="s">
        <v>22</v>
      </c>
      <c r="D365" s="2" t="s">
        <v>95</v>
      </c>
      <c r="E365" s="2" t="s">
        <v>18</v>
      </c>
      <c r="F365" s="2">
        <v>669.18</v>
      </c>
      <c r="G365" s="2">
        <v>152.72</v>
      </c>
      <c r="H365" s="2" t="s">
        <v>28</v>
      </c>
      <c r="I365" s="2" t="s">
        <v>29</v>
      </c>
    </row>
    <row r="366" spans="1:9" x14ac:dyDescent="0.35">
      <c r="A366" s="2" t="s">
        <v>402</v>
      </c>
      <c r="B366" s="3">
        <v>45382</v>
      </c>
      <c r="C366" s="2" t="s">
        <v>16</v>
      </c>
      <c r="D366" s="2" t="s">
        <v>95</v>
      </c>
      <c r="E366" s="2" t="s">
        <v>18</v>
      </c>
      <c r="F366" s="2">
        <v>1329.92</v>
      </c>
      <c r="G366" s="2">
        <v>119.17</v>
      </c>
      <c r="H366" s="2" t="s">
        <v>13</v>
      </c>
      <c r="I366" s="2" t="s">
        <v>34</v>
      </c>
    </row>
    <row r="367" spans="1:9" x14ac:dyDescent="0.35">
      <c r="A367" s="2" t="s">
        <v>403</v>
      </c>
      <c r="B367" s="3">
        <v>44805</v>
      </c>
      <c r="C367" s="2" t="s">
        <v>22</v>
      </c>
      <c r="D367" s="2" t="s">
        <v>41</v>
      </c>
      <c r="E367" s="2" t="s">
        <v>12</v>
      </c>
      <c r="F367" s="2">
        <v>1081.06</v>
      </c>
      <c r="G367" s="2">
        <v>260.47000000000003</v>
      </c>
      <c r="H367" s="2" t="s">
        <v>19</v>
      </c>
      <c r="I367" s="2" t="s">
        <v>34</v>
      </c>
    </row>
    <row r="368" spans="1:9" x14ac:dyDescent="0.35">
      <c r="A368" s="2" t="s">
        <v>404</v>
      </c>
      <c r="B368" s="3">
        <v>45366</v>
      </c>
      <c r="C368" s="2" t="s">
        <v>25</v>
      </c>
      <c r="D368" s="2" t="s">
        <v>41</v>
      </c>
      <c r="E368" s="2" t="s">
        <v>12</v>
      </c>
      <c r="F368" s="2">
        <v>1607.89</v>
      </c>
      <c r="G368" s="2">
        <v>156.55000000000001</v>
      </c>
      <c r="H368" s="2" t="s">
        <v>19</v>
      </c>
      <c r="I368" s="2" t="s">
        <v>29</v>
      </c>
    </row>
    <row r="369" spans="1:9" x14ac:dyDescent="0.35">
      <c r="A369" s="2" t="s">
        <v>405</v>
      </c>
      <c r="B369" s="3">
        <v>45554</v>
      </c>
      <c r="C369" s="2" t="s">
        <v>25</v>
      </c>
      <c r="D369" s="2" t="s">
        <v>38</v>
      </c>
      <c r="E369" s="2" t="s">
        <v>12</v>
      </c>
      <c r="F369" s="2">
        <v>906.66</v>
      </c>
      <c r="G369" s="2">
        <v>236.72</v>
      </c>
      <c r="H369" s="2" t="s">
        <v>19</v>
      </c>
      <c r="I369" s="2" t="s">
        <v>20</v>
      </c>
    </row>
    <row r="370" spans="1:9" x14ac:dyDescent="0.35">
      <c r="A370" s="2" t="s">
        <v>406</v>
      </c>
      <c r="B370" s="3">
        <v>45197</v>
      </c>
      <c r="C370" s="2" t="s">
        <v>25</v>
      </c>
      <c r="D370" s="2" t="s">
        <v>38</v>
      </c>
      <c r="E370" s="2" t="s">
        <v>12</v>
      </c>
      <c r="F370" s="2">
        <v>1709.63</v>
      </c>
      <c r="G370" s="2">
        <v>188.55</v>
      </c>
      <c r="H370" s="2" t="s">
        <v>13</v>
      </c>
      <c r="I370" s="2" t="s">
        <v>14</v>
      </c>
    </row>
    <row r="371" spans="1:9" x14ac:dyDescent="0.35">
      <c r="A371" s="2" t="s">
        <v>407</v>
      </c>
      <c r="B371" s="3">
        <v>45477</v>
      </c>
      <c r="C371" s="2" t="s">
        <v>25</v>
      </c>
      <c r="D371" s="2" t="s">
        <v>62</v>
      </c>
      <c r="E371" s="2" t="s">
        <v>27</v>
      </c>
      <c r="F371" s="2">
        <v>1524.01</v>
      </c>
      <c r="G371" s="2">
        <v>260.36</v>
      </c>
      <c r="H371" s="2" t="s">
        <v>28</v>
      </c>
      <c r="I371" s="2" t="s">
        <v>29</v>
      </c>
    </row>
    <row r="372" spans="1:9" x14ac:dyDescent="0.35">
      <c r="A372" s="2" t="s">
        <v>408</v>
      </c>
      <c r="B372" s="3">
        <v>45370</v>
      </c>
      <c r="C372" s="2" t="s">
        <v>10</v>
      </c>
      <c r="D372" s="2" t="s">
        <v>17</v>
      </c>
      <c r="E372" s="2" t="s">
        <v>18</v>
      </c>
      <c r="F372" s="2">
        <v>354.06</v>
      </c>
      <c r="G372" s="2">
        <v>17.96</v>
      </c>
      <c r="H372" s="2" t="s">
        <v>28</v>
      </c>
      <c r="I372" s="2" t="s">
        <v>34</v>
      </c>
    </row>
    <row r="373" spans="1:9" x14ac:dyDescent="0.35">
      <c r="A373" s="2" t="s">
        <v>409</v>
      </c>
      <c r="B373" s="3">
        <v>45484</v>
      </c>
      <c r="C373" s="2" t="s">
        <v>22</v>
      </c>
      <c r="D373" s="2" t="s">
        <v>17</v>
      </c>
      <c r="E373" s="2" t="s">
        <v>18</v>
      </c>
      <c r="F373" s="2">
        <v>230.73</v>
      </c>
      <c r="G373" s="2">
        <v>21.78</v>
      </c>
      <c r="H373" s="2" t="s">
        <v>28</v>
      </c>
      <c r="I373" s="2" t="s">
        <v>29</v>
      </c>
    </row>
    <row r="374" spans="1:9" x14ac:dyDescent="0.35">
      <c r="A374" s="2" t="s">
        <v>410</v>
      </c>
      <c r="B374" s="3">
        <v>44754</v>
      </c>
      <c r="C374" s="2" t="s">
        <v>10</v>
      </c>
      <c r="D374" s="2" t="s">
        <v>17</v>
      </c>
      <c r="E374" s="2" t="s">
        <v>18</v>
      </c>
      <c r="F374" s="2">
        <v>1067.04</v>
      </c>
      <c r="G374" s="2">
        <v>204.73</v>
      </c>
      <c r="H374" s="2" t="s">
        <v>13</v>
      </c>
      <c r="I374" s="2" t="s">
        <v>20</v>
      </c>
    </row>
    <row r="375" spans="1:9" x14ac:dyDescent="0.35">
      <c r="A375" s="2" t="s">
        <v>411</v>
      </c>
      <c r="B375" s="3">
        <v>44687</v>
      </c>
      <c r="C375" s="2" t="s">
        <v>25</v>
      </c>
      <c r="D375" s="2" t="s">
        <v>46</v>
      </c>
      <c r="E375" s="2" t="s">
        <v>18</v>
      </c>
      <c r="F375" s="2">
        <v>383.44</v>
      </c>
      <c r="G375" s="2">
        <v>35.200000000000003</v>
      </c>
      <c r="H375" s="2" t="s">
        <v>28</v>
      </c>
      <c r="I375" s="2" t="s">
        <v>20</v>
      </c>
    </row>
    <row r="376" spans="1:9" x14ac:dyDescent="0.35">
      <c r="A376" s="2" t="s">
        <v>412</v>
      </c>
      <c r="B376" s="3">
        <v>44950</v>
      </c>
      <c r="C376" s="2" t="s">
        <v>25</v>
      </c>
      <c r="D376" s="2" t="s">
        <v>17</v>
      </c>
      <c r="E376" s="2" t="s">
        <v>18</v>
      </c>
      <c r="F376" s="2">
        <v>1509.41</v>
      </c>
      <c r="G376" s="2">
        <v>308.91000000000003</v>
      </c>
      <c r="H376" s="2" t="s">
        <v>13</v>
      </c>
      <c r="I376" s="2" t="s">
        <v>20</v>
      </c>
    </row>
    <row r="377" spans="1:9" x14ac:dyDescent="0.35">
      <c r="A377" s="2" t="s">
        <v>413</v>
      </c>
      <c r="B377" s="3">
        <v>44807</v>
      </c>
      <c r="C377" s="2" t="s">
        <v>22</v>
      </c>
      <c r="D377" s="2" t="s">
        <v>23</v>
      </c>
      <c r="E377" s="2" t="s">
        <v>18</v>
      </c>
      <c r="F377" s="2">
        <v>1358.99</v>
      </c>
      <c r="G377" s="2">
        <v>162.54</v>
      </c>
      <c r="H377" s="2" t="s">
        <v>28</v>
      </c>
      <c r="I377" s="2" t="s">
        <v>34</v>
      </c>
    </row>
    <row r="378" spans="1:9" x14ac:dyDescent="0.35">
      <c r="A378" s="2" t="s">
        <v>414</v>
      </c>
      <c r="B378" s="3">
        <v>44630</v>
      </c>
      <c r="C378" s="2" t="s">
        <v>22</v>
      </c>
      <c r="D378" s="2" t="s">
        <v>31</v>
      </c>
      <c r="E378" s="2" t="s">
        <v>12</v>
      </c>
      <c r="F378" s="2">
        <v>1182.94</v>
      </c>
      <c r="G378" s="2">
        <v>126.71</v>
      </c>
      <c r="H378" s="2" t="s">
        <v>13</v>
      </c>
      <c r="I378" s="2" t="s">
        <v>34</v>
      </c>
    </row>
    <row r="379" spans="1:9" x14ac:dyDescent="0.35">
      <c r="A379" s="2" t="s">
        <v>415</v>
      </c>
      <c r="B379" s="3">
        <v>44971</v>
      </c>
      <c r="C379" s="2" t="s">
        <v>22</v>
      </c>
      <c r="D379" s="2" t="s">
        <v>11</v>
      </c>
      <c r="E379" s="2" t="s">
        <v>12</v>
      </c>
      <c r="F379" s="2">
        <v>1892.22</v>
      </c>
      <c r="G379" s="2">
        <v>340.14</v>
      </c>
      <c r="H379" s="2" t="s">
        <v>13</v>
      </c>
      <c r="I379" s="2" t="s">
        <v>20</v>
      </c>
    </row>
    <row r="380" spans="1:9" x14ac:dyDescent="0.35">
      <c r="A380" s="2" t="s">
        <v>416</v>
      </c>
      <c r="B380" s="3">
        <v>45380</v>
      </c>
      <c r="C380" s="2" t="s">
        <v>10</v>
      </c>
      <c r="D380" s="2" t="s">
        <v>23</v>
      </c>
      <c r="E380" s="2" t="s">
        <v>18</v>
      </c>
      <c r="F380" s="2">
        <v>1166.02</v>
      </c>
      <c r="G380" s="2">
        <v>261.95</v>
      </c>
      <c r="H380" s="2" t="s">
        <v>28</v>
      </c>
      <c r="I380" s="2" t="s">
        <v>34</v>
      </c>
    </row>
    <row r="381" spans="1:9" x14ac:dyDescent="0.35">
      <c r="A381" s="2" t="s">
        <v>417</v>
      </c>
      <c r="B381" s="3">
        <v>45473</v>
      </c>
      <c r="C381" s="2" t="s">
        <v>16</v>
      </c>
      <c r="D381" s="2" t="s">
        <v>33</v>
      </c>
      <c r="E381" s="2" t="s">
        <v>18</v>
      </c>
      <c r="F381" s="2">
        <v>864.08</v>
      </c>
      <c r="G381" s="2">
        <v>228.51</v>
      </c>
      <c r="H381" s="2" t="s">
        <v>19</v>
      </c>
      <c r="I381" s="2" t="s">
        <v>14</v>
      </c>
    </row>
    <row r="382" spans="1:9" x14ac:dyDescent="0.35">
      <c r="A382" s="2" t="s">
        <v>418</v>
      </c>
      <c r="B382" s="3">
        <v>45397</v>
      </c>
      <c r="C382" s="2" t="s">
        <v>16</v>
      </c>
      <c r="D382" s="2" t="s">
        <v>50</v>
      </c>
      <c r="E382" s="2" t="s">
        <v>12</v>
      </c>
      <c r="F382" s="2">
        <v>1546.41</v>
      </c>
      <c r="G382" s="2">
        <v>107.75</v>
      </c>
      <c r="H382" s="2" t="s">
        <v>13</v>
      </c>
      <c r="I382" s="2" t="s">
        <v>34</v>
      </c>
    </row>
    <row r="383" spans="1:9" x14ac:dyDescent="0.35">
      <c r="A383" s="2" t="s">
        <v>419</v>
      </c>
      <c r="B383" s="3">
        <v>45569</v>
      </c>
      <c r="C383" s="2" t="s">
        <v>22</v>
      </c>
      <c r="D383" s="2" t="s">
        <v>62</v>
      </c>
      <c r="E383" s="2" t="s">
        <v>27</v>
      </c>
      <c r="F383" s="2">
        <v>1683.62</v>
      </c>
      <c r="G383" s="2">
        <v>234.35</v>
      </c>
      <c r="H383" s="2" t="s">
        <v>13</v>
      </c>
      <c r="I383" s="2" t="s">
        <v>34</v>
      </c>
    </row>
    <row r="384" spans="1:9" x14ac:dyDescent="0.35">
      <c r="A384" s="2" t="s">
        <v>420</v>
      </c>
      <c r="B384" s="3">
        <v>45253</v>
      </c>
      <c r="C384" s="2" t="s">
        <v>16</v>
      </c>
      <c r="D384" s="2" t="s">
        <v>50</v>
      </c>
      <c r="E384" s="2" t="s">
        <v>12</v>
      </c>
      <c r="F384" s="2">
        <v>1188.46</v>
      </c>
      <c r="G384" s="2">
        <v>320.36</v>
      </c>
      <c r="H384" s="2" t="s">
        <v>19</v>
      </c>
      <c r="I384" s="2" t="s">
        <v>14</v>
      </c>
    </row>
    <row r="385" spans="1:9" x14ac:dyDescent="0.35">
      <c r="A385" s="2" t="s">
        <v>421</v>
      </c>
      <c r="B385" s="3">
        <v>45552</v>
      </c>
      <c r="C385" s="2" t="s">
        <v>16</v>
      </c>
      <c r="D385" s="2" t="s">
        <v>97</v>
      </c>
      <c r="E385" s="2" t="s">
        <v>27</v>
      </c>
      <c r="F385" s="2">
        <v>1495.06</v>
      </c>
      <c r="G385" s="2">
        <v>214.23</v>
      </c>
      <c r="H385" s="2" t="s">
        <v>13</v>
      </c>
      <c r="I385" s="2" t="s">
        <v>14</v>
      </c>
    </row>
    <row r="386" spans="1:9" x14ac:dyDescent="0.35">
      <c r="A386" s="2" t="s">
        <v>422</v>
      </c>
      <c r="B386" s="3">
        <v>44818</v>
      </c>
      <c r="C386" s="2" t="s">
        <v>22</v>
      </c>
      <c r="D386" s="2" t="s">
        <v>23</v>
      </c>
      <c r="E386" s="2" t="s">
        <v>18</v>
      </c>
      <c r="F386" s="2">
        <v>887.36</v>
      </c>
      <c r="G386" s="2">
        <v>113.37</v>
      </c>
      <c r="H386" s="2" t="s">
        <v>13</v>
      </c>
      <c r="I386" s="2" t="s">
        <v>34</v>
      </c>
    </row>
    <row r="387" spans="1:9" x14ac:dyDescent="0.35">
      <c r="A387" s="2" t="s">
        <v>423</v>
      </c>
      <c r="B387" s="3">
        <v>44661</v>
      </c>
      <c r="C387" s="2" t="s">
        <v>25</v>
      </c>
      <c r="D387" s="2" t="s">
        <v>46</v>
      </c>
      <c r="E387" s="2" t="s">
        <v>18</v>
      </c>
      <c r="F387" s="2">
        <v>964</v>
      </c>
      <c r="G387" s="2">
        <v>159.06</v>
      </c>
      <c r="H387" s="2" t="s">
        <v>13</v>
      </c>
      <c r="I387" s="2" t="s">
        <v>29</v>
      </c>
    </row>
    <row r="388" spans="1:9" x14ac:dyDescent="0.35">
      <c r="A388" s="2" t="s">
        <v>424</v>
      </c>
      <c r="B388" s="3">
        <v>45317</v>
      </c>
      <c r="C388" s="2" t="s">
        <v>16</v>
      </c>
      <c r="D388" s="2" t="s">
        <v>17</v>
      </c>
      <c r="E388" s="2" t="s">
        <v>18</v>
      </c>
      <c r="F388" s="2">
        <v>1981.62</v>
      </c>
      <c r="G388" s="2">
        <v>187.77</v>
      </c>
      <c r="H388" s="2" t="s">
        <v>28</v>
      </c>
      <c r="I388" s="2" t="s">
        <v>14</v>
      </c>
    </row>
    <row r="389" spans="1:9" x14ac:dyDescent="0.35">
      <c r="A389" s="2" t="s">
        <v>425</v>
      </c>
      <c r="B389" s="3">
        <v>45105</v>
      </c>
      <c r="C389" s="2" t="s">
        <v>16</v>
      </c>
      <c r="D389" s="2" t="s">
        <v>31</v>
      </c>
      <c r="E389" s="2" t="s">
        <v>12</v>
      </c>
      <c r="F389" s="2">
        <v>1387.48</v>
      </c>
      <c r="G389" s="2">
        <v>74.680000000000007</v>
      </c>
      <c r="H389" s="2" t="s">
        <v>28</v>
      </c>
      <c r="I389" s="2" t="s">
        <v>14</v>
      </c>
    </row>
    <row r="390" spans="1:9" x14ac:dyDescent="0.35">
      <c r="A390" s="2" t="s">
        <v>426</v>
      </c>
      <c r="B390" s="3">
        <v>45399</v>
      </c>
      <c r="C390" s="2" t="s">
        <v>22</v>
      </c>
      <c r="D390" s="2" t="s">
        <v>31</v>
      </c>
      <c r="E390" s="2" t="s">
        <v>12</v>
      </c>
      <c r="F390" s="2">
        <v>926.84</v>
      </c>
      <c r="G390" s="2">
        <v>261.49</v>
      </c>
      <c r="H390" s="2" t="s">
        <v>13</v>
      </c>
      <c r="I390" s="2" t="s">
        <v>29</v>
      </c>
    </row>
    <row r="391" spans="1:9" x14ac:dyDescent="0.35">
      <c r="A391" s="2" t="s">
        <v>427</v>
      </c>
      <c r="B391" s="3">
        <v>45030</v>
      </c>
      <c r="C391" s="2" t="s">
        <v>16</v>
      </c>
      <c r="D391" s="2" t="s">
        <v>95</v>
      </c>
      <c r="E391" s="2" t="s">
        <v>18</v>
      </c>
      <c r="F391" s="2">
        <v>1279.28</v>
      </c>
      <c r="G391" s="2">
        <v>160.97</v>
      </c>
      <c r="H391" s="2" t="s">
        <v>13</v>
      </c>
      <c r="I391" s="2" t="s">
        <v>29</v>
      </c>
    </row>
    <row r="392" spans="1:9" x14ac:dyDescent="0.35">
      <c r="A392" s="2" t="s">
        <v>428</v>
      </c>
      <c r="B392" s="3">
        <v>45366</v>
      </c>
      <c r="C392" s="2" t="s">
        <v>16</v>
      </c>
      <c r="D392" s="2" t="s">
        <v>38</v>
      </c>
      <c r="E392" s="2" t="s">
        <v>12</v>
      </c>
      <c r="F392" s="2">
        <v>1118.52</v>
      </c>
      <c r="G392" s="2">
        <v>218.3</v>
      </c>
      <c r="H392" s="2" t="s">
        <v>19</v>
      </c>
      <c r="I392" s="2" t="s">
        <v>29</v>
      </c>
    </row>
    <row r="393" spans="1:9" x14ac:dyDescent="0.35">
      <c r="A393" s="2" t="s">
        <v>429</v>
      </c>
      <c r="B393" s="3">
        <v>45237</v>
      </c>
      <c r="C393" s="2" t="s">
        <v>22</v>
      </c>
      <c r="D393" s="2" t="s">
        <v>26</v>
      </c>
      <c r="E393" s="2" t="s">
        <v>27</v>
      </c>
      <c r="F393" s="2">
        <v>378.62</v>
      </c>
      <c r="G393" s="2">
        <v>88.27</v>
      </c>
      <c r="H393" s="2" t="s">
        <v>13</v>
      </c>
      <c r="I393" s="2" t="s">
        <v>14</v>
      </c>
    </row>
    <row r="394" spans="1:9" x14ac:dyDescent="0.35">
      <c r="A394" s="2" t="s">
        <v>430</v>
      </c>
      <c r="B394" s="3">
        <v>45607</v>
      </c>
      <c r="C394" s="2" t="s">
        <v>10</v>
      </c>
      <c r="D394" s="2" t="s">
        <v>73</v>
      </c>
      <c r="E394" s="2" t="s">
        <v>27</v>
      </c>
      <c r="F394" s="2">
        <v>578.37</v>
      </c>
      <c r="G394" s="2">
        <v>60.88</v>
      </c>
      <c r="H394" s="2" t="s">
        <v>13</v>
      </c>
      <c r="I394" s="2" t="s">
        <v>14</v>
      </c>
    </row>
    <row r="395" spans="1:9" x14ac:dyDescent="0.35">
      <c r="A395" s="2" t="s">
        <v>431</v>
      </c>
      <c r="B395" s="3">
        <v>44883</v>
      </c>
      <c r="C395" s="2" t="s">
        <v>16</v>
      </c>
      <c r="D395" s="2" t="s">
        <v>31</v>
      </c>
      <c r="E395" s="2" t="s">
        <v>12</v>
      </c>
      <c r="F395" s="2">
        <v>983.31</v>
      </c>
      <c r="G395" s="2">
        <v>152.87</v>
      </c>
      <c r="H395" s="2" t="s">
        <v>19</v>
      </c>
      <c r="I395" s="2" t="s">
        <v>29</v>
      </c>
    </row>
    <row r="396" spans="1:9" x14ac:dyDescent="0.35">
      <c r="A396" s="2" t="s">
        <v>432</v>
      </c>
      <c r="B396" s="3">
        <v>45555</v>
      </c>
      <c r="C396" s="2" t="s">
        <v>16</v>
      </c>
      <c r="D396" s="2" t="s">
        <v>33</v>
      </c>
      <c r="E396" s="2" t="s">
        <v>18</v>
      </c>
      <c r="F396" s="2">
        <v>1306.26</v>
      </c>
      <c r="G396" s="2">
        <v>125.08</v>
      </c>
      <c r="H396" s="2" t="s">
        <v>28</v>
      </c>
      <c r="I396" s="2" t="s">
        <v>14</v>
      </c>
    </row>
    <row r="397" spans="1:9" x14ac:dyDescent="0.35">
      <c r="A397" s="2" t="s">
        <v>433</v>
      </c>
      <c r="B397" s="3">
        <v>45324</v>
      </c>
      <c r="C397" s="2" t="s">
        <v>22</v>
      </c>
      <c r="D397" s="2" t="s">
        <v>31</v>
      </c>
      <c r="E397" s="2" t="s">
        <v>12</v>
      </c>
      <c r="F397" s="2">
        <v>1082.6199999999999</v>
      </c>
      <c r="G397" s="2">
        <v>165.51</v>
      </c>
      <c r="H397" s="2" t="s">
        <v>28</v>
      </c>
      <c r="I397" s="2" t="s">
        <v>34</v>
      </c>
    </row>
    <row r="398" spans="1:9" x14ac:dyDescent="0.35">
      <c r="A398" s="2" t="s">
        <v>434</v>
      </c>
      <c r="B398" s="3">
        <v>45315</v>
      </c>
      <c r="C398" s="2" t="s">
        <v>22</v>
      </c>
      <c r="D398" s="2" t="s">
        <v>11</v>
      </c>
      <c r="E398" s="2" t="s">
        <v>12</v>
      </c>
      <c r="F398" s="2">
        <v>372.84</v>
      </c>
      <c r="G398" s="2">
        <v>33.840000000000003</v>
      </c>
      <c r="H398" s="2" t="s">
        <v>19</v>
      </c>
      <c r="I398" s="2" t="s">
        <v>29</v>
      </c>
    </row>
    <row r="399" spans="1:9" x14ac:dyDescent="0.35">
      <c r="A399" s="2" t="s">
        <v>435</v>
      </c>
      <c r="B399" s="3">
        <v>45596</v>
      </c>
      <c r="C399" s="2" t="s">
        <v>22</v>
      </c>
      <c r="D399" s="2" t="s">
        <v>50</v>
      </c>
      <c r="E399" s="2" t="s">
        <v>12</v>
      </c>
      <c r="F399" s="2">
        <v>1364.03</v>
      </c>
      <c r="G399" s="2">
        <v>289.86</v>
      </c>
      <c r="H399" s="2" t="s">
        <v>13</v>
      </c>
      <c r="I399" s="2" t="s">
        <v>14</v>
      </c>
    </row>
    <row r="400" spans="1:9" x14ac:dyDescent="0.35">
      <c r="A400" s="2" t="s">
        <v>436</v>
      </c>
      <c r="B400" s="3">
        <v>44608</v>
      </c>
      <c r="C400" s="2" t="s">
        <v>16</v>
      </c>
      <c r="D400" s="2" t="s">
        <v>31</v>
      </c>
      <c r="E400" s="2" t="s">
        <v>12</v>
      </c>
      <c r="F400" s="2">
        <v>1335.58</v>
      </c>
      <c r="G400" s="2">
        <v>168.47</v>
      </c>
      <c r="H400" s="2" t="s">
        <v>28</v>
      </c>
      <c r="I400" s="2" t="s">
        <v>20</v>
      </c>
    </row>
    <row r="401" spans="1:9" x14ac:dyDescent="0.35">
      <c r="A401" s="2" t="s">
        <v>437</v>
      </c>
      <c r="B401" s="3">
        <v>45533</v>
      </c>
      <c r="C401" s="2" t="s">
        <v>10</v>
      </c>
      <c r="D401" s="2" t="s">
        <v>62</v>
      </c>
      <c r="E401" s="2" t="s">
        <v>27</v>
      </c>
      <c r="F401" s="2">
        <v>779.73</v>
      </c>
      <c r="G401" s="2">
        <v>171.28</v>
      </c>
      <c r="H401" s="2" t="s">
        <v>28</v>
      </c>
      <c r="I401" s="2" t="s">
        <v>20</v>
      </c>
    </row>
    <row r="402" spans="1:9" x14ac:dyDescent="0.35">
      <c r="A402" s="2" t="s">
        <v>438</v>
      </c>
      <c r="B402" s="3">
        <v>44578</v>
      </c>
      <c r="C402" s="2" t="s">
        <v>22</v>
      </c>
      <c r="D402" s="2" t="s">
        <v>50</v>
      </c>
      <c r="E402" s="2" t="s">
        <v>12</v>
      </c>
      <c r="F402" s="2">
        <v>1095.72</v>
      </c>
      <c r="G402" s="2">
        <v>189.64</v>
      </c>
      <c r="H402" s="2" t="s">
        <v>28</v>
      </c>
      <c r="I402" s="2" t="s">
        <v>29</v>
      </c>
    </row>
    <row r="403" spans="1:9" x14ac:dyDescent="0.35">
      <c r="A403" s="2" t="s">
        <v>439</v>
      </c>
      <c r="B403" s="3">
        <v>45142</v>
      </c>
      <c r="C403" s="2" t="s">
        <v>25</v>
      </c>
      <c r="D403" s="2" t="s">
        <v>41</v>
      </c>
      <c r="E403" s="2" t="s">
        <v>12</v>
      </c>
      <c r="F403" s="2">
        <v>390.6</v>
      </c>
      <c r="G403" s="2">
        <v>109.05</v>
      </c>
      <c r="H403" s="2" t="s">
        <v>19</v>
      </c>
      <c r="I403" s="2" t="s">
        <v>14</v>
      </c>
    </row>
    <row r="404" spans="1:9" x14ac:dyDescent="0.35">
      <c r="A404" s="2" t="s">
        <v>440</v>
      </c>
      <c r="B404" s="3">
        <v>45342</v>
      </c>
      <c r="C404" s="2" t="s">
        <v>25</v>
      </c>
      <c r="D404" s="2" t="s">
        <v>33</v>
      </c>
      <c r="E404" s="2" t="s">
        <v>18</v>
      </c>
      <c r="F404" s="2">
        <v>1529.17</v>
      </c>
      <c r="G404" s="2">
        <v>144.04</v>
      </c>
      <c r="H404" s="2" t="s">
        <v>13</v>
      </c>
      <c r="I404" s="2" t="s">
        <v>14</v>
      </c>
    </row>
    <row r="405" spans="1:9" x14ac:dyDescent="0.35">
      <c r="A405" s="2" t="s">
        <v>441</v>
      </c>
      <c r="B405" s="3">
        <v>45280</v>
      </c>
      <c r="C405" s="2" t="s">
        <v>10</v>
      </c>
      <c r="D405" s="2" t="s">
        <v>38</v>
      </c>
      <c r="E405" s="2" t="s">
        <v>12</v>
      </c>
      <c r="F405" s="2">
        <v>1465.73</v>
      </c>
      <c r="G405" s="2">
        <v>151.38</v>
      </c>
      <c r="H405" s="2" t="s">
        <v>28</v>
      </c>
      <c r="I405" s="2" t="s">
        <v>14</v>
      </c>
    </row>
    <row r="406" spans="1:9" x14ac:dyDescent="0.35">
      <c r="A406" s="2" t="s">
        <v>442</v>
      </c>
      <c r="B406" s="3">
        <v>45341</v>
      </c>
      <c r="C406" s="2" t="s">
        <v>25</v>
      </c>
      <c r="D406" s="2" t="s">
        <v>50</v>
      </c>
      <c r="E406" s="2" t="s">
        <v>12</v>
      </c>
      <c r="F406" s="2">
        <v>1411.84</v>
      </c>
      <c r="G406" s="2">
        <v>307.77</v>
      </c>
      <c r="H406" s="2" t="s">
        <v>28</v>
      </c>
      <c r="I406" s="2" t="s">
        <v>14</v>
      </c>
    </row>
    <row r="407" spans="1:9" x14ac:dyDescent="0.35">
      <c r="A407" s="2" t="s">
        <v>443</v>
      </c>
      <c r="B407" s="3">
        <v>45028</v>
      </c>
      <c r="C407" s="2" t="s">
        <v>10</v>
      </c>
      <c r="D407" s="2" t="s">
        <v>46</v>
      </c>
      <c r="E407" s="2" t="s">
        <v>18</v>
      </c>
      <c r="F407" s="2">
        <v>1011.37</v>
      </c>
      <c r="G407" s="2">
        <v>173.37</v>
      </c>
      <c r="H407" s="2" t="s">
        <v>28</v>
      </c>
      <c r="I407" s="2" t="s">
        <v>14</v>
      </c>
    </row>
    <row r="408" spans="1:9" x14ac:dyDescent="0.35">
      <c r="A408" s="2" t="s">
        <v>444</v>
      </c>
      <c r="B408" s="3">
        <v>44734</v>
      </c>
      <c r="C408" s="2" t="s">
        <v>22</v>
      </c>
      <c r="D408" s="2" t="s">
        <v>38</v>
      </c>
      <c r="E408" s="2" t="s">
        <v>12</v>
      </c>
      <c r="F408" s="2">
        <v>1095.04</v>
      </c>
      <c r="G408" s="2">
        <v>288.98</v>
      </c>
      <c r="H408" s="2" t="s">
        <v>28</v>
      </c>
      <c r="I408" s="2" t="s">
        <v>29</v>
      </c>
    </row>
    <row r="409" spans="1:9" x14ac:dyDescent="0.35">
      <c r="A409" s="2" t="s">
        <v>445</v>
      </c>
      <c r="B409" s="3">
        <v>44812</v>
      </c>
      <c r="C409" s="2" t="s">
        <v>25</v>
      </c>
      <c r="D409" s="2" t="s">
        <v>73</v>
      </c>
      <c r="E409" s="2" t="s">
        <v>27</v>
      </c>
      <c r="F409" s="2">
        <v>955.7</v>
      </c>
      <c r="G409" s="2">
        <v>48.06</v>
      </c>
      <c r="H409" s="2" t="s">
        <v>28</v>
      </c>
      <c r="I409" s="2" t="s">
        <v>14</v>
      </c>
    </row>
    <row r="410" spans="1:9" x14ac:dyDescent="0.35">
      <c r="A410" s="2" t="s">
        <v>446</v>
      </c>
      <c r="B410" s="3">
        <v>44928</v>
      </c>
      <c r="C410" s="2" t="s">
        <v>25</v>
      </c>
      <c r="D410" s="2" t="s">
        <v>17</v>
      </c>
      <c r="E410" s="2" t="s">
        <v>18</v>
      </c>
      <c r="F410" s="2">
        <v>929.55</v>
      </c>
      <c r="G410" s="2">
        <v>116.67</v>
      </c>
      <c r="H410" s="2" t="s">
        <v>13</v>
      </c>
      <c r="I410" s="2" t="s">
        <v>20</v>
      </c>
    </row>
    <row r="411" spans="1:9" x14ac:dyDescent="0.35">
      <c r="A411" s="2" t="s">
        <v>447</v>
      </c>
      <c r="B411" s="3">
        <v>44608</v>
      </c>
      <c r="C411" s="2" t="s">
        <v>16</v>
      </c>
      <c r="D411" s="2" t="s">
        <v>97</v>
      </c>
      <c r="E411" s="2" t="s">
        <v>27</v>
      </c>
      <c r="F411" s="2">
        <v>1834.72</v>
      </c>
      <c r="G411" s="2">
        <v>510.59</v>
      </c>
      <c r="H411" s="2" t="s">
        <v>19</v>
      </c>
      <c r="I411" s="2" t="s">
        <v>20</v>
      </c>
    </row>
    <row r="412" spans="1:9" x14ac:dyDescent="0.35">
      <c r="A412" s="2" t="s">
        <v>448</v>
      </c>
      <c r="B412" s="3">
        <v>44563</v>
      </c>
      <c r="C412" s="2" t="s">
        <v>22</v>
      </c>
      <c r="D412" s="2" t="s">
        <v>46</v>
      </c>
      <c r="E412" s="2" t="s">
        <v>18</v>
      </c>
      <c r="F412" s="2">
        <v>865.15</v>
      </c>
      <c r="G412" s="2">
        <v>214.53</v>
      </c>
      <c r="H412" s="2" t="s">
        <v>28</v>
      </c>
      <c r="I412" s="2" t="s">
        <v>14</v>
      </c>
    </row>
    <row r="413" spans="1:9" x14ac:dyDescent="0.35">
      <c r="A413" s="2" t="s">
        <v>449</v>
      </c>
      <c r="B413" s="3">
        <v>45502</v>
      </c>
      <c r="C413" s="2" t="s">
        <v>10</v>
      </c>
      <c r="D413" s="2" t="s">
        <v>26</v>
      </c>
      <c r="E413" s="2" t="s">
        <v>27</v>
      </c>
      <c r="F413" s="2">
        <v>344.44</v>
      </c>
      <c r="G413" s="2">
        <v>21.18</v>
      </c>
      <c r="H413" s="2" t="s">
        <v>28</v>
      </c>
      <c r="I413" s="2" t="s">
        <v>20</v>
      </c>
    </row>
    <row r="414" spans="1:9" x14ac:dyDescent="0.35">
      <c r="A414" s="2" t="s">
        <v>450</v>
      </c>
      <c r="B414" s="3">
        <v>45370</v>
      </c>
      <c r="C414" s="2" t="s">
        <v>22</v>
      </c>
      <c r="D414" s="2" t="s">
        <v>46</v>
      </c>
      <c r="E414" s="2" t="s">
        <v>18</v>
      </c>
      <c r="F414" s="2">
        <v>294.36</v>
      </c>
      <c r="G414" s="2">
        <v>26.12</v>
      </c>
      <c r="H414" s="2" t="s">
        <v>28</v>
      </c>
      <c r="I414" s="2" t="s">
        <v>29</v>
      </c>
    </row>
    <row r="415" spans="1:9" x14ac:dyDescent="0.35">
      <c r="A415" s="2" t="s">
        <v>451</v>
      </c>
      <c r="B415" s="3">
        <v>44899</v>
      </c>
      <c r="C415" s="2" t="s">
        <v>16</v>
      </c>
      <c r="D415" s="2" t="s">
        <v>41</v>
      </c>
      <c r="E415" s="2" t="s">
        <v>12</v>
      </c>
      <c r="F415" s="2">
        <v>432.55</v>
      </c>
      <c r="G415" s="2">
        <v>59.98</v>
      </c>
      <c r="H415" s="2" t="s">
        <v>19</v>
      </c>
      <c r="I415" s="2" t="s">
        <v>20</v>
      </c>
    </row>
    <row r="416" spans="1:9" x14ac:dyDescent="0.35">
      <c r="A416" s="2" t="s">
        <v>452</v>
      </c>
      <c r="B416" s="3">
        <v>45404</v>
      </c>
      <c r="C416" s="2" t="s">
        <v>22</v>
      </c>
      <c r="D416" s="2" t="s">
        <v>38</v>
      </c>
      <c r="E416" s="2" t="s">
        <v>12</v>
      </c>
      <c r="F416" s="2">
        <v>173.69</v>
      </c>
      <c r="G416" s="2">
        <v>27.72</v>
      </c>
      <c r="H416" s="2" t="s">
        <v>13</v>
      </c>
      <c r="I416" s="2" t="s">
        <v>34</v>
      </c>
    </row>
    <row r="417" spans="1:9" x14ac:dyDescent="0.35">
      <c r="A417" s="2" t="s">
        <v>453</v>
      </c>
      <c r="B417" s="3">
        <v>45349</v>
      </c>
      <c r="C417" s="2" t="s">
        <v>16</v>
      </c>
      <c r="D417" s="2" t="s">
        <v>17</v>
      </c>
      <c r="E417" s="2" t="s">
        <v>18</v>
      </c>
      <c r="F417" s="2">
        <v>1718.18</v>
      </c>
      <c r="G417" s="2">
        <v>400.5</v>
      </c>
      <c r="H417" s="2" t="s">
        <v>28</v>
      </c>
      <c r="I417" s="2" t="s">
        <v>20</v>
      </c>
    </row>
    <row r="418" spans="1:9" x14ac:dyDescent="0.35">
      <c r="A418" s="2" t="s">
        <v>454</v>
      </c>
      <c r="B418" s="3">
        <v>44966</v>
      </c>
      <c r="C418" s="2" t="s">
        <v>16</v>
      </c>
      <c r="D418" s="2" t="s">
        <v>46</v>
      </c>
      <c r="E418" s="2" t="s">
        <v>18</v>
      </c>
      <c r="F418" s="2">
        <v>167.71</v>
      </c>
      <c r="G418" s="2">
        <v>46.02</v>
      </c>
      <c r="H418" s="2" t="s">
        <v>13</v>
      </c>
      <c r="I418" s="2" t="s">
        <v>20</v>
      </c>
    </row>
    <row r="419" spans="1:9" x14ac:dyDescent="0.35">
      <c r="A419" s="2" t="s">
        <v>455</v>
      </c>
      <c r="B419" s="3">
        <v>44721</v>
      </c>
      <c r="C419" s="2" t="s">
        <v>10</v>
      </c>
      <c r="D419" s="2" t="s">
        <v>57</v>
      </c>
      <c r="E419" s="2" t="s">
        <v>27</v>
      </c>
      <c r="F419" s="2">
        <v>329.31</v>
      </c>
      <c r="G419" s="2">
        <v>32.31</v>
      </c>
      <c r="H419" s="2" t="s">
        <v>28</v>
      </c>
      <c r="I419" s="2" t="s">
        <v>29</v>
      </c>
    </row>
    <row r="420" spans="1:9" x14ac:dyDescent="0.35">
      <c r="A420" s="2" t="s">
        <v>456</v>
      </c>
      <c r="B420" s="3">
        <v>44571</v>
      </c>
      <c r="C420" s="2" t="s">
        <v>22</v>
      </c>
      <c r="D420" s="2" t="s">
        <v>31</v>
      </c>
      <c r="E420" s="2" t="s">
        <v>12</v>
      </c>
      <c r="F420" s="2">
        <v>1288.28</v>
      </c>
      <c r="G420" s="2">
        <v>228.01</v>
      </c>
      <c r="H420" s="2" t="s">
        <v>28</v>
      </c>
      <c r="I420" s="2" t="s">
        <v>34</v>
      </c>
    </row>
    <row r="421" spans="1:9" x14ac:dyDescent="0.35">
      <c r="A421" s="2" t="s">
        <v>457</v>
      </c>
      <c r="B421" s="3">
        <v>44852</v>
      </c>
      <c r="C421" s="2" t="s">
        <v>22</v>
      </c>
      <c r="D421" s="2" t="s">
        <v>46</v>
      </c>
      <c r="E421" s="2" t="s">
        <v>18</v>
      </c>
      <c r="F421" s="2">
        <v>1080.5899999999999</v>
      </c>
      <c r="G421" s="2">
        <v>152.69999999999999</v>
      </c>
      <c r="H421" s="2" t="s">
        <v>13</v>
      </c>
      <c r="I421" s="2" t="s">
        <v>20</v>
      </c>
    </row>
    <row r="422" spans="1:9" x14ac:dyDescent="0.35">
      <c r="A422" s="2" t="s">
        <v>458</v>
      </c>
      <c r="B422" s="3">
        <v>44613</v>
      </c>
      <c r="C422" s="2" t="s">
        <v>16</v>
      </c>
      <c r="D422" s="2" t="s">
        <v>95</v>
      </c>
      <c r="E422" s="2" t="s">
        <v>18</v>
      </c>
      <c r="F422" s="2">
        <v>795.78</v>
      </c>
      <c r="G422" s="2">
        <v>143.91</v>
      </c>
      <c r="H422" s="2" t="s">
        <v>13</v>
      </c>
      <c r="I422" s="2" t="s">
        <v>14</v>
      </c>
    </row>
    <row r="423" spans="1:9" x14ac:dyDescent="0.35">
      <c r="A423" s="2" t="s">
        <v>459</v>
      </c>
      <c r="B423" s="3">
        <v>45115</v>
      </c>
      <c r="C423" s="2" t="s">
        <v>16</v>
      </c>
      <c r="D423" s="2" t="s">
        <v>23</v>
      </c>
      <c r="E423" s="2" t="s">
        <v>18</v>
      </c>
      <c r="F423" s="2">
        <v>1016.56</v>
      </c>
      <c r="G423" s="2">
        <v>233.17</v>
      </c>
      <c r="H423" s="2" t="s">
        <v>19</v>
      </c>
      <c r="I423" s="2" t="s">
        <v>14</v>
      </c>
    </row>
    <row r="424" spans="1:9" x14ac:dyDescent="0.35">
      <c r="A424" s="2" t="s">
        <v>460</v>
      </c>
      <c r="B424" s="3">
        <v>45083</v>
      </c>
      <c r="C424" s="2" t="s">
        <v>16</v>
      </c>
      <c r="D424" s="2" t="s">
        <v>38</v>
      </c>
      <c r="E424" s="2" t="s">
        <v>12</v>
      </c>
      <c r="F424" s="2">
        <v>785.86</v>
      </c>
      <c r="G424" s="2">
        <v>104.19</v>
      </c>
      <c r="H424" s="2" t="s">
        <v>19</v>
      </c>
      <c r="I424" s="2" t="s">
        <v>34</v>
      </c>
    </row>
    <row r="425" spans="1:9" x14ac:dyDescent="0.35">
      <c r="A425" s="2" t="s">
        <v>461</v>
      </c>
      <c r="B425" s="3">
        <v>45621</v>
      </c>
      <c r="C425" s="2" t="s">
        <v>25</v>
      </c>
      <c r="D425" s="2" t="s">
        <v>50</v>
      </c>
      <c r="E425" s="2" t="s">
        <v>12</v>
      </c>
      <c r="F425" s="2">
        <v>439.38</v>
      </c>
      <c r="G425" s="2">
        <v>111.55</v>
      </c>
      <c r="H425" s="2" t="s">
        <v>19</v>
      </c>
      <c r="I425" s="2" t="s">
        <v>29</v>
      </c>
    </row>
    <row r="426" spans="1:9" x14ac:dyDescent="0.35">
      <c r="A426" s="2" t="s">
        <v>462</v>
      </c>
      <c r="B426" s="3">
        <v>45573</v>
      </c>
      <c r="C426" s="2" t="s">
        <v>16</v>
      </c>
      <c r="D426" s="2" t="s">
        <v>95</v>
      </c>
      <c r="E426" s="2" t="s">
        <v>18</v>
      </c>
      <c r="F426" s="2">
        <v>1652.01</v>
      </c>
      <c r="G426" s="2">
        <v>319.14</v>
      </c>
      <c r="H426" s="2" t="s">
        <v>28</v>
      </c>
      <c r="I426" s="2" t="s">
        <v>29</v>
      </c>
    </row>
    <row r="427" spans="1:9" x14ac:dyDescent="0.35">
      <c r="A427" s="2" t="s">
        <v>463</v>
      </c>
      <c r="B427" s="3">
        <v>45236</v>
      </c>
      <c r="C427" s="2" t="s">
        <v>16</v>
      </c>
      <c r="D427" s="2" t="s">
        <v>17</v>
      </c>
      <c r="E427" s="2" t="s">
        <v>18</v>
      </c>
      <c r="F427" s="2">
        <v>1145.8399999999999</v>
      </c>
      <c r="G427" s="2">
        <v>62.57</v>
      </c>
      <c r="H427" s="2" t="s">
        <v>19</v>
      </c>
      <c r="I427" s="2" t="s">
        <v>29</v>
      </c>
    </row>
    <row r="428" spans="1:9" x14ac:dyDescent="0.35">
      <c r="A428" s="2" t="s">
        <v>464</v>
      </c>
      <c r="B428" s="3">
        <v>45292</v>
      </c>
      <c r="C428" s="2" t="s">
        <v>22</v>
      </c>
      <c r="D428" s="2" t="s">
        <v>97</v>
      </c>
      <c r="E428" s="2" t="s">
        <v>27</v>
      </c>
      <c r="F428" s="2">
        <v>1106.5</v>
      </c>
      <c r="G428" s="2">
        <v>255.46</v>
      </c>
      <c r="H428" s="2" t="s">
        <v>19</v>
      </c>
      <c r="I428" s="2" t="s">
        <v>29</v>
      </c>
    </row>
    <row r="429" spans="1:9" x14ac:dyDescent="0.35">
      <c r="A429" s="2" t="s">
        <v>465</v>
      </c>
      <c r="B429" s="3">
        <v>44777</v>
      </c>
      <c r="C429" s="2" t="s">
        <v>25</v>
      </c>
      <c r="D429" s="2" t="s">
        <v>17</v>
      </c>
      <c r="E429" s="2" t="s">
        <v>18</v>
      </c>
      <c r="F429" s="2">
        <v>704.93</v>
      </c>
      <c r="G429" s="2">
        <v>92.27</v>
      </c>
      <c r="H429" s="2" t="s">
        <v>28</v>
      </c>
      <c r="I429" s="2" t="s">
        <v>14</v>
      </c>
    </row>
    <row r="430" spans="1:9" x14ac:dyDescent="0.35">
      <c r="A430" s="2" t="s">
        <v>466</v>
      </c>
      <c r="B430" s="3">
        <v>45243</v>
      </c>
      <c r="C430" s="2" t="s">
        <v>10</v>
      </c>
      <c r="D430" s="2" t="s">
        <v>46</v>
      </c>
      <c r="E430" s="2" t="s">
        <v>18</v>
      </c>
      <c r="F430" s="2">
        <v>897.88</v>
      </c>
      <c r="G430" s="2">
        <v>228.24</v>
      </c>
      <c r="H430" s="2" t="s">
        <v>28</v>
      </c>
      <c r="I430" s="2" t="s">
        <v>14</v>
      </c>
    </row>
    <row r="431" spans="1:9" x14ac:dyDescent="0.35">
      <c r="A431" s="2" t="s">
        <v>467</v>
      </c>
      <c r="B431" s="3">
        <v>45237</v>
      </c>
      <c r="C431" s="2" t="s">
        <v>25</v>
      </c>
      <c r="D431" s="2" t="s">
        <v>26</v>
      </c>
      <c r="E431" s="2" t="s">
        <v>27</v>
      </c>
      <c r="F431" s="2">
        <v>719.54</v>
      </c>
      <c r="G431" s="2">
        <v>171.08</v>
      </c>
      <c r="H431" s="2" t="s">
        <v>28</v>
      </c>
      <c r="I431" s="2" t="s">
        <v>20</v>
      </c>
    </row>
    <row r="432" spans="1:9" x14ac:dyDescent="0.35">
      <c r="A432" s="2" t="s">
        <v>468</v>
      </c>
      <c r="B432" s="3">
        <v>44726</v>
      </c>
      <c r="C432" s="2" t="s">
        <v>22</v>
      </c>
      <c r="D432" s="2" t="s">
        <v>97</v>
      </c>
      <c r="E432" s="2" t="s">
        <v>27</v>
      </c>
      <c r="F432" s="2">
        <v>995.18</v>
      </c>
      <c r="G432" s="2">
        <v>246.04</v>
      </c>
      <c r="H432" s="2" t="s">
        <v>28</v>
      </c>
      <c r="I432" s="2" t="s">
        <v>14</v>
      </c>
    </row>
    <row r="433" spans="1:9" x14ac:dyDescent="0.35">
      <c r="A433" s="2" t="s">
        <v>469</v>
      </c>
      <c r="B433" s="3">
        <v>44644</v>
      </c>
      <c r="C433" s="2" t="s">
        <v>16</v>
      </c>
      <c r="D433" s="2" t="s">
        <v>62</v>
      </c>
      <c r="E433" s="2" t="s">
        <v>27</v>
      </c>
      <c r="F433" s="2">
        <v>1201.69</v>
      </c>
      <c r="G433" s="2">
        <v>274.8</v>
      </c>
      <c r="H433" s="2" t="s">
        <v>28</v>
      </c>
      <c r="I433" s="2" t="s">
        <v>34</v>
      </c>
    </row>
    <row r="434" spans="1:9" x14ac:dyDescent="0.35">
      <c r="A434" s="2" t="s">
        <v>470</v>
      </c>
      <c r="B434" s="3">
        <v>45321</v>
      </c>
      <c r="C434" s="2" t="s">
        <v>10</v>
      </c>
      <c r="D434" s="2" t="s">
        <v>97</v>
      </c>
      <c r="E434" s="2" t="s">
        <v>27</v>
      </c>
      <c r="F434" s="2">
        <v>102.39</v>
      </c>
      <c r="G434" s="2">
        <v>8.9600000000000009</v>
      </c>
      <c r="H434" s="2" t="s">
        <v>13</v>
      </c>
      <c r="I434" s="2" t="s">
        <v>29</v>
      </c>
    </row>
    <row r="435" spans="1:9" x14ac:dyDescent="0.35">
      <c r="A435" s="2" t="s">
        <v>471</v>
      </c>
      <c r="B435" s="3">
        <v>45256</v>
      </c>
      <c r="C435" s="2" t="s">
        <v>10</v>
      </c>
      <c r="D435" s="2" t="s">
        <v>73</v>
      </c>
      <c r="E435" s="2" t="s">
        <v>27</v>
      </c>
      <c r="F435" s="2">
        <v>1964.36</v>
      </c>
      <c r="G435" s="2">
        <v>176.48</v>
      </c>
      <c r="H435" s="2" t="s">
        <v>13</v>
      </c>
      <c r="I435" s="2" t="s">
        <v>34</v>
      </c>
    </row>
    <row r="436" spans="1:9" x14ac:dyDescent="0.35">
      <c r="A436" s="2" t="s">
        <v>472</v>
      </c>
      <c r="B436" s="3">
        <v>45648</v>
      </c>
      <c r="C436" s="2" t="s">
        <v>22</v>
      </c>
      <c r="D436" s="2" t="s">
        <v>23</v>
      </c>
      <c r="E436" s="2" t="s">
        <v>18</v>
      </c>
      <c r="F436" s="2">
        <v>1564.94</v>
      </c>
      <c r="G436" s="2">
        <v>305.67</v>
      </c>
      <c r="H436" s="2" t="s">
        <v>13</v>
      </c>
      <c r="I436" s="2" t="s">
        <v>14</v>
      </c>
    </row>
    <row r="437" spans="1:9" x14ac:dyDescent="0.35">
      <c r="A437" s="2" t="s">
        <v>473</v>
      </c>
      <c r="B437" s="3">
        <v>45417</v>
      </c>
      <c r="C437" s="2" t="s">
        <v>25</v>
      </c>
      <c r="D437" s="2" t="s">
        <v>97</v>
      </c>
      <c r="E437" s="2" t="s">
        <v>27</v>
      </c>
      <c r="F437" s="2">
        <v>162.4</v>
      </c>
      <c r="G437" s="2">
        <v>15.03</v>
      </c>
      <c r="H437" s="2" t="s">
        <v>28</v>
      </c>
      <c r="I437" s="2" t="s">
        <v>34</v>
      </c>
    </row>
    <row r="438" spans="1:9" x14ac:dyDescent="0.35">
      <c r="A438" s="2" t="s">
        <v>474</v>
      </c>
      <c r="B438" s="3">
        <v>45561</v>
      </c>
      <c r="C438" s="2" t="s">
        <v>22</v>
      </c>
      <c r="D438" s="2" t="s">
        <v>31</v>
      </c>
      <c r="E438" s="2" t="s">
        <v>12</v>
      </c>
      <c r="F438" s="2">
        <v>453.94</v>
      </c>
      <c r="G438" s="2">
        <v>91.03</v>
      </c>
      <c r="H438" s="2" t="s">
        <v>28</v>
      </c>
      <c r="I438" s="2" t="s">
        <v>14</v>
      </c>
    </row>
    <row r="439" spans="1:9" x14ac:dyDescent="0.35">
      <c r="A439" s="2" t="s">
        <v>475</v>
      </c>
      <c r="B439" s="3">
        <v>45370</v>
      </c>
      <c r="C439" s="2" t="s">
        <v>16</v>
      </c>
      <c r="D439" s="2" t="s">
        <v>73</v>
      </c>
      <c r="E439" s="2" t="s">
        <v>27</v>
      </c>
      <c r="F439" s="2">
        <v>1570.11</v>
      </c>
      <c r="G439" s="2">
        <v>105.86</v>
      </c>
      <c r="H439" s="2" t="s">
        <v>13</v>
      </c>
      <c r="I439" s="2" t="s">
        <v>20</v>
      </c>
    </row>
    <row r="440" spans="1:9" x14ac:dyDescent="0.35">
      <c r="A440" s="2" t="s">
        <v>476</v>
      </c>
      <c r="B440" s="3">
        <v>45489</v>
      </c>
      <c r="C440" s="2" t="s">
        <v>16</v>
      </c>
      <c r="D440" s="2" t="s">
        <v>50</v>
      </c>
      <c r="E440" s="2" t="s">
        <v>12</v>
      </c>
      <c r="F440" s="2">
        <v>982.33</v>
      </c>
      <c r="G440" s="2">
        <v>116.34</v>
      </c>
      <c r="H440" s="2" t="s">
        <v>19</v>
      </c>
      <c r="I440" s="2" t="s">
        <v>34</v>
      </c>
    </row>
    <row r="441" spans="1:9" x14ac:dyDescent="0.35">
      <c r="A441" s="2" t="s">
        <v>477</v>
      </c>
      <c r="B441" s="3">
        <v>44899</v>
      </c>
      <c r="C441" s="2" t="s">
        <v>10</v>
      </c>
      <c r="D441" s="2" t="s">
        <v>31</v>
      </c>
      <c r="E441" s="2" t="s">
        <v>12</v>
      </c>
      <c r="F441" s="2">
        <v>1468.24</v>
      </c>
      <c r="G441" s="2">
        <v>81.16</v>
      </c>
      <c r="H441" s="2" t="s">
        <v>28</v>
      </c>
      <c r="I441" s="2" t="s">
        <v>14</v>
      </c>
    </row>
    <row r="442" spans="1:9" x14ac:dyDescent="0.35">
      <c r="A442" s="2" t="s">
        <v>478</v>
      </c>
      <c r="B442" s="3">
        <v>45264</v>
      </c>
      <c r="C442" s="2" t="s">
        <v>25</v>
      </c>
      <c r="D442" s="2" t="s">
        <v>57</v>
      </c>
      <c r="E442" s="2" t="s">
        <v>27</v>
      </c>
      <c r="F442" s="2">
        <v>492.54</v>
      </c>
      <c r="G442" s="2">
        <v>117.59</v>
      </c>
      <c r="H442" s="2" t="s">
        <v>19</v>
      </c>
      <c r="I442" s="2" t="s">
        <v>20</v>
      </c>
    </row>
    <row r="443" spans="1:9" x14ac:dyDescent="0.35">
      <c r="A443" s="2" t="s">
        <v>479</v>
      </c>
      <c r="B443" s="3">
        <v>45005</v>
      </c>
      <c r="C443" s="2" t="s">
        <v>22</v>
      </c>
      <c r="D443" s="2" t="s">
        <v>57</v>
      </c>
      <c r="E443" s="2" t="s">
        <v>27</v>
      </c>
      <c r="F443" s="2">
        <v>1664.12</v>
      </c>
      <c r="G443" s="2">
        <v>484.24</v>
      </c>
      <c r="H443" s="2" t="s">
        <v>13</v>
      </c>
      <c r="I443" s="2" t="s">
        <v>29</v>
      </c>
    </row>
    <row r="444" spans="1:9" x14ac:dyDescent="0.35">
      <c r="A444" s="2" t="s">
        <v>480</v>
      </c>
      <c r="B444" s="3">
        <v>44638</v>
      </c>
      <c r="C444" s="2" t="s">
        <v>10</v>
      </c>
      <c r="D444" s="2" t="s">
        <v>95</v>
      </c>
      <c r="E444" s="2" t="s">
        <v>18</v>
      </c>
      <c r="F444" s="2">
        <v>86.57</v>
      </c>
      <c r="G444" s="2">
        <v>10.71</v>
      </c>
      <c r="H444" s="2" t="s">
        <v>13</v>
      </c>
      <c r="I444" s="2" t="s">
        <v>14</v>
      </c>
    </row>
    <row r="445" spans="1:9" x14ac:dyDescent="0.35">
      <c r="A445" s="2" t="s">
        <v>481</v>
      </c>
      <c r="B445" s="3">
        <v>45527</v>
      </c>
      <c r="C445" s="2" t="s">
        <v>22</v>
      </c>
      <c r="D445" s="2" t="s">
        <v>33</v>
      </c>
      <c r="E445" s="2" t="s">
        <v>18</v>
      </c>
      <c r="F445" s="2">
        <v>798.32</v>
      </c>
      <c r="G445" s="2">
        <v>216.64</v>
      </c>
      <c r="H445" s="2" t="s">
        <v>19</v>
      </c>
      <c r="I445" s="2" t="s">
        <v>20</v>
      </c>
    </row>
    <row r="446" spans="1:9" x14ac:dyDescent="0.35">
      <c r="A446" s="2" t="s">
        <v>482</v>
      </c>
      <c r="B446" s="3">
        <v>45539</v>
      </c>
      <c r="C446" s="2" t="s">
        <v>25</v>
      </c>
      <c r="D446" s="2" t="s">
        <v>46</v>
      </c>
      <c r="E446" s="2" t="s">
        <v>18</v>
      </c>
      <c r="F446" s="2">
        <v>1798.41</v>
      </c>
      <c r="G446" s="2">
        <v>507.95</v>
      </c>
      <c r="H446" s="2" t="s">
        <v>13</v>
      </c>
      <c r="I446" s="2" t="s">
        <v>34</v>
      </c>
    </row>
    <row r="447" spans="1:9" x14ac:dyDescent="0.35">
      <c r="A447" s="2" t="s">
        <v>483</v>
      </c>
      <c r="B447" s="3">
        <v>45382</v>
      </c>
      <c r="C447" s="2" t="s">
        <v>22</v>
      </c>
      <c r="D447" s="2" t="s">
        <v>31</v>
      </c>
      <c r="E447" s="2" t="s">
        <v>12</v>
      </c>
      <c r="F447" s="2">
        <v>310.52</v>
      </c>
      <c r="G447" s="2">
        <v>51.33</v>
      </c>
      <c r="H447" s="2" t="s">
        <v>13</v>
      </c>
      <c r="I447" s="2" t="s">
        <v>29</v>
      </c>
    </row>
    <row r="448" spans="1:9" x14ac:dyDescent="0.35">
      <c r="A448" s="2" t="s">
        <v>484</v>
      </c>
      <c r="B448" s="3">
        <v>44860</v>
      </c>
      <c r="C448" s="2" t="s">
        <v>10</v>
      </c>
      <c r="D448" s="2" t="s">
        <v>23</v>
      </c>
      <c r="E448" s="2" t="s">
        <v>18</v>
      </c>
      <c r="F448" s="2">
        <v>1593.71</v>
      </c>
      <c r="G448" s="2">
        <v>347.31</v>
      </c>
      <c r="H448" s="2" t="s">
        <v>19</v>
      </c>
      <c r="I448" s="2" t="s">
        <v>20</v>
      </c>
    </row>
    <row r="449" spans="1:9" x14ac:dyDescent="0.35">
      <c r="A449" s="2" t="s">
        <v>485</v>
      </c>
      <c r="B449" s="3">
        <v>45187</v>
      </c>
      <c r="C449" s="2" t="s">
        <v>25</v>
      </c>
      <c r="D449" s="2" t="s">
        <v>41</v>
      </c>
      <c r="E449" s="2" t="s">
        <v>12</v>
      </c>
      <c r="F449" s="2">
        <v>1810.7</v>
      </c>
      <c r="G449" s="2">
        <v>451.81</v>
      </c>
      <c r="H449" s="2" t="s">
        <v>19</v>
      </c>
      <c r="I449" s="2" t="s">
        <v>14</v>
      </c>
    </row>
    <row r="450" spans="1:9" x14ac:dyDescent="0.35">
      <c r="A450" s="2" t="s">
        <v>486</v>
      </c>
      <c r="B450" s="3">
        <v>44902</v>
      </c>
      <c r="C450" s="2" t="s">
        <v>16</v>
      </c>
      <c r="D450" s="2" t="s">
        <v>11</v>
      </c>
      <c r="E450" s="2" t="s">
        <v>12</v>
      </c>
      <c r="F450" s="2">
        <v>1331.93</v>
      </c>
      <c r="G450" s="2">
        <v>83.09</v>
      </c>
      <c r="H450" s="2" t="s">
        <v>19</v>
      </c>
      <c r="I450" s="2" t="s">
        <v>14</v>
      </c>
    </row>
    <row r="451" spans="1:9" x14ac:dyDescent="0.35">
      <c r="A451" s="2" t="s">
        <v>487</v>
      </c>
      <c r="B451" s="3">
        <v>44588</v>
      </c>
      <c r="C451" s="2" t="s">
        <v>10</v>
      </c>
      <c r="D451" s="2" t="s">
        <v>31</v>
      </c>
      <c r="E451" s="2" t="s">
        <v>12</v>
      </c>
      <c r="F451" s="2">
        <v>670.63</v>
      </c>
      <c r="G451" s="2">
        <v>102.74</v>
      </c>
      <c r="H451" s="2" t="s">
        <v>28</v>
      </c>
      <c r="I451" s="2" t="s">
        <v>29</v>
      </c>
    </row>
    <row r="452" spans="1:9" x14ac:dyDescent="0.35">
      <c r="A452" s="2" t="s">
        <v>488</v>
      </c>
      <c r="B452" s="3">
        <v>44784</v>
      </c>
      <c r="C452" s="2" t="s">
        <v>25</v>
      </c>
      <c r="D452" s="2" t="s">
        <v>62</v>
      </c>
      <c r="E452" s="2" t="s">
        <v>27</v>
      </c>
      <c r="F452" s="2">
        <v>321.39999999999998</v>
      </c>
      <c r="G452" s="2">
        <v>94.52</v>
      </c>
      <c r="H452" s="2" t="s">
        <v>13</v>
      </c>
      <c r="I452" s="2" t="s">
        <v>29</v>
      </c>
    </row>
    <row r="453" spans="1:9" x14ac:dyDescent="0.35">
      <c r="A453" s="2" t="s">
        <v>489</v>
      </c>
      <c r="B453" s="3">
        <v>44825</v>
      </c>
      <c r="C453" s="2" t="s">
        <v>25</v>
      </c>
      <c r="D453" s="2" t="s">
        <v>33</v>
      </c>
      <c r="E453" s="2" t="s">
        <v>18</v>
      </c>
      <c r="F453" s="2">
        <v>247.72</v>
      </c>
      <c r="G453" s="2">
        <v>38.979999999999997</v>
      </c>
      <c r="H453" s="2" t="s">
        <v>28</v>
      </c>
      <c r="I453" s="2" t="s">
        <v>29</v>
      </c>
    </row>
    <row r="454" spans="1:9" x14ac:dyDescent="0.35">
      <c r="A454" s="2" t="s">
        <v>490</v>
      </c>
      <c r="B454" s="3">
        <v>45283</v>
      </c>
      <c r="C454" s="2" t="s">
        <v>25</v>
      </c>
      <c r="D454" s="2" t="s">
        <v>31</v>
      </c>
      <c r="E454" s="2" t="s">
        <v>12</v>
      </c>
      <c r="F454" s="2">
        <v>113.27</v>
      </c>
      <c r="G454" s="2">
        <v>17.579999999999998</v>
      </c>
      <c r="H454" s="2" t="s">
        <v>13</v>
      </c>
      <c r="I454" s="2" t="s">
        <v>20</v>
      </c>
    </row>
    <row r="455" spans="1:9" x14ac:dyDescent="0.35">
      <c r="A455" s="2" t="s">
        <v>491</v>
      </c>
      <c r="B455" s="3">
        <v>45522</v>
      </c>
      <c r="C455" s="2" t="s">
        <v>10</v>
      </c>
      <c r="D455" s="2" t="s">
        <v>62</v>
      </c>
      <c r="E455" s="2" t="s">
        <v>27</v>
      </c>
      <c r="F455" s="2">
        <v>354.31</v>
      </c>
      <c r="G455" s="2">
        <v>80.540000000000006</v>
      </c>
      <c r="H455" s="2" t="s">
        <v>19</v>
      </c>
      <c r="I455" s="2" t="s">
        <v>29</v>
      </c>
    </row>
    <row r="456" spans="1:9" x14ac:dyDescent="0.35">
      <c r="A456" s="2" t="s">
        <v>492</v>
      </c>
      <c r="B456" s="3">
        <v>45641</v>
      </c>
      <c r="C456" s="2" t="s">
        <v>10</v>
      </c>
      <c r="D456" s="2" t="s">
        <v>38</v>
      </c>
      <c r="E456" s="2" t="s">
        <v>12</v>
      </c>
      <c r="F456" s="2">
        <v>410.96</v>
      </c>
      <c r="G456" s="2">
        <v>26.96</v>
      </c>
      <c r="H456" s="2" t="s">
        <v>13</v>
      </c>
      <c r="I456" s="2" t="s">
        <v>14</v>
      </c>
    </row>
    <row r="457" spans="1:9" x14ac:dyDescent="0.35">
      <c r="A457" s="2" t="s">
        <v>493</v>
      </c>
      <c r="B457" s="3">
        <v>45412</v>
      </c>
      <c r="C457" s="2" t="s">
        <v>22</v>
      </c>
      <c r="D457" s="2" t="s">
        <v>62</v>
      </c>
      <c r="E457" s="2" t="s">
        <v>27</v>
      </c>
      <c r="F457" s="2">
        <v>295.06</v>
      </c>
      <c r="G457" s="2">
        <v>15.43</v>
      </c>
      <c r="H457" s="2" t="s">
        <v>19</v>
      </c>
      <c r="I457" s="2" t="s">
        <v>20</v>
      </c>
    </row>
    <row r="458" spans="1:9" x14ac:dyDescent="0.35">
      <c r="A458" s="2" t="s">
        <v>494</v>
      </c>
      <c r="B458" s="3">
        <v>45490</v>
      </c>
      <c r="C458" s="2" t="s">
        <v>25</v>
      </c>
      <c r="D458" s="2" t="s">
        <v>33</v>
      </c>
      <c r="E458" s="2" t="s">
        <v>18</v>
      </c>
      <c r="F458" s="2">
        <v>794.9</v>
      </c>
      <c r="G458" s="2">
        <v>207.42</v>
      </c>
      <c r="H458" s="2" t="s">
        <v>13</v>
      </c>
      <c r="I458" s="2" t="s">
        <v>34</v>
      </c>
    </row>
    <row r="459" spans="1:9" x14ac:dyDescent="0.35">
      <c r="A459" s="2" t="s">
        <v>495</v>
      </c>
      <c r="B459" s="3">
        <v>45483</v>
      </c>
      <c r="C459" s="2" t="s">
        <v>10</v>
      </c>
      <c r="D459" s="2" t="s">
        <v>50</v>
      </c>
      <c r="E459" s="2" t="s">
        <v>12</v>
      </c>
      <c r="F459" s="2">
        <v>1523.94</v>
      </c>
      <c r="G459" s="2">
        <v>180.86</v>
      </c>
      <c r="H459" s="2" t="s">
        <v>19</v>
      </c>
      <c r="I459" s="2" t="s">
        <v>29</v>
      </c>
    </row>
    <row r="460" spans="1:9" x14ac:dyDescent="0.35">
      <c r="A460" s="2" t="s">
        <v>496</v>
      </c>
      <c r="B460" s="3">
        <v>45381</v>
      </c>
      <c r="C460" s="2" t="s">
        <v>16</v>
      </c>
      <c r="D460" s="2" t="s">
        <v>23</v>
      </c>
      <c r="E460" s="2" t="s">
        <v>18</v>
      </c>
      <c r="F460" s="2">
        <v>734.61</v>
      </c>
      <c r="G460" s="2">
        <v>127.42</v>
      </c>
      <c r="H460" s="2" t="s">
        <v>19</v>
      </c>
      <c r="I460" s="2" t="s">
        <v>14</v>
      </c>
    </row>
    <row r="461" spans="1:9" x14ac:dyDescent="0.35">
      <c r="A461" s="2" t="s">
        <v>497</v>
      </c>
      <c r="B461" s="3">
        <v>45526</v>
      </c>
      <c r="C461" s="2" t="s">
        <v>22</v>
      </c>
      <c r="D461" s="2" t="s">
        <v>33</v>
      </c>
      <c r="E461" s="2" t="s">
        <v>18</v>
      </c>
      <c r="F461" s="2">
        <v>967.88</v>
      </c>
      <c r="G461" s="2">
        <v>153.80000000000001</v>
      </c>
      <c r="H461" s="2" t="s">
        <v>28</v>
      </c>
      <c r="I461" s="2" t="s">
        <v>29</v>
      </c>
    </row>
    <row r="462" spans="1:9" x14ac:dyDescent="0.35">
      <c r="A462" s="2" t="s">
        <v>498</v>
      </c>
      <c r="B462" s="3">
        <v>45562</v>
      </c>
      <c r="C462" s="2" t="s">
        <v>10</v>
      </c>
      <c r="D462" s="2" t="s">
        <v>73</v>
      </c>
      <c r="E462" s="2" t="s">
        <v>27</v>
      </c>
      <c r="F462" s="2">
        <v>541.26</v>
      </c>
      <c r="G462" s="2">
        <v>69.72</v>
      </c>
      <c r="H462" s="2" t="s">
        <v>13</v>
      </c>
      <c r="I462" s="2" t="s">
        <v>20</v>
      </c>
    </row>
    <row r="463" spans="1:9" x14ac:dyDescent="0.35">
      <c r="A463" s="2" t="s">
        <v>499</v>
      </c>
      <c r="B463" s="3">
        <v>45045</v>
      </c>
      <c r="C463" s="2" t="s">
        <v>25</v>
      </c>
      <c r="D463" s="2" t="s">
        <v>38</v>
      </c>
      <c r="E463" s="2" t="s">
        <v>12</v>
      </c>
      <c r="F463" s="2">
        <v>209.84</v>
      </c>
      <c r="G463" s="2">
        <v>41.81</v>
      </c>
      <c r="H463" s="2" t="s">
        <v>13</v>
      </c>
      <c r="I463" s="2" t="s">
        <v>34</v>
      </c>
    </row>
    <row r="464" spans="1:9" x14ac:dyDescent="0.35">
      <c r="A464" s="2" t="s">
        <v>500</v>
      </c>
      <c r="B464" s="3">
        <v>45231</v>
      </c>
      <c r="C464" s="2" t="s">
        <v>25</v>
      </c>
      <c r="D464" s="2" t="s">
        <v>23</v>
      </c>
      <c r="E464" s="2" t="s">
        <v>18</v>
      </c>
      <c r="F464" s="2">
        <v>172.86</v>
      </c>
      <c r="G464" s="2">
        <v>49.36</v>
      </c>
      <c r="H464" s="2" t="s">
        <v>13</v>
      </c>
      <c r="I464" s="2" t="s">
        <v>29</v>
      </c>
    </row>
    <row r="465" spans="1:9" x14ac:dyDescent="0.35">
      <c r="A465" s="2" t="s">
        <v>501</v>
      </c>
      <c r="B465" s="3">
        <v>45233</v>
      </c>
      <c r="C465" s="2" t="s">
        <v>25</v>
      </c>
      <c r="D465" s="2" t="s">
        <v>33</v>
      </c>
      <c r="E465" s="2" t="s">
        <v>18</v>
      </c>
      <c r="F465" s="2">
        <v>934.5</v>
      </c>
      <c r="G465" s="2">
        <v>209.6</v>
      </c>
      <c r="H465" s="2" t="s">
        <v>28</v>
      </c>
      <c r="I465" s="2" t="s">
        <v>20</v>
      </c>
    </row>
    <row r="466" spans="1:9" x14ac:dyDescent="0.35">
      <c r="A466" s="2" t="s">
        <v>502</v>
      </c>
      <c r="B466" s="3">
        <v>45065</v>
      </c>
      <c r="C466" s="2" t="s">
        <v>16</v>
      </c>
      <c r="D466" s="2" t="s">
        <v>17</v>
      </c>
      <c r="E466" s="2" t="s">
        <v>18</v>
      </c>
      <c r="F466" s="2">
        <v>1656.06</v>
      </c>
      <c r="G466" s="2">
        <v>126.65</v>
      </c>
      <c r="H466" s="2" t="s">
        <v>19</v>
      </c>
      <c r="I466" s="2" t="s">
        <v>14</v>
      </c>
    </row>
    <row r="467" spans="1:9" x14ac:dyDescent="0.35">
      <c r="A467" s="2" t="s">
        <v>503</v>
      </c>
      <c r="B467" s="3">
        <v>44904</v>
      </c>
      <c r="C467" s="2" t="s">
        <v>22</v>
      </c>
      <c r="D467" s="2" t="s">
        <v>95</v>
      </c>
      <c r="E467" s="2" t="s">
        <v>18</v>
      </c>
      <c r="F467" s="2">
        <v>1504.3</v>
      </c>
      <c r="G467" s="2">
        <v>385.14</v>
      </c>
      <c r="H467" s="2" t="s">
        <v>13</v>
      </c>
      <c r="I467" s="2" t="s">
        <v>34</v>
      </c>
    </row>
    <row r="468" spans="1:9" x14ac:dyDescent="0.35">
      <c r="A468" s="2" t="s">
        <v>504</v>
      </c>
      <c r="B468" s="3">
        <v>44921</v>
      </c>
      <c r="C468" s="2" t="s">
        <v>22</v>
      </c>
      <c r="D468" s="2" t="s">
        <v>38</v>
      </c>
      <c r="E468" s="2" t="s">
        <v>12</v>
      </c>
      <c r="F468" s="2">
        <v>355.03</v>
      </c>
      <c r="G468" s="2">
        <v>57.78</v>
      </c>
      <c r="H468" s="2" t="s">
        <v>28</v>
      </c>
      <c r="I468" s="2" t="s">
        <v>34</v>
      </c>
    </row>
    <row r="469" spans="1:9" x14ac:dyDescent="0.35">
      <c r="A469" s="2" t="s">
        <v>505</v>
      </c>
      <c r="B469" s="3">
        <v>44730</v>
      </c>
      <c r="C469" s="2" t="s">
        <v>16</v>
      </c>
      <c r="D469" s="2" t="s">
        <v>31</v>
      </c>
      <c r="E469" s="2" t="s">
        <v>12</v>
      </c>
      <c r="F469" s="2">
        <v>401.84</v>
      </c>
      <c r="G469" s="2">
        <v>95.54</v>
      </c>
      <c r="H469" s="2" t="s">
        <v>13</v>
      </c>
      <c r="I469" s="2" t="s">
        <v>29</v>
      </c>
    </row>
    <row r="470" spans="1:9" x14ac:dyDescent="0.35">
      <c r="A470" s="2" t="s">
        <v>506</v>
      </c>
      <c r="B470" s="3">
        <v>45170</v>
      </c>
      <c r="C470" s="2" t="s">
        <v>25</v>
      </c>
      <c r="D470" s="2" t="s">
        <v>26</v>
      </c>
      <c r="E470" s="2" t="s">
        <v>27</v>
      </c>
      <c r="F470" s="2">
        <v>348.42</v>
      </c>
      <c r="G470" s="2">
        <v>92.86</v>
      </c>
      <c r="H470" s="2" t="s">
        <v>19</v>
      </c>
      <c r="I470" s="2" t="s">
        <v>14</v>
      </c>
    </row>
    <row r="471" spans="1:9" x14ac:dyDescent="0.35">
      <c r="A471" s="2" t="s">
        <v>507</v>
      </c>
      <c r="B471" s="3">
        <v>44943</v>
      </c>
      <c r="C471" s="2" t="s">
        <v>25</v>
      </c>
      <c r="D471" s="2" t="s">
        <v>41</v>
      </c>
      <c r="E471" s="2" t="s">
        <v>12</v>
      </c>
      <c r="F471" s="2">
        <v>224.04</v>
      </c>
      <c r="G471" s="2">
        <v>16.04</v>
      </c>
      <c r="H471" s="2" t="s">
        <v>13</v>
      </c>
      <c r="I471" s="2" t="s">
        <v>29</v>
      </c>
    </row>
    <row r="472" spans="1:9" x14ac:dyDescent="0.35">
      <c r="A472" s="2" t="s">
        <v>508</v>
      </c>
      <c r="B472" s="3">
        <v>45551</v>
      </c>
      <c r="C472" s="2" t="s">
        <v>22</v>
      </c>
      <c r="D472" s="2" t="s">
        <v>73</v>
      </c>
      <c r="E472" s="2" t="s">
        <v>27</v>
      </c>
      <c r="F472" s="2">
        <v>1706.43</v>
      </c>
      <c r="G472" s="2">
        <v>161.81</v>
      </c>
      <c r="H472" s="2" t="s">
        <v>13</v>
      </c>
      <c r="I472" s="2" t="s">
        <v>34</v>
      </c>
    </row>
    <row r="473" spans="1:9" x14ac:dyDescent="0.35">
      <c r="A473" s="2" t="s">
        <v>509</v>
      </c>
      <c r="B473" s="3">
        <v>45118</v>
      </c>
      <c r="C473" s="2" t="s">
        <v>22</v>
      </c>
      <c r="D473" s="2" t="s">
        <v>31</v>
      </c>
      <c r="E473" s="2" t="s">
        <v>12</v>
      </c>
      <c r="F473" s="2">
        <v>466.6</v>
      </c>
      <c r="G473" s="2">
        <v>126.01</v>
      </c>
      <c r="H473" s="2" t="s">
        <v>13</v>
      </c>
      <c r="I473" s="2" t="s">
        <v>14</v>
      </c>
    </row>
    <row r="474" spans="1:9" x14ac:dyDescent="0.35">
      <c r="A474" s="2" t="s">
        <v>510</v>
      </c>
      <c r="B474" s="3">
        <v>44899</v>
      </c>
      <c r="C474" s="2" t="s">
        <v>16</v>
      </c>
      <c r="D474" s="2" t="s">
        <v>95</v>
      </c>
      <c r="E474" s="2" t="s">
        <v>18</v>
      </c>
      <c r="F474" s="2">
        <v>461.17</v>
      </c>
      <c r="G474" s="2">
        <v>124</v>
      </c>
      <c r="H474" s="2" t="s">
        <v>28</v>
      </c>
      <c r="I474" s="2" t="s">
        <v>34</v>
      </c>
    </row>
    <row r="475" spans="1:9" x14ac:dyDescent="0.35">
      <c r="A475" s="2" t="s">
        <v>511</v>
      </c>
      <c r="B475" s="3">
        <v>45431</v>
      </c>
      <c r="C475" s="2" t="s">
        <v>22</v>
      </c>
      <c r="D475" s="2" t="s">
        <v>38</v>
      </c>
      <c r="E475" s="2" t="s">
        <v>12</v>
      </c>
      <c r="F475" s="2">
        <v>693.17</v>
      </c>
      <c r="G475" s="2">
        <v>107.65</v>
      </c>
      <c r="H475" s="2" t="s">
        <v>19</v>
      </c>
      <c r="I475" s="2" t="s">
        <v>20</v>
      </c>
    </row>
    <row r="476" spans="1:9" x14ac:dyDescent="0.35">
      <c r="A476" s="2" t="s">
        <v>512</v>
      </c>
      <c r="B476" s="3">
        <v>44798</v>
      </c>
      <c r="C476" s="2" t="s">
        <v>16</v>
      </c>
      <c r="D476" s="2" t="s">
        <v>17</v>
      </c>
      <c r="E476" s="2" t="s">
        <v>18</v>
      </c>
      <c r="F476" s="2">
        <v>413.27</v>
      </c>
      <c r="G476" s="2">
        <v>48.79</v>
      </c>
      <c r="H476" s="2" t="s">
        <v>19</v>
      </c>
      <c r="I476" s="2" t="s">
        <v>34</v>
      </c>
    </row>
    <row r="477" spans="1:9" x14ac:dyDescent="0.35">
      <c r="A477" s="2" t="s">
        <v>513</v>
      </c>
      <c r="B477" s="3">
        <v>44609</v>
      </c>
      <c r="C477" s="2" t="s">
        <v>22</v>
      </c>
      <c r="D477" s="2" t="s">
        <v>33</v>
      </c>
      <c r="E477" s="2" t="s">
        <v>18</v>
      </c>
      <c r="F477" s="2">
        <v>1968.07</v>
      </c>
      <c r="G477" s="2">
        <v>228.92</v>
      </c>
      <c r="H477" s="2" t="s">
        <v>19</v>
      </c>
      <c r="I477" s="2" t="s">
        <v>29</v>
      </c>
    </row>
    <row r="478" spans="1:9" x14ac:dyDescent="0.35">
      <c r="A478" s="2" t="s">
        <v>514</v>
      </c>
      <c r="B478" s="3">
        <v>45263</v>
      </c>
      <c r="C478" s="2" t="s">
        <v>22</v>
      </c>
      <c r="D478" s="2" t="s">
        <v>38</v>
      </c>
      <c r="E478" s="2" t="s">
        <v>12</v>
      </c>
      <c r="F478" s="2">
        <v>964.39</v>
      </c>
      <c r="G478" s="2">
        <v>87.48</v>
      </c>
      <c r="H478" s="2" t="s">
        <v>28</v>
      </c>
      <c r="I478" s="2" t="s">
        <v>34</v>
      </c>
    </row>
    <row r="479" spans="1:9" x14ac:dyDescent="0.35">
      <c r="A479" s="2" t="s">
        <v>515</v>
      </c>
      <c r="B479" s="3">
        <v>45411</v>
      </c>
      <c r="C479" s="2" t="s">
        <v>22</v>
      </c>
      <c r="D479" s="2" t="s">
        <v>33</v>
      </c>
      <c r="E479" s="2" t="s">
        <v>18</v>
      </c>
      <c r="F479" s="2">
        <v>1860.82</v>
      </c>
      <c r="G479" s="2">
        <v>291.41000000000003</v>
      </c>
      <c r="H479" s="2" t="s">
        <v>19</v>
      </c>
      <c r="I479" s="2" t="s">
        <v>14</v>
      </c>
    </row>
    <row r="480" spans="1:9" x14ac:dyDescent="0.35">
      <c r="A480" s="2" t="s">
        <v>516</v>
      </c>
      <c r="B480" s="3">
        <v>45086</v>
      </c>
      <c r="C480" s="2" t="s">
        <v>22</v>
      </c>
      <c r="D480" s="2" t="s">
        <v>73</v>
      </c>
      <c r="E480" s="2" t="s">
        <v>27</v>
      </c>
      <c r="F480" s="2">
        <v>1110.3900000000001</v>
      </c>
      <c r="G480" s="2">
        <v>237.9</v>
      </c>
      <c r="H480" s="2" t="s">
        <v>19</v>
      </c>
      <c r="I480" s="2" t="s">
        <v>20</v>
      </c>
    </row>
    <row r="481" spans="1:9" x14ac:dyDescent="0.35">
      <c r="A481" s="2" t="s">
        <v>517</v>
      </c>
      <c r="B481" s="3">
        <v>44944</v>
      </c>
      <c r="C481" s="2" t="s">
        <v>16</v>
      </c>
      <c r="D481" s="2" t="s">
        <v>95</v>
      </c>
      <c r="E481" s="2" t="s">
        <v>18</v>
      </c>
      <c r="F481" s="2">
        <v>480.72</v>
      </c>
      <c r="G481" s="2">
        <v>126.32</v>
      </c>
      <c r="H481" s="2" t="s">
        <v>13</v>
      </c>
      <c r="I481" s="2" t="s">
        <v>14</v>
      </c>
    </row>
    <row r="482" spans="1:9" x14ac:dyDescent="0.35">
      <c r="A482" s="2" t="s">
        <v>518</v>
      </c>
      <c r="B482" s="3">
        <v>45225</v>
      </c>
      <c r="C482" s="2" t="s">
        <v>22</v>
      </c>
      <c r="D482" s="2" t="s">
        <v>38</v>
      </c>
      <c r="E482" s="2" t="s">
        <v>12</v>
      </c>
      <c r="F482" s="2">
        <v>928.26</v>
      </c>
      <c r="G482" s="2">
        <v>176.54</v>
      </c>
      <c r="H482" s="2" t="s">
        <v>28</v>
      </c>
      <c r="I482" s="2" t="s">
        <v>29</v>
      </c>
    </row>
    <row r="483" spans="1:9" x14ac:dyDescent="0.35">
      <c r="A483" s="2" t="s">
        <v>519</v>
      </c>
      <c r="B483" s="3">
        <v>44688</v>
      </c>
      <c r="C483" s="2" t="s">
        <v>22</v>
      </c>
      <c r="D483" s="2" t="s">
        <v>97</v>
      </c>
      <c r="E483" s="2" t="s">
        <v>27</v>
      </c>
      <c r="F483" s="2">
        <v>1622.98</v>
      </c>
      <c r="G483" s="2">
        <v>258.89999999999998</v>
      </c>
      <c r="H483" s="2" t="s">
        <v>19</v>
      </c>
      <c r="I483" s="2" t="s">
        <v>14</v>
      </c>
    </row>
    <row r="484" spans="1:9" x14ac:dyDescent="0.35">
      <c r="A484" s="2" t="s">
        <v>520</v>
      </c>
      <c r="B484" s="3">
        <v>45068</v>
      </c>
      <c r="C484" s="2" t="s">
        <v>16</v>
      </c>
      <c r="D484" s="2" t="s">
        <v>41</v>
      </c>
      <c r="E484" s="2" t="s">
        <v>12</v>
      </c>
      <c r="F484" s="2">
        <v>447.55</v>
      </c>
      <c r="G484" s="2">
        <v>42.67</v>
      </c>
      <c r="H484" s="2" t="s">
        <v>19</v>
      </c>
      <c r="I484" s="2" t="s">
        <v>14</v>
      </c>
    </row>
    <row r="485" spans="1:9" x14ac:dyDescent="0.35">
      <c r="A485" s="2" t="s">
        <v>521</v>
      </c>
      <c r="B485" s="3">
        <v>44983</v>
      </c>
      <c r="C485" s="2" t="s">
        <v>16</v>
      </c>
      <c r="D485" s="2" t="s">
        <v>50</v>
      </c>
      <c r="E485" s="2" t="s">
        <v>12</v>
      </c>
      <c r="F485" s="2">
        <v>1279.45</v>
      </c>
      <c r="G485" s="2">
        <v>290.99</v>
      </c>
      <c r="H485" s="2" t="s">
        <v>28</v>
      </c>
      <c r="I485" s="2" t="s">
        <v>34</v>
      </c>
    </row>
    <row r="486" spans="1:9" x14ac:dyDescent="0.35">
      <c r="A486" s="2" t="s">
        <v>522</v>
      </c>
      <c r="B486" s="3">
        <v>45417</v>
      </c>
      <c r="C486" s="2" t="s">
        <v>25</v>
      </c>
      <c r="D486" s="2" t="s">
        <v>23</v>
      </c>
      <c r="E486" s="2" t="s">
        <v>18</v>
      </c>
      <c r="F486" s="2">
        <v>114.52</v>
      </c>
      <c r="G486" s="2">
        <v>32.17</v>
      </c>
      <c r="H486" s="2" t="s">
        <v>19</v>
      </c>
      <c r="I486" s="2" t="s">
        <v>34</v>
      </c>
    </row>
    <row r="487" spans="1:9" x14ac:dyDescent="0.35">
      <c r="A487" s="2" t="s">
        <v>523</v>
      </c>
      <c r="B487" s="3">
        <v>45109</v>
      </c>
      <c r="C487" s="2" t="s">
        <v>16</v>
      </c>
      <c r="D487" s="2" t="s">
        <v>38</v>
      </c>
      <c r="E487" s="2" t="s">
        <v>12</v>
      </c>
      <c r="F487" s="2">
        <v>330.64</v>
      </c>
      <c r="G487" s="2">
        <v>86.29</v>
      </c>
      <c r="H487" s="2" t="s">
        <v>19</v>
      </c>
      <c r="I487" s="2" t="s">
        <v>29</v>
      </c>
    </row>
    <row r="488" spans="1:9" x14ac:dyDescent="0.35">
      <c r="A488" s="2" t="s">
        <v>524</v>
      </c>
      <c r="B488" s="3">
        <v>45072</v>
      </c>
      <c r="C488" s="2" t="s">
        <v>16</v>
      </c>
      <c r="D488" s="2" t="s">
        <v>50</v>
      </c>
      <c r="E488" s="2" t="s">
        <v>12</v>
      </c>
      <c r="F488" s="2">
        <v>243.58</v>
      </c>
      <c r="G488" s="2">
        <v>31.3</v>
      </c>
      <c r="H488" s="2" t="s">
        <v>13</v>
      </c>
      <c r="I488" s="2" t="s">
        <v>14</v>
      </c>
    </row>
    <row r="489" spans="1:9" x14ac:dyDescent="0.35">
      <c r="A489" s="2" t="s">
        <v>525</v>
      </c>
      <c r="B489" s="3">
        <v>45064</v>
      </c>
      <c r="C489" s="2" t="s">
        <v>22</v>
      </c>
      <c r="D489" s="2" t="s">
        <v>26</v>
      </c>
      <c r="E489" s="2" t="s">
        <v>27</v>
      </c>
      <c r="F489" s="2">
        <v>312.60000000000002</v>
      </c>
      <c r="G489" s="2">
        <v>73.34</v>
      </c>
      <c r="H489" s="2" t="s">
        <v>28</v>
      </c>
      <c r="I489" s="2" t="s">
        <v>34</v>
      </c>
    </row>
    <row r="490" spans="1:9" x14ac:dyDescent="0.35">
      <c r="A490" s="2" t="s">
        <v>526</v>
      </c>
      <c r="B490" s="3">
        <v>45629</v>
      </c>
      <c r="C490" s="2" t="s">
        <v>22</v>
      </c>
      <c r="D490" s="2" t="s">
        <v>57</v>
      </c>
      <c r="E490" s="2" t="s">
        <v>27</v>
      </c>
      <c r="F490" s="2">
        <v>566.44000000000005</v>
      </c>
      <c r="G490" s="2">
        <v>108.44</v>
      </c>
      <c r="H490" s="2" t="s">
        <v>19</v>
      </c>
      <c r="I490" s="2" t="s">
        <v>29</v>
      </c>
    </row>
    <row r="491" spans="1:9" x14ac:dyDescent="0.35">
      <c r="A491" s="2" t="s">
        <v>527</v>
      </c>
      <c r="B491" s="3">
        <v>44899</v>
      </c>
      <c r="C491" s="2" t="s">
        <v>16</v>
      </c>
      <c r="D491" s="2" t="s">
        <v>31</v>
      </c>
      <c r="E491" s="2" t="s">
        <v>12</v>
      </c>
      <c r="F491" s="2">
        <v>1038.5899999999999</v>
      </c>
      <c r="G491" s="2">
        <v>93.39</v>
      </c>
      <c r="H491" s="2" t="s">
        <v>19</v>
      </c>
      <c r="I491" s="2" t="s">
        <v>29</v>
      </c>
    </row>
    <row r="492" spans="1:9" x14ac:dyDescent="0.35">
      <c r="A492" s="2" t="s">
        <v>528</v>
      </c>
      <c r="B492" s="3">
        <v>45645</v>
      </c>
      <c r="C492" s="2" t="s">
        <v>16</v>
      </c>
      <c r="D492" s="2" t="s">
        <v>57</v>
      </c>
      <c r="E492" s="2" t="s">
        <v>27</v>
      </c>
      <c r="F492" s="2">
        <v>1027.77</v>
      </c>
      <c r="G492" s="2">
        <v>214.05</v>
      </c>
      <c r="H492" s="2" t="s">
        <v>28</v>
      </c>
      <c r="I492" s="2" t="s">
        <v>20</v>
      </c>
    </row>
    <row r="493" spans="1:9" x14ac:dyDescent="0.35">
      <c r="A493" s="2" t="s">
        <v>529</v>
      </c>
      <c r="B493" s="3">
        <v>44634</v>
      </c>
      <c r="C493" s="2" t="s">
        <v>10</v>
      </c>
      <c r="D493" s="2" t="s">
        <v>73</v>
      </c>
      <c r="E493" s="2" t="s">
        <v>27</v>
      </c>
      <c r="F493" s="2">
        <v>236.45</v>
      </c>
      <c r="G493" s="2">
        <v>27.05</v>
      </c>
      <c r="H493" s="2" t="s">
        <v>28</v>
      </c>
      <c r="I493" s="2" t="s">
        <v>29</v>
      </c>
    </row>
    <row r="494" spans="1:9" x14ac:dyDescent="0.35">
      <c r="A494" s="2" t="s">
        <v>530</v>
      </c>
      <c r="B494" s="3">
        <v>45525</v>
      </c>
      <c r="C494" s="2" t="s">
        <v>10</v>
      </c>
      <c r="D494" s="2" t="s">
        <v>95</v>
      </c>
      <c r="E494" s="2" t="s">
        <v>18</v>
      </c>
      <c r="F494" s="2">
        <v>1871.82</v>
      </c>
      <c r="G494" s="2">
        <v>477.66</v>
      </c>
      <c r="H494" s="2" t="s">
        <v>13</v>
      </c>
      <c r="I494" s="2" t="s">
        <v>14</v>
      </c>
    </row>
    <row r="495" spans="1:9" x14ac:dyDescent="0.35">
      <c r="A495" s="2" t="s">
        <v>531</v>
      </c>
      <c r="B495" s="3">
        <v>44918</v>
      </c>
      <c r="C495" s="2" t="s">
        <v>10</v>
      </c>
      <c r="D495" s="2" t="s">
        <v>17</v>
      </c>
      <c r="E495" s="2" t="s">
        <v>18</v>
      </c>
      <c r="F495" s="2">
        <v>1788.79</v>
      </c>
      <c r="G495" s="2">
        <v>286.08999999999997</v>
      </c>
      <c r="H495" s="2" t="s">
        <v>13</v>
      </c>
      <c r="I495" s="2" t="s">
        <v>34</v>
      </c>
    </row>
    <row r="496" spans="1:9" x14ac:dyDescent="0.35">
      <c r="A496" s="2" t="s">
        <v>532</v>
      </c>
      <c r="B496" s="3">
        <v>45232</v>
      </c>
      <c r="C496" s="2" t="s">
        <v>25</v>
      </c>
      <c r="D496" s="2" t="s">
        <v>97</v>
      </c>
      <c r="E496" s="2" t="s">
        <v>27</v>
      </c>
      <c r="F496" s="2">
        <v>651.41</v>
      </c>
      <c r="G496" s="2">
        <v>138.32</v>
      </c>
      <c r="H496" s="2" t="s">
        <v>28</v>
      </c>
      <c r="I496" s="2" t="s">
        <v>14</v>
      </c>
    </row>
    <row r="497" spans="1:9" x14ac:dyDescent="0.35">
      <c r="A497" s="2" t="s">
        <v>533</v>
      </c>
      <c r="B497" s="3">
        <v>45587</v>
      </c>
      <c r="C497" s="2" t="s">
        <v>22</v>
      </c>
      <c r="D497" s="2" t="s">
        <v>11</v>
      </c>
      <c r="E497" s="2" t="s">
        <v>12</v>
      </c>
      <c r="F497" s="2">
        <v>115.65</v>
      </c>
      <c r="G497" s="2">
        <v>14.74</v>
      </c>
      <c r="H497" s="2" t="s">
        <v>19</v>
      </c>
      <c r="I497" s="2" t="s">
        <v>20</v>
      </c>
    </row>
    <row r="498" spans="1:9" x14ac:dyDescent="0.35">
      <c r="A498" s="2" t="s">
        <v>534</v>
      </c>
      <c r="B498" s="3">
        <v>45284</v>
      </c>
      <c r="C498" s="2" t="s">
        <v>22</v>
      </c>
      <c r="D498" s="2" t="s">
        <v>46</v>
      </c>
      <c r="E498" s="2" t="s">
        <v>18</v>
      </c>
      <c r="F498" s="2">
        <v>1409.42</v>
      </c>
      <c r="G498" s="2">
        <v>358.8</v>
      </c>
      <c r="H498" s="2" t="s">
        <v>19</v>
      </c>
      <c r="I498" s="2" t="s">
        <v>29</v>
      </c>
    </row>
    <row r="499" spans="1:9" x14ac:dyDescent="0.35">
      <c r="A499" s="2" t="s">
        <v>535</v>
      </c>
      <c r="B499" s="3">
        <v>45609</v>
      </c>
      <c r="C499" s="2" t="s">
        <v>25</v>
      </c>
      <c r="D499" s="2" t="s">
        <v>97</v>
      </c>
      <c r="E499" s="2" t="s">
        <v>27</v>
      </c>
      <c r="F499" s="2">
        <v>1101.49</v>
      </c>
      <c r="G499" s="2">
        <v>89.09</v>
      </c>
      <c r="H499" s="2" t="s">
        <v>13</v>
      </c>
      <c r="I499" s="2" t="s">
        <v>14</v>
      </c>
    </row>
    <row r="500" spans="1:9" x14ac:dyDescent="0.35">
      <c r="A500" s="2" t="s">
        <v>536</v>
      </c>
      <c r="B500" s="3">
        <v>44750</v>
      </c>
      <c r="C500" s="2" t="s">
        <v>10</v>
      </c>
      <c r="D500" s="2" t="s">
        <v>26</v>
      </c>
      <c r="E500" s="2" t="s">
        <v>27</v>
      </c>
      <c r="F500" s="2">
        <v>1624.7</v>
      </c>
      <c r="G500" s="2">
        <v>123.28</v>
      </c>
      <c r="H500" s="2" t="s">
        <v>13</v>
      </c>
      <c r="I500" s="2" t="s">
        <v>20</v>
      </c>
    </row>
    <row r="501" spans="1:9" x14ac:dyDescent="0.35">
      <c r="A501" s="2" t="s">
        <v>537</v>
      </c>
      <c r="B501" s="3">
        <v>44811</v>
      </c>
      <c r="C501" s="2" t="s">
        <v>10</v>
      </c>
      <c r="D501" s="2" t="s">
        <v>38</v>
      </c>
      <c r="E501" s="2" t="s">
        <v>12</v>
      </c>
      <c r="F501" s="2">
        <v>1662.42</v>
      </c>
      <c r="G501" s="2">
        <v>405.05</v>
      </c>
      <c r="H501" s="2" t="s">
        <v>28</v>
      </c>
      <c r="I501" s="2" t="s">
        <v>29</v>
      </c>
    </row>
    <row r="502" spans="1:9" x14ac:dyDescent="0.35">
      <c r="A502" s="2" t="s">
        <v>538</v>
      </c>
      <c r="B502" s="3">
        <v>44828</v>
      </c>
      <c r="C502" s="2" t="s">
        <v>10</v>
      </c>
      <c r="D502" s="2" t="s">
        <v>41</v>
      </c>
      <c r="E502" s="2" t="s">
        <v>12</v>
      </c>
      <c r="F502" s="2">
        <v>1477.52</v>
      </c>
      <c r="G502" s="2">
        <v>326.18</v>
      </c>
      <c r="H502" s="2" t="s">
        <v>28</v>
      </c>
      <c r="I502" s="2" t="s">
        <v>29</v>
      </c>
    </row>
    <row r="503" spans="1:9" x14ac:dyDescent="0.35">
      <c r="A503" s="2" t="s">
        <v>539</v>
      </c>
      <c r="B503" s="3">
        <v>44967</v>
      </c>
      <c r="C503" s="2" t="s">
        <v>16</v>
      </c>
      <c r="D503" s="2" t="s">
        <v>26</v>
      </c>
      <c r="E503" s="2" t="s">
        <v>27</v>
      </c>
      <c r="F503" s="2">
        <v>1390.9</v>
      </c>
      <c r="G503" s="2">
        <v>251.32</v>
      </c>
      <c r="H503" s="2" t="s">
        <v>13</v>
      </c>
      <c r="I503" s="2" t="s">
        <v>14</v>
      </c>
    </row>
    <row r="504" spans="1:9" x14ac:dyDescent="0.35">
      <c r="A504" s="2" t="s">
        <v>540</v>
      </c>
      <c r="B504" s="3">
        <v>45090</v>
      </c>
      <c r="C504" s="2" t="s">
        <v>22</v>
      </c>
      <c r="D504" s="2" t="s">
        <v>41</v>
      </c>
      <c r="E504" s="2" t="s">
        <v>12</v>
      </c>
      <c r="F504" s="2">
        <v>1044.1199999999999</v>
      </c>
      <c r="G504" s="2">
        <v>127.18</v>
      </c>
      <c r="H504" s="2" t="s">
        <v>28</v>
      </c>
      <c r="I504" s="2" t="s">
        <v>20</v>
      </c>
    </row>
    <row r="505" spans="1:9" x14ac:dyDescent="0.35">
      <c r="A505" s="2" t="s">
        <v>541</v>
      </c>
      <c r="B505" s="3">
        <v>45466</v>
      </c>
      <c r="C505" s="2" t="s">
        <v>22</v>
      </c>
      <c r="D505" s="2" t="s">
        <v>97</v>
      </c>
      <c r="E505" s="2" t="s">
        <v>27</v>
      </c>
      <c r="F505" s="2">
        <v>226.32</v>
      </c>
      <c r="G505" s="2">
        <v>23.89</v>
      </c>
      <c r="H505" s="2" t="s">
        <v>19</v>
      </c>
      <c r="I505" s="2" t="s">
        <v>29</v>
      </c>
    </row>
    <row r="506" spans="1:9" x14ac:dyDescent="0.35">
      <c r="A506" s="2" t="s">
        <v>542</v>
      </c>
      <c r="B506" s="3">
        <v>44699</v>
      </c>
      <c r="C506" s="2" t="s">
        <v>22</v>
      </c>
      <c r="D506" s="2" t="s">
        <v>38</v>
      </c>
      <c r="E506" s="2" t="s">
        <v>12</v>
      </c>
      <c r="F506" s="2">
        <v>922.35</v>
      </c>
      <c r="G506" s="2">
        <v>211.36</v>
      </c>
      <c r="H506" s="2" t="s">
        <v>28</v>
      </c>
      <c r="I506" s="2" t="s">
        <v>29</v>
      </c>
    </row>
    <row r="507" spans="1:9" x14ac:dyDescent="0.35">
      <c r="A507" s="2" t="s">
        <v>543</v>
      </c>
      <c r="B507" s="3">
        <v>44746</v>
      </c>
      <c r="C507" s="2" t="s">
        <v>10</v>
      </c>
      <c r="D507" s="2" t="s">
        <v>50</v>
      </c>
      <c r="E507" s="2" t="s">
        <v>12</v>
      </c>
      <c r="F507" s="2">
        <v>1405.48</v>
      </c>
      <c r="G507" s="2">
        <v>331.93</v>
      </c>
      <c r="H507" s="2" t="s">
        <v>13</v>
      </c>
      <c r="I507" s="2" t="s">
        <v>29</v>
      </c>
    </row>
    <row r="508" spans="1:9" x14ac:dyDescent="0.35">
      <c r="A508" s="2" t="s">
        <v>544</v>
      </c>
      <c r="B508" s="3">
        <v>45393</v>
      </c>
      <c r="C508" s="2" t="s">
        <v>22</v>
      </c>
      <c r="D508" s="2" t="s">
        <v>46</v>
      </c>
      <c r="E508" s="2" t="s">
        <v>18</v>
      </c>
      <c r="F508" s="2">
        <v>958.49</v>
      </c>
      <c r="G508" s="2">
        <v>137.96</v>
      </c>
      <c r="H508" s="2" t="s">
        <v>28</v>
      </c>
      <c r="I508" s="2" t="s">
        <v>29</v>
      </c>
    </row>
    <row r="509" spans="1:9" x14ac:dyDescent="0.35">
      <c r="A509" s="2" t="s">
        <v>545</v>
      </c>
      <c r="B509" s="3">
        <v>44854</v>
      </c>
      <c r="C509" s="2" t="s">
        <v>10</v>
      </c>
      <c r="D509" s="2" t="s">
        <v>11</v>
      </c>
      <c r="E509" s="2" t="s">
        <v>12</v>
      </c>
      <c r="F509" s="2">
        <v>1224.74</v>
      </c>
      <c r="G509" s="2">
        <v>197.79</v>
      </c>
      <c r="H509" s="2" t="s">
        <v>19</v>
      </c>
      <c r="I509" s="2" t="s">
        <v>20</v>
      </c>
    </row>
    <row r="510" spans="1:9" x14ac:dyDescent="0.35">
      <c r="A510" s="2" t="s">
        <v>546</v>
      </c>
      <c r="B510" s="3">
        <v>45164</v>
      </c>
      <c r="C510" s="2" t="s">
        <v>22</v>
      </c>
      <c r="D510" s="2" t="s">
        <v>50</v>
      </c>
      <c r="E510" s="2" t="s">
        <v>12</v>
      </c>
      <c r="F510" s="2">
        <v>905.93</v>
      </c>
      <c r="G510" s="2">
        <v>161.41</v>
      </c>
      <c r="H510" s="2" t="s">
        <v>13</v>
      </c>
      <c r="I510" s="2" t="s">
        <v>20</v>
      </c>
    </row>
    <row r="511" spans="1:9" x14ac:dyDescent="0.35">
      <c r="A511" s="2" t="s">
        <v>547</v>
      </c>
      <c r="B511" s="3">
        <v>45051</v>
      </c>
      <c r="C511" s="2" t="s">
        <v>10</v>
      </c>
      <c r="D511" s="2" t="s">
        <v>33</v>
      </c>
      <c r="E511" s="2" t="s">
        <v>18</v>
      </c>
      <c r="F511" s="2">
        <v>925.99</v>
      </c>
      <c r="G511" s="2">
        <v>237.18</v>
      </c>
      <c r="H511" s="2" t="s">
        <v>13</v>
      </c>
      <c r="I511" s="2" t="s">
        <v>34</v>
      </c>
    </row>
    <row r="512" spans="1:9" x14ac:dyDescent="0.35">
      <c r="A512" s="2" t="s">
        <v>548</v>
      </c>
      <c r="B512" s="3">
        <v>45426</v>
      </c>
      <c r="C512" s="2" t="s">
        <v>25</v>
      </c>
      <c r="D512" s="2" t="s">
        <v>46</v>
      </c>
      <c r="E512" s="2" t="s">
        <v>18</v>
      </c>
      <c r="F512" s="2">
        <v>1357.58</v>
      </c>
      <c r="G512" s="2">
        <v>192.01</v>
      </c>
      <c r="H512" s="2" t="s">
        <v>28</v>
      </c>
      <c r="I512" s="2" t="s">
        <v>34</v>
      </c>
    </row>
    <row r="513" spans="1:9" x14ac:dyDescent="0.35">
      <c r="A513" s="2" t="s">
        <v>549</v>
      </c>
      <c r="B513" s="3">
        <v>44590</v>
      </c>
      <c r="C513" s="2" t="s">
        <v>10</v>
      </c>
      <c r="D513" s="2" t="s">
        <v>26</v>
      </c>
      <c r="E513" s="2" t="s">
        <v>27</v>
      </c>
      <c r="F513" s="2">
        <v>845.39</v>
      </c>
      <c r="G513" s="2">
        <v>181.97</v>
      </c>
      <c r="H513" s="2" t="s">
        <v>13</v>
      </c>
      <c r="I513" s="2" t="s">
        <v>20</v>
      </c>
    </row>
    <row r="514" spans="1:9" x14ac:dyDescent="0.35">
      <c r="A514" s="2" t="s">
        <v>550</v>
      </c>
      <c r="B514" s="3">
        <v>45105</v>
      </c>
      <c r="C514" s="2" t="s">
        <v>10</v>
      </c>
      <c r="D514" s="2" t="s">
        <v>41</v>
      </c>
      <c r="E514" s="2" t="s">
        <v>12</v>
      </c>
      <c r="F514" s="2">
        <v>331.5</v>
      </c>
      <c r="G514" s="2">
        <v>98.08</v>
      </c>
      <c r="H514" s="2" t="s">
        <v>19</v>
      </c>
      <c r="I514" s="2" t="s">
        <v>34</v>
      </c>
    </row>
    <row r="515" spans="1:9" x14ac:dyDescent="0.35">
      <c r="A515" s="2" t="s">
        <v>551</v>
      </c>
      <c r="B515" s="3">
        <v>45024</v>
      </c>
      <c r="C515" s="2" t="s">
        <v>16</v>
      </c>
      <c r="D515" s="2" t="s">
        <v>62</v>
      </c>
      <c r="E515" s="2" t="s">
        <v>27</v>
      </c>
      <c r="F515" s="2">
        <v>940.91</v>
      </c>
      <c r="G515" s="2">
        <v>48.54</v>
      </c>
      <c r="H515" s="2" t="s">
        <v>28</v>
      </c>
      <c r="I515" s="2" t="s">
        <v>14</v>
      </c>
    </row>
    <row r="516" spans="1:9" x14ac:dyDescent="0.35">
      <c r="A516" s="2" t="s">
        <v>552</v>
      </c>
      <c r="B516" s="3">
        <v>45221</v>
      </c>
      <c r="C516" s="2" t="s">
        <v>22</v>
      </c>
      <c r="D516" s="2" t="s">
        <v>11</v>
      </c>
      <c r="E516" s="2" t="s">
        <v>12</v>
      </c>
      <c r="F516" s="2">
        <v>1000.89</v>
      </c>
      <c r="G516" s="2">
        <v>119.3</v>
      </c>
      <c r="H516" s="2" t="s">
        <v>19</v>
      </c>
      <c r="I516" s="2" t="s">
        <v>20</v>
      </c>
    </row>
    <row r="517" spans="1:9" x14ac:dyDescent="0.35">
      <c r="A517" s="2" t="s">
        <v>553</v>
      </c>
      <c r="B517" s="3">
        <v>45391</v>
      </c>
      <c r="C517" s="2" t="s">
        <v>16</v>
      </c>
      <c r="D517" s="2" t="s">
        <v>46</v>
      </c>
      <c r="E517" s="2" t="s">
        <v>18</v>
      </c>
      <c r="F517" s="2">
        <v>293.32</v>
      </c>
      <c r="G517" s="2">
        <v>26.29</v>
      </c>
      <c r="H517" s="2" t="s">
        <v>19</v>
      </c>
      <c r="I517" s="2" t="s">
        <v>20</v>
      </c>
    </row>
    <row r="518" spans="1:9" x14ac:dyDescent="0.35">
      <c r="A518" s="2" t="s">
        <v>554</v>
      </c>
      <c r="B518" s="3">
        <v>45152</v>
      </c>
      <c r="C518" s="2" t="s">
        <v>22</v>
      </c>
      <c r="D518" s="2" t="s">
        <v>17</v>
      </c>
      <c r="E518" s="2" t="s">
        <v>18</v>
      </c>
      <c r="F518" s="2">
        <v>1267.57</v>
      </c>
      <c r="G518" s="2">
        <v>161.07</v>
      </c>
      <c r="H518" s="2" t="s">
        <v>28</v>
      </c>
      <c r="I518" s="2" t="s">
        <v>34</v>
      </c>
    </row>
    <row r="519" spans="1:9" x14ac:dyDescent="0.35">
      <c r="A519" s="2" t="s">
        <v>555</v>
      </c>
      <c r="B519" s="3">
        <v>45004</v>
      </c>
      <c r="C519" s="2" t="s">
        <v>16</v>
      </c>
      <c r="D519" s="2" t="s">
        <v>50</v>
      </c>
      <c r="E519" s="2" t="s">
        <v>12</v>
      </c>
      <c r="F519" s="2">
        <v>109.97</v>
      </c>
      <c r="G519" s="2">
        <v>27.39</v>
      </c>
      <c r="H519" s="2" t="s">
        <v>13</v>
      </c>
      <c r="I519" s="2" t="s">
        <v>20</v>
      </c>
    </row>
    <row r="520" spans="1:9" x14ac:dyDescent="0.35">
      <c r="A520" s="2" t="s">
        <v>556</v>
      </c>
      <c r="B520" s="3">
        <v>45468</v>
      </c>
      <c r="C520" s="2" t="s">
        <v>25</v>
      </c>
      <c r="D520" s="2" t="s">
        <v>11</v>
      </c>
      <c r="E520" s="2" t="s">
        <v>12</v>
      </c>
      <c r="F520" s="2">
        <v>1833.33</v>
      </c>
      <c r="G520" s="2">
        <v>97.11</v>
      </c>
      <c r="H520" s="2" t="s">
        <v>28</v>
      </c>
      <c r="I520" s="2" t="s">
        <v>34</v>
      </c>
    </row>
    <row r="521" spans="1:9" x14ac:dyDescent="0.35">
      <c r="A521" s="2" t="s">
        <v>557</v>
      </c>
      <c r="B521" s="3">
        <v>44725</v>
      </c>
      <c r="C521" s="2" t="s">
        <v>25</v>
      </c>
      <c r="D521" s="2" t="s">
        <v>73</v>
      </c>
      <c r="E521" s="2" t="s">
        <v>27</v>
      </c>
      <c r="F521" s="2">
        <v>1346.87</v>
      </c>
      <c r="G521" s="2">
        <v>75.53</v>
      </c>
      <c r="H521" s="2" t="s">
        <v>28</v>
      </c>
      <c r="I521" s="2" t="s">
        <v>29</v>
      </c>
    </row>
    <row r="522" spans="1:9" x14ac:dyDescent="0.35">
      <c r="A522" s="2" t="s">
        <v>558</v>
      </c>
      <c r="B522" s="3">
        <v>45016</v>
      </c>
      <c r="C522" s="2" t="s">
        <v>22</v>
      </c>
      <c r="D522" s="2" t="s">
        <v>46</v>
      </c>
      <c r="E522" s="2" t="s">
        <v>18</v>
      </c>
      <c r="F522" s="2">
        <v>757.49</v>
      </c>
      <c r="G522" s="2">
        <v>74.84</v>
      </c>
      <c r="H522" s="2" t="s">
        <v>19</v>
      </c>
      <c r="I522" s="2" t="s">
        <v>29</v>
      </c>
    </row>
    <row r="523" spans="1:9" x14ac:dyDescent="0.35">
      <c r="A523" s="2" t="s">
        <v>559</v>
      </c>
      <c r="B523" s="3">
        <v>44589</v>
      </c>
      <c r="C523" s="2" t="s">
        <v>25</v>
      </c>
      <c r="D523" s="2" t="s">
        <v>73</v>
      </c>
      <c r="E523" s="2" t="s">
        <v>27</v>
      </c>
      <c r="F523" s="2">
        <v>1131.03</v>
      </c>
      <c r="G523" s="2">
        <v>233.68</v>
      </c>
      <c r="H523" s="2" t="s">
        <v>19</v>
      </c>
      <c r="I523" s="2" t="s">
        <v>20</v>
      </c>
    </row>
    <row r="524" spans="1:9" x14ac:dyDescent="0.35">
      <c r="A524" s="2" t="s">
        <v>560</v>
      </c>
      <c r="B524" s="3">
        <v>44564</v>
      </c>
      <c r="C524" s="2" t="s">
        <v>16</v>
      </c>
      <c r="D524" s="2" t="s">
        <v>38</v>
      </c>
      <c r="E524" s="2" t="s">
        <v>12</v>
      </c>
      <c r="F524" s="2">
        <v>1247.3499999999999</v>
      </c>
      <c r="G524" s="2">
        <v>248.21</v>
      </c>
      <c r="H524" s="2" t="s">
        <v>28</v>
      </c>
      <c r="I524" s="2" t="s">
        <v>20</v>
      </c>
    </row>
    <row r="525" spans="1:9" x14ac:dyDescent="0.35">
      <c r="A525" s="2" t="s">
        <v>561</v>
      </c>
      <c r="B525" s="3">
        <v>45268</v>
      </c>
      <c r="C525" s="2" t="s">
        <v>10</v>
      </c>
      <c r="D525" s="2" t="s">
        <v>23</v>
      </c>
      <c r="E525" s="2" t="s">
        <v>18</v>
      </c>
      <c r="F525" s="2">
        <v>844.67</v>
      </c>
      <c r="G525" s="2">
        <v>115.5</v>
      </c>
      <c r="H525" s="2" t="s">
        <v>19</v>
      </c>
      <c r="I525" s="2" t="s">
        <v>34</v>
      </c>
    </row>
    <row r="526" spans="1:9" x14ac:dyDescent="0.35">
      <c r="A526" s="2" t="s">
        <v>562</v>
      </c>
      <c r="B526" s="3">
        <v>45314</v>
      </c>
      <c r="C526" s="2" t="s">
        <v>22</v>
      </c>
      <c r="D526" s="2" t="s">
        <v>41</v>
      </c>
      <c r="E526" s="2" t="s">
        <v>12</v>
      </c>
      <c r="F526" s="2">
        <v>1254.74</v>
      </c>
      <c r="G526" s="2">
        <v>111.19</v>
      </c>
      <c r="H526" s="2" t="s">
        <v>13</v>
      </c>
      <c r="I526" s="2" t="s">
        <v>14</v>
      </c>
    </row>
    <row r="527" spans="1:9" x14ac:dyDescent="0.35">
      <c r="A527" s="2" t="s">
        <v>563</v>
      </c>
      <c r="B527" s="3">
        <v>45272</v>
      </c>
      <c r="C527" s="2" t="s">
        <v>10</v>
      </c>
      <c r="D527" s="2" t="s">
        <v>31</v>
      </c>
      <c r="E527" s="2" t="s">
        <v>12</v>
      </c>
      <c r="F527" s="2">
        <v>641.29</v>
      </c>
      <c r="G527" s="2">
        <v>181.66</v>
      </c>
      <c r="H527" s="2" t="s">
        <v>13</v>
      </c>
      <c r="I527" s="2" t="s">
        <v>29</v>
      </c>
    </row>
    <row r="528" spans="1:9" x14ac:dyDescent="0.35">
      <c r="A528" s="2" t="s">
        <v>564</v>
      </c>
      <c r="B528" s="3">
        <v>44592</v>
      </c>
      <c r="C528" s="2" t="s">
        <v>22</v>
      </c>
      <c r="D528" s="2" t="s">
        <v>17</v>
      </c>
      <c r="E528" s="2" t="s">
        <v>18</v>
      </c>
      <c r="F528" s="2">
        <v>618.84</v>
      </c>
      <c r="G528" s="2">
        <v>86.88</v>
      </c>
      <c r="H528" s="2" t="s">
        <v>28</v>
      </c>
      <c r="I528" s="2" t="s">
        <v>14</v>
      </c>
    </row>
    <row r="529" spans="1:9" x14ac:dyDescent="0.35">
      <c r="A529" s="2" t="s">
        <v>565</v>
      </c>
      <c r="B529" s="3">
        <v>44748</v>
      </c>
      <c r="C529" s="2" t="s">
        <v>16</v>
      </c>
      <c r="D529" s="2" t="s">
        <v>31</v>
      </c>
      <c r="E529" s="2" t="s">
        <v>12</v>
      </c>
      <c r="F529" s="2">
        <v>452.21</v>
      </c>
      <c r="G529" s="2">
        <v>128.5</v>
      </c>
      <c r="H529" s="2" t="s">
        <v>19</v>
      </c>
      <c r="I529" s="2" t="s">
        <v>34</v>
      </c>
    </row>
    <row r="530" spans="1:9" x14ac:dyDescent="0.35">
      <c r="A530" s="2" t="s">
        <v>566</v>
      </c>
      <c r="B530" s="3">
        <v>44688</v>
      </c>
      <c r="C530" s="2" t="s">
        <v>10</v>
      </c>
      <c r="D530" s="2" t="s">
        <v>38</v>
      </c>
      <c r="E530" s="2" t="s">
        <v>12</v>
      </c>
      <c r="F530" s="2">
        <v>684.08</v>
      </c>
      <c r="G530" s="2">
        <v>111.56</v>
      </c>
      <c r="H530" s="2" t="s">
        <v>28</v>
      </c>
      <c r="I530" s="2" t="s">
        <v>29</v>
      </c>
    </row>
    <row r="531" spans="1:9" x14ac:dyDescent="0.35">
      <c r="A531" s="2" t="s">
        <v>567</v>
      </c>
      <c r="B531" s="3">
        <v>44683</v>
      </c>
      <c r="C531" s="2" t="s">
        <v>10</v>
      </c>
      <c r="D531" s="2" t="s">
        <v>33</v>
      </c>
      <c r="E531" s="2" t="s">
        <v>18</v>
      </c>
      <c r="F531" s="2">
        <v>309.18</v>
      </c>
      <c r="G531" s="2">
        <v>86.37</v>
      </c>
      <c r="H531" s="2" t="s">
        <v>28</v>
      </c>
      <c r="I531" s="2" t="s">
        <v>29</v>
      </c>
    </row>
    <row r="532" spans="1:9" x14ac:dyDescent="0.35">
      <c r="A532" s="2" t="s">
        <v>568</v>
      </c>
      <c r="B532" s="3">
        <v>45569</v>
      </c>
      <c r="C532" s="2" t="s">
        <v>22</v>
      </c>
      <c r="D532" s="2" t="s">
        <v>97</v>
      </c>
      <c r="E532" s="2" t="s">
        <v>27</v>
      </c>
      <c r="F532" s="2">
        <v>1865.45</v>
      </c>
      <c r="G532" s="2">
        <v>538.45000000000005</v>
      </c>
      <c r="H532" s="2" t="s">
        <v>19</v>
      </c>
      <c r="I532" s="2" t="s">
        <v>29</v>
      </c>
    </row>
    <row r="533" spans="1:9" x14ac:dyDescent="0.35">
      <c r="A533" s="2" t="s">
        <v>569</v>
      </c>
      <c r="B533" s="3">
        <v>44749</v>
      </c>
      <c r="C533" s="2" t="s">
        <v>25</v>
      </c>
      <c r="D533" s="2" t="s">
        <v>23</v>
      </c>
      <c r="E533" s="2" t="s">
        <v>18</v>
      </c>
      <c r="F533" s="2">
        <v>1299.02</v>
      </c>
      <c r="G533" s="2">
        <v>241.32</v>
      </c>
      <c r="H533" s="2" t="s">
        <v>28</v>
      </c>
      <c r="I533" s="2" t="s">
        <v>14</v>
      </c>
    </row>
    <row r="534" spans="1:9" x14ac:dyDescent="0.35">
      <c r="A534" s="2" t="s">
        <v>570</v>
      </c>
      <c r="B534" s="3">
        <v>45432</v>
      </c>
      <c r="C534" s="2" t="s">
        <v>16</v>
      </c>
      <c r="D534" s="2" t="s">
        <v>26</v>
      </c>
      <c r="E534" s="2" t="s">
        <v>27</v>
      </c>
      <c r="F534" s="2">
        <v>54.56</v>
      </c>
      <c r="G534" s="2">
        <v>8.02</v>
      </c>
      <c r="H534" s="2" t="s">
        <v>28</v>
      </c>
      <c r="I534" s="2" t="s">
        <v>29</v>
      </c>
    </row>
    <row r="535" spans="1:9" x14ac:dyDescent="0.35">
      <c r="A535" s="2" t="s">
        <v>571</v>
      </c>
      <c r="B535" s="3">
        <v>45080</v>
      </c>
      <c r="C535" s="2" t="s">
        <v>25</v>
      </c>
      <c r="D535" s="2" t="s">
        <v>41</v>
      </c>
      <c r="E535" s="2" t="s">
        <v>12</v>
      </c>
      <c r="F535" s="2">
        <v>1009.19</v>
      </c>
      <c r="G535" s="2">
        <v>109.68</v>
      </c>
      <c r="H535" s="2" t="s">
        <v>13</v>
      </c>
      <c r="I535" s="2" t="s">
        <v>34</v>
      </c>
    </row>
    <row r="536" spans="1:9" x14ac:dyDescent="0.35">
      <c r="A536" s="2" t="s">
        <v>572</v>
      </c>
      <c r="B536" s="3">
        <v>45626</v>
      </c>
      <c r="C536" s="2" t="s">
        <v>25</v>
      </c>
      <c r="D536" s="2" t="s">
        <v>62</v>
      </c>
      <c r="E536" s="2" t="s">
        <v>27</v>
      </c>
      <c r="F536" s="2">
        <v>1223.8800000000001</v>
      </c>
      <c r="G536" s="2">
        <v>322.13</v>
      </c>
      <c r="H536" s="2" t="s">
        <v>28</v>
      </c>
      <c r="I536" s="2" t="s">
        <v>14</v>
      </c>
    </row>
    <row r="537" spans="1:9" x14ac:dyDescent="0.35">
      <c r="A537" s="2" t="s">
        <v>573</v>
      </c>
      <c r="B537" s="3">
        <v>45326</v>
      </c>
      <c r="C537" s="2" t="s">
        <v>10</v>
      </c>
      <c r="D537" s="2" t="s">
        <v>50</v>
      </c>
      <c r="E537" s="2" t="s">
        <v>12</v>
      </c>
      <c r="F537" s="2">
        <v>756.92</v>
      </c>
      <c r="G537" s="2">
        <v>70.84</v>
      </c>
      <c r="H537" s="2" t="s">
        <v>19</v>
      </c>
      <c r="I537" s="2" t="s">
        <v>29</v>
      </c>
    </row>
    <row r="538" spans="1:9" x14ac:dyDescent="0.35">
      <c r="A538" s="2" t="s">
        <v>574</v>
      </c>
      <c r="B538" s="3">
        <v>44739</v>
      </c>
      <c r="C538" s="2" t="s">
        <v>25</v>
      </c>
      <c r="D538" s="2" t="s">
        <v>97</v>
      </c>
      <c r="E538" s="2" t="s">
        <v>27</v>
      </c>
      <c r="F538" s="2">
        <v>565.39</v>
      </c>
      <c r="G538" s="2">
        <v>58.52</v>
      </c>
      <c r="H538" s="2" t="s">
        <v>19</v>
      </c>
      <c r="I538" s="2" t="s">
        <v>14</v>
      </c>
    </row>
    <row r="539" spans="1:9" x14ac:dyDescent="0.35">
      <c r="A539" s="2" t="s">
        <v>575</v>
      </c>
      <c r="B539" s="3">
        <v>44655</v>
      </c>
      <c r="C539" s="2" t="s">
        <v>10</v>
      </c>
      <c r="D539" s="2" t="s">
        <v>57</v>
      </c>
      <c r="E539" s="2" t="s">
        <v>27</v>
      </c>
      <c r="F539" s="2">
        <v>883.87</v>
      </c>
      <c r="G539" s="2">
        <v>120.41</v>
      </c>
      <c r="H539" s="2" t="s">
        <v>19</v>
      </c>
      <c r="I539" s="2" t="s">
        <v>29</v>
      </c>
    </row>
    <row r="540" spans="1:9" x14ac:dyDescent="0.35">
      <c r="A540" s="2" t="s">
        <v>576</v>
      </c>
      <c r="B540" s="3">
        <v>44597</v>
      </c>
      <c r="C540" s="2" t="s">
        <v>10</v>
      </c>
      <c r="D540" s="2" t="s">
        <v>38</v>
      </c>
      <c r="E540" s="2" t="s">
        <v>12</v>
      </c>
      <c r="F540" s="2">
        <v>716.86</v>
      </c>
      <c r="G540" s="2">
        <v>137.96</v>
      </c>
      <c r="H540" s="2" t="s">
        <v>19</v>
      </c>
      <c r="I540" s="2" t="s">
        <v>20</v>
      </c>
    </row>
    <row r="541" spans="1:9" x14ac:dyDescent="0.35">
      <c r="A541" s="2" t="s">
        <v>577</v>
      </c>
      <c r="B541" s="3">
        <v>44799</v>
      </c>
      <c r="C541" s="2" t="s">
        <v>25</v>
      </c>
      <c r="D541" s="2" t="s">
        <v>31</v>
      </c>
      <c r="E541" s="2" t="s">
        <v>12</v>
      </c>
      <c r="F541" s="2">
        <v>549.23</v>
      </c>
      <c r="G541" s="2">
        <v>145.66999999999999</v>
      </c>
      <c r="H541" s="2" t="s">
        <v>13</v>
      </c>
      <c r="I541" s="2" t="s">
        <v>29</v>
      </c>
    </row>
    <row r="542" spans="1:9" x14ac:dyDescent="0.35">
      <c r="A542" s="2" t="s">
        <v>578</v>
      </c>
      <c r="B542" s="3">
        <v>45494</v>
      </c>
      <c r="C542" s="2" t="s">
        <v>22</v>
      </c>
      <c r="D542" s="2" t="s">
        <v>50</v>
      </c>
      <c r="E542" s="2" t="s">
        <v>12</v>
      </c>
      <c r="F542" s="2">
        <v>1667.99</v>
      </c>
      <c r="G542" s="2">
        <v>296.56</v>
      </c>
      <c r="H542" s="2" t="s">
        <v>19</v>
      </c>
      <c r="I542" s="2" t="s">
        <v>34</v>
      </c>
    </row>
    <row r="543" spans="1:9" x14ac:dyDescent="0.35">
      <c r="A543" s="2" t="s">
        <v>579</v>
      </c>
      <c r="B543" s="3">
        <v>44817</v>
      </c>
      <c r="C543" s="2" t="s">
        <v>16</v>
      </c>
      <c r="D543" s="2" t="s">
        <v>73</v>
      </c>
      <c r="E543" s="2" t="s">
        <v>27</v>
      </c>
      <c r="F543" s="2">
        <v>1730.14</v>
      </c>
      <c r="G543" s="2">
        <v>215.86</v>
      </c>
      <c r="H543" s="2" t="s">
        <v>13</v>
      </c>
      <c r="I543" s="2" t="s">
        <v>29</v>
      </c>
    </row>
    <row r="544" spans="1:9" x14ac:dyDescent="0.35">
      <c r="A544" s="2" t="s">
        <v>580</v>
      </c>
      <c r="B544" s="3">
        <v>44798</v>
      </c>
      <c r="C544" s="2" t="s">
        <v>25</v>
      </c>
      <c r="D544" s="2" t="s">
        <v>62</v>
      </c>
      <c r="E544" s="2" t="s">
        <v>27</v>
      </c>
      <c r="F544" s="2">
        <v>1032.97</v>
      </c>
      <c r="G544" s="2">
        <v>134.69999999999999</v>
      </c>
      <c r="H544" s="2" t="s">
        <v>28</v>
      </c>
      <c r="I544" s="2" t="s">
        <v>14</v>
      </c>
    </row>
    <row r="545" spans="1:9" x14ac:dyDescent="0.35">
      <c r="A545" s="2" t="s">
        <v>581</v>
      </c>
      <c r="B545" s="3">
        <v>44995</v>
      </c>
      <c r="C545" s="2" t="s">
        <v>22</v>
      </c>
      <c r="D545" s="2" t="s">
        <v>38</v>
      </c>
      <c r="E545" s="2" t="s">
        <v>12</v>
      </c>
      <c r="F545" s="2">
        <v>1602.39</v>
      </c>
      <c r="G545" s="2">
        <v>315.39</v>
      </c>
      <c r="H545" s="2" t="s">
        <v>28</v>
      </c>
      <c r="I545" s="2" t="s">
        <v>29</v>
      </c>
    </row>
    <row r="546" spans="1:9" x14ac:dyDescent="0.35">
      <c r="A546" s="2" t="s">
        <v>582</v>
      </c>
      <c r="B546" s="3">
        <v>44702</v>
      </c>
      <c r="C546" s="2" t="s">
        <v>10</v>
      </c>
      <c r="D546" s="2" t="s">
        <v>11</v>
      </c>
      <c r="E546" s="2" t="s">
        <v>12</v>
      </c>
      <c r="F546" s="2">
        <v>1759.73</v>
      </c>
      <c r="G546" s="2">
        <v>382.11</v>
      </c>
      <c r="H546" s="2" t="s">
        <v>13</v>
      </c>
      <c r="I546" s="2" t="s">
        <v>20</v>
      </c>
    </row>
    <row r="547" spans="1:9" x14ac:dyDescent="0.35">
      <c r="A547" s="2" t="s">
        <v>583</v>
      </c>
      <c r="B547" s="3">
        <v>44579</v>
      </c>
      <c r="C547" s="2" t="s">
        <v>16</v>
      </c>
      <c r="D547" s="2" t="s">
        <v>50</v>
      </c>
      <c r="E547" s="2" t="s">
        <v>12</v>
      </c>
      <c r="F547" s="2">
        <v>908.96</v>
      </c>
      <c r="G547" s="2">
        <v>117.27</v>
      </c>
      <c r="H547" s="2" t="s">
        <v>28</v>
      </c>
      <c r="I547" s="2" t="s">
        <v>14</v>
      </c>
    </row>
    <row r="548" spans="1:9" x14ac:dyDescent="0.35">
      <c r="A548" s="2" t="s">
        <v>584</v>
      </c>
      <c r="B548" s="3">
        <v>44678</v>
      </c>
      <c r="C548" s="2" t="s">
        <v>22</v>
      </c>
      <c r="D548" s="2" t="s">
        <v>95</v>
      </c>
      <c r="E548" s="2" t="s">
        <v>18</v>
      </c>
      <c r="F548" s="2">
        <v>139.41999999999999</v>
      </c>
      <c r="G548" s="2">
        <v>20.56</v>
      </c>
      <c r="H548" s="2" t="s">
        <v>28</v>
      </c>
      <c r="I548" s="2" t="s">
        <v>14</v>
      </c>
    </row>
    <row r="549" spans="1:9" x14ac:dyDescent="0.35">
      <c r="A549" s="2" t="s">
        <v>585</v>
      </c>
      <c r="B549" s="3">
        <v>44637</v>
      </c>
      <c r="C549" s="2" t="s">
        <v>25</v>
      </c>
      <c r="D549" s="2" t="s">
        <v>41</v>
      </c>
      <c r="E549" s="2" t="s">
        <v>12</v>
      </c>
      <c r="F549" s="2">
        <v>1974.97</v>
      </c>
      <c r="G549" s="2">
        <v>524.48</v>
      </c>
      <c r="H549" s="2" t="s">
        <v>19</v>
      </c>
      <c r="I549" s="2" t="s">
        <v>20</v>
      </c>
    </row>
    <row r="550" spans="1:9" x14ac:dyDescent="0.35">
      <c r="A550" s="2" t="s">
        <v>586</v>
      </c>
      <c r="B550" s="3">
        <v>45383</v>
      </c>
      <c r="C550" s="2" t="s">
        <v>10</v>
      </c>
      <c r="D550" s="2" t="s">
        <v>46</v>
      </c>
      <c r="E550" s="2" t="s">
        <v>18</v>
      </c>
      <c r="F550" s="2">
        <v>472.72</v>
      </c>
      <c r="G550" s="2">
        <v>136.24</v>
      </c>
      <c r="H550" s="2" t="s">
        <v>28</v>
      </c>
      <c r="I550" s="2" t="s">
        <v>20</v>
      </c>
    </row>
    <row r="551" spans="1:9" x14ac:dyDescent="0.35">
      <c r="A551" s="2" t="s">
        <v>587</v>
      </c>
      <c r="B551" s="3">
        <v>45078</v>
      </c>
      <c r="C551" s="2" t="s">
        <v>25</v>
      </c>
      <c r="D551" s="2" t="s">
        <v>57</v>
      </c>
      <c r="E551" s="2" t="s">
        <v>27</v>
      </c>
      <c r="F551" s="2">
        <v>1648.02</v>
      </c>
      <c r="G551" s="2">
        <v>397.25</v>
      </c>
      <c r="H551" s="2" t="s">
        <v>13</v>
      </c>
      <c r="I551" s="2" t="s">
        <v>14</v>
      </c>
    </row>
    <row r="552" spans="1:9" x14ac:dyDescent="0.35">
      <c r="A552" s="2" t="s">
        <v>588</v>
      </c>
      <c r="B552" s="3">
        <v>45426</v>
      </c>
      <c r="C552" s="2" t="s">
        <v>22</v>
      </c>
      <c r="D552" s="2" t="s">
        <v>33</v>
      </c>
      <c r="E552" s="2" t="s">
        <v>18</v>
      </c>
      <c r="F552" s="2">
        <v>432.3</v>
      </c>
      <c r="G552" s="2">
        <v>124.52</v>
      </c>
      <c r="H552" s="2" t="s">
        <v>28</v>
      </c>
      <c r="I552" s="2" t="s">
        <v>34</v>
      </c>
    </row>
    <row r="553" spans="1:9" x14ac:dyDescent="0.35">
      <c r="A553" s="2" t="s">
        <v>589</v>
      </c>
      <c r="B553" s="3">
        <v>45614</v>
      </c>
      <c r="C553" s="2" t="s">
        <v>22</v>
      </c>
      <c r="D553" s="2" t="s">
        <v>46</v>
      </c>
      <c r="E553" s="2" t="s">
        <v>18</v>
      </c>
      <c r="F553" s="2">
        <v>459.71</v>
      </c>
      <c r="G553" s="2">
        <v>106.97</v>
      </c>
      <c r="H553" s="2" t="s">
        <v>28</v>
      </c>
      <c r="I553" s="2" t="s">
        <v>14</v>
      </c>
    </row>
    <row r="554" spans="1:9" x14ac:dyDescent="0.35">
      <c r="A554" s="2" t="s">
        <v>590</v>
      </c>
      <c r="B554" s="3">
        <v>45550</v>
      </c>
      <c r="C554" s="2" t="s">
        <v>16</v>
      </c>
      <c r="D554" s="2" t="s">
        <v>46</v>
      </c>
      <c r="E554" s="2" t="s">
        <v>18</v>
      </c>
      <c r="F554" s="2">
        <v>516.84</v>
      </c>
      <c r="G554" s="2">
        <v>125.46</v>
      </c>
      <c r="H554" s="2" t="s">
        <v>13</v>
      </c>
      <c r="I554" s="2" t="s">
        <v>29</v>
      </c>
    </row>
    <row r="555" spans="1:9" x14ac:dyDescent="0.35">
      <c r="A555" s="2" t="s">
        <v>591</v>
      </c>
      <c r="B555" s="3">
        <v>45074</v>
      </c>
      <c r="C555" s="2" t="s">
        <v>25</v>
      </c>
      <c r="D555" s="2" t="s">
        <v>62</v>
      </c>
      <c r="E555" s="2" t="s">
        <v>27</v>
      </c>
      <c r="F555" s="2">
        <v>982.36</v>
      </c>
      <c r="G555" s="2">
        <v>118.8</v>
      </c>
      <c r="H555" s="2" t="s">
        <v>19</v>
      </c>
      <c r="I555" s="2" t="s">
        <v>29</v>
      </c>
    </row>
    <row r="556" spans="1:9" x14ac:dyDescent="0.35">
      <c r="A556" s="2" t="s">
        <v>592</v>
      </c>
      <c r="B556" s="3">
        <v>44767</v>
      </c>
      <c r="C556" s="2" t="s">
        <v>10</v>
      </c>
      <c r="D556" s="2" t="s">
        <v>97</v>
      </c>
      <c r="E556" s="2" t="s">
        <v>27</v>
      </c>
      <c r="F556" s="2">
        <v>1653.08</v>
      </c>
      <c r="G556" s="2">
        <v>107.78</v>
      </c>
      <c r="H556" s="2" t="s">
        <v>19</v>
      </c>
      <c r="I556" s="2" t="s">
        <v>34</v>
      </c>
    </row>
    <row r="557" spans="1:9" x14ac:dyDescent="0.35">
      <c r="A557" s="2" t="s">
        <v>593</v>
      </c>
      <c r="B557" s="3">
        <v>45154</v>
      </c>
      <c r="C557" s="2" t="s">
        <v>16</v>
      </c>
      <c r="D557" s="2" t="s">
        <v>73</v>
      </c>
      <c r="E557" s="2" t="s">
        <v>27</v>
      </c>
      <c r="F557" s="2">
        <v>1012.83</v>
      </c>
      <c r="G557" s="2">
        <v>124.91</v>
      </c>
      <c r="H557" s="2" t="s">
        <v>13</v>
      </c>
      <c r="I557" s="2" t="s">
        <v>29</v>
      </c>
    </row>
    <row r="558" spans="1:9" x14ac:dyDescent="0.35">
      <c r="A558" s="2" t="s">
        <v>594</v>
      </c>
      <c r="B558" s="3">
        <v>44616</v>
      </c>
      <c r="C558" s="2" t="s">
        <v>10</v>
      </c>
      <c r="D558" s="2" t="s">
        <v>97</v>
      </c>
      <c r="E558" s="2" t="s">
        <v>27</v>
      </c>
      <c r="F558" s="2">
        <v>1998.1</v>
      </c>
      <c r="G558" s="2">
        <v>147.01</v>
      </c>
      <c r="H558" s="2" t="s">
        <v>13</v>
      </c>
      <c r="I558" s="2" t="s">
        <v>29</v>
      </c>
    </row>
    <row r="559" spans="1:9" x14ac:dyDescent="0.35">
      <c r="A559" s="2" t="s">
        <v>595</v>
      </c>
      <c r="B559" s="3">
        <v>44860</v>
      </c>
      <c r="C559" s="2" t="s">
        <v>22</v>
      </c>
      <c r="D559" s="2" t="s">
        <v>57</v>
      </c>
      <c r="E559" s="2" t="s">
        <v>27</v>
      </c>
      <c r="F559" s="2">
        <v>635.89</v>
      </c>
      <c r="G559" s="2">
        <v>46.56</v>
      </c>
      <c r="H559" s="2" t="s">
        <v>19</v>
      </c>
      <c r="I559" s="2" t="s">
        <v>14</v>
      </c>
    </row>
    <row r="560" spans="1:9" x14ac:dyDescent="0.35">
      <c r="A560" s="2" t="s">
        <v>596</v>
      </c>
      <c r="B560" s="3">
        <v>45201</v>
      </c>
      <c r="C560" s="2" t="s">
        <v>22</v>
      </c>
      <c r="D560" s="2" t="s">
        <v>38</v>
      </c>
      <c r="E560" s="2" t="s">
        <v>12</v>
      </c>
      <c r="F560" s="2">
        <v>700.88</v>
      </c>
      <c r="G560" s="2">
        <v>69.150000000000006</v>
      </c>
      <c r="H560" s="2" t="s">
        <v>28</v>
      </c>
      <c r="I560" s="2" t="s">
        <v>29</v>
      </c>
    </row>
    <row r="561" spans="1:9" x14ac:dyDescent="0.35">
      <c r="A561" s="2" t="s">
        <v>597</v>
      </c>
      <c r="B561" s="3">
        <v>44951</v>
      </c>
      <c r="C561" s="2" t="s">
        <v>22</v>
      </c>
      <c r="D561" s="2" t="s">
        <v>41</v>
      </c>
      <c r="E561" s="2" t="s">
        <v>12</v>
      </c>
      <c r="F561" s="2">
        <v>1096.95</v>
      </c>
      <c r="G561" s="2">
        <v>112.32</v>
      </c>
      <c r="H561" s="2" t="s">
        <v>13</v>
      </c>
      <c r="I561" s="2" t="s">
        <v>34</v>
      </c>
    </row>
    <row r="562" spans="1:9" x14ac:dyDescent="0.35">
      <c r="A562" s="2" t="s">
        <v>598</v>
      </c>
      <c r="B562" s="3">
        <v>45065</v>
      </c>
      <c r="C562" s="2" t="s">
        <v>25</v>
      </c>
      <c r="D562" s="2" t="s">
        <v>17</v>
      </c>
      <c r="E562" s="2" t="s">
        <v>18</v>
      </c>
      <c r="F562" s="2">
        <v>1074.92</v>
      </c>
      <c r="G562" s="2">
        <v>85.99</v>
      </c>
      <c r="H562" s="2" t="s">
        <v>28</v>
      </c>
      <c r="I562" s="2" t="s">
        <v>20</v>
      </c>
    </row>
    <row r="563" spans="1:9" x14ac:dyDescent="0.35">
      <c r="A563" s="2" t="s">
        <v>599</v>
      </c>
      <c r="B563" s="3">
        <v>44590</v>
      </c>
      <c r="C563" s="2" t="s">
        <v>22</v>
      </c>
      <c r="D563" s="2" t="s">
        <v>95</v>
      </c>
      <c r="E563" s="2" t="s">
        <v>18</v>
      </c>
      <c r="F563" s="2">
        <v>159.72999999999999</v>
      </c>
      <c r="G563" s="2">
        <v>36.99</v>
      </c>
      <c r="H563" s="2" t="s">
        <v>13</v>
      </c>
      <c r="I563" s="2" t="s">
        <v>29</v>
      </c>
    </row>
    <row r="564" spans="1:9" x14ac:dyDescent="0.35">
      <c r="A564" s="2" t="s">
        <v>600</v>
      </c>
      <c r="B564" s="3">
        <v>44941</v>
      </c>
      <c r="C564" s="2" t="s">
        <v>25</v>
      </c>
      <c r="D564" s="2" t="s">
        <v>38</v>
      </c>
      <c r="E564" s="2" t="s">
        <v>12</v>
      </c>
      <c r="F564" s="2">
        <v>1099.46</v>
      </c>
      <c r="G564" s="2">
        <v>260.83</v>
      </c>
      <c r="H564" s="2" t="s">
        <v>19</v>
      </c>
      <c r="I564" s="2" t="s">
        <v>14</v>
      </c>
    </row>
    <row r="565" spans="1:9" x14ac:dyDescent="0.35">
      <c r="A565" s="2" t="s">
        <v>601</v>
      </c>
      <c r="B565" s="3">
        <v>44595</v>
      </c>
      <c r="C565" s="2" t="s">
        <v>25</v>
      </c>
      <c r="D565" s="2" t="s">
        <v>38</v>
      </c>
      <c r="E565" s="2" t="s">
        <v>12</v>
      </c>
      <c r="F565" s="2">
        <v>756.57</v>
      </c>
      <c r="G565" s="2">
        <v>68.3</v>
      </c>
      <c r="H565" s="2" t="s">
        <v>28</v>
      </c>
      <c r="I565" s="2" t="s">
        <v>14</v>
      </c>
    </row>
    <row r="566" spans="1:9" x14ac:dyDescent="0.35">
      <c r="A566" s="2" t="s">
        <v>602</v>
      </c>
      <c r="B566" s="3">
        <v>45623</v>
      </c>
      <c r="C566" s="2" t="s">
        <v>10</v>
      </c>
      <c r="D566" s="2" t="s">
        <v>23</v>
      </c>
      <c r="E566" s="2" t="s">
        <v>18</v>
      </c>
      <c r="F566" s="2">
        <v>218.16</v>
      </c>
      <c r="G566" s="2">
        <v>57.31</v>
      </c>
      <c r="H566" s="2" t="s">
        <v>13</v>
      </c>
      <c r="I566" s="2" t="s">
        <v>20</v>
      </c>
    </row>
    <row r="567" spans="1:9" x14ac:dyDescent="0.35">
      <c r="A567" s="2" t="s">
        <v>603</v>
      </c>
      <c r="B567" s="3">
        <v>45482</v>
      </c>
      <c r="C567" s="2" t="s">
        <v>16</v>
      </c>
      <c r="D567" s="2" t="s">
        <v>33</v>
      </c>
      <c r="E567" s="2" t="s">
        <v>18</v>
      </c>
      <c r="F567" s="2">
        <v>954.92</v>
      </c>
      <c r="G567" s="2">
        <v>98.12</v>
      </c>
      <c r="H567" s="2" t="s">
        <v>28</v>
      </c>
      <c r="I567" s="2" t="s">
        <v>14</v>
      </c>
    </row>
    <row r="568" spans="1:9" x14ac:dyDescent="0.35">
      <c r="A568" s="2" t="s">
        <v>604</v>
      </c>
      <c r="B568" s="3">
        <v>44675</v>
      </c>
      <c r="C568" s="2" t="s">
        <v>10</v>
      </c>
      <c r="D568" s="2" t="s">
        <v>26</v>
      </c>
      <c r="E568" s="2" t="s">
        <v>27</v>
      </c>
      <c r="F568" s="2">
        <v>245.31</v>
      </c>
      <c r="G568" s="2">
        <v>12.72</v>
      </c>
      <c r="H568" s="2" t="s">
        <v>28</v>
      </c>
      <c r="I568" s="2" t="s">
        <v>34</v>
      </c>
    </row>
    <row r="569" spans="1:9" x14ac:dyDescent="0.35">
      <c r="A569" s="2" t="s">
        <v>605</v>
      </c>
      <c r="B569" s="3">
        <v>45065</v>
      </c>
      <c r="C569" s="2" t="s">
        <v>22</v>
      </c>
      <c r="D569" s="2" t="s">
        <v>11</v>
      </c>
      <c r="E569" s="2" t="s">
        <v>12</v>
      </c>
      <c r="F569" s="2">
        <v>183.27</v>
      </c>
      <c r="G569" s="2">
        <v>39.619999999999997</v>
      </c>
      <c r="H569" s="2" t="s">
        <v>13</v>
      </c>
      <c r="I569" s="2" t="s">
        <v>34</v>
      </c>
    </row>
    <row r="570" spans="1:9" x14ac:dyDescent="0.35">
      <c r="A570" s="2" t="s">
        <v>606</v>
      </c>
      <c r="B570" s="3">
        <v>45350</v>
      </c>
      <c r="C570" s="2" t="s">
        <v>25</v>
      </c>
      <c r="D570" s="2" t="s">
        <v>17</v>
      </c>
      <c r="E570" s="2" t="s">
        <v>18</v>
      </c>
      <c r="F570" s="2">
        <v>282.63</v>
      </c>
      <c r="G570" s="2">
        <v>32.270000000000003</v>
      </c>
      <c r="H570" s="2" t="s">
        <v>19</v>
      </c>
      <c r="I570" s="2" t="s">
        <v>20</v>
      </c>
    </row>
    <row r="571" spans="1:9" x14ac:dyDescent="0.35">
      <c r="A571" s="2" t="s">
        <v>607</v>
      </c>
      <c r="B571" s="3">
        <v>45281</v>
      </c>
      <c r="C571" s="2" t="s">
        <v>25</v>
      </c>
      <c r="D571" s="2" t="s">
        <v>41</v>
      </c>
      <c r="E571" s="2" t="s">
        <v>12</v>
      </c>
      <c r="F571" s="2">
        <v>1650.34</v>
      </c>
      <c r="G571" s="2">
        <v>218.45</v>
      </c>
      <c r="H571" s="2" t="s">
        <v>28</v>
      </c>
      <c r="I571" s="2" t="s">
        <v>29</v>
      </c>
    </row>
    <row r="572" spans="1:9" x14ac:dyDescent="0.35">
      <c r="A572" s="2" t="s">
        <v>608</v>
      </c>
      <c r="B572" s="3">
        <v>45487</v>
      </c>
      <c r="C572" s="2" t="s">
        <v>16</v>
      </c>
      <c r="D572" s="2" t="s">
        <v>38</v>
      </c>
      <c r="E572" s="2" t="s">
        <v>12</v>
      </c>
      <c r="F572" s="2">
        <v>1195.1199999999999</v>
      </c>
      <c r="G572" s="2">
        <v>284.75</v>
      </c>
      <c r="H572" s="2" t="s">
        <v>13</v>
      </c>
      <c r="I572" s="2" t="s">
        <v>14</v>
      </c>
    </row>
    <row r="573" spans="1:9" x14ac:dyDescent="0.35">
      <c r="A573" s="2" t="s">
        <v>609</v>
      </c>
      <c r="B573" s="3">
        <v>45533</v>
      </c>
      <c r="C573" s="2" t="s">
        <v>25</v>
      </c>
      <c r="D573" s="2" t="s">
        <v>11</v>
      </c>
      <c r="E573" s="2" t="s">
        <v>12</v>
      </c>
      <c r="F573" s="2">
        <v>281.54000000000002</v>
      </c>
      <c r="G573" s="2">
        <v>50.17</v>
      </c>
      <c r="H573" s="2" t="s">
        <v>13</v>
      </c>
      <c r="I573" s="2" t="s">
        <v>29</v>
      </c>
    </row>
    <row r="574" spans="1:9" x14ac:dyDescent="0.35">
      <c r="A574" s="2" t="s">
        <v>610</v>
      </c>
      <c r="B574" s="3">
        <v>45340</v>
      </c>
      <c r="C574" s="2" t="s">
        <v>16</v>
      </c>
      <c r="D574" s="2" t="s">
        <v>41</v>
      </c>
      <c r="E574" s="2" t="s">
        <v>12</v>
      </c>
      <c r="F574" s="2">
        <v>957.33</v>
      </c>
      <c r="G574" s="2">
        <v>94.8</v>
      </c>
      <c r="H574" s="2" t="s">
        <v>28</v>
      </c>
      <c r="I574" s="2" t="s">
        <v>20</v>
      </c>
    </row>
    <row r="575" spans="1:9" x14ac:dyDescent="0.35">
      <c r="A575" s="2" t="s">
        <v>611</v>
      </c>
      <c r="B575" s="3">
        <v>45345</v>
      </c>
      <c r="C575" s="2" t="s">
        <v>16</v>
      </c>
      <c r="D575" s="2" t="s">
        <v>41</v>
      </c>
      <c r="E575" s="2" t="s">
        <v>12</v>
      </c>
      <c r="F575" s="2">
        <v>1922.47</v>
      </c>
      <c r="G575" s="2">
        <v>275.38</v>
      </c>
      <c r="H575" s="2" t="s">
        <v>19</v>
      </c>
      <c r="I575" s="2" t="s">
        <v>20</v>
      </c>
    </row>
    <row r="576" spans="1:9" x14ac:dyDescent="0.35">
      <c r="A576" s="2" t="s">
        <v>612</v>
      </c>
      <c r="B576" s="3">
        <v>45380</v>
      </c>
      <c r="C576" s="2" t="s">
        <v>16</v>
      </c>
      <c r="D576" s="2" t="s">
        <v>41</v>
      </c>
      <c r="E576" s="2" t="s">
        <v>12</v>
      </c>
      <c r="F576" s="2">
        <v>1819.01</v>
      </c>
      <c r="G576" s="2">
        <v>431.14</v>
      </c>
      <c r="H576" s="2" t="s">
        <v>28</v>
      </c>
      <c r="I576" s="2" t="s">
        <v>14</v>
      </c>
    </row>
    <row r="577" spans="1:9" x14ac:dyDescent="0.35">
      <c r="A577" s="2" t="s">
        <v>613</v>
      </c>
      <c r="B577" s="3">
        <v>45322</v>
      </c>
      <c r="C577" s="2" t="s">
        <v>25</v>
      </c>
      <c r="D577" s="2" t="s">
        <v>95</v>
      </c>
      <c r="E577" s="2" t="s">
        <v>18</v>
      </c>
      <c r="F577" s="2">
        <v>306.02999999999997</v>
      </c>
      <c r="G577" s="2">
        <v>35.340000000000003</v>
      </c>
      <c r="H577" s="2" t="s">
        <v>28</v>
      </c>
      <c r="I577" s="2" t="s">
        <v>34</v>
      </c>
    </row>
    <row r="578" spans="1:9" x14ac:dyDescent="0.35">
      <c r="A578" s="2" t="s">
        <v>614</v>
      </c>
      <c r="B578" s="3">
        <v>44976</v>
      </c>
      <c r="C578" s="2" t="s">
        <v>25</v>
      </c>
      <c r="D578" s="2" t="s">
        <v>11</v>
      </c>
      <c r="E578" s="2" t="s">
        <v>12</v>
      </c>
      <c r="F578" s="2">
        <v>1805.04</v>
      </c>
      <c r="G578" s="2">
        <v>202.6</v>
      </c>
      <c r="H578" s="2" t="s">
        <v>28</v>
      </c>
      <c r="I578" s="2" t="s">
        <v>14</v>
      </c>
    </row>
    <row r="579" spans="1:9" x14ac:dyDescent="0.35">
      <c r="A579" s="2" t="s">
        <v>615</v>
      </c>
      <c r="B579" s="3">
        <v>45115</v>
      </c>
      <c r="C579" s="2" t="s">
        <v>25</v>
      </c>
      <c r="D579" s="2" t="s">
        <v>97</v>
      </c>
      <c r="E579" s="2" t="s">
        <v>27</v>
      </c>
      <c r="F579" s="2">
        <v>582.55999999999995</v>
      </c>
      <c r="G579" s="2">
        <v>170.64</v>
      </c>
      <c r="H579" s="2" t="s">
        <v>19</v>
      </c>
      <c r="I579" s="2" t="s">
        <v>14</v>
      </c>
    </row>
    <row r="580" spans="1:9" x14ac:dyDescent="0.35">
      <c r="A580" s="2" t="s">
        <v>616</v>
      </c>
      <c r="B580" s="3">
        <v>44999</v>
      </c>
      <c r="C580" s="2" t="s">
        <v>25</v>
      </c>
      <c r="D580" s="2" t="s">
        <v>62</v>
      </c>
      <c r="E580" s="2" t="s">
        <v>27</v>
      </c>
      <c r="F580" s="2">
        <v>1149.44</v>
      </c>
      <c r="G580" s="2">
        <v>75.709999999999994</v>
      </c>
      <c r="H580" s="2" t="s">
        <v>19</v>
      </c>
      <c r="I580" s="2" t="s">
        <v>29</v>
      </c>
    </row>
    <row r="581" spans="1:9" x14ac:dyDescent="0.35">
      <c r="A581" s="2" t="s">
        <v>617</v>
      </c>
      <c r="B581" s="3">
        <v>45318</v>
      </c>
      <c r="C581" s="2" t="s">
        <v>10</v>
      </c>
      <c r="D581" s="2" t="s">
        <v>38</v>
      </c>
      <c r="E581" s="2" t="s">
        <v>12</v>
      </c>
      <c r="F581" s="2">
        <v>1393.64</v>
      </c>
      <c r="G581" s="2">
        <v>216.39</v>
      </c>
      <c r="H581" s="2" t="s">
        <v>13</v>
      </c>
      <c r="I581" s="2" t="s">
        <v>34</v>
      </c>
    </row>
    <row r="582" spans="1:9" x14ac:dyDescent="0.35">
      <c r="A582" s="2" t="s">
        <v>618</v>
      </c>
      <c r="B582" s="3">
        <v>45582</v>
      </c>
      <c r="C582" s="2" t="s">
        <v>16</v>
      </c>
      <c r="D582" s="2" t="s">
        <v>95</v>
      </c>
      <c r="E582" s="2" t="s">
        <v>18</v>
      </c>
      <c r="F582" s="2">
        <v>779.03</v>
      </c>
      <c r="G582" s="2">
        <v>145.9</v>
      </c>
      <c r="H582" s="2" t="s">
        <v>13</v>
      </c>
      <c r="I582" s="2" t="s">
        <v>14</v>
      </c>
    </row>
    <row r="583" spans="1:9" x14ac:dyDescent="0.35">
      <c r="A583" s="2" t="s">
        <v>619</v>
      </c>
      <c r="B583" s="3">
        <v>44754</v>
      </c>
      <c r="C583" s="2" t="s">
        <v>25</v>
      </c>
      <c r="D583" s="2" t="s">
        <v>62</v>
      </c>
      <c r="E583" s="2" t="s">
        <v>27</v>
      </c>
      <c r="F583" s="2">
        <v>567.12</v>
      </c>
      <c r="G583" s="2">
        <v>49.25</v>
      </c>
      <c r="H583" s="2" t="s">
        <v>19</v>
      </c>
      <c r="I583" s="2" t="s">
        <v>14</v>
      </c>
    </row>
    <row r="584" spans="1:9" x14ac:dyDescent="0.35">
      <c r="A584" s="2" t="s">
        <v>620</v>
      </c>
      <c r="B584" s="3">
        <v>44906</v>
      </c>
      <c r="C584" s="2" t="s">
        <v>22</v>
      </c>
      <c r="D584" s="2" t="s">
        <v>38</v>
      </c>
      <c r="E584" s="2" t="s">
        <v>12</v>
      </c>
      <c r="F584" s="2">
        <v>596.24</v>
      </c>
      <c r="G584" s="2">
        <v>80.010000000000005</v>
      </c>
      <c r="H584" s="2" t="s">
        <v>28</v>
      </c>
      <c r="I584" s="2" t="s">
        <v>14</v>
      </c>
    </row>
    <row r="585" spans="1:9" x14ac:dyDescent="0.35">
      <c r="A585" s="2" t="s">
        <v>621</v>
      </c>
      <c r="B585" s="3">
        <v>45646</v>
      </c>
      <c r="C585" s="2" t="s">
        <v>16</v>
      </c>
      <c r="D585" s="2" t="s">
        <v>97</v>
      </c>
      <c r="E585" s="2" t="s">
        <v>27</v>
      </c>
      <c r="F585" s="2">
        <v>1984</v>
      </c>
      <c r="G585" s="2">
        <v>459.11</v>
      </c>
      <c r="H585" s="2" t="s">
        <v>13</v>
      </c>
      <c r="I585" s="2" t="s">
        <v>20</v>
      </c>
    </row>
    <row r="586" spans="1:9" x14ac:dyDescent="0.35">
      <c r="A586" s="2" t="s">
        <v>622</v>
      </c>
      <c r="B586" s="3">
        <v>44653</v>
      </c>
      <c r="C586" s="2" t="s">
        <v>22</v>
      </c>
      <c r="D586" s="2" t="s">
        <v>97</v>
      </c>
      <c r="E586" s="2" t="s">
        <v>27</v>
      </c>
      <c r="F586" s="2">
        <v>1943.07</v>
      </c>
      <c r="G586" s="2">
        <v>403.77</v>
      </c>
      <c r="H586" s="2" t="s">
        <v>28</v>
      </c>
      <c r="I586" s="2" t="s">
        <v>29</v>
      </c>
    </row>
    <row r="587" spans="1:9" x14ac:dyDescent="0.35">
      <c r="A587" s="2" t="s">
        <v>623</v>
      </c>
      <c r="B587" s="3">
        <v>45178</v>
      </c>
      <c r="C587" s="2" t="s">
        <v>10</v>
      </c>
      <c r="D587" s="2" t="s">
        <v>33</v>
      </c>
      <c r="E587" s="2" t="s">
        <v>18</v>
      </c>
      <c r="F587" s="2">
        <v>275.17</v>
      </c>
      <c r="G587" s="2">
        <v>25.28</v>
      </c>
      <c r="H587" s="2" t="s">
        <v>13</v>
      </c>
      <c r="I587" s="2" t="s">
        <v>34</v>
      </c>
    </row>
    <row r="588" spans="1:9" x14ac:dyDescent="0.35">
      <c r="A588" s="2" t="s">
        <v>624</v>
      </c>
      <c r="B588" s="3">
        <v>45390</v>
      </c>
      <c r="C588" s="2" t="s">
        <v>25</v>
      </c>
      <c r="D588" s="2" t="s">
        <v>95</v>
      </c>
      <c r="E588" s="2" t="s">
        <v>18</v>
      </c>
      <c r="F588" s="2">
        <v>992.66</v>
      </c>
      <c r="G588" s="2">
        <v>65.84</v>
      </c>
      <c r="H588" s="2" t="s">
        <v>19</v>
      </c>
      <c r="I588" s="2" t="s">
        <v>20</v>
      </c>
    </row>
    <row r="589" spans="1:9" x14ac:dyDescent="0.35">
      <c r="A589" s="2" t="s">
        <v>625</v>
      </c>
      <c r="B589" s="3">
        <v>45477</v>
      </c>
      <c r="C589" s="2" t="s">
        <v>10</v>
      </c>
      <c r="D589" s="2" t="s">
        <v>97</v>
      </c>
      <c r="E589" s="2" t="s">
        <v>27</v>
      </c>
      <c r="F589" s="2">
        <v>461.02</v>
      </c>
      <c r="G589" s="2">
        <v>95.49</v>
      </c>
      <c r="H589" s="2" t="s">
        <v>28</v>
      </c>
      <c r="I589" s="2" t="s">
        <v>14</v>
      </c>
    </row>
    <row r="590" spans="1:9" x14ac:dyDescent="0.35">
      <c r="A590" s="2" t="s">
        <v>626</v>
      </c>
      <c r="B590" s="3">
        <v>45419</v>
      </c>
      <c r="C590" s="2" t="s">
        <v>22</v>
      </c>
      <c r="D590" s="2" t="s">
        <v>11</v>
      </c>
      <c r="E590" s="2" t="s">
        <v>12</v>
      </c>
      <c r="F590" s="2">
        <v>1743.75</v>
      </c>
      <c r="G590" s="2">
        <v>198.95</v>
      </c>
      <c r="H590" s="2" t="s">
        <v>28</v>
      </c>
      <c r="I590" s="2" t="s">
        <v>20</v>
      </c>
    </row>
    <row r="591" spans="1:9" x14ac:dyDescent="0.35">
      <c r="A591" s="2" t="s">
        <v>627</v>
      </c>
      <c r="B591" s="3">
        <v>45565</v>
      </c>
      <c r="C591" s="2" t="s">
        <v>22</v>
      </c>
      <c r="D591" s="2" t="s">
        <v>23</v>
      </c>
      <c r="E591" s="2" t="s">
        <v>18</v>
      </c>
      <c r="F591" s="2">
        <v>1089.1400000000001</v>
      </c>
      <c r="G591" s="2">
        <v>91.9</v>
      </c>
      <c r="H591" s="2" t="s">
        <v>19</v>
      </c>
      <c r="I591" s="2" t="s">
        <v>29</v>
      </c>
    </row>
    <row r="592" spans="1:9" x14ac:dyDescent="0.35">
      <c r="A592" s="2" t="s">
        <v>628</v>
      </c>
      <c r="B592" s="3">
        <v>44688</v>
      </c>
      <c r="C592" s="2" t="s">
        <v>10</v>
      </c>
      <c r="D592" s="2" t="s">
        <v>33</v>
      </c>
      <c r="E592" s="2" t="s">
        <v>18</v>
      </c>
      <c r="F592" s="2">
        <v>1965.97</v>
      </c>
      <c r="G592" s="2">
        <v>363.34</v>
      </c>
      <c r="H592" s="2" t="s">
        <v>19</v>
      </c>
      <c r="I592" s="2" t="s">
        <v>29</v>
      </c>
    </row>
    <row r="593" spans="1:9" x14ac:dyDescent="0.35">
      <c r="A593" s="2" t="s">
        <v>629</v>
      </c>
      <c r="B593" s="3">
        <v>45293</v>
      </c>
      <c r="C593" s="2" t="s">
        <v>22</v>
      </c>
      <c r="D593" s="2" t="s">
        <v>33</v>
      </c>
      <c r="E593" s="2" t="s">
        <v>18</v>
      </c>
      <c r="F593" s="2">
        <v>649.16999999999996</v>
      </c>
      <c r="G593" s="2">
        <v>78.08</v>
      </c>
      <c r="H593" s="2" t="s">
        <v>13</v>
      </c>
      <c r="I593" s="2" t="s">
        <v>14</v>
      </c>
    </row>
    <row r="594" spans="1:9" x14ac:dyDescent="0.35">
      <c r="A594" s="2" t="s">
        <v>630</v>
      </c>
      <c r="B594" s="3">
        <v>45446</v>
      </c>
      <c r="C594" s="2" t="s">
        <v>16</v>
      </c>
      <c r="D594" s="2" t="s">
        <v>50</v>
      </c>
      <c r="E594" s="2" t="s">
        <v>12</v>
      </c>
      <c r="F594" s="2">
        <v>1393.64</v>
      </c>
      <c r="G594" s="2">
        <v>307.48</v>
      </c>
      <c r="H594" s="2" t="s">
        <v>19</v>
      </c>
      <c r="I594" s="2" t="s">
        <v>20</v>
      </c>
    </row>
    <row r="595" spans="1:9" x14ac:dyDescent="0.35">
      <c r="A595" s="2" t="s">
        <v>631</v>
      </c>
      <c r="B595" s="3">
        <v>45557</v>
      </c>
      <c r="C595" s="2" t="s">
        <v>10</v>
      </c>
      <c r="D595" s="2" t="s">
        <v>41</v>
      </c>
      <c r="E595" s="2" t="s">
        <v>12</v>
      </c>
      <c r="F595" s="2">
        <v>529.89</v>
      </c>
      <c r="G595" s="2">
        <v>96.33</v>
      </c>
      <c r="H595" s="2" t="s">
        <v>28</v>
      </c>
      <c r="I595" s="2" t="s">
        <v>29</v>
      </c>
    </row>
    <row r="596" spans="1:9" x14ac:dyDescent="0.35">
      <c r="A596" s="2" t="s">
        <v>632</v>
      </c>
      <c r="B596" s="3">
        <v>45395</v>
      </c>
      <c r="C596" s="2" t="s">
        <v>16</v>
      </c>
      <c r="D596" s="2" t="s">
        <v>41</v>
      </c>
      <c r="E596" s="2" t="s">
        <v>12</v>
      </c>
      <c r="F596" s="2">
        <v>838.83</v>
      </c>
      <c r="G596" s="2">
        <v>63.15</v>
      </c>
      <c r="H596" s="2" t="s">
        <v>28</v>
      </c>
      <c r="I596" s="2" t="s">
        <v>29</v>
      </c>
    </row>
    <row r="597" spans="1:9" x14ac:dyDescent="0.35">
      <c r="A597" s="2" t="s">
        <v>633</v>
      </c>
      <c r="B597" s="3">
        <v>45616</v>
      </c>
      <c r="C597" s="2" t="s">
        <v>22</v>
      </c>
      <c r="D597" s="2" t="s">
        <v>50</v>
      </c>
      <c r="E597" s="2" t="s">
        <v>12</v>
      </c>
      <c r="F597" s="2">
        <v>1831.34</v>
      </c>
      <c r="G597" s="2">
        <v>257.32</v>
      </c>
      <c r="H597" s="2" t="s">
        <v>13</v>
      </c>
      <c r="I597" s="2" t="s">
        <v>14</v>
      </c>
    </row>
    <row r="598" spans="1:9" x14ac:dyDescent="0.35">
      <c r="A598" s="2" t="s">
        <v>634</v>
      </c>
      <c r="B598" s="3">
        <v>45204</v>
      </c>
      <c r="C598" s="2" t="s">
        <v>25</v>
      </c>
      <c r="D598" s="2" t="s">
        <v>95</v>
      </c>
      <c r="E598" s="2" t="s">
        <v>18</v>
      </c>
      <c r="F598" s="2">
        <v>414.65</v>
      </c>
      <c r="G598" s="2">
        <v>89.71</v>
      </c>
      <c r="H598" s="2" t="s">
        <v>13</v>
      </c>
      <c r="I598" s="2" t="s">
        <v>14</v>
      </c>
    </row>
    <row r="599" spans="1:9" x14ac:dyDescent="0.35">
      <c r="A599" s="2" t="s">
        <v>635</v>
      </c>
      <c r="B599" s="3">
        <v>45524</v>
      </c>
      <c r="C599" s="2" t="s">
        <v>16</v>
      </c>
      <c r="D599" s="2" t="s">
        <v>23</v>
      </c>
      <c r="E599" s="2" t="s">
        <v>18</v>
      </c>
      <c r="F599" s="2">
        <v>1048.8800000000001</v>
      </c>
      <c r="G599" s="2">
        <v>175.37</v>
      </c>
      <c r="H599" s="2" t="s">
        <v>19</v>
      </c>
      <c r="I599" s="2" t="s">
        <v>29</v>
      </c>
    </row>
    <row r="600" spans="1:9" x14ac:dyDescent="0.35">
      <c r="A600" s="2" t="s">
        <v>636</v>
      </c>
      <c r="B600" s="3">
        <v>45275</v>
      </c>
      <c r="C600" s="2" t="s">
        <v>22</v>
      </c>
      <c r="D600" s="2" t="s">
        <v>50</v>
      </c>
      <c r="E600" s="2" t="s">
        <v>12</v>
      </c>
      <c r="F600" s="2">
        <v>349.95</v>
      </c>
      <c r="G600" s="2">
        <v>92.51</v>
      </c>
      <c r="H600" s="2" t="s">
        <v>13</v>
      </c>
      <c r="I600" s="2" t="s">
        <v>29</v>
      </c>
    </row>
    <row r="601" spans="1:9" x14ac:dyDescent="0.35">
      <c r="A601" s="2" t="s">
        <v>637</v>
      </c>
      <c r="B601" s="3">
        <v>44682</v>
      </c>
      <c r="C601" s="2" t="s">
        <v>16</v>
      </c>
      <c r="D601" s="2" t="s">
        <v>26</v>
      </c>
      <c r="E601" s="2" t="s">
        <v>27</v>
      </c>
      <c r="F601" s="2">
        <v>1278.3900000000001</v>
      </c>
      <c r="G601" s="2">
        <v>76.87</v>
      </c>
      <c r="H601" s="2" t="s">
        <v>28</v>
      </c>
      <c r="I601" s="2" t="s">
        <v>14</v>
      </c>
    </row>
    <row r="602" spans="1:9" x14ac:dyDescent="0.35">
      <c r="A602" s="2" t="s">
        <v>638</v>
      </c>
      <c r="B602" s="3">
        <v>45248</v>
      </c>
      <c r="C602" s="2" t="s">
        <v>22</v>
      </c>
      <c r="D602" s="2" t="s">
        <v>50</v>
      </c>
      <c r="E602" s="2" t="s">
        <v>12</v>
      </c>
      <c r="F602" s="2">
        <v>1752.19</v>
      </c>
      <c r="G602" s="2">
        <v>244.97</v>
      </c>
      <c r="H602" s="2" t="s">
        <v>13</v>
      </c>
      <c r="I602" s="2" t="s">
        <v>20</v>
      </c>
    </row>
    <row r="603" spans="1:9" x14ac:dyDescent="0.35">
      <c r="A603" s="2" t="s">
        <v>639</v>
      </c>
      <c r="B603" s="3">
        <v>45162</v>
      </c>
      <c r="C603" s="2" t="s">
        <v>10</v>
      </c>
      <c r="D603" s="2" t="s">
        <v>17</v>
      </c>
      <c r="E603" s="2" t="s">
        <v>18</v>
      </c>
      <c r="F603" s="2">
        <v>773.88</v>
      </c>
      <c r="G603" s="2">
        <v>130.80000000000001</v>
      </c>
      <c r="H603" s="2" t="s">
        <v>19</v>
      </c>
      <c r="I603" s="2" t="s">
        <v>34</v>
      </c>
    </row>
    <row r="604" spans="1:9" x14ac:dyDescent="0.35">
      <c r="A604" s="2" t="s">
        <v>640</v>
      </c>
      <c r="B604" s="3">
        <v>45636</v>
      </c>
      <c r="C604" s="2" t="s">
        <v>25</v>
      </c>
      <c r="D604" s="2" t="s">
        <v>31</v>
      </c>
      <c r="E604" s="2" t="s">
        <v>12</v>
      </c>
      <c r="F604" s="2">
        <v>1362.39</v>
      </c>
      <c r="G604" s="2">
        <v>206.07</v>
      </c>
      <c r="H604" s="2" t="s">
        <v>28</v>
      </c>
      <c r="I604" s="2" t="s">
        <v>20</v>
      </c>
    </row>
    <row r="605" spans="1:9" x14ac:dyDescent="0.35">
      <c r="A605" s="2" t="s">
        <v>641</v>
      </c>
      <c r="B605" s="3">
        <v>45497</v>
      </c>
      <c r="C605" s="2" t="s">
        <v>10</v>
      </c>
      <c r="D605" s="2" t="s">
        <v>95</v>
      </c>
      <c r="E605" s="2" t="s">
        <v>18</v>
      </c>
      <c r="F605" s="2">
        <v>1967.18</v>
      </c>
      <c r="G605" s="2">
        <v>218.77</v>
      </c>
      <c r="H605" s="2" t="s">
        <v>19</v>
      </c>
      <c r="I605" s="2" t="s">
        <v>34</v>
      </c>
    </row>
    <row r="606" spans="1:9" x14ac:dyDescent="0.35">
      <c r="A606" s="2" t="s">
        <v>642</v>
      </c>
      <c r="B606" s="3">
        <v>44712</v>
      </c>
      <c r="C606" s="2" t="s">
        <v>22</v>
      </c>
      <c r="D606" s="2" t="s">
        <v>57</v>
      </c>
      <c r="E606" s="2" t="s">
        <v>27</v>
      </c>
      <c r="F606" s="2">
        <v>1613.43</v>
      </c>
      <c r="G606" s="2">
        <v>449.62</v>
      </c>
      <c r="H606" s="2" t="s">
        <v>28</v>
      </c>
      <c r="I606" s="2" t="s">
        <v>29</v>
      </c>
    </row>
    <row r="607" spans="1:9" x14ac:dyDescent="0.35">
      <c r="A607" s="2" t="s">
        <v>643</v>
      </c>
      <c r="B607" s="3">
        <v>44638</v>
      </c>
      <c r="C607" s="2" t="s">
        <v>22</v>
      </c>
      <c r="D607" s="2" t="s">
        <v>95</v>
      </c>
      <c r="E607" s="2" t="s">
        <v>18</v>
      </c>
      <c r="F607" s="2">
        <v>1961.51</v>
      </c>
      <c r="G607" s="2">
        <v>364.15</v>
      </c>
      <c r="H607" s="2" t="s">
        <v>19</v>
      </c>
      <c r="I607" s="2" t="s">
        <v>34</v>
      </c>
    </row>
    <row r="608" spans="1:9" x14ac:dyDescent="0.35">
      <c r="A608" s="2" t="s">
        <v>644</v>
      </c>
      <c r="B608" s="3">
        <v>44869</v>
      </c>
      <c r="C608" s="2" t="s">
        <v>25</v>
      </c>
      <c r="D608" s="2" t="s">
        <v>62</v>
      </c>
      <c r="E608" s="2" t="s">
        <v>27</v>
      </c>
      <c r="F608" s="2">
        <v>663.65</v>
      </c>
      <c r="G608" s="2">
        <v>113.38</v>
      </c>
      <c r="H608" s="2" t="s">
        <v>13</v>
      </c>
      <c r="I608" s="2" t="s">
        <v>14</v>
      </c>
    </row>
    <row r="609" spans="1:9" x14ac:dyDescent="0.35">
      <c r="A609" s="2" t="s">
        <v>645</v>
      </c>
      <c r="B609" s="3">
        <v>45357</v>
      </c>
      <c r="C609" s="2" t="s">
        <v>22</v>
      </c>
      <c r="D609" s="2" t="s">
        <v>17</v>
      </c>
      <c r="E609" s="2" t="s">
        <v>18</v>
      </c>
      <c r="F609" s="2">
        <v>661.02</v>
      </c>
      <c r="G609" s="2">
        <v>46.81</v>
      </c>
      <c r="H609" s="2" t="s">
        <v>28</v>
      </c>
      <c r="I609" s="2" t="s">
        <v>14</v>
      </c>
    </row>
    <row r="610" spans="1:9" x14ac:dyDescent="0.35">
      <c r="A610" s="2" t="s">
        <v>646</v>
      </c>
      <c r="B610" s="3">
        <v>45482</v>
      </c>
      <c r="C610" s="2" t="s">
        <v>10</v>
      </c>
      <c r="D610" s="2" t="s">
        <v>33</v>
      </c>
      <c r="E610" s="2" t="s">
        <v>18</v>
      </c>
      <c r="F610" s="2">
        <v>862.66</v>
      </c>
      <c r="G610" s="2">
        <v>102.98</v>
      </c>
      <c r="H610" s="2" t="s">
        <v>19</v>
      </c>
      <c r="I610" s="2" t="s">
        <v>29</v>
      </c>
    </row>
    <row r="611" spans="1:9" x14ac:dyDescent="0.35">
      <c r="A611" s="2" t="s">
        <v>647</v>
      </c>
      <c r="B611" s="3">
        <v>44593</v>
      </c>
      <c r="C611" s="2" t="s">
        <v>16</v>
      </c>
      <c r="D611" s="2" t="s">
        <v>95</v>
      </c>
      <c r="E611" s="2" t="s">
        <v>18</v>
      </c>
      <c r="F611" s="2">
        <v>1614.08</v>
      </c>
      <c r="G611" s="2">
        <v>394.34</v>
      </c>
      <c r="H611" s="2" t="s">
        <v>13</v>
      </c>
      <c r="I611" s="2" t="s">
        <v>14</v>
      </c>
    </row>
    <row r="612" spans="1:9" x14ac:dyDescent="0.35">
      <c r="A612" s="2" t="s">
        <v>648</v>
      </c>
      <c r="B612" s="3">
        <v>44759</v>
      </c>
      <c r="C612" s="2" t="s">
        <v>22</v>
      </c>
      <c r="D612" s="2" t="s">
        <v>62</v>
      </c>
      <c r="E612" s="2" t="s">
        <v>27</v>
      </c>
      <c r="F612" s="2">
        <v>85.05</v>
      </c>
      <c r="G612" s="2">
        <v>24.21</v>
      </c>
      <c r="H612" s="2" t="s">
        <v>28</v>
      </c>
      <c r="I612" s="2" t="s">
        <v>14</v>
      </c>
    </row>
    <row r="613" spans="1:9" x14ac:dyDescent="0.35">
      <c r="A613" s="2" t="s">
        <v>649</v>
      </c>
      <c r="B613" s="3">
        <v>44840</v>
      </c>
      <c r="C613" s="2" t="s">
        <v>10</v>
      </c>
      <c r="D613" s="2" t="s">
        <v>33</v>
      </c>
      <c r="E613" s="2" t="s">
        <v>18</v>
      </c>
      <c r="F613" s="2">
        <v>427.17</v>
      </c>
      <c r="G613" s="2">
        <v>79.16</v>
      </c>
      <c r="H613" s="2" t="s">
        <v>13</v>
      </c>
      <c r="I613" s="2" t="s">
        <v>14</v>
      </c>
    </row>
    <row r="614" spans="1:9" x14ac:dyDescent="0.35">
      <c r="A614" s="2" t="s">
        <v>650</v>
      </c>
      <c r="B614" s="3">
        <v>45413</v>
      </c>
      <c r="C614" s="2" t="s">
        <v>25</v>
      </c>
      <c r="D614" s="2" t="s">
        <v>62</v>
      </c>
      <c r="E614" s="2" t="s">
        <v>27</v>
      </c>
      <c r="F614" s="2">
        <v>1207.25</v>
      </c>
      <c r="G614" s="2">
        <v>326.85000000000002</v>
      </c>
      <c r="H614" s="2" t="s">
        <v>19</v>
      </c>
      <c r="I614" s="2" t="s">
        <v>14</v>
      </c>
    </row>
    <row r="615" spans="1:9" x14ac:dyDescent="0.35">
      <c r="A615" s="2" t="s">
        <v>651</v>
      </c>
      <c r="B615" s="3">
        <v>44574</v>
      </c>
      <c r="C615" s="2" t="s">
        <v>25</v>
      </c>
      <c r="D615" s="2" t="s">
        <v>73</v>
      </c>
      <c r="E615" s="2" t="s">
        <v>27</v>
      </c>
      <c r="F615" s="2">
        <v>599.66999999999996</v>
      </c>
      <c r="G615" s="2">
        <v>127.76</v>
      </c>
      <c r="H615" s="2" t="s">
        <v>13</v>
      </c>
      <c r="I615" s="2" t="s">
        <v>29</v>
      </c>
    </row>
    <row r="616" spans="1:9" x14ac:dyDescent="0.35">
      <c r="A616" s="2" t="s">
        <v>652</v>
      </c>
      <c r="B616" s="3">
        <v>45366</v>
      </c>
      <c r="C616" s="2" t="s">
        <v>10</v>
      </c>
      <c r="D616" s="2" t="s">
        <v>62</v>
      </c>
      <c r="E616" s="2" t="s">
        <v>27</v>
      </c>
      <c r="F616" s="2">
        <v>1922.43</v>
      </c>
      <c r="G616" s="2">
        <v>107.41</v>
      </c>
      <c r="H616" s="2" t="s">
        <v>28</v>
      </c>
      <c r="I616" s="2" t="s">
        <v>34</v>
      </c>
    </row>
    <row r="617" spans="1:9" x14ac:dyDescent="0.35">
      <c r="A617" s="2" t="s">
        <v>653</v>
      </c>
      <c r="B617" s="3">
        <v>45449</v>
      </c>
      <c r="C617" s="2" t="s">
        <v>25</v>
      </c>
      <c r="D617" s="2" t="s">
        <v>57</v>
      </c>
      <c r="E617" s="2" t="s">
        <v>27</v>
      </c>
      <c r="F617" s="2">
        <v>1442.39</v>
      </c>
      <c r="G617" s="2">
        <v>222.27</v>
      </c>
      <c r="H617" s="2" t="s">
        <v>19</v>
      </c>
      <c r="I617" s="2" t="s">
        <v>34</v>
      </c>
    </row>
    <row r="618" spans="1:9" x14ac:dyDescent="0.35">
      <c r="A618" s="2" t="s">
        <v>654</v>
      </c>
      <c r="B618" s="3">
        <v>45169</v>
      </c>
      <c r="C618" s="2" t="s">
        <v>25</v>
      </c>
      <c r="D618" s="2" t="s">
        <v>97</v>
      </c>
      <c r="E618" s="2" t="s">
        <v>27</v>
      </c>
      <c r="F618" s="2">
        <v>440.84</v>
      </c>
      <c r="G618" s="2">
        <v>74.39</v>
      </c>
      <c r="H618" s="2" t="s">
        <v>28</v>
      </c>
      <c r="I618" s="2" t="s">
        <v>34</v>
      </c>
    </row>
    <row r="619" spans="1:9" x14ac:dyDescent="0.35">
      <c r="A619" s="2" t="s">
        <v>655</v>
      </c>
      <c r="B619" s="3">
        <v>44780</v>
      </c>
      <c r="C619" s="2" t="s">
        <v>10</v>
      </c>
      <c r="D619" s="2" t="s">
        <v>73</v>
      </c>
      <c r="E619" s="2" t="s">
        <v>27</v>
      </c>
      <c r="F619" s="2">
        <v>603.66</v>
      </c>
      <c r="G619" s="2">
        <v>108.77</v>
      </c>
      <c r="H619" s="2" t="s">
        <v>28</v>
      </c>
      <c r="I619" s="2" t="s">
        <v>20</v>
      </c>
    </row>
    <row r="620" spans="1:9" x14ac:dyDescent="0.35">
      <c r="A620" s="2" t="s">
        <v>656</v>
      </c>
      <c r="B620" s="3">
        <v>45115</v>
      </c>
      <c r="C620" s="2" t="s">
        <v>22</v>
      </c>
      <c r="D620" s="2" t="s">
        <v>31</v>
      </c>
      <c r="E620" s="2" t="s">
        <v>12</v>
      </c>
      <c r="F620" s="2">
        <v>175.68</v>
      </c>
      <c r="G620" s="2">
        <v>10.16</v>
      </c>
      <c r="H620" s="2" t="s">
        <v>13</v>
      </c>
      <c r="I620" s="2" t="s">
        <v>34</v>
      </c>
    </row>
    <row r="621" spans="1:9" x14ac:dyDescent="0.35">
      <c r="A621" s="2" t="s">
        <v>657</v>
      </c>
      <c r="B621" s="3">
        <v>45457</v>
      </c>
      <c r="C621" s="2" t="s">
        <v>22</v>
      </c>
      <c r="D621" s="2" t="s">
        <v>17</v>
      </c>
      <c r="E621" s="2" t="s">
        <v>18</v>
      </c>
      <c r="F621" s="2">
        <v>1722.43</v>
      </c>
      <c r="G621" s="2">
        <v>379.7</v>
      </c>
      <c r="H621" s="2" t="s">
        <v>28</v>
      </c>
      <c r="I621" s="2" t="s">
        <v>14</v>
      </c>
    </row>
    <row r="622" spans="1:9" x14ac:dyDescent="0.35">
      <c r="A622" s="2" t="s">
        <v>658</v>
      </c>
      <c r="B622" s="3">
        <v>45598</v>
      </c>
      <c r="C622" s="2" t="s">
        <v>10</v>
      </c>
      <c r="D622" s="2" t="s">
        <v>95</v>
      </c>
      <c r="E622" s="2" t="s">
        <v>18</v>
      </c>
      <c r="F622" s="2">
        <v>1122.8900000000001</v>
      </c>
      <c r="G622" s="2">
        <v>162.91999999999999</v>
      </c>
      <c r="H622" s="2" t="s">
        <v>28</v>
      </c>
      <c r="I622" s="2" t="s">
        <v>29</v>
      </c>
    </row>
    <row r="623" spans="1:9" x14ac:dyDescent="0.35">
      <c r="A623" s="2" t="s">
        <v>659</v>
      </c>
      <c r="B623" s="3">
        <v>44907</v>
      </c>
      <c r="C623" s="2" t="s">
        <v>10</v>
      </c>
      <c r="D623" s="2" t="s">
        <v>95</v>
      </c>
      <c r="E623" s="2" t="s">
        <v>18</v>
      </c>
      <c r="F623" s="2">
        <v>847.9</v>
      </c>
      <c r="G623" s="2">
        <v>184.2</v>
      </c>
      <c r="H623" s="2" t="s">
        <v>19</v>
      </c>
      <c r="I623" s="2" t="s">
        <v>20</v>
      </c>
    </row>
    <row r="624" spans="1:9" x14ac:dyDescent="0.35">
      <c r="A624" s="2" t="s">
        <v>660</v>
      </c>
      <c r="B624" s="3">
        <v>45514</v>
      </c>
      <c r="C624" s="2" t="s">
        <v>10</v>
      </c>
      <c r="D624" s="2" t="s">
        <v>33</v>
      </c>
      <c r="E624" s="2" t="s">
        <v>18</v>
      </c>
      <c r="F624" s="2">
        <v>1135.99</v>
      </c>
      <c r="G624" s="2">
        <v>297.54000000000002</v>
      </c>
      <c r="H624" s="2" t="s">
        <v>13</v>
      </c>
      <c r="I624" s="2" t="s">
        <v>29</v>
      </c>
    </row>
    <row r="625" spans="1:9" x14ac:dyDescent="0.35">
      <c r="A625" s="2" t="s">
        <v>661</v>
      </c>
      <c r="B625" s="3">
        <v>44613</v>
      </c>
      <c r="C625" s="2" t="s">
        <v>22</v>
      </c>
      <c r="D625" s="2" t="s">
        <v>46</v>
      </c>
      <c r="E625" s="2" t="s">
        <v>18</v>
      </c>
      <c r="F625" s="2">
        <v>955.36</v>
      </c>
      <c r="G625" s="2">
        <v>245.63</v>
      </c>
      <c r="H625" s="2" t="s">
        <v>28</v>
      </c>
      <c r="I625" s="2" t="s">
        <v>14</v>
      </c>
    </row>
    <row r="626" spans="1:9" x14ac:dyDescent="0.35">
      <c r="A626" s="2" t="s">
        <v>662</v>
      </c>
      <c r="B626" s="3">
        <v>44886</v>
      </c>
      <c r="C626" s="2" t="s">
        <v>25</v>
      </c>
      <c r="D626" s="2" t="s">
        <v>62</v>
      </c>
      <c r="E626" s="2" t="s">
        <v>27</v>
      </c>
      <c r="F626" s="2">
        <v>1335.62</v>
      </c>
      <c r="G626" s="2">
        <v>184.83</v>
      </c>
      <c r="H626" s="2" t="s">
        <v>28</v>
      </c>
      <c r="I626" s="2" t="s">
        <v>29</v>
      </c>
    </row>
    <row r="627" spans="1:9" x14ac:dyDescent="0.35">
      <c r="A627" s="2" t="s">
        <v>663</v>
      </c>
      <c r="B627" s="3">
        <v>45033</v>
      </c>
      <c r="C627" s="2" t="s">
        <v>16</v>
      </c>
      <c r="D627" s="2" t="s">
        <v>26</v>
      </c>
      <c r="E627" s="2" t="s">
        <v>27</v>
      </c>
      <c r="F627" s="2">
        <v>138.43</v>
      </c>
      <c r="G627" s="2">
        <v>33.119999999999997</v>
      </c>
      <c r="H627" s="2" t="s">
        <v>28</v>
      </c>
      <c r="I627" s="2" t="s">
        <v>29</v>
      </c>
    </row>
    <row r="628" spans="1:9" x14ac:dyDescent="0.35">
      <c r="A628" s="2" t="s">
        <v>664</v>
      </c>
      <c r="B628" s="3">
        <v>44973</v>
      </c>
      <c r="C628" s="2" t="s">
        <v>10</v>
      </c>
      <c r="D628" s="2" t="s">
        <v>57</v>
      </c>
      <c r="E628" s="2" t="s">
        <v>27</v>
      </c>
      <c r="F628" s="2">
        <v>1604.1</v>
      </c>
      <c r="G628" s="2">
        <v>211.25</v>
      </c>
      <c r="H628" s="2" t="s">
        <v>19</v>
      </c>
      <c r="I628" s="2" t="s">
        <v>20</v>
      </c>
    </row>
    <row r="629" spans="1:9" x14ac:dyDescent="0.35">
      <c r="A629" s="2" t="s">
        <v>665</v>
      </c>
      <c r="B629" s="3">
        <v>44887</v>
      </c>
      <c r="C629" s="2" t="s">
        <v>22</v>
      </c>
      <c r="D629" s="2" t="s">
        <v>73</v>
      </c>
      <c r="E629" s="2" t="s">
        <v>27</v>
      </c>
      <c r="F629" s="2">
        <v>677.91</v>
      </c>
      <c r="G629" s="2">
        <v>129.36000000000001</v>
      </c>
      <c r="H629" s="2" t="s">
        <v>19</v>
      </c>
      <c r="I629" s="2" t="s">
        <v>29</v>
      </c>
    </row>
    <row r="630" spans="1:9" x14ac:dyDescent="0.35">
      <c r="A630" s="2" t="s">
        <v>666</v>
      </c>
      <c r="B630" s="3">
        <v>44769</v>
      </c>
      <c r="C630" s="2" t="s">
        <v>22</v>
      </c>
      <c r="D630" s="2" t="s">
        <v>97</v>
      </c>
      <c r="E630" s="2" t="s">
        <v>27</v>
      </c>
      <c r="F630" s="2">
        <v>815.33</v>
      </c>
      <c r="G630" s="2">
        <v>148.53</v>
      </c>
      <c r="H630" s="2" t="s">
        <v>28</v>
      </c>
      <c r="I630" s="2" t="s">
        <v>29</v>
      </c>
    </row>
    <row r="631" spans="1:9" x14ac:dyDescent="0.35">
      <c r="A631" s="2" t="s">
        <v>667</v>
      </c>
      <c r="B631" s="3">
        <v>44924</v>
      </c>
      <c r="C631" s="2" t="s">
        <v>25</v>
      </c>
      <c r="D631" s="2" t="s">
        <v>31</v>
      </c>
      <c r="E631" s="2" t="s">
        <v>12</v>
      </c>
      <c r="F631" s="2">
        <v>859.69</v>
      </c>
      <c r="G631" s="2">
        <v>223.46</v>
      </c>
      <c r="H631" s="2" t="s">
        <v>28</v>
      </c>
      <c r="I631" s="2" t="s">
        <v>20</v>
      </c>
    </row>
    <row r="632" spans="1:9" x14ac:dyDescent="0.35">
      <c r="A632" s="2" t="s">
        <v>668</v>
      </c>
      <c r="B632" s="3">
        <v>44837</v>
      </c>
      <c r="C632" s="2" t="s">
        <v>16</v>
      </c>
      <c r="D632" s="2" t="s">
        <v>41</v>
      </c>
      <c r="E632" s="2" t="s">
        <v>12</v>
      </c>
      <c r="F632" s="2">
        <v>1339.23</v>
      </c>
      <c r="G632" s="2">
        <v>397.54</v>
      </c>
      <c r="H632" s="2" t="s">
        <v>28</v>
      </c>
      <c r="I632" s="2" t="s">
        <v>29</v>
      </c>
    </row>
    <row r="633" spans="1:9" x14ac:dyDescent="0.35">
      <c r="A633" s="2" t="s">
        <v>669</v>
      </c>
      <c r="B633" s="3">
        <v>44804</v>
      </c>
      <c r="C633" s="2" t="s">
        <v>16</v>
      </c>
      <c r="D633" s="2" t="s">
        <v>57</v>
      </c>
      <c r="E633" s="2" t="s">
        <v>27</v>
      </c>
      <c r="F633" s="2">
        <v>437.19</v>
      </c>
      <c r="G633" s="2">
        <v>46.33</v>
      </c>
      <c r="H633" s="2" t="s">
        <v>19</v>
      </c>
      <c r="I633" s="2" t="s">
        <v>34</v>
      </c>
    </row>
    <row r="634" spans="1:9" x14ac:dyDescent="0.35">
      <c r="A634" s="2" t="s">
        <v>670</v>
      </c>
      <c r="B634" s="3">
        <v>45325</v>
      </c>
      <c r="C634" s="2" t="s">
        <v>10</v>
      </c>
      <c r="D634" s="2" t="s">
        <v>41</v>
      </c>
      <c r="E634" s="2" t="s">
        <v>12</v>
      </c>
      <c r="F634" s="2">
        <v>670</v>
      </c>
      <c r="G634" s="2">
        <v>161.43</v>
      </c>
      <c r="H634" s="2" t="s">
        <v>28</v>
      </c>
      <c r="I634" s="2" t="s">
        <v>29</v>
      </c>
    </row>
    <row r="635" spans="1:9" x14ac:dyDescent="0.35">
      <c r="A635" s="2" t="s">
        <v>671</v>
      </c>
      <c r="B635" s="3">
        <v>44701</v>
      </c>
      <c r="C635" s="2" t="s">
        <v>22</v>
      </c>
      <c r="D635" s="2" t="s">
        <v>41</v>
      </c>
      <c r="E635" s="2" t="s">
        <v>12</v>
      </c>
      <c r="F635" s="2">
        <v>120.16</v>
      </c>
      <c r="G635" s="2">
        <v>8.2799999999999994</v>
      </c>
      <c r="H635" s="2" t="s">
        <v>28</v>
      </c>
      <c r="I635" s="2" t="s">
        <v>29</v>
      </c>
    </row>
    <row r="636" spans="1:9" x14ac:dyDescent="0.35">
      <c r="A636" s="2" t="s">
        <v>672</v>
      </c>
      <c r="B636" s="3">
        <v>45081</v>
      </c>
      <c r="C636" s="2" t="s">
        <v>16</v>
      </c>
      <c r="D636" s="2" t="s">
        <v>41</v>
      </c>
      <c r="E636" s="2" t="s">
        <v>12</v>
      </c>
      <c r="F636" s="2">
        <v>1298.92</v>
      </c>
      <c r="G636" s="2">
        <v>194.9</v>
      </c>
      <c r="H636" s="2" t="s">
        <v>13</v>
      </c>
      <c r="I636" s="2" t="s">
        <v>20</v>
      </c>
    </row>
    <row r="637" spans="1:9" x14ac:dyDescent="0.35">
      <c r="A637" s="2" t="s">
        <v>673</v>
      </c>
      <c r="B637" s="3">
        <v>44682</v>
      </c>
      <c r="C637" s="2" t="s">
        <v>25</v>
      </c>
      <c r="D637" s="2" t="s">
        <v>23</v>
      </c>
      <c r="E637" s="2" t="s">
        <v>18</v>
      </c>
      <c r="F637" s="2">
        <v>1204.22</v>
      </c>
      <c r="G637" s="2">
        <v>274.23</v>
      </c>
      <c r="H637" s="2" t="s">
        <v>13</v>
      </c>
      <c r="I637" s="2" t="s">
        <v>34</v>
      </c>
    </row>
    <row r="638" spans="1:9" x14ac:dyDescent="0.35">
      <c r="A638" s="2" t="s">
        <v>674</v>
      </c>
      <c r="B638" s="3">
        <v>45419</v>
      </c>
      <c r="C638" s="2" t="s">
        <v>10</v>
      </c>
      <c r="D638" s="2" t="s">
        <v>26</v>
      </c>
      <c r="E638" s="2" t="s">
        <v>27</v>
      </c>
      <c r="F638" s="2">
        <v>1039.82</v>
      </c>
      <c r="G638" s="2">
        <v>161.30000000000001</v>
      </c>
      <c r="H638" s="2" t="s">
        <v>13</v>
      </c>
      <c r="I638" s="2" t="s">
        <v>34</v>
      </c>
    </row>
    <row r="639" spans="1:9" x14ac:dyDescent="0.35">
      <c r="A639" s="2" t="s">
        <v>675</v>
      </c>
      <c r="B639" s="3">
        <v>44756</v>
      </c>
      <c r="C639" s="2" t="s">
        <v>25</v>
      </c>
      <c r="D639" s="2" t="s">
        <v>23</v>
      </c>
      <c r="E639" s="2" t="s">
        <v>18</v>
      </c>
      <c r="F639" s="2">
        <v>1335.71</v>
      </c>
      <c r="G639" s="2">
        <v>222.52</v>
      </c>
      <c r="H639" s="2" t="s">
        <v>13</v>
      </c>
      <c r="I639" s="2" t="s">
        <v>29</v>
      </c>
    </row>
    <row r="640" spans="1:9" x14ac:dyDescent="0.35">
      <c r="A640" s="2" t="s">
        <v>676</v>
      </c>
      <c r="B640" s="3">
        <v>44582</v>
      </c>
      <c r="C640" s="2" t="s">
        <v>25</v>
      </c>
      <c r="D640" s="2" t="s">
        <v>31</v>
      </c>
      <c r="E640" s="2" t="s">
        <v>12</v>
      </c>
      <c r="F640" s="2">
        <v>542.73</v>
      </c>
      <c r="G640" s="2">
        <v>63.84</v>
      </c>
      <c r="H640" s="2" t="s">
        <v>13</v>
      </c>
      <c r="I640" s="2" t="s">
        <v>20</v>
      </c>
    </row>
    <row r="641" spans="1:9" x14ac:dyDescent="0.35">
      <c r="A641" s="2" t="s">
        <v>677</v>
      </c>
      <c r="B641" s="3">
        <v>44981</v>
      </c>
      <c r="C641" s="2" t="s">
        <v>16</v>
      </c>
      <c r="D641" s="2" t="s">
        <v>46</v>
      </c>
      <c r="E641" s="2" t="s">
        <v>18</v>
      </c>
      <c r="F641" s="2">
        <v>1251.68</v>
      </c>
      <c r="G641" s="2">
        <v>312.01</v>
      </c>
      <c r="H641" s="2" t="s">
        <v>28</v>
      </c>
      <c r="I641" s="2" t="s">
        <v>20</v>
      </c>
    </row>
    <row r="642" spans="1:9" x14ac:dyDescent="0.35">
      <c r="A642" s="2" t="s">
        <v>678</v>
      </c>
      <c r="B642" s="3">
        <v>45604</v>
      </c>
      <c r="C642" s="2" t="s">
        <v>16</v>
      </c>
      <c r="D642" s="2" t="s">
        <v>46</v>
      </c>
      <c r="E642" s="2" t="s">
        <v>18</v>
      </c>
      <c r="F642" s="2">
        <v>1138.52</v>
      </c>
      <c r="G642" s="2">
        <v>214.63</v>
      </c>
      <c r="H642" s="2" t="s">
        <v>13</v>
      </c>
      <c r="I642" s="2" t="s">
        <v>29</v>
      </c>
    </row>
    <row r="643" spans="1:9" x14ac:dyDescent="0.35">
      <c r="A643" s="2" t="s">
        <v>679</v>
      </c>
      <c r="B643" s="3">
        <v>45617</v>
      </c>
      <c r="C643" s="2" t="s">
        <v>16</v>
      </c>
      <c r="D643" s="2" t="s">
        <v>73</v>
      </c>
      <c r="E643" s="2" t="s">
        <v>27</v>
      </c>
      <c r="F643" s="2">
        <v>456.71</v>
      </c>
      <c r="G643" s="2">
        <v>103.21</v>
      </c>
      <c r="H643" s="2" t="s">
        <v>19</v>
      </c>
      <c r="I643" s="2" t="s">
        <v>20</v>
      </c>
    </row>
    <row r="644" spans="1:9" x14ac:dyDescent="0.35">
      <c r="A644" s="2" t="s">
        <v>680</v>
      </c>
      <c r="B644" s="3">
        <v>45173</v>
      </c>
      <c r="C644" s="2" t="s">
        <v>16</v>
      </c>
      <c r="D644" s="2" t="s">
        <v>31</v>
      </c>
      <c r="E644" s="2" t="s">
        <v>12</v>
      </c>
      <c r="F644" s="2">
        <v>330.79</v>
      </c>
      <c r="G644" s="2">
        <v>20.46</v>
      </c>
      <c r="H644" s="2" t="s">
        <v>19</v>
      </c>
      <c r="I644" s="2" t="s">
        <v>29</v>
      </c>
    </row>
    <row r="645" spans="1:9" x14ac:dyDescent="0.35">
      <c r="A645" s="2" t="s">
        <v>681</v>
      </c>
      <c r="B645" s="3">
        <v>44900</v>
      </c>
      <c r="C645" s="2" t="s">
        <v>22</v>
      </c>
      <c r="D645" s="2" t="s">
        <v>31</v>
      </c>
      <c r="E645" s="2" t="s">
        <v>12</v>
      </c>
      <c r="F645" s="2">
        <v>1676.76</v>
      </c>
      <c r="G645" s="2">
        <v>264.05</v>
      </c>
      <c r="H645" s="2" t="s">
        <v>13</v>
      </c>
      <c r="I645" s="2" t="s">
        <v>14</v>
      </c>
    </row>
    <row r="646" spans="1:9" x14ac:dyDescent="0.35">
      <c r="A646" s="2" t="s">
        <v>682</v>
      </c>
      <c r="B646" s="3">
        <v>45123</v>
      </c>
      <c r="C646" s="2" t="s">
        <v>22</v>
      </c>
      <c r="D646" s="2" t="s">
        <v>26</v>
      </c>
      <c r="E646" s="2" t="s">
        <v>27</v>
      </c>
      <c r="F646" s="2">
        <v>1565</v>
      </c>
      <c r="G646" s="2">
        <v>82.52</v>
      </c>
      <c r="H646" s="2" t="s">
        <v>13</v>
      </c>
      <c r="I646" s="2" t="s">
        <v>14</v>
      </c>
    </row>
    <row r="647" spans="1:9" x14ac:dyDescent="0.35">
      <c r="A647" s="2" t="s">
        <v>683</v>
      </c>
      <c r="B647" s="3">
        <v>45075</v>
      </c>
      <c r="C647" s="2" t="s">
        <v>22</v>
      </c>
      <c r="D647" s="2" t="s">
        <v>46</v>
      </c>
      <c r="E647" s="2" t="s">
        <v>18</v>
      </c>
      <c r="F647" s="2">
        <v>1367.6</v>
      </c>
      <c r="G647" s="2">
        <v>75.39</v>
      </c>
      <c r="H647" s="2" t="s">
        <v>19</v>
      </c>
      <c r="I647" s="2" t="s">
        <v>29</v>
      </c>
    </row>
    <row r="648" spans="1:9" x14ac:dyDescent="0.35">
      <c r="A648" s="2" t="s">
        <v>684</v>
      </c>
      <c r="B648" s="3">
        <v>45528</v>
      </c>
      <c r="C648" s="2" t="s">
        <v>22</v>
      </c>
      <c r="D648" s="2" t="s">
        <v>62</v>
      </c>
      <c r="E648" s="2" t="s">
        <v>27</v>
      </c>
      <c r="F648" s="2">
        <v>1741.81</v>
      </c>
      <c r="G648" s="2">
        <v>379.49</v>
      </c>
      <c r="H648" s="2" t="s">
        <v>19</v>
      </c>
      <c r="I648" s="2" t="s">
        <v>20</v>
      </c>
    </row>
    <row r="649" spans="1:9" x14ac:dyDescent="0.35">
      <c r="A649" s="2" t="s">
        <v>685</v>
      </c>
      <c r="B649" s="3">
        <v>45102</v>
      </c>
      <c r="C649" s="2" t="s">
        <v>10</v>
      </c>
      <c r="D649" s="2" t="s">
        <v>26</v>
      </c>
      <c r="E649" s="2" t="s">
        <v>27</v>
      </c>
      <c r="F649" s="2">
        <v>1198.1099999999999</v>
      </c>
      <c r="G649" s="2">
        <v>262.79000000000002</v>
      </c>
      <c r="H649" s="2" t="s">
        <v>28</v>
      </c>
      <c r="I649" s="2" t="s">
        <v>29</v>
      </c>
    </row>
    <row r="650" spans="1:9" x14ac:dyDescent="0.35">
      <c r="A650" s="2" t="s">
        <v>686</v>
      </c>
      <c r="B650" s="3">
        <v>45447</v>
      </c>
      <c r="C650" s="2" t="s">
        <v>16</v>
      </c>
      <c r="D650" s="2" t="s">
        <v>23</v>
      </c>
      <c r="E650" s="2" t="s">
        <v>18</v>
      </c>
      <c r="F650" s="2">
        <v>73.7</v>
      </c>
      <c r="G650" s="2">
        <v>20.67</v>
      </c>
      <c r="H650" s="2" t="s">
        <v>28</v>
      </c>
      <c r="I650" s="2" t="s">
        <v>20</v>
      </c>
    </row>
    <row r="651" spans="1:9" x14ac:dyDescent="0.35">
      <c r="A651" s="2" t="s">
        <v>687</v>
      </c>
      <c r="B651" s="3">
        <v>44661</v>
      </c>
      <c r="C651" s="2" t="s">
        <v>16</v>
      </c>
      <c r="D651" s="2" t="s">
        <v>97</v>
      </c>
      <c r="E651" s="2" t="s">
        <v>27</v>
      </c>
      <c r="F651" s="2">
        <v>1132.67</v>
      </c>
      <c r="G651" s="2">
        <v>227.03</v>
      </c>
      <c r="H651" s="2" t="s">
        <v>19</v>
      </c>
      <c r="I651" s="2" t="s">
        <v>20</v>
      </c>
    </row>
    <row r="652" spans="1:9" x14ac:dyDescent="0.35">
      <c r="A652" s="2" t="s">
        <v>688</v>
      </c>
      <c r="B652" s="3">
        <v>45273</v>
      </c>
      <c r="C652" s="2" t="s">
        <v>16</v>
      </c>
      <c r="D652" s="2" t="s">
        <v>26</v>
      </c>
      <c r="E652" s="2" t="s">
        <v>27</v>
      </c>
      <c r="F652" s="2">
        <v>1569.3</v>
      </c>
      <c r="G652" s="2">
        <v>367.11</v>
      </c>
      <c r="H652" s="2" t="s">
        <v>19</v>
      </c>
      <c r="I652" s="2" t="s">
        <v>34</v>
      </c>
    </row>
    <row r="653" spans="1:9" x14ac:dyDescent="0.35">
      <c r="A653" s="2" t="s">
        <v>689</v>
      </c>
      <c r="B653" s="3">
        <v>45365</v>
      </c>
      <c r="C653" s="2" t="s">
        <v>22</v>
      </c>
      <c r="D653" s="2" t="s">
        <v>31</v>
      </c>
      <c r="E653" s="2" t="s">
        <v>12</v>
      </c>
      <c r="F653" s="2">
        <v>1690.44</v>
      </c>
      <c r="G653" s="2">
        <v>480.85</v>
      </c>
      <c r="H653" s="2" t="s">
        <v>13</v>
      </c>
      <c r="I653" s="2" t="s">
        <v>34</v>
      </c>
    </row>
    <row r="654" spans="1:9" x14ac:dyDescent="0.35">
      <c r="A654" s="2" t="s">
        <v>690</v>
      </c>
      <c r="B654" s="3">
        <v>44952</v>
      </c>
      <c r="C654" s="2" t="s">
        <v>25</v>
      </c>
      <c r="D654" s="2" t="s">
        <v>46</v>
      </c>
      <c r="E654" s="2" t="s">
        <v>18</v>
      </c>
      <c r="F654" s="2">
        <v>622.23</v>
      </c>
      <c r="G654" s="2">
        <v>110.16</v>
      </c>
      <c r="H654" s="2" t="s">
        <v>19</v>
      </c>
      <c r="I654" s="2" t="s">
        <v>20</v>
      </c>
    </row>
    <row r="655" spans="1:9" x14ac:dyDescent="0.35">
      <c r="A655" s="2" t="s">
        <v>691</v>
      </c>
      <c r="B655" s="3">
        <v>44691</v>
      </c>
      <c r="C655" s="2" t="s">
        <v>10</v>
      </c>
      <c r="D655" s="2" t="s">
        <v>41</v>
      </c>
      <c r="E655" s="2" t="s">
        <v>12</v>
      </c>
      <c r="F655" s="2">
        <v>702.65</v>
      </c>
      <c r="G655" s="2">
        <v>165.69</v>
      </c>
      <c r="H655" s="2" t="s">
        <v>28</v>
      </c>
      <c r="I655" s="2" t="s">
        <v>34</v>
      </c>
    </row>
    <row r="656" spans="1:9" x14ac:dyDescent="0.35">
      <c r="A656" s="2" t="s">
        <v>692</v>
      </c>
      <c r="B656" s="3">
        <v>45503</v>
      </c>
      <c r="C656" s="2" t="s">
        <v>16</v>
      </c>
      <c r="D656" s="2" t="s">
        <v>31</v>
      </c>
      <c r="E656" s="2" t="s">
        <v>12</v>
      </c>
      <c r="F656" s="2">
        <v>887.22</v>
      </c>
      <c r="G656" s="2">
        <v>193.84</v>
      </c>
      <c r="H656" s="2" t="s">
        <v>13</v>
      </c>
      <c r="I656" s="2" t="s">
        <v>29</v>
      </c>
    </row>
    <row r="657" spans="1:9" x14ac:dyDescent="0.35">
      <c r="A657" s="2" t="s">
        <v>693</v>
      </c>
      <c r="B657" s="3">
        <v>44664</v>
      </c>
      <c r="C657" s="2" t="s">
        <v>16</v>
      </c>
      <c r="D657" s="2" t="s">
        <v>11</v>
      </c>
      <c r="E657" s="2" t="s">
        <v>12</v>
      </c>
      <c r="F657" s="2">
        <v>247.68</v>
      </c>
      <c r="G657" s="2">
        <v>53.29</v>
      </c>
      <c r="H657" s="2" t="s">
        <v>13</v>
      </c>
      <c r="I657" s="2" t="s">
        <v>14</v>
      </c>
    </row>
    <row r="658" spans="1:9" x14ac:dyDescent="0.35">
      <c r="A658" s="2" t="s">
        <v>694</v>
      </c>
      <c r="B658" s="3">
        <v>45625</v>
      </c>
      <c r="C658" s="2" t="s">
        <v>22</v>
      </c>
      <c r="D658" s="2" t="s">
        <v>95</v>
      </c>
      <c r="E658" s="2" t="s">
        <v>18</v>
      </c>
      <c r="F658" s="2">
        <v>672.37</v>
      </c>
      <c r="G658" s="2">
        <v>147.81</v>
      </c>
      <c r="H658" s="2" t="s">
        <v>28</v>
      </c>
      <c r="I658" s="2" t="s">
        <v>20</v>
      </c>
    </row>
    <row r="659" spans="1:9" x14ac:dyDescent="0.35">
      <c r="A659" s="2" t="s">
        <v>695</v>
      </c>
      <c r="B659" s="3">
        <v>45200</v>
      </c>
      <c r="C659" s="2" t="s">
        <v>22</v>
      </c>
      <c r="D659" s="2" t="s">
        <v>38</v>
      </c>
      <c r="E659" s="2" t="s">
        <v>12</v>
      </c>
      <c r="F659" s="2">
        <v>1398.73</v>
      </c>
      <c r="G659" s="2">
        <v>165.25</v>
      </c>
      <c r="H659" s="2" t="s">
        <v>28</v>
      </c>
      <c r="I659" s="2" t="s">
        <v>14</v>
      </c>
    </row>
    <row r="660" spans="1:9" x14ac:dyDescent="0.35">
      <c r="A660" s="2" t="s">
        <v>696</v>
      </c>
      <c r="B660" s="3">
        <v>45468</v>
      </c>
      <c r="C660" s="2" t="s">
        <v>25</v>
      </c>
      <c r="D660" s="2" t="s">
        <v>73</v>
      </c>
      <c r="E660" s="2" t="s">
        <v>27</v>
      </c>
      <c r="F660" s="2">
        <v>321.45</v>
      </c>
      <c r="G660" s="2">
        <v>88.54</v>
      </c>
      <c r="H660" s="2" t="s">
        <v>13</v>
      </c>
      <c r="I660" s="2" t="s">
        <v>20</v>
      </c>
    </row>
    <row r="661" spans="1:9" x14ac:dyDescent="0.35">
      <c r="A661" s="2" t="s">
        <v>697</v>
      </c>
      <c r="B661" s="3">
        <v>45151</v>
      </c>
      <c r="C661" s="2" t="s">
        <v>25</v>
      </c>
      <c r="D661" s="2" t="s">
        <v>23</v>
      </c>
      <c r="E661" s="2" t="s">
        <v>18</v>
      </c>
      <c r="F661" s="2">
        <v>1047.44</v>
      </c>
      <c r="G661" s="2">
        <v>195.03</v>
      </c>
      <c r="H661" s="2" t="s">
        <v>19</v>
      </c>
      <c r="I661" s="2" t="s">
        <v>34</v>
      </c>
    </row>
    <row r="662" spans="1:9" x14ac:dyDescent="0.35">
      <c r="A662" s="2" t="s">
        <v>698</v>
      </c>
      <c r="B662" s="3">
        <v>45484</v>
      </c>
      <c r="C662" s="2" t="s">
        <v>16</v>
      </c>
      <c r="D662" s="2" t="s">
        <v>73</v>
      </c>
      <c r="E662" s="2" t="s">
        <v>27</v>
      </c>
      <c r="F662" s="2">
        <v>773.99</v>
      </c>
      <c r="G662" s="2">
        <v>221.79</v>
      </c>
      <c r="H662" s="2" t="s">
        <v>19</v>
      </c>
      <c r="I662" s="2" t="s">
        <v>34</v>
      </c>
    </row>
    <row r="663" spans="1:9" x14ac:dyDescent="0.35">
      <c r="A663" s="2" t="s">
        <v>699</v>
      </c>
      <c r="B663" s="3">
        <v>45185</v>
      </c>
      <c r="C663" s="2" t="s">
        <v>22</v>
      </c>
      <c r="D663" s="2" t="s">
        <v>95</v>
      </c>
      <c r="E663" s="2" t="s">
        <v>18</v>
      </c>
      <c r="F663" s="2">
        <v>179.72</v>
      </c>
      <c r="G663" s="2">
        <v>49.02</v>
      </c>
      <c r="H663" s="2" t="s">
        <v>28</v>
      </c>
      <c r="I663" s="2" t="s">
        <v>29</v>
      </c>
    </row>
    <row r="664" spans="1:9" x14ac:dyDescent="0.35">
      <c r="A664" s="2" t="s">
        <v>700</v>
      </c>
      <c r="B664" s="3">
        <v>44969</v>
      </c>
      <c r="C664" s="2" t="s">
        <v>10</v>
      </c>
      <c r="D664" s="2" t="s">
        <v>97</v>
      </c>
      <c r="E664" s="2" t="s">
        <v>27</v>
      </c>
      <c r="F664" s="2">
        <v>1973.28</v>
      </c>
      <c r="G664" s="2">
        <v>138.27000000000001</v>
      </c>
      <c r="H664" s="2" t="s">
        <v>19</v>
      </c>
      <c r="I664" s="2" t="s">
        <v>20</v>
      </c>
    </row>
    <row r="665" spans="1:9" x14ac:dyDescent="0.35">
      <c r="A665" s="2" t="s">
        <v>701</v>
      </c>
      <c r="B665" s="3">
        <v>45630</v>
      </c>
      <c r="C665" s="2" t="s">
        <v>22</v>
      </c>
      <c r="D665" s="2" t="s">
        <v>50</v>
      </c>
      <c r="E665" s="2" t="s">
        <v>12</v>
      </c>
      <c r="F665" s="2">
        <v>1260.3800000000001</v>
      </c>
      <c r="G665" s="2">
        <v>112.07</v>
      </c>
      <c r="H665" s="2" t="s">
        <v>19</v>
      </c>
      <c r="I665" s="2" t="s">
        <v>34</v>
      </c>
    </row>
    <row r="666" spans="1:9" x14ac:dyDescent="0.35">
      <c r="A666" s="2" t="s">
        <v>702</v>
      </c>
      <c r="B666" s="3">
        <v>45505</v>
      </c>
      <c r="C666" s="2" t="s">
        <v>16</v>
      </c>
      <c r="D666" s="2" t="s">
        <v>57</v>
      </c>
      <c r="E666" s="2" t="s">
        <v>27</v>
      </c>
      <c r="F666" s="2">
        <v>1319.54</v>
      </c>
      <c r="G666" s="2">
        <v>318.22000000000003</v>
      </c>
      <c r="H666" s="2" t="s">
        <v>28</v>
      </c>
      <c r="I666" s="2" t="s">
        <v>34</v>
      </c>
    </row>
    <row r="667" spans="1:9" x14ac:dyDescent="0.35">
      <c r="A667" s="2" t="s">
        <v>703</v>
      </c>
      <c r="B667" s="3">
        <v>44659</v>
      </c>
      <c r="C667" s="2" t="s">
        <v>22</v>
      </c>
      <c r="D667" s="2" t="s">
        <v>33</v>
      </c>
      <c r="E667" s="2" t="s">
        <v>18</v>
      </c>
      <c r="F667" s="2">
        <v>221.02</v>
      </c>
      <c r="G667" s="2">
        <v>37.590000000000003</v>
      </c>
      <c r="H667" s="2" t="s">
        <v>28</v>
      </c>
      <c r="I667" s="2" t="s">
        <v>14</v>
      </c>
    </row>
    <row r="668" spans="1:9" x14ac:dyDescent="0.35">
      <c r="A668" s="2" t="s">
        <v>704</v>
      </c>
      <c r="B668" s="3">
        <v>45325</v>
      </c>
      <c r="C668" s="2" t="s">
        <v>25</v>
      </c>
      <c r="D668" s="2" t="s">
        <v>11</v>
      </c>
      <c r="E668" s="2" t="s">
        <v>12</v>
      </c>
      <c r="F668" s="2">
        <v>1073.6600000000001</v>
      </c>
      <c r="G668" s="2">
        <v>160.65</v>
      </c>
      <c r="H668" s="2" t="s">
        <v>19</v>
      </c>
      <c r="I668" s="2" t="s">
        <v>29</v>
      </c>
    </row>
    <row r="669" spans="1:9" x14ac:dyDescent="0.35">
      <c r="A669" s="2" t="s">
        <v>705</v>
      </c>
      <c r="B669" s="3">
        <v>45063</v>
      </c>
      <c r="C669" s="2" t="s">
        <v>25</v>
      </c>
      <c r="D669" s="2" t="s">
        <v>97</v>
      </c>
      <c r="E669" s="2" t="s">
        <v>27</v>
      </c>
      <c r="F669" s="2">
        <v>1743.39</v>
      </c>
      <c r="G669" s="2">
        <v>95.49</v>
      </c>
      <c r="H669" s="2" t="s">
        <v>13</v>
      </c>
      <c r="I669" s="2" t="s">
        <v>29</v>
      </c>
    </row>
    <row r="670" spans="1:9" x14ac:dyDescent="0.35">
      <c r="A670" s="2" t="s">
        <v>706</v>
      </c>
      <c r="B670" s="3">
        <v>44906</v>
      </c>
      <c r="C670" s="2" t="s">
        <v>25</v>
      </c>
      <c r="D670" s="2" t="s">
        <v>11</v>
      </c>
      <c r="E670" s="2" t="s">
        <v>12</v>
      </c>
      <c r="F670" s="2">
        <v>1027.53</v>
      </c>
      <c r="G670" s="2">
        <v>192.54</v>
      </c>
      <c r="H670" s="2" t="s">
        <v>19</v>
      </c>
      <c r="I670" s="2" t="s">
        <v>29</v>
      </c>
    </row>
    <row r="671" spans="1:9" x14ac:dyDescent="0.35">
      <c r="A671" s="2" t="s">
        <v>707</v>
      </c>
      <c r="B671" s="3">
        <v>45005</v>
      </c>
      <c r="C671" s="2" t="s">
        <v>16</v>
      </c>
      <c r="D671" s="2" t="s">
        <v>97</v>
      </c>
      <c r="E671" s="2" t="s">
        <v>27</v>
      </c>
      <c r="F671" s="2">
        <v>773.61</v>
      </c>
      <c r="G671" s="2">
        <v>206.75</v>
      </c>
      <c r="H671" s="2" t="s">
        <v>19</v>
      </c>
      <c r="I671" s="2" t="s">
        <v>29</v>
      </c>
    </row>
    <row r="672" spans="1:9" x14ac:dyDescent="0.35">
      <c r="A672" s="2" t="s">
        <v>708</v>
      </c>
      <c r="B672" s="3">
        <v>45485</v>
      </c>
      <c r="C672" s="2" t="s">
        <v>22</v>
      </c>
      <c r="D672" s="2" t="s">
        <v>11</v>
      </c>
      <c r="E672" s="2" t="s">
        <v>12</v>
      </c>
      <c r="F672" s="2">
        <v>452.63</v>
      </c>
      <c r="G672" s="2">
        <v>93.95</v>
      </c>
      <c r="H672" s="2" t="s">
        <v>13</v>
      </c>
      <c r="I672" s="2" t="s">
        <v>14</v>
      </c>
    </row>
    <row r="673" spans="1:9" x14ac:dyDescent="0.35">
      <c r="A673" s="2" t="s">
        <v>709</v>
      </c>
      <c r="B673" s="3">
        <v>45309</v>
      </c>
      <c r="C673" s="2" t="s">
        <v>16</v>
      </c>
      <c r="D673" s="2" t="s">
        <v>95</v>
      </c>
      <c r="E673" s="2" t="s">
        <v>18</v>
      </c>
      <c r="F673" s="2">
        <v>1232.3599999999999</v>
      </c>
      <c r="G673" s="2">
        <v>253.13</v>
      </c>
      <c r="H673" s="2" t="s">
        <v>19</v>
      </c>
      <c r="I673" s="2" t="s">
        <v>34</v>
      </c>
    </row>
    <row r="674" spans="1:9" x14ac:dyDescent="0.35">
      <c r="A674" s="2" t="s">
        <v>710</v>
      </c>
      <c r="B674" s="3">
        <v>44720</v>
      </c>
      <c r="C674" s="2" t="s">
        <v>25</v>
      </c>
      <c r="D674" s="2" t="s">
        <v>38</v>
      </c>
      <c r="E674" s="2" t="s">
        <v>12</v>
      </c>
      <c r="F674" s="2">
        <v>922.39</v>
      </c>
      <c r="G674" s="2">
        <v>258.42</v>
      </c>
      <c r="H674" s="2" t="s">
        <v>19</v>
      </c>
      <c r="I674" s="2" t="s">
        <v>14</v>
      </c>
    </row>
    <row r="675" spans="1:9" x14ac:dyDescent="0.35">
      <c r="A675" s="2" t="s">
        <v>711</v>
      </c>
      <c r="B675" s="3">
        <v>45177</v>
      </c>
      <c r="C675" s="2" t="s">
        <v>22</v>
      </c>
      <c r="D675" s="2" t="s">
        <v>38</v>
      </c>
      <c r="E675" s="2" t="s">
        <v>12</v>
      </c>
      <c r="F675" s="2">
        <v>204.61</v>
      </c>
      <c r="G675" s="2">
        <v>29.92</v>
      </c>
      <c r="H675" s="2" t="s">
        <v>28</v>
      </c>
      <c r="I675" s="2" t="s">
        <v>34</v>
      </c>
    </row>
    <row r="676" spans="1:9" x14ac:dyDescent="0.35">
      <c r="A676" s="2" t="s">
        <v>712</v>
      </c>
      <c r="B676" s="3">
        <v>45046</v>
      </c>
      <c r="C676" s="2" t="s">
        <v>25</v>
      </c>
      <c r="D676" s="2" t="s">
        <v>17</v>
      </c>
      <c r="E676" s="2" t="s">
        <v>18</v>
      </c>
      <c r="F676" s="2">
        <v>1774.72</v>
      </c>
      <c r="G676" s="2">
        <v>89.96</v>
      </c>
      <c r="H676" s="2" t="s">
        <v>28</v>
      </c>
      <c r="I676" s="2" t="s">
        <v>29</v>
      </c>
    </row>
    <row r="677" spans="1:9" x14ac:dyDescent="0.35">
      <c r="A677" s="2" t="s">
        <v>713</v>
      </c>
      <c r="B677" s="3">
        <v>44589</v>
      </c>
      <c r="C677" s="2" t="s">
        <v>25</v>
      </c>
      <c r="D677" s="2" t="s">
        <v>26</v>
      </c>
      <c r="E677" s="2" t="s">
        <v>27</v>
      </c>
      <c r="F677" s="2">
        <v>269.05</v>
      </c>
      <c r="G677" s="2">
        <v>31.74</v>
      </c>
      <c r="H677" s="2" t="s">
        <v>28</v>
      </c>
      <c r="I677" s="2" t="s">
        <v>20</v>
      </c>
    </row>
    <row r="678" spans="1:9" x14ac:dyDescent="0.35">
      <c r="A678" s="2" t="s">
        <v>714</v>
      </c>
      <c r="B678" s="3">
        <v>45468</v>
      </c>
      <c r="C678" s="2" t="s">
        <v>25</v>
      </c>
      <c r="D678" s="2" t="s">
        <v>62</v>
      </c>
      <c r="E678" s="2" t="s">
        <v>27</v>
      </c>
      <c r="F678" s="2">
        <v>1713.34</v>
      </c>
      <c r="G678" s="2">
        <v>141.44</v>
      </c>
      <c r="H678" s="2" t="s">
        <v>28</v>
      </c>
      <c r="I678" s="2" t="s">
        <v>20</v>
      </c>
    </row>
    <row r="679" spans="1:9" x14ac:dyDescent="0.35">
      <c r="A679" s="2" t="s">
        <v>715</v>
      </c>
      <c r="B679" s="3">
        <v>45368</v>
      </c>
      <c r="C679" s="2" t="s">
        <v>25</v>
      </c>
      <c r="D679" s="2" t="s">
        <v>23</v>
      </c>
      <c r="E679" s="2" t="s">
        <v>18</v>
      </c>
      <c r="F679" s="2">
        <v>69.52</v>
      </c>
      <c r="G679" s="2">
        <v>15.51</v>
      </c>
      <c r="H679" s="2" t="s">
        <v>19</v>
      </c>
      <c r="I679" s="2" t="s">
        <v>20</v>
      </c>
    </row>
    <row r="680" spans="1:9" x14ac:dyDescent="0.35">
      <c r="A680" s="2" t="s">
        <v>716</v>
      </c>
      <c r="B680" s="3">
        <v>44918</v>
      </c>
      <c r="C680" s="2" t="s">
        <v>16</v>
      </c>
      <c r="D680" s="2" t="s">
        <v>97</v>
      </c>
      <c r="E680" s="2" t="s">
        <v>27</v>
      </c>
      <c r="F680" s="2">
        <v>85</v>
      </c>
      <c r="G680" s="2">
        <v>13.7</v>
      </c>
      <c r="H680" s="2" t="s">
        <v>13</v>
      </c>
      <c r="I680" s="2" t="s">
        <v>29</v>
      </c>
    </row>
    <row r="681" spans="1:9" x14ac:dyDescent="0.35">
      <c r="A681" s="2" t="s">
        <v>717</v>
      </c>
      <c r="B681" s="3">
        <v>44957</v>
      </c>
      <c r="C681" s="2" t="s">
        <v>16</v>
      </c>
      <c r="D681" s="2" t="s">
        <v>73</v>
      </c>
      <c r="E681" s="2" t="s">
        <v>27</v>
      </c>
      <c r="F681" s="2">
        <v>1064.07</v>
      </c>
      <c r="G681" s="2">
        <v>54.81</v>
      </c>
      <c r="H681" s="2" t="s">
        <v>13</v>
      </c>
      <c r="I681" s="2" t="s">
        <v>20</v>
      </c>
    </row>
    <row r="682" spans="1:9" x14ac:dyDescent="0.35">
      <c r="A682" s="2" t="s">
        <v>718</v>
      </c>
      <c r="B682" s="3">
        <v>44682</v>
      </c>
      <c r="C682" s="2" t="s">
        <v>25</v>
      </c>
      <c r="D682" s="2" t="s">
        <v>26</v>
      </c>
      <c r="E682" s="2" t="s">
        <v>27</v>
      </c>
      <c r="F682" s="2">
        <v>1636.05</v>
      </c>
      <c r="G682" s="2">
        <v>318.33</v>
      </c>
      <c r="H682" s="2" t="s">
        <v>13</v>
      </c>
      <c r="I682" s="2" t="s">
        <v>14</v>
      </c>
    </row>
    <row r="683" spans="1:9" x14ac:dyDescent="0.35">
      <c r="A683" s="2" t="s">
        <v>719</v>
      </c>
      <c r="B683" s="3">
        <v>45234</v>
      </c>
      <c r="C683" s="2" t="s">
        <v>22</v>
      </c>
      <c r="D683" s="2" t="s">
        <v>41</v>
      </c>
      <c r="E683" s="2" t="s">
        <v>12</v>
      </c>
      <c r="F683" s="2">
        <v>1448.33</v>
      </c>
      <c r="G683" s="2">
        <v>127.16</v>
      </c>
      <c r="H683" s="2" t="s">
        <v>13</v>
      </c>
      <c r="I683" s="2" t="s">
        <v>20</v>
      </c>
    </row>
    <row r="684" spans="1:9" x14ac:dyDescent="0.35">
      <c r="A684" s="2" t="s">
        <v>720</v>
      </c>
      <c r="B684" s="3">
        <v>44973</v>
      </c>
      <c r="C684" s="2" t="s">
        <v>25</v>
      </c>
      <c r="D684" s="2" t="s">
        <v>23</v>
      </c>
      <c r="E684" s="2" t="s">
        <v>18</v>
      </c>
      <c r="F684" s="2">
        <v>352.99</v>
      </c>
      <c r="G684" s="2">
        <v>20.85</v>
      </c>
      <c r="H684" s="2" t="s">
        <v>13</v>
      </c>
      <c r="I684" s="2" t="s">
        <v>29</v>
      </c>
    </row>
    <row r="685" spans="1:9" x14ac:dyDescent="0.35">
      <c r="A685" s="2" t="s">
        <v>721</v>
      </c>
      <c r="B685" s="3">
        <v>44673</v>
      </c>
      <c r="C685" s="2" t="s">
        <v>16</v>
      </c>
      <c r="D685" s="2" t="s">
        <v>57</v>
      </c>
      <c r="E685" s="2" t="s">
        <v>27</v>
      </c>
      <c r="F685" s="2">
        <v>1879.81</v>
      </c>
      <c r="G685" s="2">
        <v>271.42</v>
      </c>
      <c r="H685" s="2" t="s">
        <v>13</v>
      </c>
      <c r="I685" s="2" t="s">
        <v>29</v>
      </c>
    </row>
    <row r="686" spans="1:9" x14ac:dyDescent="0.35">
      <c r="A686" s="2" t="s">
        <v>722</v>
      </c>
      <c r="B686" s="3">
        <v>44591</v>
      </c>
      <c r="C686" s="2" t="s">
        <v>22</v>
      </c>
      <c r="D686" s="2" t="s">
        <v>50</v>
      </c>
      <c r="E686" s="2" t="s">
        <v>12</v>
      </c>
      <c r="F686" s="2">
        <v>349.16</v>
      </c>
      <c r="G686" s="2">
        <v>75.34</v>
      </c>
      <c r="H686" s="2" t="s">
        <v>13</v>
      </c>
      <c r="I686" s="2" t="s">
        <v>20</v>
      </c>
    </row>
    <row r="687" spans="1:9" x14ac:dyDescent="0.35">
      <c r="A687" s="2" t="s">
        <v>723</v>
      </c>
      <c r="B687" s="3">
        <v>45155</v>
      </c>
      <c r="C687" s="2" t="s">
        <v>16</v>
      </c>
      <c r="D687" s="2" t="s">
        <v>41</v>
      </c>
      <c r="E687" s="2" t="s">
        <v>12</v>
      </c>
      <c r="F687" s="2">
        <v>1734.01</v>
      </c>
      <c r="G687" s="2">
        <v>373.55</v>
      </c>
      <c r="H687" s="2" t="s">
        <v>19</v>
      </c>
      <c r="I687" s="2" t="s">
        <v>29</v>
      </c>
    </row>
    <row r="688" spans="1:9" x14ac:dyDescent="0.35">
      <c r="A688" s="2" t="s">
        <v>724</v>
      </c>
      <c r="B688" s="3">
        <v>44588</v>
      </c>
      <c r="C688" s="2" t="s">
        <v>16</v>
      </c>
      <c r="D688" s="2" t="s">
        <v>62</v>
      </c>
      <c r="E688" s="2" t="s">
        <v>27</v>
      </c>
      <c r="F688" s="2">
        <v>1000.04</v>
      </c>
      <c r="G688" s="2">
        <v>154.77000000000001</v>
      </c>
      <c r="H688" s="2" t="s">
        <v>13</v>
      </c>
      <c r="I688" s="2" t="s">
        <v>34</v>
      </c>
    </row>
    <row r="689" spans="1:9" x14ac:dyDescent="0.35">
      <c r="A689" s="2" t="s">
        <v>725</v>
      </c>
      <c r="B689" s="3">
        <v>45503</v>
      </c>
      <c r="C689" s="2" t="s">
        <v>10</v>
      </c>
      <c r="D689" s="2" t="s">
        <v>11</v>
      </c>
      <c r="E689" s="2" t="s">
        <v>12</v>
      </c>
      <c r="F689" s="2">
        <v>514.70000000000005</v>
      </c>
      <c r="G689" s="2">
        <v>40.67</v>
      </c>
      <c r="H689" s="2" t="s">
        <v>19</v>
      </c>
      <c r="I689" s="2" t="s">
        <v>34</v>
      </c>
    </row>
    <row r="690" spans="1:9" x14ac:dyDescent="0.35">
      <c r="A690" s="2" t="s">
        <v>726</v>
      </c>
      <c r="B690" s="3">
        <v>44782</v>
      </c>
      <c r="C690" s="2" t="s">
        <v>10</v>
      </c>
      <c r="D690" s="2" t="s">
        <v>50</v>
      </c>
      <c r="E690" s="2" t="s">
        <v>12</v>
      </c>
      <c r="F690" s="2">
        <v>1090.96</v>
      </c>
      <c r="G690" s="2">
        <v>319.27</v>
      </c>
      <c r="H690" s="2" t="s">
        <v>28</v>
      </c>
      <c r="I690" s="2" t="s">
        <v>29</v>
      </c>
    </row>
    <row r="691" spans="1:9" x14ac:dyDescent="0.35">
      <c r="A691" s="2" t="s">
        <v>727</v>
      </c>
      <c r="B691" s="3">
        <v>44901</v>
      </c>
      <c r="C691" s="2" t="s">
        <v>22</v>
      </c>
      <c r="D691" s="2" t="s">
        <v>62</v>
      </c>
      <c r="E691" s="2" t="s">
        <v>27</v>
      </c>
      <c r="F691" s="2">
        <v>133.30000000000001</v>
      </c>
      <c r="G691" s="2">
        <v>8.43</v>
      </c>
      <c r="H691" s="2" t="s">
        <v>28</v>
      </c>
      <c r="I691" s="2" t="s">
        <v>34</v>
      </c>
    </row>
    <row r="692" spans="1:9" x14ac:dyDescent="0.35">
      <c r="A692" s="2" t="s">
        <v>728</v>
      </c>
      <c r="B692" s="3">
        <v>44654</v>
      </c>
      <c r="C692" s="2" t="s">
        <v>16</v>
      </c>
      <c r="D692" s="2" t="s">
        <v>46</v>
      </c>
      <c r="E692" s="2" t="s">
        <v>18</v>
      </c>
      <c r="F692" s="2">
        <v>830.54</v>
      </c>
      <c r="G692" s="2">
        <v>119.31</v>
      </c>
      <c r="H692" s="2" t="s">
        <v>19</v>
      </c>
      <c r="I692" s="2" t="s">
        <v>14</v>
      </c>
    </row>
    <row r="693" spans="1:9" x14ac:dyDescent="0.35">
      <c r="A693" s="2" t="s">
        <v>729</v>
      </c>
      <c r="B693" s="3">
        <v>45195</v>
      </c>
      <c r="C693" s="2" t="s">
        <v>10</v>
      </c>
      <c r="D693" s="2" t="s">
        <v>26</v>
      </c>
      <c r="E693" s="2" t="s">
        <v>27</v>
      </c>
      <c r="F693" s="2">
        <v>132.80000000000001</v>
      </c>
      <c r="G693" s="2">
        <v>32.21</v>
      </c>
      <c r="H693" s="2" t="s">
        <v>19</v>
      </c>
      <c r="I693" s="2" t="s">
        <v>20</v>
      </c>
    </row>
    <row r="694" spans="1:9" x14ac:dyDescent="0.35">
      <c r="A694" s="2" t="s">
        <v>730</v>
      </c>
      <c r="B694" s="3">
        <v>44641</v>
      </c>
      <c r="C694" s="2" t="s">
        <v>10</v>
      </c>
      <c r="D694" s="2" t="s">
        <v>73</v>
      </c>
      <c r="E694" s="2" t="s">
        <v>27</v>
      </c>
      <c r="F694" s="2">
        <v>954.02</v>
      </c>
      <c r="G694" s="2">
        <v>226.7</v>
      </c>
      <c r="H694" s="2" t="s">
        <v>19</v>
      </c>
      <c r="I694" s="2" t="s">
        <v>34</v>
      </c>
    </row>
    <row r="695" spans="1:9" x14ac:dyDescent="0.35">
      <c r="A695" s="2" t="s">
        <v>731</v>
      </c>
      <c r="B695" s="3">
        <v>44831</v>
      </c>
      <c r="C695" s="2" t="s">
        <v>16</v>
      </c>
      <c r="D695" s="2" t="s">
        <v>23</v>
      </c>
      <c r="E695" s="2" t="s">
        <v>18</v>
      </c>
      <c r="F695" s="2">
        <v>1693.56</v>
      </c>
      <c r="G695" s="2">
        <v>279.77999999999997</v>
      </c>
      <c r="H695" s="2" t="s">
        <v>19</v>
      </c>
      <c r="I695" s="2" t="s">
        <v>14</v>
      </c>
    </row>
    <row r="696" spans="1:9" x14ac:dyDescent="0.35">
      <c r="A696" s="2" t="s">
        <v>732</v>
      </c>
      <c r="B696" s="3">
        <v>44714</v>
      </c>
      <c r="C696" s="2" t="s">
        <v>16</v>
      </c>
      <c r="D696" s="2" t="s">
        <v>17</v>
      </c>
      <c r="E696" s="2" t="s">
        <v>18</v>
      </c>
      <c r="F696" s="2">
        <v>618.66</v>
      </c>
      <c r="G696" s="2">
        <v>110.29</v>
      </c>
      <c r="H696" s="2" t="s">
        <v>13</v>
      </c>
      <c r="I696" s="2" t="s">
        <v>29</v>
      </c>
    </row>
    <row r="697" spans="1:9" x14ac:dyDescent="0.35">
      <c r="A697" s="2" t="s">
        <v>733</v>
      </c>
      <c r="B697" s="3">
        <v>45534</v>
      </c>
      <c r="C697" s="2" t="s">
        <v>16</v>
      </c>
      <c r="D697" s="2" t="s">
        <v>11</v>
      </c>
      <c r="E697" s="2" t="s">
        <v>12</v>
      </c>
      <c r="F697" s="2">
        <v>709.03</v>
      </c>
      <c r="G697" s="2">
        <v>45.45</v>
      </c>
      <c r="H697" s="2" t="s">
        <v>13</v>
      </c>
      <c r="I697" s="2" t="s">
        <v>29</v>
      </c>
    </row>
    <row r="698" spans="1:9" x14ac:dyDescent="0.35">
      <c r="A698" s="2" t="s">
        <v>734</v>
      </c>
      <c r="B698" s="3">
        <v>44792</v>
      </c>
      <c r="C698" s="2" t="s">
        <v>25</v>
      </c>
      <c r="D698" s="2" t="s">
        <v>17</v>
      </c>
      <c r="E698" s="2" t="s">
        <v>18</v>
      </c>
      <c r="F698" s="2">
        <v>1655.88</v>
      </c>
      <c r="G698" s="2">
        <v>233.59</v>
      </c>
      <c r="H698" s="2" t="s">
        <v>28</v>
      </c>
      <c r="I698" s="2" t="s">
        <v>34</v>
      </c>
    </row>
    <row r="699" spans="1:9" x14ac:dyDescent="0.35">
      <c r="A699" s="2" t="s">
        <v>735</v>
      </c>
      <c r="B699" s="3">
        <v>44872</v>
      </c>
      <c r="C699" s="2" t="s">
        <v>25</v>
      </c>
      <c r="D699" s="2" t="s">
        <v>62</v>
      </c>
      <c r="E699" s="2" t="s">
        <v>27</v>
      </c>
      <c r="F699" s="2">
        <v>1721.74</v>
      </c>
      <c r="G699" s="2">
        <v>340.84</v>
      </c>
      <c r="H699" s="2" t="s">
        <v>28</v>
      </c>
      <c r="I699" s="2" t="s">
        <v>14</v>
      </c>
    </row>
    <row r="700" spans="1:9" x14ac:dyDescent="0.35">
      <c r="A700" s="2" t="s">
        <v>736</v>
      </c>
      <c r="B700" s="3">
        <v>45140</v>
      </c>
      <c r="C700" s="2" t="s">
        <v>10</v>
      </c>
      <c r="D700" s="2" t="s">
        <v>26</v>
      </c>
      <c r="E700" s="2" t="s">
        <v>27</v>
      </c>
      <c r="F700" s="2">
        <v>1998.33</v>
      </c>
      <c r="G700" s="2">
        <v>366.99</v>
      </c>
      <c r="H700" s="2" t="s">
        <v>13</v>
      </c>
      <c r="I700" s="2" t="s">
        <v>29</v>
      </c>
    </row>
    <row r="701" spans="1:9" x14ac:dyDescent="0.35">
      <c r="A701" s="2" t="s">
        <v>737</v>
      </c>
      <c r="B701" s="3">
        <v>45445</v>
      </c>
      <c r="C701" s="2" t="s">
        <v>22</v>
      </c>
      <c r="D701" s="2" t="s">
        <v>17</v>
      </c>
      <c r="E701" s="2" t="s">
        <v>18</v>
      </c>
      <c r="F701" s="2">
        <v>1193.03</v>
      </c>
      <c r="G701" s="2">
        <v>215.08</v>
      </c>
      <c r="H701" s="2" t="s">
        <v>13</v>
      </c>
      <c r="I701" s="2" t="s">
        <v>14</v>
      </c>
    </row>
    <row r="702" spans="1:9" x14ac:dyDescent="0.35">
      <c r="A702" s="2" t="s">
        <v>738</v>
      </c>
      <c r="B702" s="3">
        <v>45107</v>
      </c>
      <c r="C702" s="2" t="s">
        <v>10</v>
      </c>
      <c r="D702" s="2" t="s">
        <v>11</v>
      </c>
      <c r="E702" s="2" t="s">
        <v>12</v>
      </c>
      <c r="F702" s="2">
        <v>175.94</v>
      </c>
      <c r="G702" s="2">
        <v>43.66</v>
      </c>
      <c r="H702" s="2" t="s">
        <v>28</v>
      </c>
      <c r="I702" s="2" t="s">
        <v>14</v>
      </c>
    </row>
    <row r="703" spans="1:9" x14ac:dyDescent="0.35">
      <c r="A703" s="2" t="s">
        <v>739</v>
      </c>
      <c r="B703" s="3">
        <v>44709</v>
      </c>
      <c r="C703" s="2" t="s">
        <v>25</v>
      </c>
      <c r="D703" s="2" t="s">
        <v>46</v>
      </c>
      <c r="E703" s="2" t="s">
        <v>18</v>
      </c>
      <c r="F703" s="2">
        <v>1483.44</v>
      </c>
      <c r="G703" s="2">
        <v>229.26</v>
      </c>
      <c r="H703" s="2" t="s">
        <v>28</v>
      </c>
      <c r="I703" s="2" t="s">
        <v>14</v>
      </c>
    </row>
    <row r="704" spans="1:9" x14ac:dyDescent="0.35">
      <c r="A704" s="2" t="s">
        <v>740</v>
      </c>
      <c r="B704" s="3">
        <v>45474</v>
      </c>
      <c r="C704" s="2" t="s">
        <v>25</v>
      </c>
      <c r="D704" s="2" t="s">
        <v>17</v>
      </c>
      <c r="E704" s="2" t="s">
        <v>18</v>
      </c>
      <c r="F704" s="2">
        <v>447.92</v>
      </c>
      <c r="G704" s="2">
        <v>65.37</v>
      </c>
      <c r="H704" s="2" t="s">
        <v>13</v>
      </c>
      <c r="I704" s="2" t="s">
        <v>29</v>
      </c>
    </row>
    <row r="705" spans="1:9" x14ac:dyDescent="0.35">
      <c r="A705" s="2" t="s">
        <v>741</v>
      </c>
      <c r="B705" s="3">
        <v>44838</v>
      </c>
      <c r="C705" s="2" t="s">
        <v>10</v>
      </c>
      <c r="D705" s="2" t="s">
        <v>50</v>
      </c>
      <c r="E705" s="2" t="s">
        <v>12</v>
      </c>
      <c r="F705" s="2">
        <v>822.51</v>
      </c>
      <c r="G705" s="2">
        <v>97.11</v>
      </c>
      <c r="H705" s="2" t="s">
        <v>13</v>
      </c>
      <c r="I705" s="2" t="s">
        <v>34</v>
      </c>
    </row>
    <row r="706" spans="1:9" x14ac:dyDescent="0.35">
      <c r="A706" s="2" t="s">
        <v>742</v>
      </c>
      <c r="B706" s="3">
        <v>45480</v>
      </c>
      <c r="C706" s="2" t="s">
        <v>10</v>
      </c>
      <c r="D706" s="2" t="s">
        <v>97</v>
      </c>
      <c r="E706" s="2" t="s">
        <v>27</v>
      </c>
      <c r="F706" s="2">
        <v>1383.99</v>
      </c>
      <c r="G706" s="2">
        <v>275.72000000000003</v>
      </c>
      <c r="H706" s="2" t="s">
        <v>13</v>
      </c>
      <c r="I706" s="2" t="s">
        <v>20</v>
      </c>
    </row>
    <row r="707" spans="1:9" x14ac:dyDescent="0.35">
      <c r="A707" s="2" t="s">
        <v>743</v>
      </c>
      <c r="B707" s="3">
        <v>44834</v>
      </c>
      <c r="C707" s="2" t="s">
        <v>10</v>
      </c>
      <c r="D707" s="2" t="s">
        <v>33</v>
      </c>
      <c r="E707" s="2" t="s">
        <v>18</v>
      </c>
      <c r="F707" s="2">
        <v>1451.26</v>
      </c>
      <c r="G707" s="2">
        <v>414.9</v>
      </c>
      <c r="H707" s="2" t="s">
        <v>19</v>
      </c>
      <c r="I707" s="2" t="s">
        <v>29</v>
      </c>
    </row>
    <row r="708" spans="1:9" x14ac:dyDescent="0.35">
      <c r="A708" s="2" t="s">
        <v>744</v>
      </c>
      <c r="B708" s="3">
        <v>45605</v>
      </c>
      <c r="C708" s="2" t="s">
        <v>10</v>
      </c>
      <c r="D708" s="2" t="s">
        <v>41</v>
      </c>
      <c r="E708" s="2" t="s">
        <v>12</v>
      </c>
      <c r="F708" s="2">
        <v>1971.36</v>
      </c>
      <c r="G708" s="2">
        <v>221.93</v>
      </c>
      <c r="H708" s="2" t="s">
        <v>28</v>
      </c>
      <c r="I708" s="2" t="s">
        <v>14</v>
      </c>
    </row>
    <row r="709" spans="1:9" x14ac:dyDescent="0.35">
      <c r="A709" s="2" t="s">
        <v>745</v>
      </c>
      <c r="B709" s="3">
        <v>44769</v>
      </c>
      <c r="C709" s="2" t="s">
        <v>25</v>
      </c>
      <c r="D709" s="2" t="s">
        <v>17</v>
      </c>
      <c r="E709" s="2" t="s">
        <v>18</v>
      </c>
      <c r="F709" s="2">
        <v>720.46</v>
      </c>
      <c r="G709" s="2">
        <v>172.89</v>
      </c>
      <c r="H709" s="2" t="s">
        <v>19</v>
      </c>
      <c r="I709" s="2" t="s">
        <v>29</v>
      </c>
    </row>
    <row r="710" spans="1:9" x14ac:dyDescent="0.35">
      <c r="A710" s="2" t="s">
        <v>746</v>
      </c>
      <c r="B710" s="3">
        <v>45133</v>
      </c>
      <c r="C710" s="2" t="s">
        <v>10</v>
      </c>
      <c r="D710" s="2" t="s">
        <v>38</v>
      </c>
      <c r="E710" s="2" t="s">
        <v>12</v>
      </c>
      <c r="F710" s="2">
        <v>155.72999999999999</v>
      </c>
      <c r="G710" s="2">
        <v>17.79</v>
      </c>
      <c r="H710" s="2" t="s">
        <v>13</v>
      </c>
      <c r="I710" s="2" t="s">
        <v>20</v>
      </c>
    </row>
    <row r="711" spans="1:9" x14ac:dyDescent="0.35">
      <c r="A711" s="2" t="s">
        <v>747</v>
      </c>
      <c r="B711" s="3">
        <v>44713</v>
      </c>
      <c r="C711" s="2" t="s">
        <v>22</v>
      </c>
      <c r="D711" s="2" t="s">
        <v>31</v>
      </c>
      <c r="E711" s="2" t="s">
        <v>12</v>
      </c>
      <c r="F711" s="2">
        <v>952.76</v>
      </c>
      <c r="G711" s="2">
        <v>115.23</v>
      </c>
      <c r="H711" s="2" t="s">
        <v>13</v>
      </c>
      <c r="I711" s="2" t="s">
        <v>20</v>
      </c>
    </row>
    <row r="712" spans="1:9" x14ac:dyDescent="0.35">
      <c r="A712" s="2" t="s">
        <v>748</v>
      </c>
      <c r="B712" s="3">
        <v>45242</v>
      </c>
      <c r="C712" s="2" t="s">
        <v>22</v>
      </c>
      <c r="D712" s="2" t="s">
        <v>95</v>
      </c>
      <c r="E712" s="2" t="s">
        <v>18</v>
      </c>
      <c r="F712" s="2">
        <v>466.59</v>
      </c>
      <c r="G712" s="2">
        <v>105.64</v>
      </c>
      <c r="H712" s="2" t="s">
        <v>28</v>
      </c>
      <c r="I712" s="2" t="s">
        <v>34</v>
      </c>
    </row>
    <row r="713" spans="1:9" x14ac:dyDescent="0.35">
      <c r="A713" s="2" t="s">
        <v>749</v>
      </c>
      <c r="B713" s="3">
        <v>45054</v>
      </c>
      <c r="C713" s="2" t="s">
        <v>16</v>
      </c>
      <c r="D713" s="2" t="s">
        <v>62</v>
      </c>
      <c r="E713" s="2" t="s">
        <v>27</v>
      </c>
      <c r="F713" s="2">
        <v>1496.48</v>
      </c>
      <c r="G713" s="2">
        <v>366.05</v>
      </c>
      <c r="H713" s="2" t="s">
        <v>28</v>
      </c>
      <c r="I713" s="2" t="s">
        <v>20</v>
      </c>
    </row>
    <row r="714" spans="1:9" x14ac:dyDescent="0.35">
      <c r="A714" s="2" t="s">
        <v>750</v>
      </c>
      <c r="B714" s="3">
        <v>45648</v>
      </c>
      <c r="C714" s="2" t="s">
        <v>10</v>
      </c>
      <c r="D714" s="2" t="s">
        <v>41</v>
      </c>
      <c r="E714" s="2" t="s">
        <v>12</v>
      </c>
      <c r="F714" s="2">
        <v>1210.4000000000001</v>
      </c>
      <c r="G714" s="2">
        <v>221.92</v>
      </c>
      <c r="H714" s="2" t="s">
        <v>19</v>
      </c>
      <c r="I714" s="2" t="s">
        <v>29</v>
      </c>
    </row>
    <row r="715" spans="1:9" x14ac:dyDescent="0.35">
      <c r="A715" s="2" t="s">
        <v>751</v>
      </c>
      <c r="B715" s="3">
        <v>45312</v>
      </c>
      <c r="C715" s="2" t="s">
        <v>22</v>
      </c>
      <c r="D715" s="2" t="s">
        <v>26</v>
      </c>
      <c r="E715" s="2" t="s">
        <v>27</v>
      </c>
      <c r="F715" s="2">
        <v>1151.1099999999999</v>
      </c>
      <c r="G715" s="2">
        <v>58.83</v>
      </c>
      <c r="H715" s="2" t="s">
        <v>28</v>
      </c>
      <c r="I715" s="2" t="s">
        <v>20</v>
      </c>
    </row>
    <row r="716" spans="1:9" x14ac:dyDescent="0.35">
      <c r="A716" s="2" t="s">
        <v>752</v>
      </c>
      <c r="B716" s="3">
        <v>45486</v>
      </c>
      <c r="C716" s="2" t="s">
        <v>22</v>
      </c>
      <c r="D716" s="2" t="s">
        <v>46</v>
      </c>
      <c r="E716" s="2" t="s">
        <v>18</v>
      </c>
      <c r="F716" s="2">
        <v>1638.14</v>
      </c>
      <c r="G716" s="2">
        <v>379.21</v>
      </c>
      <c r="H716" s="2" t="s">
        <v>28</v>
      </c>
      <c r="I716" s="2" t="s">
        <v>29</v>
      </c>
    </row>
    <row r="717" spans="1:9" x14ac:dyDescent="0.35">
      <c r="A717" s="2" t="s">
        <v>753</v>
      </c>
      <c r="B717" s="3">
        <v>45200</v>
      </c>
      <c r="C717" s="2" t="s">
        <v>25</v>
      </c>
      <c r="D717" s="2" t="s">
        <v>73</v>
      </c>
      <c r="E717" s="2" t="s">
        <v>27</v>
      </c>
      <c r="F717" s="2">
        <v>819.92</v>
      </c>
      <c r="G717" s="2">
        <v>146.78</v>
      </c>
      <c r="H717" s="2" t="s">
        <v>13</v>
      </c>
      <c r="I717" s="2" t="s">
        <v>20</v>
      </c>
    </row>
    <row r="718" spans="1:9" x14ac:dyDescent="0.35">
      <c r="A718" s="2" t="s">
        <v>754</v>
      </c>
      <c r="B718" s="3">
        <v>45510</v>
      </c>
      <c r="C718" s="2" t="s">
        <v>10</v>
      </c>
      <c r="D718" s="2" t="s">
        <v>41</v>
      </c>
      <c r="E718" s="2" t="s">
        <v>12</v>
      </c>
      <c r="F718" s="2">
        <v>649.14</v>
      </c>
      <c r="G718" s="2">
        <v>54.1</v>
      </c>
      <c r="H718" s="2" t="s">
        <v>19</v>
      </c>
      <c r="I718" s="2" t="s">
        <v>29</v>
      </c>
    </row>
    <row r="719" spans="1:9" x14ac:dyDescent="0.35">
      <c r="A719" s="2" t="s">
        <v>755</v>
      </c>
      <c r="B719" s="3">
        <v>44955</v>
      </c>
      <c r="C719" s="2" t="s">
        <v>10</v>
      </c>
      <c r="D719" s="2" t="s">
        <v>31</v>
      </c>
      <c r="E719" s="2" t="s">
        <v>12</v>
      </c>
      <c r="F719" s="2">
        <v>1675.46</v>
      </c>
      <c r="G719" s="2">
        <v>307.63</v>
      </c>
      <c r="H719" s="2" t="s">
        <v>19</v>
      </c>
      <c r="I719" s="2" t="s">
        <v>14</v>
      </c>
    </row>
    <row r="720" spans="1:9" x14ac:dyDescent="0.35">
      <c r="A720" s="2" t="s">
        <v>756</v>
      </c>
      <c r="B720" s="3">
        <v>45354</v>
      </c>
      <c r="C720" s="2" t="s">
        <v>10</v>
      </c>
      <c r="D720" s="2" t="s">
        <v>11</v>
      </c>
      <c r="E720" s="2" t="s">
        <v>12</v>
      </c>
      <c r="F720" s="2">
        <v>110.44</v>
      </c>
      <c r="G720" s="2">
        <v>27.48</v>
      </c>
      <c r="H720" s="2" t="s">
        <v>28</v>
      </c>
      <c r="I720" s="2" t="s">
        <v>34</v>
      </c>
    </row>
    <row r="721" spans="1:9" x14ac:dyDescent="0.35">
      <c r="A721" s="2" t="s">
        <v>757</v>
      </c>
      <c r="B721" s="3">
        <v>44626</v>
      </c>
      <c r="C721" s="2" t="s">
        <v>10</v>
      </c>
      <c r="D721" s="2" t="s">
        <v>26</v>
      </c>
      <c r="E721" s="2" t="s">
        <v>27</v>
      </c>
      <c r="F721" s="2">
        <v>258.91000000000003</v>
      </c>
      <c r="G721" s="2">
        <v>21.17</v>
      </c>
      <c r="H721" s="2" t="s">
        <v>13</v>
      </c>
      <c r="I721" s="2" t="s">
        <v>29</v>
      </c>
    </row>
    <row r="722" spans="1:9" x14ac:dyDescent="0.35">
      <c r="A722" s="2" t="s">
        <v>758</v>
      </c>
      <c r="B722" s="3">
        <v>45218</v>
      </c>
      <c r="C722" s="2" t="s">
        <v>25</v>
      </c>
      <c r="D722" s="2" t="s">
        <v>23</v>
      </c>
      <c r="E722" s="2" t="s">
        <v>18</v>
      </c>
      <c r="F722" s="2">
        <v>1768.68</v>
      </c>
      <c r="G722" s="2">
        <v>502.59</v>
      </c>
      <c r="H722" s="2" t="s">
        <v>13</v>
      </c>
      <c r="I722" s="2" t="s">
        <v>14</v>
      </c>
    </row>
    <row r="723" spans="1:9" x14ac:dyDescent="0.35">
      <c r="A723" s="2" t="s">
        <v>759</v>
      </c>
      <c r="B723" s="3">
        <v>44969</v>
      </c>
      <c r="C723" s="2" t="s">
        <v>16</v>
      </c>
      <c r="D723" s="2" t="s">
        <v>41</v>
      </c>
      <c r="E723" s="2" t="s">
        <v>12</v>
      </c>
      <c r="F723" s="2">
        <v>448.98</v>
      </c>
      <c r="G723" s="2">
        <v>33.94</v>
      </c>
      <c r="H723" s="2" t="s">
        <v>19</v>
      </c>
      <c r="I723" s="2" t="s">
        <v>20</v>
      </c>
    </row>
    <row r="724" spans="1:9" x14ac:dyDescent="0.35">
      <c r="A724" s="2" t="s">
        <v>760</v>
      </c>
      <c r="B724" s="3">
        <v>45081</v>
      </c>
      <c r="C724" s="2" t="s">
        <v>16</v>
      </c>
      <c r="D724" s="2" t="s">
        <v>33</v>
      </c>
      <c r="E724" s="2" t="s">
        <v>18</v>
      </c>
      <c r="F724" s="2">
        <v>1296.42</v>
      </c>
      <c r="G724" s="2">
        <v>245.17</v>
      </c>
      <c r="H724" s="2" t="s">
        <v>13</v>
      </c>
      <c r="I724" s="2" t="s">
        <v>34</v>
      </c>
    </row>
    <row r="725" spans="1:9" x14ac:dyDescent="0.35">
      <c r="A725" s="2" t="s">
        <v>761</v>
      </c>
      <c r="B725" s="3">
        <v>45551</v>
      </c>
      <c r="C725" s="2" t="s">
        <v>25</v>
      </c>
      <c r="D725" s="2" t="s">
        <v>62</v>
      </c>
      <c r="E725" s="2" t="s">
        <v>27</v>
      </c>
      <c r="F725" s="2">
        <v>1214.04</v>
      </c>
      <c r="G725" s="2">
        <v>334.47</v>
      </c>
      <c r="H725" s="2" t="s">
        <v>19</v>
      </c>
      <c r="I725" s="2" t="s">
        <v>20</v>
      </c>
    </row>
    <row r="726" spans="1:9" x14ac:dyDescent="0.35">
      <c r="A726" s="2" t="s">
        <v>762</v>
      </c>
      <c r="B726" s="3">
        <v>44609</v>
      </c>
      <c r="C726" s="2" t="s">
        <v>10</v>
      </c>
      <c r="D726" s="2" t="s">
        <v>31</v>
      </c>
      <c r="E726" s="2" t="s">
        <v>12</v>
      </c>
      <c r="F726" s="2">
        <v>732.45</v>
      </c>
      <c r="G726" s="2">
        <v>152.26</v>
      </c>
      <c r="H726" s="2" t="s">
        <v>19</v>
      </c>
      <c r="I726" s="2" t="s">
        <v>14</v>
      </c>
    </row>
    <row r="727" spans="1:9" x14ac:dyDescent="0.35">
      <c r="A727" s="2" t="s">
        <v>763</v>
      </c>
      <c r="B727" s="3">
        <v>44604</v>
      </c>
      <c r="C727" s="2" t="s">
        <v>25</v>
      </c>
      <c r="D727" s="2" t="s">
        <v>73</v>
      </c>
      <c r="E727" s="2" t="s">
        <v>27</v>
      </c>
      <c r="F727" s="2">
        <v>70.13</v>
      </c>
      <c r="G727" s="2">
        <v>6.52</v>
      </c>
      <c r="H727" s="2" t="s">
        <v>19</v>
      </c>
      <c r="I727" s="2" t="s">
        <v>34</v>
      </c>
    </row>
    <row r="728" spans="1:9" x14ac:dyDescent="0.35">
      <c r="A728" s="2" t="s">
        <v>764</v>
      </c>
      <c r="B728" s="3">
        <v>44819</v>
      </c>
      <c r="C728" s="2" t="s">
        <v>25</v>
      </c>
      <c r="D728" s="2" t="s">
        <v>95</v>
      </c>
      <c r="E728" s="2" t="s">
        <v>18</v>
      </c>
      <c r="F728" s="2">
        <v>929.06</v>
      </c>
      <c r="G728" s="2">
        <v>122.78</v>
      </c>
      <c r="H728" s="2" t="s">
        <v>13</v>
      </c>
      <c r="I728" s="2" t="s">
        <v>29</v>
      </c>
    </row>
    <row r="729" spans="1:9" x14ac:dyDescent="0.35">
      <c r="A729" s="2" t="s">
        <v>765</v>
      </c>
      <c r="B729" s="3">
        <v>45603</v>
      </c>
      <c r="C729" s="2" t="s">
        <v>16</v>
      </c>
      <c r="D729" s="2" t="s">
        <v>17</v>
      </c>
      <c r="E729" s="2" t="s">
        <v>18</v>
      </c>
      <c r="F729" s="2">
        <v>1448.39</v>
      </c>
      <c r="G729" s="2">
        <v>360.94</v>
      </c>
      <c r="H729" s="2" t="s">
        <v>28</v>
      </c>
      <c r="I729" s="2" t="s">
        <v>29</v>
      </c>
    </row>
    <row r="730" spans="1:9" x14ac:dyDescent="0.35">
      <c r="A730" s="2" t="s">
        <v>766</v>
      </c>
      <c r="B730" s="3">
        <v>44645</v>
      </c>
      <c r="C730" s="2" t="s">
        <v>10</v>
      </c>
      <c r="D730" s="2" t="s">
        <v>62</v>
      </c>
      <c r="E730" s="2" t="s">
        <v>27</v>
      </c>
      <c r="F730" s="2">
        <v>1055.83</v>
      </c>
      <c r="G730" s="2">
        <v>198.27</v>
      </c>
      <c r="H730" s="2" t="s">
        <v>28</v>
      </c>
      <c r="I730" s="2" t="s">
        <v>20</v>
      </c>
    </row>
    <row r="731" spans="1:9" x14ac:dyDescent="0.35">
      <c r="A731" s="2" t="s">
        <v>767</v>
      </c>
      <c r="B731" s="3">
        <v>45017</v>
      </c>
      <c r="C731" s="2" t="s">
        <v>22</v>
      </c>
      <c r="D731" s="2" t="s">
        <v>57</v>
      </c>
      <c r="E731" s="2" t="s">
        <v>27</v>
      </c>
      <c r="F731" s="2">
        <v>1138.8499999999999</v>
      </c>
      <c r="G731" s="2">
        <v>72.63</v>
      </c>
      <c r="H731" s="2" t="s">
        <v>13</v>
      </c>
      <c r="I731" s="2" t="s">
        <v>34</v>
      </c>
    </row>
    <row r="732" spans="1:9" x14ac:dyDescent="0.35">
      <c r="A732" s="2" t="s">
        <v>768</v>
      </c>
      <c r="B732" s="3">
        <v>45530</v>
      </c>
      <c r="C732" s="2" t="s">
        <v>16</v>
      </c>
      <c r="D732" s="2" t="s">
        <v>33</v>
      </c>
      <c r="E732" s="2" t="s">
        <v>18</v>
      </c>
      <c r="F732" s="2">
        <v>100.96</v>
      </c>
      <c r="G732" s="2">
        <v>26.48</v>
      </c>
      <c r="H732" s="2" t="s">
        <v>13</v>
      </c>
      <c r="I732" s="2" t="s">
        <v>34</v>
      </c>
    </row>
    <row r="733" spans="1:9" x14ac:dyDescent="0.35">
      <c r="A733" s="2" t="s">
        <v>769</v>
      </c>
      <c r="B733" s="3">
        <v>45356</v>
      </c>
      <c r="C733" s="2" t="s">
        <v>10</v>
      </c>
      <c r="D733" s="2" t="s">
        <v>57</v>
      </c>
      <c r="E733" s="2" t="s">
        <v>27</v>
      </c>
      <c r="F733" s="2">
        <v>976.49</v>
      </c>
      <c r="G733" s="2">
        <v>157.86000000000001</v>
      </c>
      <c r="H733" s="2" t="s">
        <v>19</v>
      </c>
      <c r="I733" s="2" t="s">
        <v>29</v>
      </c>
    </row>
    <row r="734" spans="1:9" x14ac:dyDescent="0.35">
      <c r="A734" s="2" t="s">
        <v>770</v>
      </c>
      <c r="B734" s="3">
        <v>44573</v>
      </c>
      <c r="C734" s="2" t="s">
        <v>10</v>
      </c>
      <c r="D734" s="2" t="s">
        <v>95</v>
      </c>
      <c r="E734" s="2" t="s">
        <v>18</v>
      </c>
      <c r="F734" s="2">
        <v>461.87</v>
      </c>
      <c r="G734" s="2">
        <v>85.2</v>
      </c>
      <c r="H734" s="2" t="s">
        <v>28</v>
      </c>
      <c r="I734" s="2" t="s">
        <v>14</v>
      </c>
    </row>
    <row r="735" spans="1:9" x14ac:dyDescent="0.35">
      <c r="A735" s="2" t="s">
        <v>771</v>
      </c>
      <c r="B735" s="3">
        <v>44685</v>
      </c>
      <c r="C735" s="2" t="s">
        <v>25</v>
      </c>
      <c r="D735" s="2" t="s">
        <v>50</v>
      </c>
      <c r="E735" s="2" t="s">
        <v>12</v>
      </c>
      <c r="F735" s="2">
        <v>627.26</v>
      </c>
      <c r="G735" s="2">
        <v>174.96</v>
      </c>
      <c r="H735" s="2" t="s">
        <v>19</v>
      </c>
      <c r="I735" s="2" t="s">
        <v>14</v>
      </c>
    </row>
    <row r="736" spans="1:9" x14ac:dyDescent="0.35">
      <c r="A736" s="2" t="s">
        <v>772</v>
      </c>
      <c r="B736" s="3">
        <v>45103</v>
      </c>
      <c r="C736" s="2" t="s">
        <v>16</v>
      </c>
      <c r="D736" s="2" t="s">
        <v>73</v>
      </c>
      <c r="E736" s="2" t="s">
        <v>27</v>
      </c>
      <c r="F736" s="2">
        <v>1854.16</v>
      </c>
      <c r="G736" s="2">
        <v>513.24</v>
      </c>
      <c r="H736" s="2" t="s">
        <v>28</v>
      </c>
      <c r="I736" s="2" t="s">
        <v>20</v>
      </c>
    </row>
    <row r="737" spans="1:9" x14ac:dyDescent="0.35">
      <c r="A737" s="2" t="s">
        <v>773</v>
      </c>
      <c r="B737" s="3">
        <v>45196</v>
      </c>
      <c r="C737" s="2" t="s">
        <v>16</v>
      </c>
      <c r="D737" s="2" t="s">
        <v>33</v>
      </c>
      <c r="E737" s="2" t="s">
        <v>18</v>
      </c>
      <c r="F737" s="2">
        <v>150.78</v>
      </c>
      <c r="G737" s="2">
        <v>34.28</v>
      </c>
      <c r="H737" s="2" t="s">
        <v>19</v>
      </c>
      <c r="I737" s="2" t="s">
        <v>34</v>
      </c>
    </row>
    <row r="738" spans="1:9" x14ac:dyDescent="0.35">
      <c r="A738" s="2" t="s">
        <v>774</v>
      </c>
      <c r="B738" s="3">
        <v>44857</v>
      </c>
      <c r="C738" s="2" t="s">
        <v>22</v>
      </c>
      <c r="D738" s="2" t="s">
        <v>41</v>
      </c>
      <c r="E738" s="2" t="s">
        <v>12</v>
      </c>
      <c r="F738" s="2">
        <v>583.15</v>
      </c>
      <c r="G738" s="2">
        <v>100.17</v>
      </c>
      <c r="H738" s="2" t="s">
        <v>19</v>
      </c>
      <c r="I738" s="2" t="s">
        <v>29</v>
      </c>
    </row>
    <row r="739" spans="1:9" x14ac:dyDescent="0.35">
      <c r="A739" s="2" t="s">
        <v>775</v>
      </c>
      <c r="B739" s="3">
        <v>44725</v>
      </c>
      <c r="C739" s="2" t="s">
        <v>25</v>
      </c>
      <c r="D739" s="2" t="s">
        <v>17</v>
      </c>
      <c r="E739" s="2" t="s">
        <v>18</v>
      </c>
      <c r="F739" s="2">
        <v>817.71</v>
      </c>
      <c r="G739" s="2">
        <v>87.09</v>
      </c>
      <c r="H739" s="2" t="s">
        <v>28</v>
      </c>
      <c r="I739" s="2" t="s">
        <v>14</v>
      </c>
    </row>
    <row r="740" spans="1:9" x14ac:dyDescent="0.35">
      <c r="A740" s="2" t="s">
        <v>776</v>
      </c>
      <c r="B740" s="3">
        <v>44846</v>
      </c>
      <c r="C740" s="2" t="s">
        <v>22</v>
      </c>
      <c r="D740" s="2" t="s">
        <v>50</v>
      </c>
      <c r="E740" s="2" t="s">
        <v>12</v>
      </c>
      <c r="F740" s="2">
        <v>1760.95</v>
      </c>
      <c r="G740" s="2">
        <v>273.37</v>
      </c>
      <c r="H740" s="2" t="s">
        <v>19</v>
      </c>
      <c r="I740" s="2" t="s">
        <v>34</v>
      </c>
    </row>
    <row r="741" spans="1:9" x14ac:dyDescent="0.35">
      <c r="A741" s="2" t="s">
        <v>777</v>
      </c>
      <c r="B741" s="3">
        <v>44855</v>
      </c>
      <c r="C741" s="2" t="s">
        <v>16</v>
      </c>
      <c r="D741" s="2" t="s">
        <v>57</v>
      </c>
      <c r="E741" s="2" t="s">
        <v>27</v>
      </c>
      <c r="F741" s="2">
        <v>1987.67</v>
      </c>
      <c r="G741" s="2">
        <v>112.39</v>
      </c>
      <c r="H741" s="2" t="s">
        <v>19</v>
      </c>
      <c r="I741" s="2" t="s">
        <v>29</v>
      </c>
    </row>
    <row r="742" spans="1:9" x14ac:dyDescent="0.35">
      <c r="A742" s="2" t="s">
        <v>778</v>
      </c>
      <c r="B742" s="3">
        <v>44662</v>
      </c>
      <c r="C742" s="2" t="s">
        <v>25</v>
      </c>
      <c r="D742" s="2" t="s">
        <v>97</v>
      </c>
      <c r="E742" s="2" t="s">
        <v>27</v>
      </c>
      <c r="F742" s="2">
        <v>754.23</v>
      </c>
      <c r="G742" s="2">
        <v>173.6</v>
      </c>
      <c r="H742" s="2" t="s">
        <v>13</v>
      </c>
      <c r="I742" s="2" t="s">
        <v>20</v>
      </c>
    </row>
    <row r="743" spans="1:9" x14ac:dyDescent="0.35">
      <c r="A743" s="2" t="s">
        <v>779</v>
      </c>
      <c r="B743" s="3">
        <v>44778</v>
      </c>
      <c r="C743" s="2" t="s">
        <v>25</v>
      </c>
      <c r="D743" s="2" t="s">
        <v>95</v>
      </c>
      <c r="E743" s="2" t="s">
        <v>18</v>
      </c>
      <c r="F743" s="2">
        <v>478.25</v>
      </c>
      <c r="G743" s="2">
        <v>118.61</v>
      </c>
      <c r="H743" s="2" t="s">
        <v>13</v>
      </c>
      <c r="I743" s="2" t="s">
        <v>14</v>
      </c>
    </row>
    <row r="744" spans="1:9" x14ac:dyDescent="0.35">
      <c r="A744" s="2" t="s">
        <v>780</v>
      </c>
      <c r="B744" s="3">
        <v>45112</v>
      </c>
      <c r="C744" s="2" t="s">
        <v>16</v>
      </c>
      <c r="D744" s="2" t="s">
        <v>31</v>
      </c>
      <c r="E744" s="2" t="s">
        <v>12</v>
      </c>
      <c r="F744" s="2">
        <v>1975.98</v>
      </c>
      <c r="G744" s="2">
        <v>472.72</v>
      </c>
      <c r="H744" s="2" t="s">
        <v>13</v>
      </c>
      <c r="I744" s="2" t="s">
        <v>20</v>
      </c>
    </row>
    <row r="745" spans="1:9" x14ac:dyDescent="0.35">
      <c r="A745" s="2" t="s">
        <v>781</v>
      </c>
      <c r="B745" s="3">
        <v>44734</v>
      </c>
      <c r="C745" s="2" t="s">
        <v>22</v>
      </c>
      <c r="D745" s="2" t="s">
        <v>31</v>
      </c>
      <c r="E745" s="2" t="s">
        <v>12</v>
      </c>
      <c r="F745" s="2">
        <v>1236.81</v>
      </c>
      <c r="G745" s="2">
        <v>357.27</v>
      </c>
      <c r="H745" s="2" t="s">
        <v>28</v>
      </c>
      <c r="I745" s="2" t="s">
        <v>34</v>
      </c>
    </row>
    <row r="746" spans="1:9" x14ac:dyDescent="0.35">
      <c r="A746" s="2" t="s">
        <v>782</v>
      </c>
      <c r="B746" s="3">
        <v>44624</v>
      </c>
      <c r="C746" s="2" t="s">
        <v>22</v>
      </c>
      <c r="D746" s="2" t="s">
        <v>73</v>
      </c>
      <c r="E746" s="2" t="s">
        <v>27</v>
      </c>
      <c r="F746" s="2">
        <v>957.13</v>
      </c>
      <c r="G746" s="2">
        <v>121.54</v>
      </c>
      <c r="H746" s="2" t="s">
        <v>28</v>
      </c>
      <c r="I746" s="2" t="s">
        <v>20</v>
      </c>
    </row>
    <row r="747" spans="1:9" x14ac:dyDescent="0.35">
      <c r="A747" s="2" t="s">
        <v>783</v>
      </c>
      <c r="B747" s="3">
        <v>45524</v>
      </c>
      <c r="C747" s="2" t="s">
        <v>16</v>
      </c>
      <c r="D747" s="2" t="s">
        <v>97</v>
      </c>
      <c r="E747" s="2" t="s">
        <v>27</v>
      </c>
      <c r="F747" s="2">
        <v>675.03</v>
      </c>
      <c r="G747" s="2">
        <v>123.06</v>
      </c>
      <c r="H747" s="2" t="s">
        <v>28</v>
      </c>
      <c r="I747" s="2" t="s">
        <v>29</v>
      </c>
    </row>
    <row r="748" spans="1:9" x14ac:dyDescent="0.35">
      <c r="A748" s="2" t="s">
        <v>784</v>
      </c>
      <c r="B748" s="3">
        <v>45277</v>
      </c>
      <c r="C748" s="2" t="s">
        <v>16</v>
      </c>
      <c r="D748" s="2" t="s">
        <v>57</v>
      </c>
      <c r="E748" s="2" t="s">
        <v>27</v>
      </c>
      <c r="F748" s="2">
        <v>764.52</v>
      </c>
      <c r="G748" s="2">
        <v>214.91</v>
      </c>
      <c r="H748" s="2" t="s">
        <v>19</v>
      </c>
      <c r="I748" s="2" t="s">
        <v>20</v>
      </c>
    </row>
    <row r="749" spans="1:9" x14ac:dyDescent="0.35">
      <c r="A749" s="2" t="s">
        <v>785</v>
      </c>
      <c r="B749" s="3">
        <v>45183</v>
      </c>
      <c r="C749" s="2" t="s">
        <v>22</v>
      </c>
      <c r="D749" s="2" t="s">
        <v>38</v>
      </c>
      <c r="E749" s="2" t="s">
        <v>12</v>
      </c>
      <c r="F749" s="2">
        <v>53.57</v>
      </c>
      <c r="G749" s="2">
        <v>9.57</v>
      </c>
      <c r="H749" s="2" t="s">
        <v>19</v>
      </c>
      <c r="I749" s="2" t="s">
        <v>20</v>
      </c>
    </row>
    <row r="750" spans="1:9" x14ac:dyDescent="0.35">
      <c r="A750" s="2" t="s">
        <v>786</v>
      </c>
      <c r="B750" s="3">
        <v>45168</v>
      </c>
      <c r="C750" s="2" t="s">
        <v>25</v>
      </c>
      <c r="D750" s="2" t="s">
        <v>31</v>
      </c>
      <c r="E750" s="2" t="s">
        <v>12</v>
      </c>
      <c r="F750" s="2">
        <v>1447.97</v>
      </c>
      <c r="G750" s="2">
        <v>173.61</v>
      </c>
      <c r="H750" s="2" t="s">
        <v>13</v>
      </c>
      <c r="I750" s="2" t="s">
        <v>34</v>
      </c>
    </row>
    <row r="751" spans="1:9" x14ac:dyDescent="0.35">
      <c r="A751" s="2" t="s">
        <v>787</v>
      </c>
      <c r="B751" s="3">
        <v>45171</v>
      </c>
      <c r="C751" s="2" t="s">
        <v>16</v>
      </c>
      <c r="D751" s="2" t="s">
        <v>31</v>
      </c>
      <c r="E751" s="2" t="s">
        <v>12</v>
      </c>
      <c r="F751" s="2">
        <v>812.41</v>
      </c>
      <c r="G751" s="2">
        <v>139.66</v>
      </c>
      <c r="H751" s="2" t="s">
        <v>19</v>
      </c>
      <c r="I751" s="2" t="s">
        <v>20</v>
      </c>
    </row>
    <row r="752" spans="1:9" x14ac:dyDescent="0.35">
      <c r="A752" s="2" t="s">
        <v>788</v>
      </c>
      <c r="B752" s="3">
        <v>45403</v>
      </c>
      <c r="C752" s="2" t="s">
        <v>22</v>
      </c>
      <c r="D752" s="2" t="s">
        <v>62</v>
      </c>
      <c r="E752" s="2" t="s">
        <v>27</v>
      </c>
      <c r="F752" s="2">
        <v>1401.03</v>
      </c>
      <c r="G752" s="2">
        <v>239.42</v>
      </c>
      <c r="H752" s="2" t="s">
        <v>28</v>
      </c>
      <c r="I752" s="2" t="s">
        <v>34</v>
      </c>
    </row>
    <row r="753" spans="1:9" x14ac:dyDescent="0.35">
      <c r="A753" s="2" t="s">
        <v>789</v>
      </c>
      <c r="B753" s="3">
        <v>44917</v>
      </c>
      <c r="C753" s="2" t="s">
        <v>16</v>
      </c>
      <c r="D753" s="2" t="s">
        <v>62</v>
      </c>
      <c r="E753" s="2" t="s">
        <v>27</v>
      </c>
      <c r="F753" s="2">
        <v>414.82</v>
      </c>
      <c r="G753" s="2">
        <v>22.7</v>
      </c>
      <c r="H753" s="2" t="s">
        <v>28</v>
      </c>
      <c r="I753" s="2" t="s">
        <v>20</v>
      </c>
    </row>
    <row r="754" spans="1:9" x14ac:dyDescent="0.35">
      <c r="A754" s="2" t="s">
        <v>790</v>
      </c>
      <c r="B754" s="3">
        <v>44663</v>
      </c>
      <c r="C754" s="2" t="s">
        <v>22</v>
      </c>
      <c r="D754" s="2" t="s">
        <v>57</v>
      </c>
      <c r="E754" s="2" t="s">
        <v>27</v>
      </c>
      <c r="F754" s="2">
        <v>1437.43</v>
      </c>
      <c r="G754" s="2">
        <v>219.49</v>
      </c>
      <c r="H754" s="2" t="s">
        <v>19</v>
      </c>
      <c r="I754" s="2" t="s">
        <v>29</v>
      </c>
    </row>
    <row r="755" spans="1:9" x14ac:dyDescent="0.35">
      <c r="A755" s="2" t="s">
        <v>791</v>
      </c>
      <c r="B755" s="3">
        <v>44689</v>
      </c>
      <c r="C755" s="2" t="s">
        <v>25</v>
      </c>
      <c r="D755" s="2" t="s">
        <v>73</v>
      </c>
      <c r="E755" s="2" t="s">
        <v>27</v>
      </c>
      <c r="F755" s="2">
        <v>749.39</v>
      </c>
      <c r="G755" s="2">
        <v>84.86</v>
      </c>
      <c r="H755" s="2" t="s">
        <v>28</v>
      </c>
      <c r="I755" s="2" t="s">
        <v>20</v>
      </c>
    </row>
    <row r="756" spans="1:9" x14ac:dyDescent="0.35">
      <c r="A756" s="2" t="s">
        <v>792</v>
      </c>
      <c r="B756" s="3">
        <v>45329</v>
      </c>
      <c r="C756" s="2" t="s">
        <v>10</v>
      </c>
      <c r="D756" s="2" t="s">
        <v>17</v>
      </c>
      <c r="E756" s="2" t="s">
        <v>18</v>
      </c>
      <c r="F756" s="2">
        <v>468.69</v>
      </c>
      <c r="G756" s="2">
        <v>47.22</v>
      </c>
      <c r="H756" s="2" t="s">
        <v>19</v>
      </c>
      <c r="I756" s="2" t="s">
        <v>34</v>
      </c>
    </row>
    <row r="757" spans="1:9" x14ac:dyDescent="0.35">
      <c r="A757" s="2" t="s">
        <v>793</v>
      </c>
      <c r="B757" s="3">
        <v>44563</v>
      </c>
      <c r="C757" s="2" t="s">
        <v>25</v>
      </c>
      <c r="D757" s="2" t="s">
        <v>62</v>
      </c>
      <c r="E757" s="2" t="s">
        <v>27</v>
      </c>
      <c r="F757" s="2">
        <v>1226.56</v>
      </c>
      <c r="G757" s="2">
        <v>65.430000000000007</v>
      </c>
      <c r="H757" s="2" t="s">
        <v>13</v>
      </c>
      <c r="I757" s="2" t="s">
        <v>14</v>
      </c>
    </row>
    <row r="758" spans="1:9" x14ac:dyDescent="0.35">
      <c r="A758" s="2" t="s">
        <v>794</v>
      </c>
      <c r="B758" s="3">
        <v>44875</v>
      </c>
      <c r="C758" s="2" t="s">
        <v>25</v>
      </c>
      <c r="D758" s="2" t="s">
        <v>31</v>
      </c>
      <c r="E758" s="2" t="s">
        <v>12</v>
      </c>
      <c r="F758" s="2">
        <v>742.4</v>
      </c>
      <c r="G758" s="2">
        <v>209.45</v>
      </c>
      <c r="H758" s="2" t="s">
        <v>19</v>
      </c>
      <c r="I758" s="2" t="s">
        <v>34</v>
      </c>
    </row>
    <row r="759" spans="1:9" x14ac:dyDescent="0.35">
      <c r="A759" s="2" t="s">
        <v>795</v>
      </c>
      <c r="B759" s="3">
        <v>44592</v>
      </c>
      <c r="C759" s="2" t="s">
        <v>10</v>
      </c>
      <c r="D759" s="2" t="s">
        <v>50</v>
      </c>
      <c r="E759" s="2" t="s">
        <v>12</v>
      </c>
      <c r="F759" s="2">
        <v>893.52</v>
      </c>
      <c r="G759" s="2">
        <v>148.63999999999999</v>
      </c>
      <c r="H759" s="2" t="s">
        <v>19</v>
      </c>
      <c r="I759" s="2" t="s">
        <v>29</v>
      </c>
    </row>
    <row r="760" spans="1:9" x14ac:dyDescent="0.35">
      <c r="A760" s="2" t="s">
        <v>796</v>
      </c>
      <c r="B760" s="3">
        <v>45253</v>
      </c>
      <c r="C760" s="2" t="s">
        <v>22</v>
      </c>
      <c r="D760" s="2" t="s">
        <v>38</v>
      </c>
      <c r="E760" s="2" t="s">
        <v>12</v>
      </c>
      <c r="F760" s="2">
        <v>782.94</v>
      </c>
      <c r="G760" s="2">
        <v>205.85</v>
      </c>
      <c r="H760" s="2" t="s">
        <v>19</v>
      </c>
      <c r="I760" s="2" t="s">
        <v>34</v>
      </c>
    </row>
    <row r="761" spans="1:9" x14ac:dyDescent="0.35">
      <c r="A761" s="2" t="s">
        <v>797</v>
      </c>
      <c r="B761" s="3">
        <v>44632</v>
      </c>
      <c r="C761" s="2" t="s">
        <v>10</v>
      </c>
      <c r="D761" s="2" t="s">
        <v>31</v>
      </c>
      <c r="E761" s="2" t="s">
        <v>12</v>
      </c>
      <c r="F761" s="2">
        <v>60.29</v>
      </c>
      <c r="G761" s="2">
        <v>3.77</v>
      </c>
      <c r="H761" s="2" t="s">
        <v>28</v>
      </c>
      <c r="I761" s="2" t="s">
        <v>34</v>
      </c>
    </row>
    <row r="762" spans="1:9" x14ac:dyDescent="0.35">
      <c r="A762" s="2" t="s">
        <v>798</v>
      </c>
      <c r="B762" s="3">
        <v>44627</v>
      </c>
      <c r="C762" s="2" t="s">
        <v>16</v>
      </c>
      <c r="D762" s="2" t="s">
        <v>11</v>
      </c>
      <c r="E762" s="2" t="s">
        <v>12</v>
      </c>
      <c r="F762" s="2">
        <v>948.24</v>
      </c>
      <c r="G762" s="2">
        <v>141.94</v>
      </c>
      <c r="H762" s="2" t="s">
        <v>19</v>
      </c>
      <c r="I762" s="2" t="s">
        <v>14</v>
      </c>
    </row>
    <row r="763" spans="1:9" x14ac:dyDescent="0.35">
      <c r="A763" s="2" t="s">
        <v>799</v>
      </c>
      <c r="B763" s="3">
        <v>45541</v>
      </c>
      <c r="C763" s="2" t="s">
        <v>16</v>
      </c>
      <c r="D763" s="2" t="s">
        <v>33</v>
      </c>
      <c r="E763" s="2" t="s">
        <v>18</v>
      </c>
      <c r="F763" s="2">
        <v>443.66</v>
      </c>
      <c r="G763" s="2">
        <v>117.02</v>
      </c>
      <c r="H763" s="2" t="s">
        <v>19</v>
      </c>
      <c r="I763" s="2" t="s">
        <v>14</v>
      </c>
    </row>
    <row r="764" spans="1:9" x14ac:dyDescent="0.35">
      <c r="A764" s="2" t="s">
        <v>800</v>
      </c>
      <c r="B764" s="3">
        <v>44768</v>
      </c>
      <c r="C764" s="2" t="s">
        <v>22</v>
      </c>
      <c r="D764" s="2" t="s">
        <v>26</v>
      </c>
      <c r="E764" s="2" t="s">
        <v>27</v>
      </c>
      <c r="F764" s="2">
        <v>1064.6199999999999</v>
      </c>
      <c r="G764" s="2">
        <v>307.73</v>
      </c>
      <c r="H764" s="2" t="s">
        <v>28</v>
      </c>
      <c r="I764" s="2" t="s">
        <v>14</v>
      </c>
    </row>
    <row r="765" spans="1:9" x14ac:dyDescent="0.35">
      <c r="A765" s="2" t="s">
        <v>801</v>
      </c>
      <c r="B765" s="3">
        <v>45392</v>
      </c>
      <c r="C765" s="2" t="s">
        <v>10</v>
      </c>
      <c r="D765" s="2" t="s">
        <v>62</v>
      </c>
      <c r="E765" s="2" t="s">
        <v>27</v>
      </c>
      <c r="F765" s="2">
        <v>1019.86</v>
      </c>
      <c r="G765" s="2">
        <v>263.48</v>
      </c>
      <c r="H765" s="2" t="s">
        <v>19</v>
      </c>
      <c r="I765" s="2" t="s">
        <v>14</v>
      </c>
    </row>
    <row r="766" spans="1:9" x14ac:dyDescent="0.35">
      <c r="A766" s="2" t="s">
        <v>802</v>
      </c>
      <c r="B766" s="3">
        <v>44986</v>
      </c>
      <c r="C766" s="2" t="s">
        <v>22</v>
      </c>
      <c r="D766" s="2" t="s">
        <v>46</v>
      </c>
      <c r="E766" s="2" t="s">
        <v>18</v>
      </c>
      <c r="F766" s="2">
        <v>978.09</v>
      </c>
      <c r="G766" s="2">
        <v>50.17</v>
      </c>
      <c r="H766" s="2" t="s">
        <v>28</v>
      </c>
      <c r="I766" s="2" t="s">
        <v>20</v>
      </c>
    </row>
    <row r="767" spans="1:9" x14ac:dyDescent="0.35">
      <c r="A767" s="2" t="s">
        <v>803</v>
      </c>
      <c r="B767" s="3">
        <v>44818</v>
      </c>
      <c r="C767" s="2" t="s">
        <v>10</v>
      </c>
      <c r="D767" s="2" t="s">
        <v>23</v>
      </c>
      <c r="E767" s="2" t="s">
        <v>18</v>
      </c>
      <c r="F767" s="2">
        <v>1016.7</v>
      </c>
      <c r="G767" s="2">
        <v>159.30000000000001</v>
      </c>
      <c r="H767" s="2" t="s">
        <v>13</v>
      </c>
      <c r="I767" s="2" t="s">
        <v>14</v>
      </c>
    </row>
    <row r="768" spans="1:9" x14ac:dyDescent="0.35">
      <c r="A768" s="2" t="s">
        <v>804</v>
      </c>
      <c r="B768" s="3">
        <v>45165</v>
      </c>
      <c r="C768" s="2" t="s">
        <v>25</v>
      </c>
      <c r="D768" s="2" t="s">
        <v>41</v>
      </c>
      <c r="E768" s="2" t="s">
        <v>12</v>
      </c>
      <c r="F768" s="2">
        <v>289.22000000000003</v>
      </c>
      <c r="G768" s="2">
        <v>40.450000000000003</v>
      </c>
      <c r="H768" s="2" t="s">
        <v>13</v>
      </c>
      <c r="I768" s="2" t="s">
        <v>34</v>
      </c>
    </row>
    <row r="769" spans="1:9" x14ac:dyDescent="0.35">
      <c r="A769" s="2" t="s">
        <v>805</v>
      </c>
      <c r="B769" s="3">
        <v>45301</v>
      </c>
      <c r="C769" s="2" t="s">
        <v>25</v>
      </c>
      <c r="D769" s="2" t="s">
        <v>38</v>
      </c>
      <c r="E769" s="2" t="s">
        <v>12</v>
      </c>
      <c r="F769" s="2">
        <v>459.36</v>
      </c>
      <c r="G769" s="2">
        <v>40.89</v>
      </c>
      <c r="H769" s="2" t="s">
        <v>13</v>
      </c>
      <c r="I769" s="2" t="s">
        <v>14</v>
      </c>
    </row>
    <row r="770" spans="1:9" x14ac:dyDescent="0.35">
      <c r="A770" s="2" t="s">
        <v>806</v>
      </c>
      <c r="B770" s="3">
        <v>45422</v>
      </c>
      <c r="C770" s="2" t="s">
        <v>22</v>
      </c>
      <c r="D770" s="2" t="s">
        <v>31</v>
      </c>
      <c r="E770" s="2" t="s">
        <v>12</v>
      </c>
      <c r="F770" s="2">
        <v>1737.82</v>
      </c>
      <c r="G770" s="2">
        <v>182.23</v>
      </c>
      <c r="H770" s="2" t="s">
        <v>13</v>
      </c>
      <c r="I770" s="2" t="s">
        <v>14</v>
      </c>
    </row>
    <row r="771" spans="1:9" x14ac:dyDescent="0.35">
      <c r="A771" s="2" t="s">
        <v>807</v>
      </c>
      <c r="B771" s="3">
        <v>44785</v>
      </c>
      <c r="C771" s="2" t="s">
        <v>10</v>
      </c>
      <c r="D771" s="2" t="s">
        <v>62</v>
      </c>
      <c r="E771" s="2" t="s">
        <v>27</v>
      </c>
      <c r="F771" s="2">
        <v>1908.97</v>
      </c>
      <c r="G771" s="2">
        <v>304.98</v>
      </c>
      <c r="H771" s="2" t="s">
        <v>19</v>
      </c>
      <c r="I771" s="2" t="s">
        <v>29</v>
      </c>
    </row>
    <row r="772" spans="1:9" x14ac:dyDescent="0.35">
      <c r="A772" s="2" t="s">
        <v>808</v>
      </c>
      <c r="B772" s="3">
        <v>45173</v>
      </c>
      <c r="C772" s="2" t="s">
        <v>25</v>
      </c>
      <c r="D772" s="2" t="s">
        <v>73</v>
      </c>
      <c r="E772" s="2" t="s">
        <v>27</v>
      </c>
      <c r="F772" s="2">
        <v>284.66000000000003</v>
      </c>
      <c r="G772" s="2">
        <v>45.56</v>
      </c>
      <c r="H772" s="2" t="s">
        <v>13</v>
      </c>
      <c r="I772" s="2" t="s">
        <v>20</v>
      </c>
    </row>
    <row r="773" spans="1:9" x14ac:dyDescent="0.35">
      <c r="A773" s="2" t="s">
        <v>809</v>
      </c>
      <c r="B773" s="3">
        <v>45601</v>
      </c>
      <c r="C773" s="2" t="s">
        <v>25</v>
      </c>
      <c r="D773" s="2" t="s">
        <v>41</v>
      </c>
      <c r="E773" s="2" t="s">
        <v>12</v>
      </c>
      <c r="F773" s="2">
        <v>1478.22</v>
      </c>
      <c r="G773" s="2">
        <v>365.99</v>
      </c>
      <c r="H773" s="2" t="s">
        <v>13</v>
      </c>
      <c r="I773" s="2" t="s">
        <v>14</v>
      </c>
    </row>
    <row r="774" spans="1:9" x14ac:dyDescent="0.35">
      <c r="A774" s="2" t="s">
        <v>810</v>
      </c>
      <c r="B774" s="3">
        <v>45421</v>
      </c>
      <c r="C774" s="2" t="s">
        <v>16</v>
      </c>
      <c r="D774" s="2" t="s">
        <v>33</v>
      </c>
      <c r="E774" s="2" t="s">
        <v>18</v>
      </c>
      <c r="F774" s="2">
        <v>101.67</v>
      </c>
      <c r="G774" s="2">
        <v>25.75</v>
      </c>
      <c r="H774" s="2" t="s">
        <v>13</v>
      </c>
      <c r="I774" s="2" t="s">
        <v>20</v>
      </c>
    </row>
    <row r="775" spans="1:9" x14ac:dyDescent="0.35">
      <c r="A775" s="2" t="s">
        <v>811</v>
      </c>
      <c r="B775" s="3">
        <v>45022</v>
      </c>
      <c r="C775" s="2" t="s">
        <v>10</v>
      </c>
      <c r="D775" s="2" t="s">
        <v>73</v>
      </c>
      <c r="E775" s="2" t="s">
        <v>27</v>
      </c>
      <c r="F775" s="2">
        <v>410.62</v>
      </c>
      <c r="G775" s="2">
        <v>64.180000000000007</v>
      </c>
      <c r="H775" s="2" t="s">
        <v>13</v>
      </c>
      <c r="I775" s="2" t="s">
        <v>34</v>
      </c>
    </row>
    <row r="776" spans="1:9" x14ac:dyDescent="0.35">
      <c r="A776" s="2" t="s">
        <v>812</v>
      </c>
      <c r="B776" s="3">
        <v>44891</v>
      </c>
      <c r="C776" s="2" t="s">
        <v>22</v>
      </c>
      <c r="D776" s="2" t="s">
        <v>38</v>
      </c>
      <c r="E776" s="2" t="s">
        <v>12</v>
      </c>
      <c r="F776" s="2">
        <v>1311.32</v>
      </c>
      <c r="G776" s="2">
        <v>108.26</v>
      </c>
      <c r="H776" s="2" t="s">
        <v>28</v>
      </c>
      <c r="I776" s="2" t="s">
        <v>20</v>
      </c>
    </row>
    <row r="777" spans="1:9" x14ac:dyDescent="0.35">
      <c r="A777" s="2" t="s">
        <v>813</v>
      </c>
      <c r="B777" s="3">
        <v>45550</v>
      </c>
      <c r="C777" s="2" t="s">
        <v>25</v>
      </c>
      <c r="D777" s="2" t="s">
        <v>41</v>
      </c>
      <c r="E777" s="2" t="s">
        <v>12</v>
      </c>
      <c r="F777" s="2">
        <v>941.46</v>
      </c>
      <c r="G777" s="2">
        <v>148.77000000000001</v>
      </c>
      <c r="H777" s="2" t="s">
        <v>19</v>
      </c>
      <c r="I777" s="2" t="s">
        <v>20</v>
      </c>
    </row>
    <row r="778" spans="1:9" x14ac:dyDescent="0.35">
      <c r="A778" s="2" t="s">
        <v>814</v>
      </c>
      <c r="B778" s="3">
        <v>44613</v>
      </c>
      <c r="C778" s="2" t="s">
        <v>25</v>
      </c>
      <c r="D778" s="2" t="s">
        <v>46</v>
      </c>
      <c r="E778" s="2" t="s">
        <v>18</v>
      </c>
      <c r="F778" s="2">
        <v>1467.76</v>
      </c>
      <c r="G778" s="2">
        <v>81.19</v>
      </c>
      <c r="H778" s="2" t="s">
        <v>19</v>
      </c>
      <c r="I778" s="2" t="s">
        <v>14</v>
      </c>
    </row>
    <row r="779" spans="1:9" x14ac:dyDescent="0.35">
      <c r="A779" s="2" t="s">
        <v>815</v>
      </c>
      <c r="B779" s="3">
        <v>44894</v>
      </c>
      <c r="C779" s="2" t="s">
        <v>25</v>
      </c>
      <c r="D779" s="2" t="s">
        <v>73</v>
      </c>
      <c r="E779" s="2" t="s">
        <v>27</v>
      </c>
      <c r="F779" s="2">
        <v>474.49</v>
      </c>
      <c r="G779" s="2">
        <v>70.180000000000007</v>
      </c>
      <c r="H779" s="2" t="s">
        <v>19</v>
      </c>
      <c r="I779" s="2" t="s">
        <v>14</v>
      </c>
    </row>
    <row r="780" spans="1:9" x14ac:dyDescent="0.35">
      <c r="A780" s="2" t="s">
        <v>816</v>
      </c>
      <c r="B780" s="3">
        <v>44882</v>
      </c>
      <c r="C780" s="2" t="s">
        <v>16</v>
      </c>
      <c r="D780" s="2" t="s">
        <v>33</v>
      </c>
      <c r="E780" s="2" t="s">
        <v>18</v>
      </c>
      <c r="F780" s="2">
        <v>1818.92</v>
      </c>
      <c r="G780" s="2">
        <v>138.05000000000001</v>
      </c>
      <c r="H780" s="2" t="s">
        <v>28</v>
      </c>
      <c r="I780" s="2" t="s">
        <v>20</v>
      </c>
    </row>
    <row r="781" spans="1:9" x14ac:dyDescent="0.35">
      <c r="A781" s="2" t="s">
        <v>817</v>
      </c>
      <c r="B781" s="3">
        <v>45037</v>
      </c>
      <c r="C781" s="2" t="s">
        <v>25</v>
      </c>
      <c r="D781" s="2" t="s">
        <v>11</v>
      </c>
      <c r="E781" s="2" t="s">
        <v>12</v>
      </c>
      <c r="F781" s="2">
        <v>209.25</v>
      </c>
      <c r="G781" s="2">
        <v>49.25</v>
      </c>
      <c r="H781" s="2" t="s">
        <v>19</v>
      </c>
      <c r="I781" s="2" t="s">
        <v>20</v>
      </c>
    </row>
    <row r="782" spans="1:9" x14ac:dyDescent="0.35">
      <c r="A782" s="2" t="s">
        <v>818</v>
      </c>
      <c r="B782" s="3">
        <v>44800</v>
      </c>
      <c r="C782" s="2" t="s">
        <v>25</v>
      </c>
      <c r="D782" s="2" t="s">
        <v>73</v>
      </c>
      <c r="E782" s="2" t="s">
        <v>27</v>
      </c>
      <c r="F782" s="2">
        <v>434.66</v>
      </c>
      <c r="G782" s="2">
        <v>64.45</v>
      </c>
      <c r="H782" s="2" t="s">
        <v>19</v>
      </c>
      <c r="I782" s="2" t="s">
        <v>34</v>
      </c>
    </row>
    <row r="783" spans="1:9" x14ac:dyDescent="0.35">
      <c r="A783" s="2" t="s">
        <v>819</v>
      </c>
      <c r="B783" s="3">
        <v>45543</v>
      </c>
      <c r="C783" s="2" t="s">
        <v>25</v>
      </c>
      <c r="D783" s="2" t="s">
        <v>97</v>
      </c>
      <c r="E783" s="2" t="s">
        <v>27</v>
      </c>
      <c r="F783" s="2">
        <v>1006.74</v>
      </c>
      <c r="G783" s="2">
        <v>288.57</v>
      </c>
      <c r="H783" s="2" t="s">
        <v>13</v>
      </c>
      <c r="I783" s="2" t="s">
        <v>29</v>
      </c>
    </row>
    <row r="784" spans="1:9" x14ac:dyDescent="0.35">
      <c r="A784" s="2" t="s">
        <v>820</v>
      </c>
      <c r="B784" s="3">
        <v>45264</v>
      </c>
      <c r="C784" s="2" t="s">
        <v>22</v>
      </c>
      <c r="D784" s="2" t="s">
        <v>57</v>
      </c>
      <c r="E784" s="2" t="s">
        <v>27</v>
      </c>
      <c r="F784" s="2">
        <v>727.07</v>
      </c>
      <c r="G784" s="2">
        <v>136.06</v>
      </c>
      <c r="H784" s="2" t="s">
        <v>28</v>
      </c>
      <c r="I784" s="2" t="s">
        <v>29</v>
      </c>
    </row>
    <row r="785" spans="1:9" x14ac:dyDescent="0.35">
      <c r="A785" s="2" t="s">
        <v>821</v>
      </c>
      <c r="B785" s="3">
        <v>44936</v>
      </c>
      <c r="C785" s="2" t="s">
        <v>10</v>
      </c>
      <c r="D785" s="2" t="s">
        <v>95</v>
      </c>
      <c r="E785" s="2" t="s">
        <v>18</v>
      </c>
      <c r="F785" s="2">
        <v>454.27</v>
      </c>
      <c r="G785" s="2">
        <v>34.93</v>
      </c>
      <c r="H785" s="2" t="s">
        <v>19</v>
      </c>
      <c r="I785" s="2" t="s">
        <v>29</v>
      </c>
    </row>
    <row r="786" spans="1:9" x14ac:dyDescent="0.35">
      <c r="A786" s="2" t="s">
        <v>822</v>
      </c>
      <c r="B786" s="3">
        <v>45276</v>
      </c>
      <c r="C786" s="2" t="s">
        <v>22</v>
      </c>
      <c r="D786" s="2" t="s">
        <v>50</v>
      </c>
      <c r="E786" s="2" t="s">
        <v>12</v>
      </c>
      <c r="F786" s="2">
        <v>1944.89</v>
      </c>
      <c r="G786" s="2">
        <v>426.27</v>
      </c>
      <c r="H786" s="2" t="s">
        <v>13</v>
      </c>
      <c r="I786" s="2" t="s">
        <v>20</v>
      </c>
    </row>
    <row r="787" spans="1:9" x14ac:dyDescent="0.35">
      <c r="A787" s="2" t="s">
        <v>823</v>
      </c>
      <c r="B787" s="3">
        <v>45609</v>
      </c>
      <c r="C787" s="2" t="s">
        <v>25</v>
      </c>
      <c r="D787" s="2" t="s">
        <v>95</v>
      </c>
      <c r="E787" s="2" t="s">
        <v>18</v>
      </c>
      <c r="F787" s="2">
        <v>379.86</v>
      </c>
      <c r="G787" s="2">
        <v>39.65</v>
      </c>
      <c r="H787" s="2" t="s">
        <v>28</v>
      </c>
      <c r="I787" s="2" t="s">
        <v>34</v>
      </c>
    </row>
    <row r="788" spans="1:9" x14ac:dyDescent="0.35">
      <c r="A788" s="2" t="s">
        <v>824</v>
      </c>
      <c r="B788" s="3">
        <v>45650</v>
      </c>
      <c r="C788" s="2" t="s">
        <v>22</v>
      </c>
      <c r="D788" s="2" t="s">
        <v>50</v>
      </c>
      <c r="E788" s="2" t="s">
        <v>12</v>
      </c>
      <c r="F788" s="2">
        <v>612.70000000000005</v>
      </c>
      <c r="G788" s="2">
        <v>129.66</v>
      </c>
      <c r="H788" s="2" t="s">
        <v>19</v>
      </c>
      <c r="I788" s="2" t="s">
        <v>14</v>
      </c>
    </row>
    <row r="789" spans="1:9" x14ac:dyDescent="0.35">
      <c r="A789" s="2" t="s">
        <v>825</v>
      </c>
      <c r="B789" s="3">
        <v>45651</v>
      </c>
      <c r="C789" s="2" t="s">
        <v>10</v>
      </c>
      <c r="D789" s="2" t="s">
        <v>46</v>
      </c>
      <c r="E789" s="2" t="s">
        <v>18</v>
      </c>
      <c r="F789" s="2">
        <v>1793.36</v>
      </c>
      <c r="G789" s="2">
        <v>90.8</v>
      </c>
      <c r="H789" s="2" t="s">
        <v>28</v>
      </c>
      <c r="I789" s="2" t="s">
        <v>20</v>
      </c>
    </row>
    <row r="790" spans="1:9" x14ac:dyDescent="0.35">
      <c r="A790" s="2" t="s">
        <v>826</v>
      </c>
      <c r="B790" s="3">
        <v>45029</v>
      </c>
      <c r="C790" s="2" t="s">
        <v>22</v>
      </c>
      <c r="D790" s="2" t="s">
        <v>17</v>
      </c>
      <c r="E790" s="2" t="s">
        <v>18</v>
      </c>
      <c r="F790" s="2">
        <v>729.11</v>
      </c>
      <c r="G790" s="2">
        <v>155.12</v>
      </c>
      <c r="H790" s="2" t="s">
        <v>19</v>
      </c>
      <c r="I790" s="2" t="s">
        <v>29</v>
      </c>
    </row>
    <row r="791" spans="1:9" x14ac:dyDescent="0.35">
      <c r="A791" s="2" t="s">
        <v>827</v>
      </c>
      <c r="B791" s="3">
        <v>45562</v>
      </c>
      <c r="C791" s="2" t="s">
        <v>22</v>
      </c>
      <c r="D791" s="2" t="s">
        <v>62</v>
      </c>
      <c r="E791" s="2" t="s">
        <v>27</v>
      </c>
      <c r="F791" s="2">
        <v>1125.26</v>
      </c>
      <c r="G791" s="2">
        <v>317.42</v>
      </c>
      <c r="H791" s="2" t="s">
        <v>28</v>
      </c>
      <c r="I791" s="2" t="s">
        <v>14</v>
      </c>
    </row>
    <row r="792" spans="1:9" x14ac:dyDescent="0.35">
      <c r="A792" s="2" t="s">
        <v>828</v>
      </c>
      <c r="B792" s="3">
        <v>45391</v>
      </c>
      <c r="C792" s="2" t="s">
        <v>10</v>
      </c>
      <c r="D792" s="2" t="s">
        <v>17</v>
      </c>
      <c r="E792" s="2" t="s">
        <v>18</v>
      </c>
      <c r="F792" s="2">
        <v>1435.28</v>
      </c>
      <c r="G792" s="2">
        <v>123.52</v>
      </c>
      <c r="H792" s="2" t="s">
        <v>13</v>
      </c>
      <c r="I792" s="2" t="s">
        <v>29</v>
      </c>
    </row>
    <row r="793" spans="1:9" x14ac:dyDescent="0.35">
      <c r="A793" s="2" t="s">
        <v>829</v>
      </c>
      <c r="B793" s="3">
        <v>45358</v>
      </c>
      <c r="C793" s="2" t="s">
        <v>16</v>
      </c>
      <c r="D793" s="2" t="s">
        <v>41</v>
      </c>
      <c r="E793" s="2" t="s">
        <v>12</v>
      </c>
      <c r="F793" s="2">
        <v>1593.66</v>
      </c>
      <c r="G793" s="2">
        <v>88.43</v>
      </c>
      <c r="H793" s="2" t="s">
        <v>13</v>
      </c>
      <c r="I793" s="2" t="s">
        <v>34</v>
      </c>
    </row>
    <row r="794" spans="1:9" x14ac:dyDescent="0.35">
      <c r="A794" s="2" t="s">
        <v>830</v>
      </c>
      <c r="B794" s="3">
        <v>45477</v>
      </c>
      <c r="C794" s="2" t="s">
        <v>16</v>
      </c>
      <c r="D794" s="2" t="s">
        <v>17</v>
      </c>
      <c r="E794" s="2" t="s">
        <v>18</v>
      </c>
      <c r="F794" s="2">
        <v>389.54</v>
      </c>
      <c r="G794" s="2">
        <v>94.08</v>
      </c>
      <c r="H794" s="2" t="s">
        <v>28</v>
      </c>
      <c r="I794" s="2" t="s">
        <v>20</v>
      </c>
    </row>
    <row r="795" spans="1:9" x14ac:dyDescent="0.35">
      <c r="A795" s="2" t="s">
        <v>831</v>
      </c>
      <c r="B795" s="3">
        <v>44844</v>
      </c>
      <c r="C795" s="2" t="s">
        <v>25</v>
      </c>
      <c r="D795" s="2" t="s">
        <v>23</v>
      </c>
      <c r="E795" s="2" t="s">
        <v>18</v>
      </c>
      <c r="F795" s="2">
        <v>357.53</v>
      </c>
      <c r="G795" s="2">
        <v>56.26</v>
      </c>
      <c r="H795" s="2" t="s">
        <v>13</v>
      </c>
      <c r="I795" s="2" t="s">
        <v>20</v>
      </c>
    </row>
    <row r="796" spans="1:9" x14ac:dyDescent="0.35">
      <c r="A796" s="2" t="s">
        <v>832</v>
      </c>
      <c r="B796" s="3">
        <v>45640</v>
      </c>
      <c r="C796" s="2" t="s">
        <v>25</v>
      </c>
      <c r="D796" s="2" t="s">
        <v>38</v>
      </c>
      <c r="E796" s="2" t="s">
        <v>12</v>
      </c>
      <c r="F796" s="2">
        <v>520.34</v>
      </c>
      <c r="G796" s="2">
        <v>80.599999999999994</v>
      </c>
      <c r="H796" s="2" t="s">
        <v>28</v>
      </c>
      <c r="I796" s="2" t="s">
        <v>34</v>
      </c>
    </row>
    <row r="797" spans="1:9" x14ac:dyDescent="0.35">
      <c r="A797" s="2" t="s">
        <v>833</v>
      </c>
      <c r="B797" s="3">
        <v>45512</v>
      </c>
      <c r="C797" s="2" t="s">
        <v>22</v>
      </c>
      <c r="D797" s="2" t="s">
        <v>73</v>
      </c>
      <c r="E797" s="2" t="s">
        <v>27</v>
      </c>
      <c r="F797" s="2">
        <v>340.8</v>
      </c>
      <c r="G797" s="2">
        <v>64.63</v>
      </c>
      <c r="H797" s="2" t="s">
        <v>13</v>
      </c>
      <c r="I797" s="2" t="s">
        <v>34</v>
      </c>
    </row>
    <row r="798" spans="1:9" x14ac:dyDescent="0.35">
      <c r="A798" s="2" t="s">
        <v>834</v>
      </c>
      <c r="B798" s="3">
        <v>45399</v>
      </c>
      <c r="C798" s="2" t="s">
        <v>10</v>
      </c>
      <c r="D798" s="2" t="s">
        <v>62</v>
      </c>
      <c r="E798" s="2" t="s">
        <v>27</v>
      </c>
      <c r="F798" s="2">
        <v>435.57</v>
      </c>
      <c r="G798" s="2">
        <v>52.69</v>
      </c>
      <c r="H798" s="2" t="s">
        <v>19</v>
      </c>
      <c r="I798" s="2" t="s">
        <v>34</v>
      </c>
    </row>
    <row r="799" spans="1:9" x14ac:dyDescent="0.35">
      <c r="A799" s="2" t="s">
        <v>835</v>
      </c>
      <c r="B799" s="3">
        <v>44916</v>
      </c>
      <c r="C799" s="2" t="s">
        <v>16</v>
      </c>
      <c r="D799" s="2" t="s">
        <v>62</v>
      </c>
      <c r="E799" s="2" t="s">
        <v>27</v>
      </c>
      <c r="F799" s="2">
        <v>1816.83</v>
      </c>
      <c r="G799" s="2">
        <v>377.01</v>
      </c>
      <c r="H799" s="2" t="s">
        <v>13</v>
      </c>
      <c r="I799" s="2" t="s">
        <v>20</v>
      </c>
    </row>
    <row r="800" spans="1:9" x14ac:dyDescent="0.35">
      <c r="A800" s="2" t="s">
        <v>836</v>
      </c>
      <c r="B800" s="3">
        <v>44883</v>
      </c>
      <c r="C800" s="2" t="s">
        <v>25</v>
      </c>
      <c r="D800" s="2" t="s">
        <v>38</v>
      </c>
      <c r="E800" s="2" t="s">
        <v>12</v>
      </c>
      <c r="F800" s="2">
        <v>1370.18</v>
      </c>
      <c r="G800" s="2">
        <v>292.86</v>
      </c>
      <c r="H800" s="2" t="s">
        <v>19</v>
      </c>
      <c r="I800" s="2" t="s">
        <v>14</v>
      </c>
    </row>
    <row r="801" spans="1:9" x14ac:dyDescent="0.35">
      <c r="A801" s="2" t="s">
        <v>837</v>
      </c>
      <c r="B801" s="3">
        <v>45012</v>
      </c>
      <c r="C801" s="2" t="s">
        <v>25</v>
      </c>
      <c r="D801" s="2" t="s">
        <v>17</v>
      </c>
      <c r="E801" s="2" t="s">
        <v>18</v>
      </c>
      <c r="F801" s="2">
        <v>1838.48</v>
      </c>
      <c r="G801" s="2">
        <v>424.78</v>
      </c>
      <c r="H801" s="2" t="s">
        <v>28</v>
      </c>
      <c r="I801" s="2" t="s">
        <v>29</v>
      </c>
    </row>
    <row r="802" spans="1:9" x14ac:dyDescent="0.35">
      <c r="A802" s="2" t="s">
        <v>838</v>
      </c>
      <c r="B802" s="3">
        <v>44741</v>
      </c>
      <c r="C802" s="2" t="s">
        <v>10</v>
      </c>
      <c r="D802" s="2" t="s">
        <v>38</v>
      </c>
      <c r="E802" s="2" t="s">
        <v>12</v>
      </c>
      <c r="F802" s="2">
        <v>1654.03</v>
      </c>
      <c r="G802" s="2">
        <v>109.99</v>
      </c>
      <c r="H802" s="2" t="s">
        <v>13</v>
      </c>
      <c r="I802" s="2" t="s">
        <v>29</v>
      </c>
    </row>
    <row r="803" spans="1:9" x14ac:dyDescent="0.35">
      <c r="A803" s="2" t="s">
        <v>839</v>
      </c>
      <c r="B803" s="3">
        <v>44797</v>
      </c>
      <c r="C803" s="2" t="s">
        <v>10</v>
      </c>
      <c r="D803" s="2" t="s">
        <v>46</v>
      </c>
      <c r="E803" s="2" t="s">
        <v>18</v>
      </c>
      <c r="F803" s="2">
        <v>710.58</v>
      </c>
      <c r="G803" s="2">
        <v>65.27</v>
      </c>
      <c r="H803" s="2" t="s">
        <v>28</v>
      </c>
      <c r="I803" s="2" t="s">
        <v>14</v>
      </c>
    </row>
    <row r="804" spans="1:9" x14ac:dyDescent="0.35">
      <c r="A804" s="2" t="s">
        <v>840</v>
      </c>
      <c r="B804" s="3">
        <v>45277</v>
      </c>
      <c r="C804" s="2" t="s">
        <v>25</v>
      </c>
      <c r="D804" s="2" t="s">
        <v>17</v>
      </c>
      <c r="E804" s="2" t="s">
        <v>18</v>
      </c>
      <c r="F804" s="2">
        <v>710.04</v>
      </c>
      <c r="G804" s="2">
        <v>121.29</v>
      </c>
      <c r="H804" s="2" t="s">
        <v>19</v>
      </c>
      <c r="I804" s="2" t="s">
        <v>20</v>
      </c>
    </row>
    <row r="805" spans="1:9" x14ac:dyDescent="0.35">
      <c r="A805" s="2" t="s">
        <v>841</v>
      </c>
      <c r="B805" s="3">
        <v>45618</v>
      </c>
      <c r="C805" s="2" t="s">
        <v>10</v>
      </c>
      <c r="D805" s="2" t="s">
        <v>17</v>
      </c>
      <c r="E805" s="2" t="s">
        <v>18</v>
      </c>
      <c r="F805" s="2">
        <v>1495.31</v>
      </c>
      <c r="G805" s="2">
        <v>248.41</v>
      </c>
      <c r="H805" s="2" t="s">
        <v>28</v>
      </c>
      <c r="I805" s="2" t="s">
        <v>20</v>
      </c>
    </row>
    <row r="806" spans="1:9" x14ac:dyDescent="0.35">
      <c r="A806" s="2" t="s">
        <v>842</v>
      </c>
      <c r="B806" s="3">
        <v>45259</v>
      </c>
      <c r="C806" s="2" t="s">
        <v>22</v>
      </c>
      <c r="D806" s="2" t="s">
        <v>31</v>
      </c>
      <c r="E806" s="2" t="s">
        <v>12</v>
      </c>
      <c r="F806" s="2">
        <v>1430.43</v>
      </c>
      <c r="G806" s="2">
        <v>260.43</v>
      </c>
      <c r="H806" s="2" t="s">
        <v>19</v>
      </c>
      <c r="I806" s="2" t="s">
        <v>29</v>
      </c>
    </row>
    <row r="807" spans="1:9" x14ac:dyDescent="0.35">
      <c r="A807" s="2" t="s">
        <v>843</v>
      </c>
      <c r="B807" s="3">
        <v>45579</v>
      </c>
      <c r="C807" s="2" t="s">
        <v>16</v>
      </c>
      <c r="D807" s="2" t="s">
        <v>23</v>
      </c>
      <c r="E807" s="2" t="s">
        <v>18</v>
      </c>
      <c r="F807" s="2">
        <v>54.49</v>
      </c>
      <c r="G807" s="2">
        <v>12.06</v>
      </c>
      <c r="H807" s="2" t="s">
        <v>13</v>
      </c>
      <c r="I807" s="2" t="s">
        <v>20</v>
      </c>
    </row>
    <row r="808" spans="1:9" x14ac:dyDescent="0.35">
      <c r="A808" s="2" t="s">
        <v>844</v>
      </c>
      <c r="B808" s="3">
        <v>45157</v>
      </c>
      <c r="C808" s="2" t="s">
        <v>10</v>
      </c>
      <c r="D808" s="2" t="s">
        <v>11</v>
      </c>
      <c r="E808" s="2" t="s">
        <v>12</v>
      </c>
      <c r="F808" s="2">
        <v>1016.64</v>
      </c>
      <c r="G808" s="2">
        <v>244.72</v>
      </c>
      <c r="H808" s="2" t="s">
        <v>13</v>
      </c>
      <c r="I808" s="2" t="s">
        <v>29</v>
      </c>
    </row>
    <row r="809" spans="1:9" x14ac:dyDescent="0.35">
      <c r="A809" s="2" t="s">
        <v>845</v>
      </c>
      <c r="B809" s="3">
        <v>44749</v>
      </c>
      <c r="C809" s="2" t="s">
        <v>25</v>
      </c>
      <c r="D809" s="2" t="s">
        <v>57</v>
      </c>
      <c r="E809" s="2" t="s">
        <v>27</v>
      </c>
      <c r="F809" s="2">
        <v>593.89</v>
      </c>
      <c r="G809" s="2">
        <v>176.12</v>
      </c>
      <c r="H809" s="2" t="s">
        <v>13</v>
      </c>
      <c r="I809" s="2" t="s">
        <v>20</v>
      </c>
    </row>
    <row r="810" spans="1:9" x14ac:dyDescent="0.35">
      <c r="A810" s="2" t="s">
        <v>846</v>
      </c>
      <c r="B810" s="3">
        <v>45027</v>
      </c>
      <c r="C810" s="2" t="s">
        <v>25</v>
      </c>
      <c r="D810" s="2" t="s">
        <v>23</v>
      </c>
      <c r="E810" s="2" t="s">
        <v>18</v>
      </c>
      <c r="F810" s="2">
        <v>1265.43</v>
      </c>
      <c r="G810" s="2">
        <v>185.06</v>
      </c>
      <c r="H810" s="2" t="s">
        <v>13</v>
      </c>
      <c r="I810" s="2" t="s">
        <v>20</v>
      </c>
    </row>
    <row r="811" spans="1:9" x14ac:dyDescent="0.35">
      <c r="A811" s="2" t="s">
        <v>847</v>
      </c>
      <c r="B811" s="3">
        <v>45137</v>
      </c>
      <c r="C811" s="2" t="s">
        <v>10</v>
      </c>
      <c r="D811" s="2" t="s">
        <v>73</v>
      </c>
      <c r="E811" s="2" t="s">
        <v>27</v>
      </c>
      <c r="F811" s="2">
        <v>378.31</v>
      </c>
      <c r="G811" s="2">
        <v>26.73</v>
      </c>
      <c r="H811" s="2" t="s">
        <v>28</v>
      </c>
      <c r="I811" s="2" t="s">
        <v>34</v>
      </c>
    </row>
    <row r="812" spans="1:9" x14ac:dyDescent="0.35">
      <c r="A812" s="2" t="s">
        <v>848</v>
      </c>
      <c r="B812" s="3">
        <v>45320</v>
      </c>
      <c r="C812" s="2" t="s">
        <v>16</v>
      </c>
      <c r="D812" s="2" t="s">
        <v>33</v>
      </c>
      <c r="E812" s="2" t="s">
        <v>18</v>
      </c>
      <c r="F812" s="2">
        <v>959.84</v>
      </c>
      <c r="G812" s="2">
        <v>247.93</v>
      </c>
      <c r="H812" s="2" t="s">
        <v>19</v>
      </c>
      <c r="I812" s="2" t="s">
        <v>20</v>
      </c>
    </row>
    <row r="813" spans="1:9" x14ac:dyDescent="0.35">
      <c r="A813" s="2" t="s">
        <v>849</v>
      </c>
      <c r="B813" s="3">
        <v>45553</v>
      </c>
      <c r="C813" s="2" t="s">
        <v>22</v>
      </c>
      <c r="D813" s="2" t="s">
        <v>26</v>
      </c>
      <c r="E813" s="2" t="s">
        <v>27</v>
      </c>
      <c r="F813" s="2">
        <v>159.68</v>
      </c>
      <c r="G813" s="2">
        <v>33.04</v>
      </c>
      <c r="H813" s="2" t="s">
        <v>13</v>
      </c>
      <c r="I813" s="2" t="s">
        <v>14</v>
      </c>
    </row>
    <row r="814" spans="1:9" x14ac:dyDescent="0.35">
      <c r="A814" s="2" t="s">
        <v>850</v>
      </c>
      <c r="B814" s="3">
        <v>44875</v>
      </c>
      <c r="C814" s="2" t="s">
        <v>22</v>
      </c>
      <c r="D814" s="2" t="s">
        <v>31</v>
      </c>
      <c r="E814" s="2" t="s">
        <v>12</v>
      </c>
      <c r="F814" s="2">
        <v>700.99</v>
      </c>
      <c r="G814" s="2">
        <v>193.97</v>
      </c>
      <c r="H814" s="2" t="s">
        <v>28</v>
      </c>
      <c r="I814" s="2" t="s">
        <v>14</v>
      </c>
    </row>
    <row r="815" spans="1:9" x14ac:dyDescent="0.35">
      <c r="A815" s="2" t="s">
        <v>851</v>
      </c>
      <c r="B815" s="3">
        <v>45315</v>
      </c>
      <c r="C815" s="2" t="s">
        <v>16</v>
      </c>
      <c r="D815" s="2" t="s">
        <v>57</v>
      </c>
      <c r="E815" s="2" t="s">
        <v>27</v>
      </c>
      <c r="F815" s="2">
        <v>421.55</v>
      </c>
      <c r="G815" s="2">
        <v>116.19</v>
      </c>
      <c r="H815" s="2" t="s">
        <v>19</v>
      </c>
      <c r="I815" s="2" t="s">
        <v>14</v>
      </c>
    </row>
    <row r="816" spans="1:9" x14ac:dyDescent="0.35">
      <c r="A816" s="2" t="s">
        <v>852</v>
      </c>
      <c r="B816" s="3">
        <v>44963</v>
      </c>
      <c r="C816" s="2" t="s">
        <v>22</v>
      </c>
      <c r="D816" s="2" t="s">
        <v>97</v>
      </c>
      <c r="E816" s="2" t="s">
        <v>27</v>
      </c>
      <c r="F816" s="2">
        <v>825.35</v>
      </c>
      <c r="G816" s="2">
        <v>56.79</v>
      </c>
      <c r="H816" s="2" t="s">
        <v>13</v>
      </c>
      <c r="I816" s="2" t="s">
        <v>34</v>
      </c>
    </row>
    <row r="817" spans="1:9" x14ac:dyDescent="0.35">
      <c r="A817" s="2" t="s">
        <v>853</v>
      </c>
      <c r="B817" s="3">
        <v>44958</v>
      </c>
      <c r="C817" s="2" t="s">
        <v>22</v>
      </c>
      <c r="D817" s="2" t="s">
        <v>26</v>
      </c>
      <c r="E817" s="2" t="s">
        <v>27</v>
      </c>
      <c r="F817" s="2">
        <v>888.48</v>
      </c>
      <c r="G817" s="2">
        <v>162.05000000000001</v>
      </c>
      <c r="H817" s="2" t="s">
        <v>19</v>
      </c>
      <c r="I817" s="2" t="s">
        <v>14</v>
      </c>
    </row>
    <row r="818" spans="1:9" x14ac:dyDescent="0.35">
      <c r="A818" s="2" t="s">
        <v>854</v>
      </c>
      <c r="B818" s="3">
        <v>45391</v>
      </c>
      <c r="C818" s="2" t="s">
        <v>10</v>
      </c>
      <c r="D818" s="2" t="s">
        <v>62</v>
      </c>
      <c r="E818" s="2" t="s">
        <v>27</v>
      </c>
      <c r="F818" s="2">
        <v>1795.59</v>
      </c>
      <c r="G818" s="2">
        <v>161.03</v>
      </c>
      <c r="H818" s="2" t="s">
        <v>19</v>
      </c>
      <c r="I818" s="2" t="s">
        <v>29</v>
      </c>
    </row>
    <row r="819" spans="1:9" x14ac:dyDescent="0.35">
      <c r="A819" s="2" t="s">
        <v>855</v>
      </c>
      <c r="B819" s="3">
        <v>44988</v>
      </c>
      <c r="C819" s="2" t="s">
        <v>22</v>
      </c>
      <c r="D819" s="2" t="s">
        <v>17</v>
      </c>
      <c r="E819" s="2" t="s">
        <v>18</v>
      </c>
      <c r="F819" s="2">
        <v>587.19000000000005</v>
      </c>
      <c r="G819" s="2">
        <v>64.36</v>
      </c>
      <c r="H819" s="2" t="s">
        <v>13</v>
      </c>
      <c r="I819" s="2" t="s">
        <v>20</v>
      </c>
    </row>
    <row r="820" spans="1:9" x14ac:dyDescent="0.35">
      <c r="A820" s="2" t="s">
        <v>856</v>
      </c>
      <c r="B820" s="3">
        <v>44701</v>
      </c>
      <c r="C820" s="2" t="s">
        <v>25</v>
      </c>
      <c r="D820" s="2" t="s">
        <v>26</v>
      </c>
      <c r="E820" s="2" t="s">
        <v>27</v>
      </c>
      <c r="F820" s="2">
        <v>1190.6099999999999</v>
      </c>
      <c r="G820" s="2">
        <v>124.54</v>
      </c>
      <c r="H820" s="2" t="s">
        <v>28</v>
      </c>
      <c r="I820" s="2" t="s">
        <v>20</v>
      </c>
    </row>
    <row r="821" spans="1:9" x14ac:dyDescent="0.35">
      <c r="A821" s="2" t="s">
        <v>857</v>
      </c>
      <c r="B821" s="3">
        <v>44643</v>
      </c>
      <c r="C821" s="2" t="s">
        <v>10</v>
      </c>
      <c r="D821" s="2" t="s">
        <v>73</v>
      </c>
      <c r="E821" s="2" t="s">
        <v>27</v>
      </c>
      <c r="F821" s="2">
        <v>678.76</v>
      </c>
      <c r="G821" s="2">
        <v>37.24</v>
      </c>
      <c r="H821" s="2" t="s">
        <v>13</v>
      </c>
      <c r="I821" s="2" t="s">
        <v>14</v>
      </c>
    </row>
    <row r="822" spans="1:9" x14ac:dyDescent="0.35">
      <c r="A822" s="2" t="s">
        <v>858</v>
      </c>
      <c r="B822" s="3">
        <v>45572</v>
      </c>
      <c r="C822" s="2" t="s">
        <v>16</v>
      </c>
      <c r="D822" s="2" t="s">
        <v>38</v>
      </c>
      <c r="E822" s="2" t="s">
        <v>12</v>
      </c>
      <c r="F822" s="2">
        <v>418.24</v>
      </c>
      <c r="G822" s="2">
        <v>75.69</v>
      </c>
      <c r="H822" s="2" t="s">
        <v>13</v>
      </c>
      <c r="I822" s="2" t="s">
        <v>14</v>
      </c>
    </row>
    <row r="823" spans="1:9" x14ac:dyDescent="0.35">
      <c r="A823" s="2" t="s">
        <v>859</v>
      </c>
      <c r="B823" s="3">
        <v>44568</v>
      </c>
      <c r="C823" s="2" t="s">
        <v>16</v>
      </c>
      <c r="D823" s="2" t="s">
        <v>50</v>
      </c>
      <c r="E823" s="2" t="s">
        <v>12</v>
      </c>
      <c r="F823" s="2">
        <v>1543.42</v>
      </c>
      <c r="G823" s="2">
        <v>220.59</v>
      </c>
      <c r="H823" s="2" t="s">
        <v>13</v>
      </c>
      <c r="I823" s="2" t="s">
        <v>20</v>
      </c>
    </row>
    <row r="824" spans="1:9" x14ac:dyDescent="0.35">
      <c r="A824" s="2" t="s">
        <v>860</v>
      </c>
      <c r="B824" s="3">
        <v>45159</v>
      </c>
      <c r="C824" s="2" t="s">
        <v>22</v>
      </c>
      <c r="D824" s="2" t="s">
        <v>57</v>
      </c>
      <c r="E824" s="2" t="s">
        <v>27</v>
      </c>
      <c r="F824" s="2">
        <v>1675.24</v>
      </c>
      <c r="G824" s="2">
        <v>425.62</v>
      </c>
      <c r="H824" s="2" t="s">
        <v>28</v>
      </c>
      <c r="I824" s="2" t="s">
        <v>29</v>
      </c>
    </row>
    <row r="825" spans="1:9" x14ac:dyDescent="0.35">
      <c r="A825" s="2" t="s">
        <v>861</v>
      </c>
      <c r="B825" s="3">
        <v>44894</v>
      </c>
      <c r="C825" s="2" t="s">
        <v>22</v>
      </c>
      <c r="D825" s="2" t="s">
        <v>41</v>
      </c>
      <c r="E825" s="2" t="s">
        <v>12</v>
      </c>
      <c r="F825" s="2">
        <v>1325.97</v>
      </c>
      <c r="G825" s="2">
        <v>74.11</v>
      </c>
      <c r="H825" s="2" t="s">
        <v>28</v>
      </c>
      <c r="I825" s="2" t="s">
        <v>34</v>
      </c>
    </row>
    <row r="826" spans="1:9" x14ac:dyDescent="0.35">
      <c r="A826" s="2" t="s">
        <v>862</v>
      </c>
      <c r="B826" s="3">
        <v>45312</v>
      </c>
      <c r="C826" s="2" t="s">
        <v>16</v>
      </c>
      <c r="D826" s="2" t="s">
        <v>62</v>
      </c>
      <c r="E826" s="2" t="s">
        <v>27</v>
      </c>
      <c r="F826" s="2">
        <v>1532.31</v>
      </c>
      <c r="G826" s="2">
        <v>389.97</v>
      </c>
      <c r="H826" s="2" t="s">
        <v>28</v>
      </c>
      <c r="I826" s="2" t="s">
        <v>29</v>
      </c>
    </row>
    <row r="827" spans="1:9" x14ac:dyDescent="0.35">
      <c r="A827" s="2" t="s">
        <v>863</v>
      </c>
      <c r="B827" s="3">
        <v>44655</v>
      </c>
      <c r="C827" s="2" t="s">
        <v>22</v>
      </c>
      <c r="D827" s="2" t="s">
        <v>11</v>
      </c>
      <c r="E827" s="2" t="s">
        <v>12</v>
      </c>
      <c r="F827" s="2">
        <v>246.84</v>
      </c>
      <c r="G827" s="2">
        <v>19.45</v>
      </c>
      <c r="H827" s="2" t="s">
        <v>28</v>
      </c>
      <c r="I827" s="2" t="s">
        <v>29</v>
      </c>
    </row>
    <row r="828" spans="1:9" x14ac:dyDescent="0.35">
      <c r="A828" s="2" t="s">
        <v>864</v>
      </c>
      <c r="B828" s="3">
        <v>45225</v>
      </c>
      <c r="C828" s="2" t="s">
        <v>10</v>
      </c>
      <c r="D828" s="2" t="s">
        <v>11</v>
      </c>
      <c r="E828" s="2" t="s">
        <v>12</v>
      </c>
      <c r="F828" s="2">
        <v>281.38</v>
      </c>
      <c r="G828" s="2">
        <v>24.36</v>
      </c>
      <c r="H828" s="2" t="s">
        <v>28</v>
      </c>
      <c r="I828" s="2" t="s">
        <v>29</v>
      </c>
    </row>
    <row r="829" spans="1:9" x14ac:dyDescent="0.35">
      <c r="A829" s="2" t="s">
        <v>865</v>
      </c>
      <c r="B829" s="3">
        <v>44744</v>
      </c>
      <c r="C829" s="2" t="s">
        <v>10</v>
      </c>
      <c r="D829" s="2" t="s">
        <v>62</v>
      </c>
      <c r="E829" s="2" t="s">
        <v>27</v>
      </c>
      <c r="F829" s="2">
        <v>1839.56</v>
      </c>
      <c r="G829" s="2">
        <v>163.38</v>
      </c>
      <c r="H829" s="2" t="s">
        <v>28</v>
      </c>
      <c r="I829" s="2" t="s">
        <v>29</v>
      </c>
    </row>
    <row r="830" spans="1:9" x14ac:dyDescent="0.35">
      <c r="A830" s="2" t="s">
        <v>866</v>
      </c>
      <c r="B830" s="3">
        <v>44927</v>
      </c>
      <c r="C830" s="2" t="s">
        <v>22</v>
      </c>
      <c r="D830" s="2" t="s">
        <v>73</v>
      </c>
      <c r="E830" s="2" t="s">
        <v>27</v>
      </c>
      <c r="F830" s="2">
        <v>1489.36</v>
      </c>
      <c r="G830" s="2">
        <v>376.47</v>
      </c>
      <c r="H830" s="2" t="s">
        <v>28</v>
      </c>
      <c r="I830" s="2" t="s">
        <v>14</v>
      </c>
    </row>
    <row r="831" spans="1:9" x14ac:dyDescent="0.35">
      <c r="A831" s="2" t="s">
        <v>867</v>
      </c>
      <c r="B831" s="3">
        <v>44842</v>
      </c>
      <c r="C831" s="2" t="s">
        <v>16</v>
      </c>
      <c r="D831" s="2" t="s">
        <v>46</v>
      </c>
      <c r="E831" s="2" t="s">
        <v>18</v>
      </c>
      <c r="F831" s="2">
        <v>1919.21</v>
      </c>
      <c r="G831" s="2">
        <v>574.09</v>
      </c>
      <c r="H831" s="2" t="s">
        <v>13</v>
      </c>
      <c r="I831" s="2" t="s">
        <v>14</v>
      </c>
    </row>
    <row r="832" spans="1:9" x14ac:dyDescent="0.35">
      <c r="A832" s="2" t="s">
        <v>868</v>
      </c>
      <c r="B832" s="3">
        <v>45261</v>
      </c>
      <c r="C832" s="2" t="s">
        <v>25</v>
      </c>
      <c r="D832" s="2" t="s">
        <v>11</v>
      </c>
      <c r="E832" s="2" t="s">
        <v>12</v>
      </c>
      <c r="F832" s="2">
        <v>488.94</v>
      </c>
      <c r="G832" s="2">
        <v>139.52000000000001</v>
      </c>
      <c r="H832" s="2" t="s">
        <v>13</v>
      </c>
      <c r="I832" s="2" t="s">
        <v>20</v>
      </c>
    </row>
    <row r="833" spans="1:9" x14ac:dyDescent="0.35">
      <c r="A833" s="2" t="s">
        <v>869</v>
      </c>
      <c r="B833" s="3">
        <v>45363</v>
      </c>
      <c r="C833" s="2" t="s">
        <v>22</v>
      </c>
      <c r="D833" s="2" t="s">
        <v>41</v>
      </c>
      <c r="E833" s="2" t="s">
        <v>12</v>
      </c>
      <c r="F833" s="2">
        <v>399.62</v>
      </c>
      <c r="G833" s="2">
        <v>104.79</v>
      </c>
      <c r="H833" s="2" t="s">
        <v>28</v>
      </c>
      <c r="I833" s="2" t="s">
        <v>14</v>
      </c>
    </row>
    <row r="834" spans="1:9" x14ac:dyDescent="0.35">
      <c r="A834" s="2" t="s">
        <v>870</v>
      </c>
      <c r="B834" s="3">
        <v>44964</v>
      </c>
      <c r="C834" s="2" t="s">
        <v>25</v>
      </c>
      <c r="D834" s="2" t="s">
        <v>23</v>
      </c>
      <c r="E834" s="2" t="s">
        <v>18</v>
      </c>
      <c r="F834" s="2">
        <v>720.6</v>
      </c>
      <c r="G834" s="2">
        <v>141.72999999999999</v>
      </c>
      <c r="H834" s="2" t="s">
        <v>13</v>
      </c>
      <c r="I834" s="2" t="s">
        <v>29</v>
      </c>
    </row>
    <row r="835" spans="1:9" x14ac:dyDescent="0.35">
      <c r="A835" s="2" t="s">
        <v>871</v>
      </c>
      <c r="B835" s="3">
        <v>45409</v>
      </c>
      <c r="C835" s="2" t="s">
        <v>16</v>
      </c>
      <c r="D835" s="2" t="s">
        <v>50</v>
      </c>
      <c r="E835" s="2" t="s">
        <v>12</v>
      </c>
      <c r="F835" s="2">
        <v>777.22</v>
      </c>
      <c r="G835" s="2">
        <v>161.49</v>
      </c>
      <c r="H835" s="2" t="s">
        <v>19</v>
      </c>
      <c r="I835" s="2" t="s">
        <v>14</v>
      </c>
    </row>
    <row r="836" spans="1:9" x14ac:dyDescent="0.35">
      <c r="A836" s="2" t="s">
        <v>872</v>
      </c>
      <c r="B836" s="3">
        <v>44613</v>
      </c>
      <c r="C836" s="2" t="s">
        <v>22</v>
      </c>
      <c r="D836" s="2" t="s">
        <v>97</v>
      </c>
      <c r="E836" s="2" t="s">
        <v>27</v>
      </c>
      <c r="F836" s="2">
        <v>479.31</v>
      </c>
      <c r="G836" s="2">
        <v>121.5</v>
      </c>
      <c r="H836" s="2" t="s">
        <v>19</v>
      </c>
      <c r="I836" s="2" t="s">
        <v>20</v>
      </c>
    </row>
    <row r="837" spans="1:9" x14ac:dyDescent="0.35">
      <c r="A837" s="2" t="s">
        <v>873</v>
      </c>
      <c r="B837" s="3">
        <v>44773</v>
      </c>
      <c r="C837" s="2" t="s">
        <v>22</v>
      </c>
      <c r="D837" s="2" t="s">
        <v>11</v>
      </c>
      <c r="E837" s="2" t="s">
        <v>12</v>
      </c>
      <c r="F837" s="2">
        <v>1551.65</v>
      </c>
      <c r="G837" s="2">
        <v>96.01</v>
      </c>
      <c r="H837" s="2" t="s">
        <v>13</v>
      </c>
      <c r="I837" s="2" t="s">
        <v>34</v>
      </c>
    </row>
    <row r="838" spans="1:9" x14ac:dyDescent="0.35">
      <c r="A838" s="2" t="s">
        <v>874</v>
      </c>
      <c r="B838" s="3">
        <v>44622</v>
      </c>
      <c r="C838" s="2" t="s">
        <v>25</v>
      </c>
      <c r="D838" s="2" t="s">
        <v>23</v>
      </c>
      <c r="E838" s="2" t="s">
        <v>18</v>
      </c>
      <c r="F838" s="2">
        <v>1349.66</v>
      </c>
      <c r="G838" s="2">
        <v>309.86</v>
      </c>
      <c r="H838" s="2" t="s">
        <v>13</v>
      </c>
      <c r="I838" s="2" t="s">
        <v>14</v>
      </c>
    </row>
    <row r="839" spans="1:9" x14ac:dyDescent="0.35">
      <c r="A839" s="2" t="s">
        <v>875</v>
      </c>
      <c r="B839" s="3">
        <v>44642</v>
      </c>
      <c r="C839" s="2" t="s">
        <v>25</v>
      </c>
      <c r="D839" s="2" t="s">
        <v>17</v>
      </c>
      <c r="E839" s="2" t="s">
        <v>18</v>
      </c>
      <c r="F839" s="2">
        <v>997.6</v>
      </c>
      <c r="G839" s="2">
        <v>137.52000000000001</v>
      </c>
      <c r="H839" s="2" t="s">
        <v>13</v>
      </c>
      <c r="I839" s="2" t="s">
        <v>14</v>
      </c>
    </row>
    <row r="840" spans="1:9" x14ac:dyDescent="0.35">
      <c r="A840" s="2" t="s">
        <v>876</v>
      </c>
      <c r="B840" s="3">
        <v>45450</v>
      </c>
      <c r="C840" s="2" t="s">
        <v>16</v>
      </c>
      <c r="D840" s="2" t="s">
        <v>17</v>
      </c>
      <c r="E840" s="2" t="s">
        <v>18</v>
      </c>
      <c r="F840" s="2">
        <v>128.63999999999999</v>
      </c>
      <c r="G840" s="2">
        <v>24.62</v>
      </c>
      <c r="H840" s="2" t="s">
        <v>19</v>
      </c>
      <c r="I840" s="2" t="s">
        <v>14</v>
      </c>
    </row>
    <row r="841" spans="1:9" x14ac:dyDescent="0.35">
      <c r="A841" s="2" t="s">
        <v>877</v>
      </c>
      <c r="B841" s="3">
        <v>44700</v>
      </c>
      <c r="C841" s="2" t="s">
        <v>22</v>
      </c>
      <c r="D841" s="2" t="s">
        <v>17</v>
      </c>
      <c r="E841" s="2" t="s">
        <v>18</v>
      </c>
      <c r="F841" s="2">
        <v>1975.79</v>
      </c>
      <c r="G841" s="2">
        <v>412.42</v>
      </c>
      <c r="H841" s="2" t="s">
        <v>28</v>
      </c>
      <c r="I841" s="2" t="s">
        <v>20</v>
      </c>
    </row>
    <row r="842" spans="1:9" x14ac:dyDescent="0.35">
      <c r="A842" s="2" t="s">
        <v>878</v>
      </c>
      <c r="B842" s="3">
        <v>44868</v>
      </c>
      <c r="C842" s="2" t="s">
        <v>10</v>
      </c>
      <c r="D842" s="2" t="s">
        <v>95</v>
      </c>
      <c r="E842" s="2" t="s">
        <v>18</v>
      </c>
      <c r="F842" s="2">
        <v>79.010000000000005</v>
      </c>
      <c r="G842" s="2">
        <v>17.07</v>
      </c>
      <c r="H842" s="2" t="s">
        <v>19</v>
      </c>
      <c r="I842" s="2" t="s">
        <v>34</v>
      </c>
    </row>
    <row r="843" spans="1:9" x14ac:dyDescent="0.35">
      <c r="A843" s="2" t="s">
        <v>879</v>
      </c>
      <c r="B843" s="3">
        <v>44865</v>
      </c>
      <c r="C843" s="2" t="s">
        <v>25</v>
      </c>
      <c r="D843" s="2" t="s">
        <v>31</v>
      </c>
      <c r="E843" s="2" t="s">
        <v>12</v>
      </c>
      <c r="F843" s="2">
        <v>783.37</v>
      </c>
      <c r="G843" s="2">
        <v>208.77</v>
      </c>
      <c r="H843" s="2" t="s">
        <v>28</v>
      </c>
      <c r="I843" s="2" t="s">
        <v>34</v>
      </c>
    </row>
    <row r="844" spans="1:9" x14ac:dyDescent="0.35">
      <c r="A844" s="2" t="s">
        <v>880</v>
      </c>
      <c r="B844" s="3">
        <v>44947</v>
      </c>
      <c r="C844" s="2" t="s">
        <v>22</v>
      </c>
      <c r="D844" s="2" t="s">
        <v>97</v>
      </c>
      <c r="E844" s="2" t="s">
        <v>27</v>
      </c>
      <c r="F844" s="2">
        <v>456.45</v>
      </c>
      <c r="G844" s="2">
        <v>83.29</v>
      </c>
      <c r="H844" s="2" t="s">
        <v>19</v>
      </c>
      <c r="I844" s="2" t="s">
        <v>14</v>
      </c>
    </row>
    <row r="845" spans="1:9" x14ac:dyDescent="0.35">
      <c r="A845" s="2" t="s">
        <v>881</v>
      </c>
      <c r="B845" s="3">
        <v>44571</v>
      </c>
      <c r="C845" s="2" t="s">
        <v>16</v>
      </c>
      <c r="D845" s="2" t="s">
        <v>26</v>
      </c>
      <c r="E845" s="2" t="s">
        <v>27</v>
      </c>
      <c r="F845" s="2">
        <v>702.4</v>
      </c>
      <c r="G845" s="2">
        <v>162.9</v>
      </c>
      <c r="H845" s="2" t="s">
        <v>19</v>
      </c>
      <c r="I845" s="2" t="s">
        <v>14</v>
      </c>
    </row>
    <row r="846" spans="1:9" x14ac:dyDescent="0.35">
      <c r="A846" s="2" t="s">
        <v>882</v>
      </c>
      <c r="B846" s="3">
        <v>44653</v>
      </c>
      <c r="C846" s="2" t="s">
        <v>16</v>
      </c>
      <c r="D846" s="2" t="s">
        <v>38</v>
      </c>
      <c r="E846" s="2" t="s">
        <v>12</v>
      </c>
      <c r="F846" s="2">
        <v>1366.89</v>
      </c>
      <c r="G846" s="2">
        <v>126.15</v>
      </c>
      <c r="H846" s="2" t="s">
        <v>13</v>
      </c>
      <c r="I846" s="2" t="s">
        <v>34</v>
      </c>
    </row>
    <row r="847" spans="1:9" x14ac:dyDescent="0.35">
      <c r="A847" s="2" t="s">
        <v>883</v>
      </c>
      <c r="B847" s="3">
        <v>45323</v>
      </c>
      <c r="C847" s="2" t="s">
        <v>22</v>
      </c>
      <c r="D847" s="2" t="s">
        <v>38</v>
      </c>
      <c r="E847" s="2" t="s">
        <v>12</v>
      </c>
      <c r="F847" s="2">
        <v>385.09</v>
      </c>
      <c r="G847" s="2">
        <v>29.45</v>
      </c>
      <c r="H847" s="2" t="s">
        <v>19</v>
      </c>
      <c r="I847" s="2" t="s">
        <v>29</v>
      </c>
    </row>
    <row r="848" spans="1:9" x14ac:dyDescent="0.35">
      <c r="A848" s="2" t="s">
        <v>884</v>
      </c>
      <c r="B848" s="3">
        <v>45176</v>
      </c>
      <c r="C848" s="2" t="s">
        <v>16</v>
      </c>
      <c r="D848" s="2" t="s">
        <v>33</v>
      </c>
      <c r="E848" s="2" t="s">
        <v>18</v>
      </c>
      <c r="F848" s="2">
        <v>745.03</v>
      </c>
      <c r="G848" s="2">
        <v>221.34</v>
      </c>
      <c r="H848" s="2" t="s">
        <v>19</v>
      </c>
      <c r="I848" s="2" t="s">
        <v>34</v>
      </c>
    </row>
    <row r="849" spans="1:9" x14ac:dyDescent="0.35">
      <c r="A849" s="2" t="s">
        <v>885</v>
      </c>
      <c r="B849" s="3">
        <v>44827</v>
      </c>
      <c r="C849" s="2" t="s">
        <v>22</v>
      </c>
      <c r="D849" s="2" t="s">
        <v>33</v>
      </c>
      <c r="E849" s="2" t="s">
        <v>18</v>
      </c>
      <c r="F849" s="2">
        <v>1212.8</v>
      </c>
      <c r="G849" s="2">
        <v>236.9</v>
      </c>
      <c r="H849" s="2" t="s">
        <v>19</v>
      </c>
      <c r="I849" s="2" t="s">
        <v>34</v>
      </c>
    </row>
    <row r="850" spans="1:9" x14ac:dyDescent="0.35">
      <c r="A850" s="2" t="s">
        <v>886</v>
      </c>
      <c r="B850" s="3">
        <v>45514</v>
      </c>
      <c r="C850" s="2" t="s">
        <v>16</v>
      </c>
      <c r="D850" s="2" t="s">
        <v>26</v>
      </c>
      <c r="E850" s="2" t="s">
        <v>27</v>
      </c>
      <c r="F850" s="2">
        <v>120.27</v>
      </c>
      <c r="G850" s="2">
        <v>9.9700000000000006</v>
      </c>
      <c r="H850" s="2" t="s">
        <v>19</v>
      </c>
      <c r="I850" s="2" t="s">
        <v>20</v>
      </c>
    </row>
    <row r="851" spans="1:9" x14ac:dyDescent="0.35">
      <c r="A851" s="2" t="s">
        <v>887</v>
      </c>
      <c r="B851" s="3">
        <v>45561</v>
      </c>
      <c r="C851" s="2" t="s">
        <v>10</v>
      </c>
      <c r="D851" s="2" t="s">
        <v>46</v>
      </c>
      <c r="E851" s="2" t="s">
        <v>18</v>
      </c>
      <c r="F851" s="2">
        <v>1410.49</v>
      </c>
      <c r="G851" s="2">
        <v>147.38</v>
      </c>
      <c r="H851" s="2" t="s">
        <v>19</v>
      </c>
      <c r="I851" s="2" t="s">
        <v>29</v>
      </c>
    </row>
    <row r="852" spans="1:9" x14ac:dyDescent="0.35">
      <c r="A852" s="2" t="s">
        <v>888</v>
      </c>
      <c r="B852" s="3">
        <v>45466</v>
      </c>
      <c r="C852" s="2" t="s">
        <v>10</v>
      </c>
      <c r="D852" s="2" t="s">
        <v>97</v>
      </c>
      <c r="E852" s="2" t="s">
        <v>27</v>
      </c>
      <c r="F852" s="2">
        <v>1357.08</v>
      </c>
      <c r="G852" s="2">
        <v>145.38999999999999</v>
      </c>
      <c r="H852" s="2" t="s">
        <v>19</v>
      </c>
      <c r="I852" s="2" t="s">
        <v>34</v>
      </c>
    </row>
    <row r="853" spans="1:9" x14ac:dyDescent="0.35">
      <c r="A853" s="2" t="s">
        <v>889</v>
      </c>
      <c r="B853" s="3">
        <v>45040</v>
      </c>
      <c r="C853" s="2" t="s">
        <v>25</v>
      </c>
      <c r="D853" s="2" t="s">
        <v>50</v>
      </c>
      <c r="E853" s="2" t="s">
        <v>12</v>
      </c>
      <c r="F853" s="2">
        <v>944.96</v>
      </c>
      <c r="G853" s="2">
        <v>275.69</v>
      </c>
      <c r="H853" s="2" t="s">
        <v>28</v>
      </c>
      <c r="I853" s="2" t="s">
        <v>20</v>
      </c>
    </row>
    <row r="854" spans="1:9" x14ac:dyDescent="0.35">
      <c r="A854" s="2" t="s">
        <v>890</v>
      </c>
      <c r="B854" s="3">
        <v>45620</v>
      </c>
      <c r="C854" s="2" t="s">
        <v>16</v>
      </c>
      <c r="D854" s="2" t="s">
        <v>50</v>
      </c>
      <c r="E854" s="2" t="s">
        <v>12</v>
      </c>
      <c r="F854" s="2">
        <v>1933.04</v>
      </c>
      <c r="G854" s="2">
        <v>469.43</v>
      </c>
      <c r="H854" s="2" t="s">
        <v>28</v>
      </c>
      <c r="I854" s="2" t="s">
        <v>20</v>
      </c>
    </row>
    <row r="855" spans="1:9" x14ac:dyDescent="0.35">
      <c r="A855" s="2" t="s">
        <v>891</v>
      </c>
      <c r="B855" s="3">
        <v>45639</v>
      </c>
      <c r="C855" s="2" t="s">
        <v>10</v>
      </c>
      <c r="D855" s="2" t="s">
        <v>17</v>
      </c>
      <c r="E855" s="2" t="s">
        <v>18</v>
      </c>
      <c r="F855" s="2">
        <v>295.49</v>
      </c>
      <c r="G855" s="2">
        <v>26.92</v>
      </c>
      <c r="H855" s="2" t="s">
        <v>28</v>
      </c>
      <c r="I855" s="2" t="s">
        <v>34</v>
      </c>
    </row>
    <row r="856" spans="1:9" x14ac:dyDescent="0.35">
      <c r="A856" s="2" t="s">
        <v>892</v>
      </c>
      <c r="B856" s="3">
        <v>45253</v>
      </c>
      <c r="C856" s="2" t="s">
        <v>16</v>
      </c>
      <c r="D856" s="2" t="s">
        <v>62</v>
      </c>
      <c r="E856" s="2" t="s">
        <v>27</v>
      </c>
      <c r="F856" s="2">
        <v>1344.26</v>
      </c>
      <c r="G856" s="2">
        <v>80.77</v>
      </c>
      <c r="H856" s="2" t="s">
        <v>13</v>
      </c>
      <c r="I856" s="2" t="s">
        <v>20</v>
      </c>
    </row>
    <row r="857" spans="1:9" x14ac:dyDescent="0.35">
      <c r="A857" s="2" t="s">
        <v>893</v>
      </c>
      <c r="B857" s="3">
        <v>45078</v>
      </c>
      <c r="C857" s="2" t="s">
        <v>16</v>
      </c>
      <c r="D857" s="2" t="s">
        <v>95</v>
      </c>
      <c r="E857" s="2" t="s">
        <v>18</v>
      </c>
      <c r="F857" s="2">
        <v>1169.93</v>
      </c>
      <c r="G857" s="2">
        <v>150.80000000000001</v>
      </c>
      <c r="H857" s="2" t="s">
        <v>19</v>
      </c>
      <c r="I857" s="2" t="s">
        <v>20</v>
      </c>
    </row>
    <row r="858" spans="1:9" x14ac:dyDescent="0.35">
      <c r="A858" s="2" t="s">
        <v>894</v>
      </c>
      <c r="B858" s="3">
        <v>45613</v>
      </c>
      <c r="C858" s="2" t="s">
        <v>25</v>
      </c>
      <c r="D858" s="2" t="s">
        <v>97</v>
      </c>
      <c r="E858" s="2" t="s">
        <v>27</v>
      </c>
      <c r="F858" s="2">
        <v>106.18</v>
      </c>
      <c r="G858" s="2">
        <v>22.84</v>
      </c>
      <c r="H858" s="2" t="s">
        <v>28</v>
      </c>
      <c r="I858" s="2" t="s">
        <v>34</v>
      </c>
    </row>
    <row r="859" spans="1:9" x14ac:dyDescent="0.35">
      <c r="A859" s="2" t="s">
        <v>895</v>
      </c>
      <c r="B859" s="3">
        <v>45117</v>
      </c>
      <c r="C859" s="2" t="s">
        <v>16</v>
      </c>
      <c r="D859" s="2" t="s">
        <v>57</v>
      </c>
      <c r="E859" s="2" t="s">
        <v>27</v>
      </c>
      <c r="F859" s="2">
        <v>547.44000000000005</v>
      </c>
      <c r="G859" s="2">
        <v>111.37</v>
      </c>
      <c r="H859" s="2" t="s">
        <v>28</v>
      </c>
      <c r="I859" s="2" t="s">
        <v>29</v>
      </c>
    </row>
    <row r="860" spans="1:9" x14ac:dyDescent="0.35">
      <c r="A860" s="2" t="s">
        <v>896</v>
      </c>
      <c r="B860" s="3">
        <v>45469</v>
      </c>
      <c r="C860" s="2" t="s">
        <v>25</v>
      </c>
      <c r="D860" s="2" t="s">
        <v>57</v>
      </c>
      <c r="E860" s="2" t="s">
        <v>27</v>
      </c>
      <c r="F860" s="2">
        <v>371.74</v>
      </c>
      <c r="G860" s="2">
        <v>56.84</v>
      </c>
      <c r="H860" s="2" t="s">
        <v>28</v>
      </c>
      <c r="I860" s="2" t="s">
        <v>14</v>
      </c>
    </row>
    <row r="861" spans="1:9" x14ac:dyDescent="0.35">
      <c r="A861" s="2" t="s">
        <v>897</v>
      </c>
      <c r="B861" s="3">
        <v>44636</v>
      </c>
      <c r="C861" s="2" t="s">
        <v>25</v>
      </c>
      <c r="D861" s="2" t="s">
        <v>57</v>
      </c>
      <c r="E861" s="2" t="s">
        <v>27</v>
      </c>
      <c r="F861" s="2">
        <v>1484.39</v>
      </c>
      <c r="G861" s="2">
        <v>188.46</v>
      </c>
      <c r="H861" s="2" t="s">
        <v>19</v>
      </c>
      <c r="I861" s="2" t="s">
        <v>20</v>
      </c>
    </row>
    <row r="862" spans="1:9" x14ac:dyDescent="0.35">
      <c r="A862" s="2" t="s">
        <v>898</v>
      </c>
      <c r="B862" s="3">
        <v>45560</v>
      </c>
      <c r="C862" s="2" t="s">
        <v>10</v>
      </c>
      <c r="D862" s="2" t="s">
        <v>73</v>
      </c>
      <c r="E862" s="2" t="s">
        <v>27</v>
      </c>
      <c r="F862" s="2">
        <v>893.97</v>
      </c>
      <c r="G862" s="2">
        <v>89.08</v>
      </c>
      <c r="H862" s="2" t="s">
        <v>19</v>
      </c>
      <c r="I862" s="2" t="s">
        <v>34</v>
      </c>
    </row>
    <row r="863" spans="1:9" x14ac:dyDescent="0.35">
      <c r="A863" s="2" t="s">
        <v>899</v>
      </c>
      <c r="B863" s="3">
        <v>45443</v>
      </c>
      <c r="C863" s="2" t="s">
        <v>10</v>
      </c>
      <c r="D863" s="2" t="s">
        <v>11</v>
      </c>
      <c r="E863" s="2" t="s">
        <v>12</v>
      </c>
      <c r="F863" s="2">
        <v>1573.91</v>
      </c>
      <c r="G863" s="2">
        <v>431.03</v>
      </c>
      <c r="H863" s="2" t="s">
        <v>13</v>
      </c>
      <c r="I863" s="2" t="s">
        <v>29</v>
      </c>
    </row>
    <row r="864" spans="1:9" x14ac:dyDescent="0.35">
      <c r="A864" s="2" t="s">
        <v>900</v>
      </c>
      <c r="B864" s="3">
        <v>45060</v>
      </c>
      <c r="C864" s="2" t="s">
        <v>10</v>
      </c>
      <c r="D864" s="2" t="s">
        <v>11</v>
      </c>
      <c r="E864" s="2" t="s">
        <v>12</v>
      </c>
      <c r="F864" s="2">
        <v>1680.47</v>
      </c>
      <c r="G864" s="2">
        <v>341.4</v>
      </c>
      <c r="H864" s="2" t="s">
        <v>13</v>
      </c>
      <c r="I864" s="2" t="s">
        <v>20</v>
      </c>
    </row>
    <row r="865" spans="1:9" x14ac:dyDescent="0.35">
      <c r="A865" s="2" t="s">
        <v>901</v>
      </c>
      <c r="B865" s="3">
        <v>44961</v>
      </c>
      <c r="C865" s="2" t="s">
        <v>22</v>
      </c>
      <c r="D865" s="2" t="s">
        <v>46</v>
      </c>
      <c r="E865" s="2" t="s">
        <v>18</v>
      </c>
      <c r="F865" s="2">
        <v>1714.28</v>
      </c>
      <c r="G865" s="2">
        <v>425.62</v>
      </c>
      <c r="H865" s="2" t="s">
        <v>19</v>
      </c>
      <c r="I865" s="2" t="s">
        <v>20</v>
      </c>
    </row>
    <row r="866" spans="1:9" x14ac:dyDescent="0.35">
      <c r="A866" s="2" t="s">
        <v>902</v>
      </c>
      <c r="B866" s="3">
        <v>45319</v>
      </c>
      <c r="C866" s="2" t="s">
        <v>10</v>
      </c>
      <c r="D866" s="2" t="s">
        <v>97</v>
      </c>
      <c r="E866" s="2" t="s">
        <v>27</v>
      </c>
      <c r="F866" s="2">
        <v>443.84</v>
      </c>
      <c r="G866" s="2">
        <v>93.13</v>
      </c>
      <c r="H866" s="2" t="s">
        <v>13</v>
      </c>
      <c r="I866" s="2" t="s">
        <v>34</v>
      </c>
    </row>
    <row r="867" spans="1:9" x14ac:dyDescent="0.35">
      <c r="A867" s="2" t="s">
        <v>903</v>
      </c>
      <c r="B867" s="3">
        <v>45172</v>
      </c>
      <c r="C867" s="2" t="s">
        <v>16</v>
      </c>
      <c r="D867" s="2" t="s">
        <v>46</v>
      </c>
      <c r="E867" s="2" t="s">
        <v>18</v>
      </c>
      <c r="F867" s="2">
        <v>118.91</v>
      </c>
      <c r="G867" s="2">
        <v>13.79</v>
      </c>
      <c r="H867" s="2" t="s">
        <v>19</v>
      </c>
      <c r="I867" s="2" t="s">
        <v>34</v>
      </c>
    </row>
    <row r="868" spans="1:9" x14ac:dyDescent="0.35">
      <c r="A868" s="2" t="s">
        <v>904</v>
      </c>
      <c r="B868" s="3">
        <v>44936</v>
      </c>
      <c r="C868" s="2" t="s">
        <v>25</v>
      </c>
      <c r="D868" s="2" t="s">
        <v>31</v>
      </c>
      <c r="E868" s="2" t="s">
        <v>12</v>
      </c>
      <c r="F868" s="2">
        <v>681.49</v>
      </c>
      <c r="G868" s="2">
        <v>120.62</v>
      </c>
      <c r="H868" s="2" t="s">
        <v>19</v>
      </c>
      <c r="I868" s="2" t="s">
        <v>14</v>
      </c>
    </row>
    <row r="869" spans="1:9" x14ac:dyDescent="0.35">
      <c r="A869" s="2" t="s">
        <v>905</v>
      </c>
      <c r="B869" s="3">
        <v>45341</v>
      </c>
      <c r="C869" s="2" t="s">
        <v>25</v>
      </c>
      <c r="D869" s="2" t="s">
        <v>50</v>
      </c>
      <c r="E869" s="2" t="s">
        <v>12</v>
      </c>
      <c r="F869" s="2">
        <v>100.67</v>
      </c>
      <c r="G869" s="2">
        <v>27.72</v>
      </c>
      <c r="H869" s="2" t="s">
        <v>19</v>
      </c>
      <c r="I869" s="2" t="s">
        <v>29</v>
      </c>
    </row>
    <row r="870" spans="1:9" x14ac:dyDescent="0.35">
      <c r="A870" s="2" t="s">
        <v>906</v>
      </c>
      <c r="B870" s="3">
        <v>45108</v>
      </c>
      <c r="C870" s="2" t="s">
        <v>16</v>
      </c>
      <c r="D870" s="2" t="s">
        <v>95</v>
      </c>
      <c r="E870" s="2" t="s">
        <v>18</v>
      </c>
      <c r="F870" s="2">
        <v>1146.6300000000001</v>
      </c>
      <c r="G870" s="2">
        <v>153.16</v>
      </c>
      <c r="H870" s="2" t="s">
        <v>28</v>
      </c>
      <c r="I870" s="2" t="s">
        <v>34</v>
      </c>
    </row>
    <row r="871" spans="1:9" x14ac:dyDescent="0.35">
      <c r="A871" s="2" t="s">
        <v>907</v>
      </c>
      <c r="B871" s="3">
        <v>45140</v>
      </c>
      <c r="C871" s="2" t="s">
        <v>22</v>
      </c>
      <c r="D871" s="2" t="s">
        <v>57</v>
      </c>
      <c r="E871" s="2" t="s">
        <v>27</v>
      </c>
      <c r="F871" s="2">
        <v>151.97</v>
      </c>
      <c r="G871" s="2">
        <v>9.23</v>
      </c>
      <c r="H871" s="2" t="s">
        <v>28</v>
      </c>
      <c r="I871" s="2" t="s">
        <v>34</v>
      </c>
    </row>
    <row r="872" spans="1:9" x14ac:dyDescent="0.35">
      <c r="A872" s="2" t="s">
        <v>908</v>
      </c>
      <c r="B872" s="3">
        <v>44705</v>
      </c>
      <c r="C872" s="2" t="s">
        <v>22</v>
      </c>
      <c r="D872" s="2" t="s">
        <v>73</v>
      </c>
      <c r="E872" s="2" t="s">
        <v>27</v>
      </c>
      <c r="F872" s="2">
        <v>1736.27</v>
      </c>
      <c r="G872" s="2">
        <v>311.22000000000003</v>
      </c>
      <c r="H872" s="2" t="s">
        <v>19</v>
      </c>
      <c r="I872" s="2" t="s">
        <v>20</v>
      </c>
    </row>
    <row r="873" spans="1:9" x14ac:dyDescent="0.35">
      <c r="A873" s="2" t="s">
        <v>909</v>
      </c>
      <c r="B873" s="3">
        <v>44637</v>
      </c>
      <c r="C873" s="2" t="s">
        <v>16</v>
      </c>
      <c r="D873" s="2" t="s">
        <v>26</v>
      </c>
      <c r="E873" s="2" t="s">
        <v>27</v>
      </c>
      <c r="F873" s="2">
        <v>271.60000000000002</v>
      </c>
      <c r="G873" s="2">
        <v>71.64</v>
      </c>
      <c r="H873" s="2" t="s">
        <v>13</v>
      </c>
      <c r="I873" s="2" t="s">
        <v>29</v>
      </c>
    </row>
    <row r="874" spans="1:9" x14ac:dyDescent="0.35">
      <c r="A874" s="2" t="s">
        <v>910</v>
      </c>
      <c r="B874" s="3">
        <v>45398</v>
      </c>
      <c r="C874" s="2" t="s">
        <v>25</v>
      </c>
      <c r="D874" s="2" t="s">
        <v>97</v>
      </c>
      <c r="E874" s="2" t="s">
        <v>27</v>
      </c>
      <c r="F874" s="2">
        <v>492.33</v>
      </c>
      <c r="G874" s="2">
        <v>70.099999999999994</v>
      </c>
      <c r="H874" s="2" t="s">
        <v>28</v>
      </c>
      <c r="I874" s="2" t="s">
        <v>20</v>
      </c>
    </row>
    <row r="875" spans="1:9" x14ac:dyDescent="0.35">
      <c r="A875" s="2" t="s">
        <v>911</v>
      </c>
      <c r="B875" s="3">
        <v>44856</v>
      </c>
      <c r="C875" s="2" t="s">
        <v>10</v>
      </c>
      <c r="D875" s="2" t="s">
        <v>62</v>
      </c>
      <c r="E875" s="2" t="s">
        <v>27</v>
      </c>
      <c r="F875" s="2">
        <v>1395.96</v>
      </c>
      <c r="G875" s="2">
        <v>155.97</v>
      </c>
      <c r="H875" s="2" t="s">
        <v>19</v>
      </c>
      <c r="I875" s="2" t="s">
        <v>20</v>
      </c>
    </row>
    <row r="876" spans="1:9" x14ac:dyDescent="0.35">
      <c r="A876" s="2" t="s">
        <v>912</v>
      </c>
      <c r="B876" s="3">
        <v>45089</v>
      </c>
      <c r="C876" s="2" t="s">
        <v>16</v>
      </c>
      <c r="D876" s="2" t="s">
        <v>23</v>
      </c>
      <c r="E876" s="2" t="s">
        <v>18</v>
      </c>
      <c r="F876" s="2">
        <v>1687.51</v>
      </c>
      <c r="G876" s="2">
        <v>152.49</v>
      </c>
      <c r="H876" s="2" t="s">
        <v>19</v>
      </c>
      <c r="I876" s="2" t="s">
        <v>20</v>
      </c>
    </row>
    <row r="877" spans="1:9" x14ac:dyDescent="0.35">
      <c r="A877" s="2" t="s">
        <v>913</v>
      </c>
      <c r="B877" s="3">
        <v>45212</v>
      </c>
      <c r="C877" s="2" t="s">
        <v>22</v>
      </c>
      <c r="D877" s="2" t="s">
        <v>38</v>
      </c>
      <c r="E877" s="2" t="s">
        <v>12</v>
      </c>
      <c r="F877" s="2">
        <v>1030.2</v>
      </c>
      <c r="G877" s="2">
        <v>258.35000000000002</v>
      </c>
      <c r="H877" s="2" t="s">
        <v>13</v>
      </c>
      <c r="I877" s="2" t="s">
        <v>34</v>
      </c>
    </row>
    <row r="878" spans="1:9" x14ac:dyDescent="0.35">
      <c r="A878" s="2" t="s">
        <v>914</v>
      </c>
      <c r="B878" s="3">
        <v>44942</v>
      </c>
      <c r="C878" s="2" t="s">
        <v>22</v>
      </c>
      <c r="D878" s="2" t="s">
        <v>57</v>
      </c>
      <c r="E878" s="2" t="s">
        <v>27</v>
      </c>
      <c r="F878" s="2">
        <v>773.11</v>
      </c>
      <c r="G878" s="2">
        <v>55.38</v>
      </c>
      <c r="H878" s="2" t="s">
        <v>28</v>
      </c>
      <c r="I878" s="2" t="s">
        <v>29</v>
      </c>
    </row>
    <row r="879" spans="1:9" x14ac:dyDescent="0.35">
      <c r="A879" s="2" t="s">
        <v>915</v>
      </c>
      <c r="B879" s="3">
        <v>45278</v>
      </c>
      <c r="C879" s="2" t="s">
        <v>22</v>
      </c>
      <c r="D879" s="2" t="s">
        <v>26</v>
      </c>
      <c r="E879" s="2" t="s">
        <v>27</v>
      </c>
      <c r="F879" s="2">
        <v>716.58</v>
      </c>
      <c r="G879" s="2">
        <v>128.9</v>
      </c>
      <c r="H879" s="2" t="s">
        <v>28</v>
      </c>
      <c r="I879" s="2" t="s">
        <v>29</v>
      </c>
    </row>
    <row r="880" spans="1:9" x14ac:dyDescent="0.35">
      <c r="A880" s="2" t="s">
        <v>916</v>
      </c>
      <c r="B880" s="3">
        <v>44665</v>
      </c>
      <c r="C880" s="2" t="s">
        <v>22</v>
      </c>
      <c r="D880" s="2" t="s">
        <v>73</v>
      </c>
      <c r="E880" s="2" t="s">
        <v>27</v>
      </c>
      <c r="F880" s="2">
        <v>379.76</v>
      </c>
      <c r="G880" s="2">
        <v>57.26</v>
      </c>
      <c r="H880" s="2" t="s">
        <v>28</v>
      </c>
      <c r="I880" s="2" t="s">
        <v>14</v>
      </c>
    </row>
    <row r="881" spans="1:9" x14ac:dyDescent="0.35">
      <c r="A881" s="2" t="s">
        <v>917</v>
      </c>
      <c r="B881" s="3">
        <v>44920</v>
      </c>
      <c r="C881" s="2" t="s">
        <v>10</v>
      </c>
      <c r="D881" s="2" t="s">
        <v>95</v>
      </c>
      <c r="E881" s="2" t="s">
        <v>18</v>
      </c>
      <c r="F881" s="2">
        <v>295.56</v>
      </c>
      <c r="G881" s="2">
        <v>28.75</v>
      </c>
      <c r="H881" s="2" t="s">
        <v>19</v>
      </c>
      <c r="I881" s="2" t="s">
        <v>34</v>
      </c>
    </row>
    <row r="882" spans="1:9" x14ac:dyDescent="0.35">
      <c r="A882" s="2" t="s">
        <v>918</v>
      </c>
      <c r="B882" s="3">
        <v>45248</v>
      </c>
      <c r="C882" s="2" t="s">
        <v>10</v>
      </c>
      <c r="D882" s="2" t="s">
        <v>31</v>
      </c>
      <c r="E882" s="2" t="s">
        <v>12</v>
      </c>
      <c r="F882" s="2">
        <v>252.15</v>
      </c>
      <c r="G882" s="2">
        <v>38.700000000000003</v>
      </c>
      <c r="H882" s="2" t="s">
        <v>28</v>
      </c>
      <c r="I882" s="2" t="s">
        <v>20</v>
      </c>
    </row>
    <row r="883" spans="1:9" x14ac:dyDescent="0.35">
      <c r="A883" s="2" t="s">
        <v>919</v>
      </c>
      <c r="B883" s="3">
        <v>45320</v>
      </c>
      <c r="C883" s="2" t="s">
        <v>10</v>
      </c>
      <c r="D883" s="2" t="s">
        <v>41</v>
      </c>
      <c r="E883" s="2" t="s">
        <v>12</v>
      </c>
      <c r="F883" s="2">
        <v>1444.74</v>
      </c>
      <c r="G883" s="2">
        <v>302.20999999999998</v>
      </c>
      <c r="H883" s="2" t="s">
        <v>13</v>
      </c>
      <c r="I883" s="2" t="s">
        <v>20</v>
      </c>
    </row>
    <row r="884" spans="1:9" x14ac:dyDescent="0.35">
      <c r="A884" s="2" t="s">
        <v>920</v>
      </c>
      <c r="B884" s="3">
        <v>44897</v>
      </c>
      <c r="C884" s="2" t="s">
        <v>10</v>
      </c>
      <c r="D884" s="2" t="s">
        <v>41</v>
      </c>
      <c r="E884" s="2" t="s">
        <v>12</v>
      </c>
      <c r="F884" s="2">
        <v>179.64</v>
      </c>
      <c r="G884" s="2">
        <v>51.97</v>
      </c>
      <c r="H884" s="2" t="s">
        <v>19</v>
      </c>
      <c r="I884" s="2" t="s">
        <v>20</v>
      </c>
    </row>
    <row r="885" spans="1:9" x14ac:dyDescent="0.35">
      <c r="A885" s="2" t="s">
        <v>921</v>
      </c>
      <c r="B885" s="3">
        <v>45288</v>
      </c>
      <c r="C885" s="2" t="s">
        <v>10</v>
      </c>
      <c r="D885" s="2" t="s">
        <v>11</v>
      </c>
      <c r="E885" s="2" t="s">
        <v>12</v>
      </c>
      <c r="F885" s="2">
        <v>919.88</v>
      </c>
      <c r="G885" s="2">
        <v>117.63</v>
      </c>
      <c r="H885" s="2" t="s">
        <v>28</v>
      </c>
      <c r="I885" s="2" t="s">
        <v>20</v>
      </c>
    </row>
    <row r="886" spans="1:9" x14ac:dyDescent="0.35">
      <c r="A886" s="2" t="s">
        <v>922</v>
      </c>
      <c r="B886" s="3">
        <v>44761</v>
      </c>
      <c r="C886" s="2" t="s">
        <v>22</v>
      </c>
      <c r="D886" s="2" t="s">
        <v>11</v>
      </c>
      <c r="E886" s="2" t="s">
        <v>12</v>
      </c>
      <c r="F886" s="2">
        <v>534.54</v>
      </c>
      <c r="G886" s="2">
        <v>141.82</v>
      </c>
      <c r="H886" s="2" t="s">
        <v>28</v>
      </c>
      <c r="I886" s="2" t="s">
        <v>14</v>
      </c>
    </row>
    <row r="887" spans="1:9" x14ac:dyDescent="0.35">
      <c r="A887" s="2" t="s">
        <v>923</v>
      </c>
      <c r="B887" s="3">
        <v>44800</v>
      </c>
      <c r="C887" s="2" t="s">
        <v>25</v>
      </c>
      <c r="D887" s="2" t="s">
        <v>41</v>
      </c>
      <c r="E887" s="2" t="s">
        <v>12</v>
      </c>
      <c r="F887" s="2">
        <v>1247.08</v>
      </c>
      <c r="G887" s="2">
        <v>243.45</v>
      </c>
      <c r="H887" s="2" t="s">
        <v>28</v>
      </c>
      <c r="I887" s="2" t="s">
        <v>20</v>
      </c>
    </row>
    <row r="888" spans="1:9" x14ac:dyDescent="0.35">
      <c r="A888" s="2" t="s">
        <v>924</v>
      </c>
      <c r="B888" s="3">
        <v>45644</v>
      </c>
      <c r="C888" s="2" t="s">
        <v>22</v>
      </c>
      <c r="D888" s="2" t="s">
        <v>31</v>
      </c>
      <c r="E888" s="2" t="s">
        <v>12</v>
      </c>
      <c r="F888" s="2">
        <v>862.95</v>
      </c>
      <c r="G888" s="2">
        <v>71.12</v>
      </c>
      <c r="H888" s="2" t="s">
        <v>19</v>
      </c>
      <c r="I888" s="2" t="s">
        <v>20</v>
      </c>
    </row>
    <row r="889" spans="1:9" x14ac:dyDescent="0.35">
      <c r="A889" s="2" t="s">
        <v>925</v>
      </c>
      <c r="B889" s="3">
        <v>44759</v>
      </c>
      <c r="C889" s="2" t="s">
        <v>16</v>
      </c>
      <c r="D889" s="2" t="s">
        <v>50</v>
      </c>
      <c r="E889" s="2" t="s">
        <v>12</v>
      </c>
      <c r="F889" s="2">
        <v>584.75</v>
      </c>
      <c r="G889" s="2">
        <v>75.599999999999994</v>
      </c>
      <c r="H889" s="2" t="s">
        <v>19</v>
      </c>
      <c r="I889" s="2" t="s">
        <v>20</v>
      </c>
    </row>
    <row r="890" spans="1:9" x14ac:dyDescent="0.35">
      <c r="A890" s="2" t="s">
        <v>926</v>
      </c>
      <c r="B890" s="3">
        <v>45056</v>
      </c>
      <c r="C890" s="2" t="s">
        <v>25</v>
      </c>
      <c r="D890" s="2" t="s">
        <v>97</v>
      </c>
      <c r="E890" s="2" t="s">
        <v>27</v>
      </c>
      <c r="F890" s="2">
        <v>1601.63</v>
      </c>
      <c r="G890" s="2">
        <v>222.73</v>
      </c>
      <c r="H890" s="2" t="s">
        <v>28</v>
      </c>
      <c r="I890" s="2" t="s">
        <v>14</v>
      </c>
    </row>
    <row r="891" spans="1:9" x14ac:dyDescent="0.35">
      <c r="A891" s="2" t="s">
        <v>927</v>
      </c>
      <c r="B891" s="3">
        <v>45023</v>
      </c>
      <c r="C891" s="2" t="s">
        <v>25</v>
      </c>
      <c r="D891" s="2" t="s">
        <v>62</v>
      </c>
      <c r="E891" s="2" t="s">
        <v>27</v>
      </c>
      <c r="F891" s="2">
        <v>797.83</v>
      </c>
      <c r="G891" s="2">
        <v>172.84</v>
      </c>
      <c r="H891" s="2" t="s">
        <v>19</v>
      </c>
      <c r="I891" s="2" t="s">
        <v>14</v>
      </c>
    </row>
    <row r="892" spans="1:9" x14ac:dyDescent="0.35">
      <c r="A892" s="2" t="s">
        <v>928</v>
      </c>
      <c r="B892" s="3">
        <v>44804</v>
      </c>
      <c r="C892" s="2" t="s">
        <v>25</v>
      </c>
      <c r="D892" s="2" t="s">
        <v>11</v>
      </c>
      <c r="E892" s="2" t="s">
        <v>12</v>
      </c>
      <c r="F892" s="2">
        <v>863.41</v>
      </c>
      <c r="G892" s="2">
        <v>118.02</v>
      </c>
      <c r="H892" s="2" t="s">
        <v>28</v>
      </c>
      <c r="I892" s="2" t="s">
        <v>34</v>
      </c>
    </row>
    <row r="893" spans="1:9" x14ac:dyDescent="0.35">
      <c r="A893" s="2" t="s">
        <v>929</v>
      </c>
      <c r="B893" s="3">
        <v>45217</v>
      </c>
      <c r="C893" s="2" t="s">
        <v>10</v>
      </c>
      <c r="D893" s="2" t="s">
        <v>26</v>
      </c>
      <c r="E893" s="2" t="s">
        <v>27</v>
      </c>
      <c r="F893" s="2">
        <v>1392.15</v>
      </c>
      <c r="G893" s="2">
        <v>215.89</v>
      </c>
      <c r="H893" s="2" t="s">
        <v>13</v>
      </c>
      <c r="I893" s="2" t="s">
        <v>14</v>
      </c>
    </row>
    <row r="894" spans="1:9" x14ac:dyDescent="0.35">
      <c r="A894" s="2" t="s">
        <v>930</v>
      </c>
      <c r="B894" s="3">
        <v>45465</v>
      </c>
      <c r="C894" s="2" t="s">
        <v>16</v>
      </c>
      <c r="D894" s="2" t="s">
        <v>57</v>
      </c>
      <c r="E894" s="2" t="s">
        <v>27</v>
      </c>
      <c r="F894" s="2">
        <v>1341</v>
      </c>
      <c r="G894" s="2">
        <v>116.54</v>
      </c>
      <c r="H894" s="2" t="s">
        <v>19</v>
      </c>
      <c r="I894" s="2" t="s">
        <v>14</v>
      </c>
    </row>
    <row r="895" spans="1:9" x14ac:dyDescent="0.35">
      <c r="A895" s="2" t="s">
        <v>931</v>
      </c>
      <c r="B895" s="3">
        <v>44996</v>
      </c>
      <c r="C895" s="2" t="s">
        <v>22</v>
      </c>
      <c r="D895" s="2" t="s">
        <v>97</v>
      </c>
      <c r="E895" s="2" t="s">
        <v>27</v>
      </c>
      <c r="F895" s="2">
        <v>506.39</v>
      </c>
      <c r="G895" s="2">
        <v>136.16999999999999</v>
      </c>
      <c r="H895" s="2" t="s">
        <v>28</v>
      </c>
      <c r="I895" s="2" t="s">
        <v>14</v>
      </c>
    </row>
    <row r="896" spans="1:9" x14ac:dyDescent="0.35">
      <c r="A896" s="2" t="s">
        <v>932</v>
      </c>
      <c r="B896" s="3">
        <v>45329</v>
      </c>
      <c r="C896" s="2" t="s">
        <v>16</v>
      </c>
      <c r="D896" s="2" t="s">
        <v>41</v>
      </c>
      <c r="E896" s="2" t="s">
        <v>12</v>
      </c>
      <c r="F896" s="2">
        <v>1926.03</v>
      </c>
      <c r="G896" s="2">
        <v>191.5</v>
      </c>
      <c r="H896" s="2" t="s">
        <v>13</v>
      </c>
      <c r="I896" s="2" t="s">
        <v>20</v>
      </c>
    </row>
    <row r="897" spans="1:9" x14ac:dyDescent="0.35">
      <c r="A897" s="2" t="s">
        <v>933</v>
      </c>
      <c r="B897" s="3">
        <v>44956</v>
      </c>
      <c r="C897" s="2" t="s">
        <v>10</v>
      </c>
      <c r="D897" s="2" t="s">
        <v>62</v>
      </c>
      <c r="E897" s="2" t="s">
        <v>27</v>
      </c>
      <c r="F897" s="2">
        <v>930.25</v>
      </c>
      <c r="G897" s="2">
        <v>138.87</v>
      </c>
      <c r="H897" s="2" t="s">
        <v>19</v>
      </c>
      <c r="I897" s="2" t="s">
        <v>20</v>
      </c>
    </row>
    <row r="898" spans="1:9" x14ac:dyDescent="0.35">
      <c r="A898" s="2" t="s">
        <v>934</v>
      </c>
      <c r="B898" s="3">
        <v>45234</v>
      </c>
      <c r="C898" s="2" t="s">
        <v>10</v>
      </c>
      <c r="D898" s="2" t="s">
        <v>46</v>
      </c>
      <c r="E898" s="2" t="s">
        <v>18</v>
      </c>
      <c r="F898" s="2">
        <v>222.78</v>
      </c>
      <c r="G898" s="2">
        <v>41.18</v>
      </c>
      <c r="H898" s="2" t="s">
        <v>28</v>
      </c>
      <c r="I898" s="2" t="s">
        <v>20</v>
      </c>
    </row>
    <row r="899" spans="1:9" x14ac:dyDescent="0.35">
      <c r="A899" s="2" t="s">
        <v>935</v>
      </c>
      <c r="B899" s="3">
        <v>45190</v>
      </c>
      <c r="C899" s="2" t="s">
        <v>25</v>
      </c>
      <c r="D899" s="2" t="s">
        <v>57</v>
      </c>
      <c r="E899" s="2" t="s">
        <v>27</v>
      </c>
      <c r="F899" s="2">
        <v>1291.8399999999999</v>
      </c>
      <c r="G899" s="2">
        <v>206.1</v>
      </c>
      <c r="H899" s="2" t="s">
        <v>19</v>
      </c>
      <c r="I899" s="2" t="s">
        <v>14</v>
      </c>
    </row>
    <row r="900" spans="1:9" x14ac:dyDescent="0.35">
      <c r="A900" s="2" t="s">
        <v>936</v>
      </c>
      <c r="B900" s="3">
        <v>45389</v>
      </c>
      <c r="C900" s="2" t="s">
        <v>16</v>
      </c>
      <c r="D900" s="2" t="s">
        <v>46</v>
      </c>
      <c r="E900" s="2" t="s">
        <v>18</v>
      </c>
      <c r="F900" s="2">
        <v>664.2</v>
      </c>
      <c r="G900" s="2">
        <v>42.28</v>
      </c>
      <c r="H900" s="2" t="s">
        <v>13</v>
      </c>
      <c r="I900" s="2" t="s">
        <v>14</v>
      </c>
    </row>
    <row r="901" spans="1:9" x14ac:dyDescent="0.35">
      <c r="A901" s="2" t="s">
        <v>937</v>
      </c>
      <c r="B901" s="3">
        <v>45105</v>
      </c>
      <c r="C901" s="2" t="s">
        <v>16</v>
      </c>
      <c r="D901" s="2" t="s">
        <v>26</v>
      </c>
      <c r="E901" s="2" t="s">
        <v>27</v>
      </c>
      <c r="F901" s="2">
        <v>394.45</v>
      </c>
      <c r="G901" s="2">
        <v>73.22</v>
      </c>
      <c r="H901" s="2" t="s">
        <v>19</v>
      </c>
      <c r="I901" s="2" t="s">
        <v>20</v>
      </c>
    </row>
    <row r="902" spans="1:9" x14ac:dyDescent="0.35">
      <c r="A902" s="2" t="s">
        <v>938</v>
      </c>
      <c r="B902" s="3">
        <v>44677</v>
      </c>
      <c r="C902" s="2" t="s">
        <v>25</v>
      </c>
      <c r="D902" s="2" t="s">
        <v>38</v>
      </c>
      <c r="E902" s="2" t="s">
        <v>12</v>
      </c>
      <c r="F902" s="2">
        <v>1918.16</v>
      </c>
      <c r="G902" s="2">
        <v>144.91999999999999</v>
      </c>
      <c r="H902" s="2" t="s">
        <v>28</v>
      </c>
      <c r="I902" s="2" t="s">
        <v>29</v>
      </c>
    </row>
    <row r="903" spans="1:9" x14ac:dyDescent="0.35">
      <c r="A903" s="2" t="s">
        <v>939</v>
      </c>
      <c r="B903" s="3">
        <v>45091</v>
      </c>
      <c r="C903" s="2" t="s">
        <v>16</v>
      </c>
      <c r="D903" s="2" t="s">
        <v>26</v>
      </c>
      <c r="E903" s="2" t="s">
        <v>27</v>
      </c>
      <c r="F903" s="2">
        <v>1311.84</v>
      </c>
      <c r="G903" s="2">
        <v>358.13</v>
      </c>
      <c r="H903" s="2" t="s">
        <v>19</v>
      </c>
      <c r="I903" s="2" t="s">
        <v>34</v>
      </c>
    </row>
    <row r="904" spans="1:9" x14ac:dyDescent="0.35">
      <c r="A904" s="2" t="s">
        <v>940</v>
      </c>
      <c r="B904" s="3">
        <v>45339</v>
      </c>
      <c r="C904" s="2" t="s">
        <v>22</v>
      </c>
      <c r="D904" s="2" t="s">
        <v>46</v>
      </c>
      <c r="E904" s="2" t="s">
        <v>18</v>
      </c>
      <c r="F904" s="2">
        <v>1252</v>
      </c>
      <c r="G904" s="2">
        <v>188.38</v>
      </c>
      <c r="H904" s="2" t="s">
        <v>28</v>
      </c>
      <c r="I904" s="2" t="s">
        <v>29</v>
      </c>
    </row>
    <row r="905" spans="1:9" x14ac:dyDescent="0.35">
      <c r="A905" s="2" t="s">
        <v>941</v>
      </c>
      <c r="B905" s="3">
        <v>44866</v>
      </c>
      <c r="C905" s="2" t="s">
        <v>16</v>
      </c>
      <c r="D905" s="2" t="s">
        <v>33</v>
      </c>
      <c r="E905" s="2" t="s">
        <v>18</v>
      </c>
      <c r="F905" s="2">
        <v>952.06</v>
      </c>
      <c r="G905" s="2">
        <v>112.06</v>
      </c>
      <c r="H905" s="2" t="s">
        <v>28</v>
      </c>
      <c r="I905" s="2" t="s">
        <v>14</v>
      </c>
    </row>
    <row r="906" spans="1:9" x14ac:dyDescent="0.35">
      <c r="A906" s="2" t="s">
        <v>942</v>
      </c>
      <c r="B906" s="3">
        <v>45411</v>
      </c>
      <c r="C906" s="2" t="s">
        <v>10</v>
      </c>
      <c r="D906" s="2" t="s">
        <v>46</v>
      </c>
      <c r="E906" s="2" t="s">
        <v>18</v>
      </c>
      <c r="F906" s="2">
        <v>723.55</v>
      </c>
      <c r="G906" s="2">
        <v>57.73</v>
      </c>
      <c r="H906" s="2" t="s">
        <v>19</v>
      </c>
      <c r="I906" s="2" t="s">
        <v>29</v>
      </c>
    </row>
    <row r="907" spans="1:9" x14ac:dyDescent="0.35">
      <c r="A907" s="2" t="s">
        <v>943</v>
      </c>
      <c r="B907" s="3">
        <v>45207</v>
      </c>
      <c r="C907" s="2" t="s">
        <v>10</v>
      </c>
      <c r="D907" s="2" t="s">
        <v>57</v>
      </c>
      <c r="E907" s="2" t="s">
        <v>27</v>
      </c>
      <c r="F907" s="2">
        <v>1558.45</v>
      </c>
      <c r="G907" s="2">
        <v>311.82</v>
      </c>
      <c r="H907" s="2" t="s">
        <v>28</v>
      </c>
      <c r="I907" s="2" t="s">
        <v>14</v>
      </c>
    </row>
    <row r="908" spans="1:9" x14ac:dyDescent="0.35">
      <c r="A908" s="2" t="s">
        <v>944</v>
      </c>
      <c r="B908" s="3">
        <v>45110</v>
      </c>
      <c r="C908" s="2" t="s">
        <v>10</v>
      </c>
      <c r="D908" s="2" t="s">
        <v>41</v>
      </c>
      <c r="E908" s="2" t="s">
        <v>12</v>
      </c>
      <c r="F908" s="2">
        <v>1502.02</v>
      </c>
      <c r="G908" s="2">
        <v>267.88</v>
      </c>
      <c r="H908" s="2" t="s">
        <v>19</v>
      </c>
      <c r="I908" s="2" t="s">
        <v>14</v>
      </c>
    </row>
    <row r="909" spans="1:9" x14ac:dyDescent="0.35">
      <c r="A909" s="2" t="s">
        <v>945</v>
      </c>
      <c r="B909" s="3">
        <v>45372</v>
      </c>
      <c r="C909" s="2" t="s">
        <v>25</v>
      </c>
      <c r="D909" s="2" t="s">
        <v>31</v>
      </c>
      <c r="E909" s="2" t="s">
        <v>12</v>
      </c>
      <c r="F909" s="2">
        <v>653.26</v>
      </c>
      <c r="G909" s="2">
        <v>115.4</v>
      </c>
      <c r="H909" s="2" t="s">
        <v>28</v>
      </c>
      <c r="I909" s="2" t="s">
        <v>14</v>
      </c>
    </row>
    <row r="910" spans="1:9" x14ac:dyDescent="0.35">
      <c r="A910" s="2" t="s">
        <v>946</v>
      </c>
      <c r="B910" s="3">
        <v>45099</v>
      </c>
      <c r="C910" s="2" t="s">
        <v>25</v>
      </c>
      <c r="D910" s="2" t="s">
        <v>11</v>
      </c>
      <c r="E910" s="2" t="s">
        <v>12</v>
      </c>
      <c r="F910" s="2">
        <v>507.14</v>
      </c>
      <c r="G910" s="2">
        <v>82.05</v>
      </c>
      <c r="H910" s="2" t="s">
        <v>19</v>
      </c>
      <c r="I910" s="2" t="s">
        <v>34</v>
      </c>
    </row>
    <row r="911" spans="1:9" x14ac:dyDescent="0.35">
      <c r="A911" s="2" t="s">
        <v>947</v>
      </c>
      <c r="B911" s="3">
        <v>44764</v>
      </c>
      <c r="C911" s="2" t="s">
        <v>10</v>
      </c>
      <c r="D911" s="2" t="s">
        <v>97</v>
      </c>
      <c r="E911" s="2" t="s">
        <v>27</v>
      </c>
      <c r="F911" s="2">
        <v>1280.81</v>
      </c>
      <c r="G911" s="2">
        <v>217.66</v>
      </c>
      <c r="H911" s="2" t="s">
        <v>19</v>
      </c>
      <c r="I911" s="2" t="s">
        <v>34</v>
      </c>
    </row>
    <row r="912" spans="1:9" x14ac:dyDescent="0.35">
      <c r="A912" s="2" t="s">
        <v>948</v>
      </c>
      <c r="B912" s="3">
        <v>45551</v>
      </c>
      <c r="C912" s="2" t="s">
        <v>10</v>
      </c>
      <c r="D912" s="2" t="s">
        <v>57</v>
      </c>
      <c r="E912" s="2" t="s">
        <v>27</v>
      </c>
      <c r="F912" s="2">
        <v>1600.09</v>
      </c>
      <c r="G912" s="2">
        <v>248.8</v>
      </c>
      <c r="H912" s="2" t="s">
        <v>28</v>
      </c>
      <c r="I912" s="2" t="s">
        <v>29</v>
      </c>
    </row>
    <row r="913" spans="1:9" x14ac:dyDescent="0.35">
      <c r="A913" s="2" t="s">
        <v>949</v>
      </c>
      <c r="B913" s="3">
        <v>44931</v>
      </c>
      <c r="C913" s="2" t="s">
        <v>10</v>
      </c>
      <c r="D913" s="2" t="s">
        <v>73</v>
      </c>
      <c r="E913" s="2" t="s">
        <v>27</v>
      </c>
      <c r="F913" s="2">
        <v>83.32</v>
      </c>
      <c r="G913" s="2">
        <v>17.09</v>
      </c>
      <c r="H913" s="2" t="s">
        <v>13</v>
      </c>
      <c r="I913" s="2" t="s">
        <v>20</v>
      </c>
    </row>
    <row r="914" spans="1:9" x14ac:dyDescent="0.35">
      <c r="A914" s="2" t="s">
        <v>950</v>
      </c>
      <c r="B914" s="3">
        <v>44707</v>
      </c>
      <c r="C914" s="2" t="s">
        <v>25</v>
      </c>
      <c r="D914" s="2" t="s">
        <v>33</v>
      </c>
      <c r="E914" s="2" t="s">
        <v>18</v>
      </c>
      <c r="F914" s="2">
        <v>1558.25</v>
      </c>
      <c r="G914" s="2">
        <v>176.78</v>
      </c>
      <c r="H914" s="2" t="s">
        <v>28</v>
      </c>
      <c r="I914" s="2" t="s">
        <v>29</v>
      </c>
    </row>
    <row r="915" spans="1:9" x14ac:dyDescent="0.35">
      <c r="A915" s="2" t="s">
        <v>951</v>
      </c>
      <c r="B915" s="3">
        <v>45481</v>
      </c>
      <c r="C915" s="2" t="s">
        <v>22</v>
      </c>
      <c r="D915" s="2" t="s">
        <v>73</v>
      </c>
      <c r="E915" s="2" t="s">
        <v>27</v>
      </c>
      <c r="F915" s="2">
        <v>1044.51</v>
      </c>
      <c r="G915" s="2">
        <v>88.6</v>
      </c>
      <c r="H915" s="2" t="s">
        <v>13</v>
      </c>
      <c r="I915" s="2" t="s">
        <v>29</v>
      </c>
    </row>
    <row r="916" spans="1:9" x14ac:dyDescent="0.35">
      <c r="A916" s="2" t="s">
        <v>952</v>
      </c>
      <c r="B916" s="3">
        <v>45383</v>
      </c>
      <c r="C916" s="2" t="s">
        <v>16</v>
      </c>
      <c r="D916" s="2" t="s">
        <v>73</v>
      </c>
      <c r="E916" s="2" t="s">
        <v>27</v>
      </c>
      <c r="F916" s="2">
        <v>303.44</v>
      </c>
      <c r="G916" s="2">
        <v>73.42</v>
      </c>
      <c r="H916" s="2" t="s">
        <v>13</v>
      </c>
      <c r="I916" s="2" t="s">
        <v>29</v>
      </c>
    </row>
    <row r="917" spans="1:9" x14ac:dyDescent="0.35">
      <c r="A917" s="2" t="s">
        <v>953</v>
      </c>
      <c r="B917" s="3">
        <v>45089</v>
      </c>
      <c r="C917" s="2" t="s">
        <v>10</v>
      </c>
      <c r="D917" s="2" t="s">
        <v>97</v>
      </c>
      <c r="E917" s="2" t="s">
        <v>27</v>
      </c>
      <c r="F917" s="2">
        <v>1925.09</v>
      </c>
      <c r="G917" s="2">
        <v>558.92999999999995</v>
      </c>
      <c r="H917" s="2" t="s">
        <v>28</v>
      </c>
      <c r="I917" s="2" t="s">
        <v>20</v>
      </c>
    </row>
    <row r="918" spans="1:9" x14ac:dyDescent="0.35">
      <c r="A918" s="2" t="s">
        <v>954</v>
      </c>
      <c r="B918" s="3">
        <v>45362</v>
      </c>
      <c r="C918" s="2" t="s">
        <v>10</v>
      </c>
      <c r="D918" s="2" t="s">
        <v>73</v>
      </c>
      <c r="E918" s="2" t="s">
        <v>27</v>
      </c>
      <c r="F918" s="2">
        <v>616.49</v>
      </c>
      <c r="G918" s="2">
        <v>76.38</v>
      </c>
      <c r="H918" s="2" t="s">
        <v>28</v>
      </c>
      <c r="I918" s="2" t="s">
        <v>20</v>
      </c>
    </row>
    <row r="919" spans="1:9" x14ac:dyDescent="0.35">
      <c r="A919" s="2" t="s">
        <v>955</v>
      </c>
      <c r="B919" s="3">
        <v>44684</v>
      </c>
      <c r="C919" s="2" t="s">
        <v>10</v>
      </c>
      <c r="D919" s="2" t="s">
        <v>62</v>
      </c>
      <c r="E919" s="2" t="s">
        <v>27</v>
      </c>
      <c r="F919" s="2">
        <v>64.52</v>
      </c>
      <c r="G919" s="2">
        <v>7.67</v>
      </c>
      <c r="H919" s="2" t="s">
        <v>13</v>
      </c>
      <c r="I919" s="2" t="s">
        <v>14</v>
      </c>
    </row>
    <row r="920" spans="1:9" x14ac:dyDescent="0.35">
      <c r="A920" s="2" t="s">
        <v>956</v>
      </c>
      <c r="B920" s="3">
        <v>44850</v>
      </c>
      <c r="C920" s="2" t="s">
        <v>25</v>
      </c>
      <c r="D920" s="2" t="s">
        <v>17</v>
      </c>
      <c r="E920" s="2" t="s">
        <v>18</v>
      </c>
      <c r="F920" s="2">
        <v>1198.6099999999999</v>
      </c>
      <c r="G920" s="2">
        <v>282.47000000000003</v>
      </c>
      <c r="H920" s="2" t="s">
        <v>28</v>
      </c>
      <c r="I920" s="2" t="s">
        <v>20</v>
      </c>
    </row>
    <row r="921" spans="1:9" x14ac:dyDescent="0.35">
      <c r="A921" s="2" t="s">
        <v>957</v>
      </c>
      <c r="B921" s="3">
        <v>45150</v>
      </c>
      <c r="C921" s="2" t="s">
        <v>25</v>
      </c>
      <c r="D921" s="2" t="s">
        <v>95</v>
      </c>
      <c r="E921" s="2" t="s">
        <v>18</v>
      </c>
      <c r="F921" s="2">
        <v>1325.88</v>
      </c>
      <c r="G921" s="2">
        <v>197.72</v>
      </c>
      <c r="H921" s="2" t="s">
        <v>28</v>
      </c>
      <c r="I921" s="2" t="s">
        <v>14</v>
      </c>
    </row>
    <row r="922" spans="1:9" x14ac:dyDescent="0.35">
      <c r="A922" s="2" t="s">
        <v>958</v>
      </c>
      <c r="B922" s="3">
        <v>45200</v>
      </c>
      <c r="C922" s="2" t="s">
        <v>16</v>
      </c>
      <c r="D922" s="2" t="s">
        <v>62</v>
      </c>
      <c r="E922" s="2" t="s">
        <v>27</v>
      </c>
      <c r="F922" s="2">
        <v>1382.86</v>
      </c>
      <c r="G922" s="2">
        <v>333.38</v>
      </c>
      <c r="H922" s="2" t="s">
        <v>28</v>
      </c>
      <c r="I922" s="2" t="s">
        <v>34</v>
      </c>
    </row>
    <row r="923" spans="1:9" x14ac:dyDescent="0.35">
      <c r="A923" s="2" t="s">
        <v>959</v>
      </c>
      <c r="B923" s="3">
        <v>45298</v>
      </c>
      <c r="C923" s="2" t="s">
        <v>22</v>
      </c>
      <c r="D923" s="2" t="s">
        <v>17</v>
      </c>
      <c r="E923" s="2" t="s">
        <v>18</v>
      </c>
      <c r="F923" s="2">
        <v>148.11000000000001</v>
      </c>
      <c r="G923" s="2">
        <v>23.54</v>
      </c>
      <c r="H923" s="2" t="s">
        <v>19</v>
      </c>
      <c r="I923" s="2" t="s">
        <v>34</v>
      </c>
    </row>
    <row r="924" spans="1:9" x14ac:dyDescent="0.35">
      <c r="A924" s="2" t="s">
        <v>960</v>
      </c>
      <c r="B924" s="3">
        <v>45123</v>
      </c>
      <c r="C924" s="2" t="s">
        <v>25</v>
      </c>
      <c r="D924" s="2" t="s">
        <v>11</v>
      </c>
      <c r="E924" s="2" t="s">
        <v>12</v>
      </c>
      <c r="F924" s="2">
        <v>355.56</v>
      </c>
      <c r="G924" s="2">
        <v>86.01</v>
      </c>
      <c r="H924" s="2" t="s">
        <v>19</v>
      </c>
      <c r="I924" s="2" t="s">
        <v>34</v>
      </c>
    </row>
    <row r="925" spans="1:9" x14ac:dyDescent="0.35">
      <c r="A925" s="2" t="s">
        <v>961</v>
      </c>
      <c r="B925" s="3">
        <v>45551</v>
      </c>
      <c r="C925" s="2" t="s">
        <v>25</v>
      </c>
      <c r="D925" s="2" t="s">
        <v>11</v>
      </c>
      <c r="E925" s="2" t="s">
        <v>12</v>
      </c>
      <c r="F925" s="2">
        <v>394.32</v>
      </c>
      <c r="G925" s="2">
        <v>110.46</v>
      </c>
      <c r="H925" s="2" t="s">
        <v>28</v>
      </c>
      <c r="I925" s="2" t="s">
        <v>34</v>
      </c>
    </row>
    <row r="926" spans="1:9" x14ac:dyDescent="0.35">
      <c r="A926" s="2" t="s">
        <v>962</v>
      </c>
      <c r="B926" s="3">
        <v>44781</v>
      </c>
      <c r="C926" s="2" t="s">
        <v>16</v>
      </c>
      <c r="D926" s="2" t="s">
        <v>26</v>
      </c>
      <c r="E926" s="2" t="s">
        <v>27</v>
      </c>
      <c r="F926" s="2">
        <v>1846.33</v>
      </c>
      <c r="G926" s="2">
        <v>320.39</v>
      </c>
      <c r="H926" s="2" t="s">
        <v>28</v>
      </c>
      <c r="I926" s="2" t="s">
        <v>20</v>
      </c>
    </row>
    <row r="927" spans="1:9" x14ac:dyDescent="0.35">
      <c r="A927" s="2" t="s">
        <v>963</v>
      </c>
      <c r="B927" s="3">
        <v>44654</v>
      </c>
      <c r="C927" s="2" t="s">
        <v>10</v>
      </c>
      <c r="D927" s="2" t="s">
        <v>41</v>
      </c>
      <c r="E927" s="2" t="s">
        <v>12</v>
      </c>
      <c r="F927" s="2">
        <v>188.91</v>
      </c>
      <c r="G927" s="2">
        <v>42.1</v>
      </c>
      <c r="H927" s="2" t="s">
        <v>28</v>
      </c>
      <c r="I927" s="2" t="s">
        <v>29</v>
      </c>
    </row>
    <row r="928" spans="1:9" x14ac:dyDescent="0.35">
      <c r="A928" s="2" t="s">
        <v>964</v>
      </c>
      <c r="B928" s="3">
        <v>44823</v>
      </c>
      <c r="C928" s="2" t="s">
        <v>10</v>
      </c>
      <c r="D928" s="2" t="s">
        <v>23</v>
      </c>
      <c r="E928" s="2" t="s">
        <v>18</v>
      </c>
      <c r="F928" s="2">
        <v>1659</v>
      </c>
      <c r="G928" s="2">
        <v>179.78</v>
      </c>
      <c r="H928" s="2" t="s">
        <v>13</v>
      </c>
      <c r="I928" s="2" t="s">
        <v>34</v>
      </c>
    </row>
    <row r="929" spans="1:9" x14ac:dyDescent="0.35">
      <c r="A929" s="2" t="s">
        <v>965</v>
      </c>
      <c r="B929" s="3">
        <v>45564</v>
      </c>
      <c r="C929" s="2" t="s">
        <v>16</v>
      </c>
      <c r="D929" s="2" t="s">
        <v>95</v>
      </c>
      <c r="E929" s="2" t="s">
        <v>18</v>
      </c>
      <c r="F929" s="2">
        <v>1980.28</v>
      </c>
      <c r="G929" s="2">
        <v>173.99</v>
      </c>
      <c r="H929" s="2" t="s">
        <v>28</v>
      </c>
      <c r="I929" s="2" t="s">
        <v>29</v>
      </c>
    </row>
    <row r="930" spans="1:9" x14ac:dyDescent="0.35">
      <c r="A930" s="2" t="s">
        <v>966</v>
      </c>
      <c r="B930" s="3">
        <v>44776</v>
      </c>
      <c r="C930" s="2" t="s">
        <v>10</v>
      </c>
      <c r="D930" s="2" t="s">
        <v>38</v>
      </c>
      <c r="E930" s="2" t="s">
        <v>12</v>
      </c>
      <c r="F930" s="2">
        <v>351.62</v>
      </c>
      <c r="G930" s="2">
        <v>40.4</v>
      </c>
      <c r="H930" s="2" t="s">
        <v>13</v>
      </c>
      <c r="I930" s="2" t="s">
        <v>20</v>
      </c>
    </row>
    <row r="931" spans="1:9" x14ac:dyDescent="0.35">
      <c r="A931" s="2" t="s">
        <v>967</v>
      </c>
      <c r="B931" s="3">
        <v>45307</v>
      </c>
      <c r="C931" s="2" t="s">
        <v>22</v>
      </c>
      <c r="D931" s="2" t="s">
        <v>50</v>
      </c>
      <c r="E931" s="2" t="s">
        <v>12</v>
      </c>
      <c r="F931" s="2">
        <v>1692.02</v>
      </c>
      <c r="G931" s="2">
        <v>111.59</v>
      </c>
      <c r="H931" s="2" t="s">
        <v>13</v>
      </c>
      <c r="I931" s="2" t="s">
        <v>14</v>
      </c>
    </row>
    <row r="932" spans="1:9" x14ac:dyDescent="0.35">
      <c r="A932" s="2" t="s">
        <v>968</v>
      </c>
      <c r="B932" s="3">
        <v>44658</v>
      </c>
      <c r="C932" s="2" t="s">
        <v>16</v>
      </c>
      <c r="D932" s="2" t="s">
        <v>95</v>
      </c>
      <c r="E932" s="2" t="s">
        <v>18</v>
      </c>
      <c r="F932" s="2">
        <v>1934.52</v>
      </c>
      <c r="G932" s="2">
        <v>101.27</v>
      </c>
      <c r="H932" s="2" t="s">
        <v>28</v>
      </c>
      <c r="I932" s="2" t="s">
        <v>20</v>
      </c>
    </row>
    <row r="933" spans="1:9" x14ac:dyDescent="0.35">
      <c r="A933" s="2" t="s">
        <v>969</v>
      </c>
      <c r="B933" s="3">
        <v>44632</v>
      </c>
      <c r="C933" s="2" t="s">
        <v>10</v>
      </c>
      <c r="D933" s="2" t="s">
        <v>11</v>
      </c>
      <c r="E933" s="2" t="s">
        <v>12</v>
      </c>
      <c r="F933" s="2">
        <v>598.84</v>
      </c>
      <c r="G933" s="2">
        <v>68.13</v>
      </c>
      <c r="H933" s="2" t="s">
        <v>28</v>
      </c>
      <c r="I933" s="2" t="s">
        <v>14</v>
      </c>
    </row>
    <row r="934" spans="1:9" x14ac:dyDescent="0.35">
      <c r="A934" s="2" t="s">
        <v>970</v>
      </c>
      <c r="B934" s="3">
        <v>45414</v>
      </c>
      <c r="C934" s="2" t="s">
        <v>22</v>
      </c>
      <c r="D934" s="2" t="s">
        <v>33</v>
      </c>
      <c r="E934" s="2" t="s">
        <v>18</v>
      </c>
      <c r="F934" s="2">
        <v>1876.72</v>
      </c>
      <c r="G934" s="2">
        <v>312.02</v>
      </c>
      <c r="H934" s="2" t="s">
        <v>13</v>
      </c>
      <c r="I934" s="2" t="s">
        <v>34</v>
      </c>
    </row>
    <row r="935" spans="1:9" x14ac:dyDescent="0.35">
      <c r="A935" s="2" t="s">
        <v>971</v>
      </c>
      <c r="B935" s="3">
        <v>44973</v>
      </c>
      <c r="C935" s="2" t="s">
        <v>22</v>
      </c>
      <c r="D935" s="2" t="s">
        <v>95</v>
      </c>
      <c r="E935" s="2" t="s">
        <v>18</v>
      </c>
      <c r="F935" s="2">
        <v>356.04</v>
      </c>
      <c r="G935" s="2">
        <v>80.819999999999993</v>
      </c>
      <c r="H935" s="2" t="s">
        <v>13</v>
      </c>
      <c r="I935" s="2" t="s">
        <v>29</v>
      </c>
    </row>
    <row r="936" spans="1:9" x14ac:dyDescent="0.35">
      <c r="A936" s="2" t="s">
        <v>972</v>
      </c>
      <c r="B936" s="3">
        <v>44801</v>
      </c>
      <c r="C936" s="2" t="s">
        <v>25</v>
      </c>
      <c r="D936" s="2" t="s">
        <v>33</v>
      </c>
      <c r="E936" s="2" t="s">
        <v>18</v>
      </c>
      <c r="F936" s="2">
        <v>1302.56</v>
      </c>
      <c r="G936" s="2">
        <v>145.79</v>
      </c>
      <c r="H936" s="2" t="s">
        <v>28</v>
      </c>
      <c r="I936" s="2" t="s">
        <v>34</v>
      </c>
    </row>
    <row r="937" spans="1:9" x14ac:dyDescent="0.35">
      <c r="A937" s="2" t="s">
        <v>973</v>
      </c>
      <c r="B937" s="3">
        <v>45633</v>
      </c>
      <c r="C937" s="2" t="s">
        <v>16</v>
      </c>
      <c r="D937" s="2" t="s">
        <v>50</v>
      </c>
      <c r="E937" s="2" t="s">
        <v>12</v>
      </c>
      <c r="F937" s="2">
        <v>376.17</v>
      </c>
      <c r="G937" s="2">
        <v>52.67</v>
      </c>
      <c r="H937" s="2" t="s">
        <v>13</v>
      </c>
      <c r="I937" s="2" t="s">
        <v>34</v>
      </c>
    </row>
    <row r="938" spans="1:9" x14ac:dyDescent="0.35">
      <c r="A938" s="2" t="s">
        <v>974</v>
      </c>
      <c r="B938" s="3">
        <v>45297</v>
      </c>
      <c r="C938" s="2" t="s">
        <v>25</v>
      </c>
      <c r="D938" s="2" t="s">
        <v>57</v>
      </c>
      <c r="E938" s="2" t="s">
        <v>27</v>
      </c>
      <c r="F938" s="2">
        <v>196.02</v>
      </c>
      <c r="G938" s="2">
        <v>40.46</v>
      </c>
      <c r="H938" s="2" t="s">
        <v>28</v>
      </c>
      <c r="I938" s="2" t="s">
        <v>14</v>
      </c>
    </row>
    <row r="939" spans="1:9" x14ac:dyDescent="0.35">
      <c r="A939" s="2" t="s">
        <v>975</v>
      </c>
      <c r="B939" s="3">
        <v>44981</v>
      </c>
      <c r="C939" s="2" t="s">
        <v>25</v>
      </c>
      <c r="D939" s="2" t="s">
        <v>38</v>
      </c>
      <c r="E939" s="2" t="s">
        <v>12</v>
      </c>
      <c r="F939" s="2">
        <v>1565.24</v>
      </c>
      <c r="G939" s="2">
        <v>283.69</v>
      </c>
      <c r="H939" s="2" t="s">
        <v>28</v>
      </c>
      <c r="I939" s="2" t="s">
        <v>14</v>
      </c>
    </row>
    <row r="940" spans="1:9" x14ac:dyDescent="0.35">
      <c r="A940" s="2" t="s">
        <v>976</v>
      </c>
      <c r="B940" s="3">
        <v>45164</v>
      </c>
      <c r="C940" s="2" t="s">
        <v>16</v>
      </c>
      <c r="D940" s="2" t="s">
        <v>97</v>
      </c>
      <c r="E940" s="2" t="s">
        <v>27</v>
      </c>
      <c r="F940" s="2">
        <v>213.83</v>
      </c>
      <c r="G940" s="2">
        <v>37.659999999999997</v>
      </c>
      <c r="H940" s="2" t="s">
        <v>19</v>
      </c>
      <c r="I940" s="2" t="s">
        <v>29</v>
      </c>
    </row>
    <row r="941" spans="1:9" x14ac:dyDescent="0.35">
      <c r="A941" s="2" t="s">
        <v>977</v>
      </c>
      <c r="B941" s="3">
        <v>45649</v>
      </c>
      <c r="C941" s="2" t="s">
        <v>22</v>
      </c>
      <c r="D941" s="2" t="s">
        <v>17</v>
      </c>
      <c r="E941" s="2" t="s">
        <v>18</v>
      </c>
      <c r="F941" s="2">
        <v>1421.42</v>
      </c>
      <c r="G941" s="2">
        <v>208.16</v>
      </c>
      <c r="H941" s="2" t="s">
        <v>19</v>
      </c>
      <c r="I941" s="2" t="s">
        <v>29</v>
      </c>
    </row>
    <row r="942" spans="1:9" x14ac:dyDescent="0.35">
      <c r="A942" s="2" t="s">
        <v>978</v>
      </c>
      <c r="B942" s="3">
        <v>45612</v>
      </c>
      <c r="C942" s="2" t="s">
        <v>25</v>
      </c>
      <c r="D942" s="2" t="s">
        <v>33</v>
      </c>
      <c r="E942" s="2" t="s">
        <v>18</v>
      </c>
      <c r="F942" s="2">
        <v>1948.25</v>
      </c>
      <c r="G942" s="2">
        <v>161.94999999999999</v>
      </c>
      <c r="H942" s="2" t="s">
        <v>13</v>
      </c>
      <c r="I942" s="2" t="s">
        <v>14</v>
      </c>
    </row>
    <row r="943" spans="1:9" x14ac:dyDescent="0.35">
      <c r="A943" s="2" t="s">
        <v>979</v>
      </c>
      <c r="B943" s="3">
        <v>45580</v>
      </c>
      <c r="C943" s="2" t="s">
        <v>22</v>
      </c>
      <c r="D943" s="2" t="s">
        <v>62</v>
      </c>
      <c r="E943" s="2" t="s">
        <v>27</v>
      </c>
      <c r="F943" s="2">
        <v>83.35</v>
      </c>
      <c r="G943" s="2">
        <v>11.85</v>
      </c>
      <c r="H943" s="2" t="s">
        <v>13</v>
      </c>
      <c r="I943" s="2" t="s">
        <v>14</v>
      </c>
    </row>
    <row r="944" spans="1:9" x14ac:dyDescent="0.35">
      <c r="A944" s="2" t="s">
        <v>980</v>
      </c>
      <c r="B944" s="3">
        <v>45376</v>
      </c>
      <c r="C944" s="2" t="s">
        <v>10</v>
      </c>
      <c r="D944" s="2" t="s">
        <v>97</v>
      </c>
      <c r="E944" s="2" t="s">
        <v>27</v>
      </c>
      <c r="F944" s="2">
        <v>242.96</v>
      </c>
      <c r="G944" s="2">
        <v>64.959999999999994</v>
      </c>
      <c r="H944" s="2" t="s">
        <v>19</v>
      </c>
      <c r="I944" s="2" t="s">
        <v>34</v>
      </c>
    </row>
    <row r="945" spans="1:9" x14ac:dyDescent="0.35">
      <c r="A945" s="2" t="s">
        <v>981</v>
      </c>
      <c r="B945" s="3">
        <v>44795</v>
      </c>
      <c r="C945" s="2" t="s">
        <v>16</v>
      </c>
      <c r="D945" s="2" t="s">
        <v>23</v>
      </c>
      <c r="E945" s="2" t="s">
        <v>18</v>
      </c>
      <c r="F945" s="2">
        <v>52.25</v>
      </c>
      <c r="G945" s="2">
        <v>6.3</v>
      </c>
      <c r="H945" s="2" t="s">
        <v>28</v>
      </c>
      <c r="I945" s="2" t="s">
        <v>14</v>
      </c>
    </row>
    <row r="946" spans="1:9" x14ac:dyDescent="0.35">
      <c r="A946" s="2" t="s">
        <v>982</v>
      </c>
      <c r="B946" s="3">
        <v>44967</v>
      </c>
      <c r="C946" s="2" t="s">
        <v>25</v>
      </c>
      <c r="D946" s="2" t="s">
        <v>38</v>
      </c>
      <c r="E946" s="2" t="s">
        <v>12</v>
      </c>
      <c r="F946" s="2">
        <v>1337.12</v>
      </c>
      <c r="G946" s="2">
        <v>117.27</v>
      </c>
      <c r="H946" s="2" t="s">
        <v>19</v>
      </c>
      <c r="I946" s="2" t="s">
        <v>34</v>
      </c>
    </row>
    <row r="947" spans="1:9" x14ac:dyDescent="0.35">
      <c r="A947" s="2" t="s">
        <v>983</v>
      </c>
      <c r="B947" s="3">
        <v>44953</v>
      </c>
      <c r="C947" s="2" t="s">
        <v>16</v>
      </c>
      <c r="D947" s="2" t="s">
        <v>41</v>
      </c>
      <c r="E947" s="2" t="s">
        <v>12</v>
      </c>
      <c r="F947" s="2">
        <v>650.29999999999995</v>
      </c>
      <c r="G947" s="2">
        <v>177.53</v>
      </c>
      <c r="H947" s="2" t="s">
        <v>13</v>
      </c>
      <c r="I947" s="2" t="s">
        <v>29</v>
      </c>
    </row>
    <row r="948" spans="1:9" x14ac:dyDescent="0.35">
      <c r="A948" s="2" t="s">
        <v>984</v>
      </c>
      <c r="B948" s="3">
        <v>45237</v>
      </c>
      <c r="C948" s="2" t="s">
        <v>25</v>
      </c>
      <c r="D948" s="2" t="s">
        <v>23</v>
      </c>
      <c r="E948" s="2" t="s">
        <v>18</v>
      </c>
      <c r="F948" s="2">
        <v>757.42</v>
      </c>
      <c r="G948" s="2">
        <v>166.5</v>
      </c>
      <c r="H948" s="2" t="s">
        <v>19</v>
      </c>
      <c r="I948" s="2" t="s">
        <v>20</v>
      </c>
    </row>
    <row r="949" spans="1:9" x14ac:dyDescent="0.35">
      <c r="A949" s="2" t="s">
        <v>985</v>
      </c>
      <c r="B949" s="3">
        <v>44562</v>
      </c>
      <c r="C949" s="2" t="s">
        <v>25</v>
      </c>
      <c r="D949" s="2" t="s">
        <v>17</v>
      </c>
      <c r="E949" s="2" t="s">
        <v>18</v>
      </c>
      <c r="F949" s="2">
        <v>1244.73</v>
      </c>
      <c r="G949" s="2">
        <v>155.27000000000001</v>
      </c>
      <c r="H949" s="2" t="s">
        <v>28</v>
      </c>
      <c r="I949" s="2" t="s">
        <v>29</v>
      </c>
    </row>
    <row r="950" spans="1:9" x14ac:dyDescent="0.35">
      <c r="A950" s="2" t="s">
        <v>986</v>
      </c>
      <c r="B950" s="3">
        <v>45183</v>
      </c>
      <c r="C950" s="2" t="s">
        <v>22</v>
      </c>
      <c r="D950" s="2" t="s">
        <v>17</v>
      </c>
      <c r="E950" s="2" t="s">
        <v>18</v>
      </c>
      <c r="F950" s="2">
        <v>654.99</v>
      </c>
      <c r="G950" s="2">
        <v>174.9</v>
      </c>
      <c r="H950" s="2" t="s">
        <v>19</v>
      </c>
      <c r="I950" s="2" t="s">
        <v>20</v>
      </c>
    </row>
    <row r="951" spans="1:9" x14ac:dyDescent="0.35">
      <c r="A951" s="2" t="s">
        <v>987</v>
      </c>
      <c r="B951" s="3">
        <v>44740</v>
      </c>
      <c r="C951" s="2" t="s">
        <v>16</v>
      </c>
      <c r="D951" s="2" t="s">
        <v>11</v>
      </c>
      <c r="E951" s="2" t="s">
        <v>12</v>
      </c>
      <c r="F951" s="2">
        <v>1265.7</v>
      </c>
      <c r="G951" s="2">
        <v>236.12</v>
      </c>
      <c r="H951" s="2" t="s">
        <v>28</v>
      </c>
      <c r="I951" s="2" t="s">
        <v>14</v>
      </c>
    </row>
    <row r="952" spans="1:9" x14ac:dyDescent="0.35">
      <c r="A952" s="2" t="s">
        <v>988</v>
      </c>
      <c r="B952" s="3">
        <v>45152</v>
      </c>
      <c r="C952" s="2" t="s">
        <v>10</v>
      </c>
      <c r="D952" s="2" t="s">
        <v>62</v>
      </c>
      <c r="E952" s="2" t="s">
        <v>27</v>
      </c>
      <c r="F952" s="2">
        <v>1051.1500000000001</v>
      </c>
      <c r="G952" s="2">
        <v>238.92</v>
      </c>
      <c r="H952" s="2" t="s">
        <v>19</v>
      </c>
      <c r="I952" s="2" t="s">
        <v>29</v>
      </c>
    </row>
    <row r="953" spans="1:9" x14ac:dyDescent="0.35">
      <c r="A953" s="2" t="s">
        <v>989</v>
      </c>
      <c r="B953" s="3">
        <v>45013</v>
      </c>
      <c r="C953" s="2" t="s">
        <v>10</v>
      </c>
      <c r="D953" s="2" t="s">
        <v>62</v>
      </c>
      <c r="E953" s="2" t="s">
        <v>27</v>
      </c>
      <c r="F953" s="2">
        <v>1648.05</v>
      </c>
      <c r="G953" s="2">
        <v>103.59</v>
      </c>
      <c r="H953" s="2" t="s">
        <v>13</v>
      </c>
      <c r="I953" s="2" t="s">
        <v>34</v>
      </c>
    </row>
    <row r="954" spans="1:9" x14ac:dyDescent="0.35">
      <c r="A954" s="2" t="s">
        <v>990</v>
      </c>
      <c r="B954" s="3">
        <v>44842</v>
      </c>
      <c r="C954" s="2" t="s">
        <v>25</v>
      </c>
      <c r="D954" s="2" t="s">
        <v>97</v>
      </c>
      <c r="E954" s="2" t="s">
        <v>27</v>
      </c>
      <c r="F954" s="2">
        <v>615.82000000000005</v>
      </c>
      <c r="G954" s="2">
        <v>159.16</v>
      </c>
      <c r="H954" s="2" t="s">
        <v>28</v>
      </c>
      <c r="I954" s="2" t="s">
        <v>14</v>
      </c>
    </row>
    <row r="955" spans="1:9" x14ac:dyDescent="0.35">
      <c r="A955" s="2" t="s">
        <v>991</v>
      </c>
      <c r="B955" s="3">
        <v>45062</v>
      </c>
      <c r="C955" s="2" t="s">
        <v>25</v>
      </c>
      <c r="D955" s="2" t="s">
        <v>38</v>
      </c>
      <c r="E955" s="2" t="s">
        <v>12</v>
      </c>
      <c r="F955" s="2">
        <v>1482.84</v>
      </c>
      <c r="G955" s="2">
        <v>106.55</v>
      </c>
      <c r="H955" s="2" t="s">
        <v>28</v>
      </c>
      <c r="I955" s="2" t="s">
        <v>29</v>
      </c>
    </row>
    <row r="956" spans="1:9" x14ac:dyDescent="0.35">
      <c r="A956" s="2" t="s">
        <v>992</v>
      </c>
      <c r="B956" s="3">
        <v>45124</v>
      </c>
      <c r="C956" s="2" t="s">
        <v>10</v>
      </c>
      <c r="D956" s="2" t="s">
        <v>11</v>
      </c>
      <c r="E956" s="2" t="s">
        <v>12</v>
      </c>
      <c r="F956" s="2">
        <v>325.26</v>
      </c>
      <c r="G956" s="2">
        <v>21.29</v>
      </c>
      <c r="H956" s="2" t="s">
        <v>28</v>
      </c>
      <c r="I956" s="2" t="s">
        <v>34</v>
      </c>
    </row>
    <row r="957" spans="1:9" x14ac:dyDescent="0.35">
      <c r="A957" s="2" t="s">
        <v>993</v>
      </c>
      <c r="B957" s="3">
        <v>45004</v>
      </c>
      <c r="C957" s="2" t="s">
        <v>16</v>
      </c>
      <c r="D957" s="2" t="s">
        <v>95</v>
      </c>
      <c r="E957" s="2" t="s">
        <v>18</v>
      </c>
      <c r="F957" s="2">
        <v>640.5</v>
      </c>
      <c r="G957" s="2">
        <v>99.74</v>
      </c>
      <c r="H957" s="2" t="s">
        <v>28</v>
      </c>
      <c r="I957" s="2" t="s">
        <v>34</v>
      </c>
    </row>
    <row r="958" spans="1:9" x14ac:dyDescent="0.35">
      <c r="A958" s="2" t="s">
        <v>994</v>
      </c>
      <c r="B958" s="3">
        <v>45397</v>
      </c>
      <c r="C958" s="2" t="s">
        <v>25</v>
      </c>
      <c r="D958" s="2" t="s">
        <v>50</v>
      </c>
      <c r="E958" s="2" t="s">
        <v>12</v>
      </c>
      <c r="F958" s="2">
        <v>1086.26</v>
      </c>
      <c r="G958" s="2">
        <v>236.78</v>
      </c>
      <c r="H958" s="2" t="s">
        <v>19</v>
      </c>
      <c r="I958" s="2" t="s">
        <v>14</v>
      </c>
    </row>
    <row r="959" spans="1:9" x14ac:dyDescent="0.35">
      <c r="A959" s="2" t="s">
        <v>995</v>
      </c>
      <c r="B959" s="3">
        <v>44579</v>
      </c>
      <c r="C959" s="2" t="s">
        <v>10</v>
      </c>
      <c r="D959" s="2" t="s">
        <v>62</v>
      </c>
      <c r="E959" s="2" t="s">
        <v>27</v>
      </c>
      <c r="F959" s="2">
        <v>79.95</v>
      </c>
      <c r="G959" s="2">
        <v>6</v>
      </c>
      <c r="H959" s="2" t="s">
        <v>13</v>
      </c>
      <c r="I959" s="2" t="s">
        <v>20</v>
      </c>
    </row>
    <row r="960" spans="1:9" x14ac:dyDescent="0.35">
      <c r="A960" s="2" t="s">
        <v>996</v>
      </c>
      <c r="B960" s="3">
        <v>44977</v>
      </c>
      <c r="C960" s="2" t="s">
        <v>25</v>
      </c>
      <c r="D960" s="2" t="s">
        <v>50</v>
      </c>
      <c r="E960" s="2" t="s">
        <v>12</v>
      </c>
      <c r="F960" s="2">
        <v>769.24</v>
      </c>
      <c r="G960" s="2">
        <v>73.22</v>
      </c>
      <c r="H960" s="2" t="s">
        <v>28</v>
      </c>
      <c r="I960" s="2" t="s">
        <v>14</v>
      </c>
    </row>
    <row r="961" spans="1:9" x14ac:dyDescent="0.35">
      <c r="A961" s="2" t="s">
        <v>997</v>
      </c>
      <c r="B961" s="3">
        <v>44983</v>
      </c>
      <c r="C961" s="2" t="s">
        <v>16</v>
      </c>
      <c r="D961" s="2" t="s">
        <v>31</v>
      </c>
      <c r="E961" s="2" t="s">
        <v>12</v>
      </c>
      <c r="F961" s="2">
        <v>693.99</v>
      </c>
      <c r="G961" s="2">
        <v>187.9</v>
      </c>
      <c r="H961" s="2" t="s">
        <v>19</v>
      </c>
      <c r="I961" s="2" t="s">
        <v>20</v>
      </c>
    </row>
    <row r="962" spans="1:9" x14ac:dyDescent="0.35">
      <c r="A962" s="2" t="s">
        <v>998</v>
      </c>
      <c r="B962" s="3">
        <v>45491</v>
      </c>
      <c r="C962" s="2" t="s">
        <v>25</v>
      </c>
      <c r="D962" s="2" t="s">
        <v>50</v>
      </c>
      <c r="E962" s="2" t="s">
        <v>12</v>
      </c>
      <c r="F962" s="2">
        <v>1419.33</v>
      </c>
      <c r="G962" s="2">
        <v>152.97999999999999</v>
      </c>
      <c r="H962" s="2" t="s">
        <v>13</v>
      </c>
      <c r="I962" s="2" t="s">
        <v>14</v>
      </c>
    </row>
    <row r="963" spans="1:9" x14ac:dyDescent="0.35">
      <c r="A963" s="2" t="s">
        <v>999</v>
      </c>
      <c r="B963" s="3">
        <v>45342</v>
      </c>
      <c r="C963" s="2" t="s">
        <v>22</v>
      </c>
      <c r="D963" s="2" t="s">
        <v>31</v>
      </c>
      <c r="E963" s="2" t="s">
        <v>12</v>
      </c>
      <c r="F963" s="2">
        <v>265.93</v>
      </c>
      <c r="G963" s="2">
        <v>16.38</v>
      </c>
      <c r="H963" s="2" t="s">
        <v>28</v>
      </c>
      <c r="I963" s="2" t="s">
        <v>29</v>
      </c>
    </row>
    <row r="964" spans="1:9" x14ac:dyDescent="0.35">
      <c r="A964" s="2" t="s">
        <v>1000</v>
      </c>
      <c r="B964" s="3">
        <v>45065</v>
      </c>
      <c r="C964" s="2" t="s">
        <v>10</v>
      </c>
      <c r="D964" s="2" t="s">
        <v>38</v>
      </c>
      <c r="E964" s="2" t="s">
        <v>12</v>
      </c>
      <c r="F964" s="2">
        <v>1277.75</v>
      </c>
      <c r="G964" s="2">
        <v>195.36</v>
      </c>
      <c r="H964" s="2" t="s">
        <v>13</v>
      </c>
      <c r="I964" s="2" t="s">
        <v>14</v>
      </c>
    </row>
    <row r="965" spans="1:9" x14ac:dyDescent="0.35">
      <c r="A965" s="2" t="s">
        <v>1001</v>
      </c>
      <c r="B965" s="3">
        <v>44625</v>
      </c>
      <c r="C965" s="2" t="s">
        <v>22</v>
      </c>
      <c r="D965" s="2" t="s">
        <v>33</v>
      </c>
      <c r="E965" s="2" t="s">
        <v>18</v>
      </c>
      <c r="F965" s="2">
        <v>521.82000000000005</v>
      </c>
      <c r="G965" s="2">
        <v>69.900000000000006</v>
      </c>
      <c r="H965" s="2" t="s">
        <v>13</v>
      </c>
      <c r="I965" s="2" t="s">
        <v>34</v>
      </c>
    </row>
    <row r="966" spans="1:9" x14ac:dyDescent="0.35">
      <c r="A966" s="2" t="s">
        <v>1002</v>
      </c>
      <c r="B966" s="3">
        <v>44572</v>
      </c>
      <c r="C966" s="2" t="s">
        <v>22</v>
      </c>
      <c r="D966" s="2" t="s">
        <v>95</v>
      </c>
      <c r="E966" s="2" t="s">
        <v>18</v>
      </c>
      <c r="F966" s="2">
        <v>595.25</v>
      </c>
      <c r="G966" s="2">
        <v>140.94999999999999</v>
      </c>
      <c r="H966" s="2" t="s">
        <v>13</v>
      </c>
      <c r="I966" s="2" t="s">
        <v>29</v>
      </c>
    </row>
    <row r="967" spans="1:9" x14ac:dyDescent="0.35">
      <c r="A967" s="2" t="s">
        <v>1003</v>
      </c>
      <c r="B967" s="3">
        <v>45616</v>
      </c>
      <c r="C967" s="2" t="s">
        <v>10</v>
      </c>
      <c r="D967" s="2" t="s">
        <v>41</v>
      </c>
      <c r="E967" s="2" t="s">
        <v>12</v>
      </c>
      <c r="F967" s="2">
        <v>551.89</v>
      </c>
      <c r="G967" s="2">
        <v>146.88</v>
      </c>
      <c r="H967" s="2" t="s">
        <v>28</v>
      </c>
      <c r="I967" s="2" t="s">
        <v>29</v>
      </c>
    </row>
    <row r="968" spans="1:9" x14ac:dyDescent="0.35">
      <c r="A968" s="2" t="s">
        <v>1004</v>
      </c>
      <c r="B968" s="3">
        <v>44751</v>
      </c>
      <c r="C968" s="2" t="s">
        <v>10</v>
      </c>
      <c r="D968" s="2" t="s">
        <v>46</v>
      </c>
      <c r="E968" s="2" t="s">
        <v>18</v>
      </c>
      <c r="F968" s="2">
        <v>1160.47</v>
      </c>
      <c r="G968" s="2">
        <v>152.37</v>
      </c>
      <c r="H968" s="2" t="s">
        <v>28</v>
      </c>
      <c r="I968" s="2" t="s">
        <v>34</v>
      </c>
    </row>
    <row r="969" spans="1:9" x14ac:dyDescent="0.35">
      <c r="A969" s="2" t="s">
        <v>1005</v>
      </c>
      <c r="B969" s="3">
        <v>45401</v>
      </c>
      <c r="C969" s="2" t="s">
        <v>22</v>
      </c>
      <c r="D969" s="2" t="s">
        <v>97</v>
      </c>
      <c r="E969" s="2" t="s">
        <v>27</v>
      </c>
      <c r="F969" s="2">
        <v>1361.41</v>
      </c>
      <c r="G969" s="2">
        <v>188.7</v>
      </c>
      <c r="H969" s="2" t="s">
        <v>13</v>
      </c>
      <c r="I969" s="2" t="s">
        <v>14</v>
      </c>
    </row>
    <row r="970" spans="1:9" x14ac:dyDescent="0.35">
      <c r="A970" s="2" t="s">
        <v>1006</v>
      </c>
      <c r="B970" s="3">
        <v>44708</v>
      </c>
      <c r="C970" s="2" t="s">
        <v>10</v>
      </c>
      <c r="D970" s="2" t="s">
        <v>62</v>
      </c>
      <c r="E970" s="2" t="s">
        <v>27</v>
      </c>
      <c r="F970" s="2">
        <v>860.23</v>
      </c>
      <c r="G970" s="2">
        <v>154.49</v>
      </c>
      <c r="H970" s="2" t="s">
        <v>13</v>
      </c>
      <c r="I970" s="2" t="s">
        <v>14</v>
      </c>
    </row>
    <row r="971" spans="1:9" x14ac:dyDescent="0.35">
      <c r="A971" s="2" t="s">
        <v>1007</v>
      </c>
      <c r="B971" s="3">
        <v>45060</v>
      </c>
      <c r="C971" s="2" t="s">
        <v>25</v>
      </c>
      <c r="D971" s="2" t="s">
        <v>57</v>
      </c>
      <c r="E971" s="2" t="s">
        <v>27</v>
      </c>
      <c r="F971" s="2">
        <v>1266.3699999999999</v>
      </c>
      <c r="G971" s="2">
        <v>289.27</v>
      </c>
      <c r="H971" s="2" t="s">
        <v>13</v>
      </c>
      <c r="I971" s="2" t="s">
        <v>20</v>
      </c>
    </row>
    <row r="972" spans="1:9" x14ac:dyDescent="0.35">
      <c r="A972" s="2" t="s">
        <v>1008</v>
      </c>
      <c r="B972" s="3">
        <v>45432</v>
      </c>
      <c r="C972" s="2" t="s">
        <v>10</v>
      </c>
      <c r="D972" s="2" t="s">
        <v>26</v>
      </c>
      <c r="E972" s="2" t="s">
        <v>27</v>
      </c>
      <c r="F972" s="2">
        <v>1365.01</v>
      </c>
      <c r="G972" s="2">
        <v>285.68</v>
      </c>
      <c r="H972" s="2" t="s">
        <v>13</v>
      </c>
      <c r="I972" s="2" t="s">
        <v>14</v>
      </c>
    </row>
    <row r="973" spans="1:9" x14ac:dyDescent="0.35">
      <c r="A973" s="2" t="s">
        <v>1009</v>
      </c>
      <c r="B973" s="3">
        <v>45628</v>
      </c>
      <c r="C973" s="2" t="s">
        <v>25</v>
      </c>
      <c r="D973" s="2" t="s">
        <v>17</v>
      </c>
      <c r="E973" s="2" t="s">
        <v>18</v>
      </c>
      <c r="F973" s="2">
        <v>1962.08</v>
      </c>
      <c r="G973" s="2">
        <v>255.01</v>
      </c>
      <c r="H973" s="2" t="s">
        <v>28</v>
      </c>
      <c r="I973" s="2" t="s">
        <v>29</v>
      </c>
    </row>
    <row r="974" spans="1:9" x14ac:dyDescent="0.35">
      <c r="A974" s="2" t="s">
        <v>1010</v>
      </c>
      <c r="B974" s="3">
        <v>45288</v>
      </c>
      <c r="C974" s="2" t="s">
        <v>16</v>
      </c>
      <c r="D974" s="2" t="s">
        <v>97</v>
      </c>
      <c r="E974" s="2" t="s">
        <v>27</v>
      </c>
      <c r="F974" s="2">
        <v>509.33</v>
      </c>
      <c r="G974" s="2">
        <v>35.18</v>
      </c>
      <c r="H974" s="2" t="s">
        <v>13</v>
      </c>
      <c r="I974" s="2" t="s">
        <v>29</v>
      </c>
    </row>
    <row r="975" spans="1:9" x14ac:dyDescent="0.35">
      <c r="A975" s="2" t="s">
        <v>1011</v>
      </c>
      <c r="B975" s="3">
        <v>45435</v>
      </c>
      <c r="C975" s="2" t="s">
        <v>25</v>
      </c>
      <c r="D975" s="2" t="s">
        <v>62</v>
      </c>
      <c r="E975" s="2" t="s">
        <v>27</v>
      </c>
      <c r="F975" s="2">
        <v>1114.8900000000001</v>
      </c>
      <c r="G975" s="2">
        <v>254.9</v>
      </c>
      <c r="H975" s="2" t="s">
        <v>28</v>
      </c>
      <c r="I975" s="2" t="s">
        <v>34</v>
      </c>
    </row>
    <row r="976" spans="1:9" x14ac:dyDescent="0.35">
      <c r="A976" s="2" t="s">
        <v>1012</v>
      </c>
      <c r="B976" s="3">
        <v>44649</v>
      </c>
      <c r="C976" s="2" t="s">
        <v>10</v>
      </c>
      <c r="D976" s="2" t="s">
        <v>62</v>
      </c>
      <c r="E976" s="2" t="s">
        <v>27</v>
      </c>
      <c r="F976" s="2">
        <v>1750.65</v>
      </c>
      <c r="G976" s="2">
        <v>400.12</v>
      </c>
      <c r="H976" s="2" t="s">
        <v>28</v>
      </c>
      <c r="I976" s="2" t="s">
        <v>34</v>
      </c>
    </row>
    <row r="977" spans="1:9" x14ac:dyDescent="0.35">
      <c r="A977" s="2" t="s">
        <v>1013</v>
      </c>
      <c r="B977" s="3">
        <v>45547</v>
      </c>
      <c r="C977" s="2" t="s">
        <v>16</v>
      </c>
      <c r="D977" s="2" t="s">
        <v>62</v>
      </c>
      <c r="E977" s="2" t="s">
        <v>27</v>
      </c>
      <c r="F977" s="2">
        <v>1514.92</v>
      </c>
      <c r="G977" s="2">
        <v>348.65</v>
      </c>
      <c r="H977" s="2" t="s">
        <v>28</v>
      </c>
      <c r="I977" s="2" t="s">
        <v>20</v>
      </c>
    </row>
    <row r="978" spans="1:9" x14ac:dyDescent="0.35">
      <c r="A978" s="2" t="s">
        <v>1014</v>
      </c>
      <c r="B978" s="3">
        <v>45581</v>
      </c>
      <c r="C978" s="2" t="s">
        <v>16</v>
      </c>
      <c r="D978" s="2" t="s">
        <v>95</v>
      </c>
      <c r="E978" s="2" t="s">
        <v>18</v>
      </c>
      <c r="F978" s="2">
        <v>1331.2</v>
      </c>
      <c r="G978" s="2">
        <v>93.15</v>
      </c>
      <c r="H978" s="2" t="s">
        <v>13</v>
      </c>
      <c r="I978" s="2" t="s">
        <v>29</v>
      </c>
    </row>
    <row r="979" spans="1:9" x14ac:dyDescent="0.35">
      <c r="A979" s="2" t="s">
        <v>1015</v>
      </c>
      <c r="B979" s="3">
        <v>45108</v>
      </c>
      <c r="C979" s="2" t="s">
        <v>25</v>
      </c>
      <c r="D979" s="2" t="s">
        <v>50</v>
      </c>
      <c r="E979" s="2" t="s">
        <v>12</v>
      </c>
      <c r="F979" s="2">
        <v>1469.58</v>
      </c>
      <c r="G979" s="2">
        <v>371.6</v>
      </c>
      <c r="H979" s="2" t="s">
        <v>13</v>
      </c>
      <c r="I979" s="2" t="s">
        <v>29</v>
      </c>
    </row>
    <row r="980" spans="1:9" x14ac:dyDescent="0.35">
      <c r="A980" s="2" t="s">
        <v>1016</v>
      </c>
      <c r="B980" s="3">
        <v>45405</v>
      </c>
      <c r="C980" s="2" t="s">
        <v>10</v>
      </c>
      <c r="D980" s="2" t="s">
        <v>17</v>
      </c>
      <c r="E980" s="2" t="s">
        <v>18</v>
      </c>
      <c r="F980" s="2">
        <v>1025.07</v>
      </c>
      <c r="G980" s="2">
        <v>136.62</v>
      </c>
      <c r="H980" s="2" t="s">
        <v>28</v>
      </c>
      <c r="I980" s="2" t="s">
        <v>14</v>
      </c>
    </row>
    <row r="981" spans="1:9" x14ac:dyDescent="0.35">
      <c r="A981" s="2" t="s">
        <v>1017</v>
      </c>
      <c r="B981" s="3">
        <v>45346</v>
      </c>
      <c r="C981" s="2" t="s">
        <v>22</v>
      </c>
      <c r="D981" s="2" t="s">
        <v>38</v>
      </c>
      <c r="E981" s="2" t="s">
        <v>12</v>
      </c>
      <c r="F981" s="2">
        <v>1194.26</v>
      </c>
      <c r="G981" s="2">
        <v>308.39999999999998</v>
      </c>
      <c r="H981" s="2" t="s">
        <v>28</v>
      </c>
      <c r="I981" s="2" t="s">
        <v>34</v>
      </c>
    </row>
    <row r="982" spans="1:9" x14ac:dyDescent="0.35">
      <c r="A982" s="2" t="s">
        <v>1018</v>
      </c>
      <c r="B982" s="3">
        <v>45135</v>
      </c>
      <c r="C982" s="2" t="s">
        <v>10</v>
      </c>
      <c r="D982" s="2" t="s">
        <v>62</v>
      </c>
      <c r="E982" s="2" t="s">
        <v>27</v>
      </c>
      <c r="F982" s="2">
        <v>189.59</v>
      </c>
      <c r="G982" s="2">
        <v>12.89</v>
      </c>
      <c r="H982" s="2" t="s">
        <v>28</v>
      </c>
      <c r="I982" s="2" t="s">
        <v>20</v>
      </c>
    </row>
    <row r="983" spans="1:9" x14ac:dyDescent="0.35">
      <c r="A983" s="2" t="s">
        <v>1019</v>
      </c>
      <c r="B983" s="3">
        <v>45014</v>
      </c>
      <c r="C983" s="2" t="s">
        <v>22</v>
      </c>
      <c r="D983" s="2" t="s">
        <v>57</v>
      </c>
      <c r="E983" s="2" t="s">
        <v>27</v>
      </c>
      <c r="F983" s="2">
        <v>73.89</v>
      </c>
      <c r="G983" s="2">
        <v>16.98</v>
      </c>
      <c r="H983" s="2" t="s">
        <v>13</v>
      </c>
      <c r="I983" s="2" t="s">
        <v>34</v>
      </c>
    </row>
    <row r="984" spans="1:9" x14ac:dyDescent="0.35">
      <c r="A984" s="2" t="s">
        <v>1020</v>
      </c>
      <c r="B984" s="3">
        <v>45219</v>
      </c>
      <c r="C984" s="2" t="s">
        <v>10</v>
      </c>
      <c r="D984" s="2" t="s">
        <v>33</v>
      </c>
      <c r="E984" s="2" t="s">
        <v>18</v>
      </c>
      <c r="F984" s="2">
        <v>1517.84</v>
      </c>
      <c r="G984" s="2">
        <v>122.17</v>
      </c>
      <c r="H984" s="2" t="s">
        <v>28</v>
      </c>
      <c r="I984" s="2" t="s">
        <v>20</v>
      </c>
    </row>
    <row r="985" spans="1:9" x14ac:dyDescent="0.35">
      <c r="A985" s="2" t="s">
        <v>1021</v>
      </c>
      <c r="B985" s="3">
        <v>44679</v>
      </c>
      <c r="C985" s="2" t="s">
        <v>25</v>
      </c>
      <c r="D985" s="2" t="s">
        <v>33</v>
      </c>
      <c r="E985" s="2" t="s">
        <v>18</v>
      </c>
      <c r="F985" s="2">
        <v>1198.52</v>
      </c>
      <c r="G985" s="2">
        <v>270.62</v>
      </c>
      <c r="H985" s="2" t="s">
        <v>28</v>
      </c>
      <c r="I985" s="2" t="s">
        <v>14</v>
      </c>
    </row>
    <row r="986" spans="1:9" x14ac:dyDescent="0.35">
      <c r="A986" s="2" t="s">
        <v>1022</v>
      </c>
      <c r="B986" s="3">
        <v>44770</v>
      </c>
      <c r="C986" s="2" t="s">
        <v>22</v>
      </c>
      <c r="D986" s="2" t="s">
        <v>46</v>
      </c>
      <c r="E986" s="2" t="s">
        <v>18</v>
      </c>
      <c r="F986" s="2">
        <v>1694.38</v>
      </c>
      <c r="G986" s="2">
        <v>443.76</v>
      </c>
      <c r="H986" s="2" t="s">
        <v>13</v>
      </c>
      <c r="I986" s="2" t="s">
        <v>29</v>
      </c>
    </row>
    <row r="987" spans="1:9" x14ac:dyDescent="0.35">
      <c r="A987" s="2" t="s">
        <v>1023</v>
      </c>
      <c r="B987" s="3">
        <v>44603</v>
      </c>
      <c r="C987" s="2" t="s">
        <v>16</v>
      </c>
      <c r="D987" s="2" t="s">
        <v>41</v>
      </c>
      <c r="E987" s="2" t="s">
        <v>12</v>
      </c>
      <c r="F987" s="2">
        <v>1501.38</v>
      </c>
      <c r="G987" s="2">
        <v>106.89</v>
      </c>
      <c r="H987" s="2" t="s">
        <v>19</v>
      </c>
      <c r="I987" s="2" t="s">
        <v>34</v>
      </c>
    </row>
    <row r="988" spans="1:9" x14ac:dyDescent="0.35">
      <c r="A988" s="2" t="s">
        <v>1024</v>
      </c>
      <c r="B988" s="3">
        <v>45219</v>
      </c>
      <c r="C988" s="2" t="s">
        <v>25</v>
      </c>
      <c r="D988" s="2" t="s">
        <v>46</v>
      </c>
      <c r="E988" s="2" t="s">
        <v>18</v>
      </c>
      <c r="F988" s="2">
        <v>309.99</v>
      </c>
      <c r="G988" s="2">
        <v>55.7</v>
      </c>
      <c r="H988" s="2" t="s">
        <v>13</v>
      </c>
      <c r="I988" s="2" t="s">
        <v>34</v>
      </c>
    </row>
    <row r="989" spans="1:9" x14ac:dyDescent="0.35">
      <c r="A989" s="2" t="s">
        <v>1025</v>
      </c>
      <c r="B989" s="3">
        <v>45073</v>
      </c>
      <c r="C989" s="2" t="s">
        <v>22</v>
      </c>
      <c r="D989" s="2" t="s">
        <v>95</v>
      </c>
      <c r="E989" s="2" t="s">
        <v>18</v>
      </c>
      <c r="F989" s="2">
        <v>1629.95</v>
      </c>
      <c r="G989" s="2">
        <v>462.08</v>
      </c>
      <c r="H989" s="2" t="s">
        <v>19</v>
      </c>
      <c r="I989" s="2" t="s">
        <v>14</v>
      </c>
    </row>
    <row r="990" spans="1:9" x14ac:dyDescent="0.35">
      <c r="A990" s="2" t="s">
        <v>1026</v>
      </c>
      <c r="B990" s="3">
        <v>44998</v>
      </c>
      <c r="C990" s="2" t="s">
        <v>25</v>
      </c>
      <c r="D990" s="2" t="s">
        <v>17</v>
      </c>
      <c r="E990" s="2" t="s">
        <v>18</v>
      </c>
      <c r="F990" s="2">
        <v>1732.83</v>
      </c>
      <c r="G990" s="2">
        <v>180.38</v>
      </c>
      <c r="H990" s="2" t="s">
        <v>19</v>
      </c>
      <c r="I990" s="2" t="s">
        <v>34</v>
      </c>
    </row>
    <row r="991" spans="1:9" x14ac:dyDescent="0.35">
      <c r="A991" s="2" t="s">
        <v>1027</v>
      </c>
      <c r="B991" s="3">
        <v>45512</v>
      </c>
      <c r="C991" s="2" t="s">
        <v>10</v>
      </c>
      <c r="D991" s="2" t="s">
        <v>46</v>
      </c>
      <c r="E991" s="2" t="s">
        <v>18</v>
      </c>
      <c r="F991" s="2">
        <v>1918.69</v>
      </c>
      <c r="G991" s="2">
        <v>345.86</v>
      </c>
      <c r="H991" s="2" t="s">
        <v>13</v>
      </c>
      <c r="I991" s="2" t="s">
        <v>29</v>
      </c>
    </row>
    <row r="992" spans="1:9" x14ac:dyDescent="0.35">
      <c r="A992" s="2" t="s">
        <v>1028</v>
      </c>
      <c r="B992" s="3">
        <v>45547</v>
      </c>
      <c r="C992" s="2" t="s">
        <v>16</v>
      </c>
      <c r="D992" s="2" t="s">
        <v>17</v>
      </c>
      <c r="E992" s="2" t="s">
        <v>18</v>
      </c>
      <c r="F992" s="2">
        <v>1773.86</v>
      </c>
      <c r="G992" s="2">
        <v>226.27</v>
      </c>
      <c r="H992" s="2" t="s">
        <v>13</v>
      </c>
      <c r="I992" s="2" t="s">
        <v>29</v>
      </c>
    </row>
    <row r="993" spans="1:9" x14ac:dyDescent="0.35">
      <c r="A993" s="2" t="s">
        <v>1029</v>
      </c>
      <c r="B993" s="3">
        <v>44902</v>
      </c>
      <c r="C993" s="2" t="s">
        <v>25</v>
      </c>
      <c r="D993" s="2" t="s">
        <v>73</v>
      </c>
      <c r="E993" s="2" t="s">
        <v>27</v>
      </c>
      <c r="F993" s="2">
        <v>1706.17</v>
      </c>
      <c r="G993" s="2">
        <v>424.83</v>
      </c>
      <c r="H993" s="2" t="s">
        <v>28</v>
      </c>
      <c r="I993" s="2" t="s">
        <v>20</v>
      </c>
    </row>
    <row r="994" spans="1:9" x14ac:dyDescent="0.35">
      <c r="A994" s="2" t="s">
        <v>1030</v>
      </c>
      <c r="B994" s="3">
        <v>45441</v>
      </c>
      <c r="C994" s="2" t="s">
        <v>10</v>
      </c>
      <c r="D994" s="2" t="s">
        <v>97</v>
      </c>
      <c r="E994" s="2" t="s">
        <v>27</v>
      </c>
      <c r="F994" s="2">
        <v>1252.82</v>
      </c>
      <c r="G994" s="2">
        <v>182.82</v>
      </c>
      <c r="H994" s="2" t="s">
        <v>19</v>
      </c>
      <c r="I994" s="2" t="s">
        <v>34</v>
      </c>
    </row>
    <row r="995" spans="1:9" x14ac:dyDescent="0.35">
      <c r="A995" s="2" t="s">
        <v>1031</v>
      </c>
      <c r="B995" s="3">
        <v>45427</v>
      </c>
      <c r="C995" s="2" t="s">
        <v>25</v>
      </c>
      <c r="D995" s="2" t="s">
        <v>38</v>
      </c>
      <c r="E995" s="2" t="s">
        <v>12</v>
      </c>
      <c r="F995" s="2">
        <v>1131.46</v>
      </c>
      <c r="G995" s="2">
        <v>320.89999999999998</v>
      </c>
      <c r="H995" s="2" t="s">
        <v>13</v>
      </c>
      <c r="I995" s="2" t="s">
        <v>29</v>
      </c>
    </row>
    <row r="996" spans="1:9" x14ac:dyDescent="0.35">
      <c r="A996" s="2" t="s">
        <v>1032</v>
      </c>
      <c r="B996" s="3">
        <v>44966</v>
      </c>
      <c r="C996" s="2" t="s">
        <v>10</v>
      </c>
      <c r="D996" s="2" t="s">
        <v>97</v>
      </c>
      <c r="E996" s="2" t="s">
        <v>27</v>
      </c>
      <c r="F996" s="2">
        <v>1275.04</v>
      </c>
      <c r="G996" s="2">
        <v>352.83</v>
      </c>
      <c r="H996" s="2" t="s">
        <v>13</v>
      </c>
      <c r="I996" s="2" t="s">
        <v>34</v>
      </c>
    </row>
    <row r="997" spans="1:9" x14ac:dyDescent="0.35">
      <c r="A997" s="2" t="s">
        <v>1033</v>
      </c>
      <c r="B997" s="3">
        <v>44602</v>
      </c>
      <c r="C997" s="2" t="s">
        <v>25</v>
      </c>
      <c r="D997" s="2" t="s">
        <v>41</v>
      </c>
      <c r="E997" s="2" t="s">
        <v>12</v>
      </c>
      <c r="F997" s="2">
        <v>1255.71</v>
      </c>
      <c r="G997" s="2">
        <v>346.49</v>
      </c>
      <c r="H997" s="2" t="s">
        <v>28</v>
      </c>
      <c r="I997" s="2" t="s">
        <v>29</v>
      </c>
    </row>
    <row r="998" spans="1:9" x14ac:dyDescent="0.35">
      <c r="A998" s="2" t="s">
        <v>1034</v>
      </c>
      <c r="B998" s="3">
        <v>45486</v>
      </c>
      <c r="C998" s="2" t="s">
        <v>10</v>
      </c>
      <c r="D998" s="2" t="s">
        <v>62</v>
      </c>
      <c r="E998" s="2" t="s">
        <v>27</v>
      </c>
      <c r="F998" s="2">
        <v>1995.88</v>
      </c>
      <c r="G998" s="2">
        <v>150.29</v>
      </c>
      <c r="H998" s="2" t="s">
        <v>13</v>
      </c>
      <c r="I998" s="2" t="s">
        <v>34</v>
      </c>
    </row>
    <row r="999" spans="1:9" x14ac:dyDescent="0.35">
      <c r="A999" s="2" t="s">
        <v>1035</v>
      </c>
      <c r="B999" s="3">
        <v>45638</v>
      </c>
      <c r="C999" s="2" t="s">
        <v>10</v>
      </c>
      <c r="D999" s="2" t="s">
        <v>73</v>
      </c>
      <c r="E999" s="2" t="s">
        <v>27</v>
      </c>
      <c r="F999" s="2">
        <v>143.63</v>
      </c>
      <c r="G999" s="2">
        <v>30.04</v>
      </c>
      <c r="H999" s="2" t="s">
        <v>13</v>
      </c>
      <c r="I999" s="2" t="s">
        <v>14</v>
      </c>
    </row>
    <row r="1000" spans="1:9" x14ac:dyDescent="0.35">
      <c r="A1000" s="2" t="s">
        <v>1036</v>
      </c>
      <c r="B1000" s="3">
        <v>44687</v>
      </c>
      <c r="C1000" s="2" t="s">
        <v>25</v>
      </c>
      <c r="D1000" s="2" t="s">
        <v>31</v>
      </c>
      <c r="E1000" s="2" t="s">
        <v>12</v>
      </c>
      <c r="F1000" s="2">
        <v>511.07</v>
      </c>
      <c r="G1000" s="2">
        <v>83.59</v>
      </c>
      <c r="H1000" s="2" t="s">
        <v>28</v>
      </c>
      <c r="I1000" s="2" t="s">
        <v>29</v>
      </c>
    </row>
    <row r="1001" spans="1:9" x14ac:dyDescent="0.35">
      <c r="A1001" s="2" t="s">
        <v>1037</v>
      </c>
      <c r="B1001" s="3">
        <v>45429</v>
      </c>
      <c r="C1001" s="2" t="s">
        <v>25</v>
      </c>
      <c r="D1001" s="2" t="s">
        <v>46</v>
      </c>
      <c r="E1001" s="2" t="s">
        <v>18</v>
      </c>
      <c r="F1001" s="2">
        <v>959.63</v>
      </c>
      <c r="G1001" s="2">
        <v>136.28</v>
      </c>
      <c r="H1001" s="2" t="s">
        <v>13</v>
      </c>
      <c r="I1001" s="2" t="s">
        <v>14</v>
      </c>
    </row>
    <row r="1002" spans="1:9" x14ac:dyDescent="0.35">
      <c r="A1002" s="2" t="s">
        <v>1038</v>
      </c>
      <c r="B1002" s="3">
        <v>45003</v>
      </c>
      <c r="C1002" s="2" t="s">
        <v>16</v>
      </c>
      <c r="D1002" s="2" t="s">
        <v>17</v>
      </c>
      <c r="E1002" s="2" t="s">
        <v>18</v>
      </c>
      <c r="F1002" s="2">
        <v>1621.09</v>
      </c>
      <c r="G1002" s="2">
        <v>170.78</v>
      </c>
      <c r="H1002" s="2" t="s">
        <v>28</v>
      </c>
      <c r="I1002" s="2" t="s">
        <v>29</v>
      </c>
    </row>
    <row r="1003" spans="1:9" x14ac:dyDescent="0.35">
      <c r="A1003" s="2" t="s">
        <v>1039</v>
      </c>
      <c r="B1003" s="3">
        <v>44932</v>
      </c>
      <c r="C1003" s="2" t="s">
        <v>16</v>
      </c>
      <c r="D1003" s="2" t="s">
        <v>62</v>
      </c>
      <c r="E1003" s="2" t="s">
        <v>27</v>
      </c>
      <c r="F1003" s="2">
        <v>1648.41</v>
      </c>
      <c r="G1003" s="2">
        <v>118.71</v>
      </c>
      <c r="H1003" s="2" t="s">
        <v>13</v>
      </c>
      <c r="I1003" s="2" t="s">
        <v>29</v>
      </c>
    </row>
    <row r="1004" spans="1:9" x14ac:dyDescent="0.35">
      <c r="A1004" s="2" t="s">
        <v>1040</v>
      </c>
      <c r="B1004" s="3">
        <v>45457</v>
      </c>
      <c r="C1004" s="2" t="s">
        <v>25</v>
      </c>
      <c r="D1004" s="2" t="s">
        <v>46</v>
      </c>
      <c r="E1004" s="2" t="s">
        <v>18</v>
      </c>
      <c r="F1004" s="2">
        <v>1203.6600000000001</v>
      </c>
      <c r="G1004" s="2">
        <v>124.65</v>
      </c>
      <c r="H1004" s="2" t="s">
        <v>13</v>
      </c>
      <c r="I1004" s="2" t="s">
        <v>14</v>
      </c>
    </row>
    <row r="1005" spans="1:9" x14ac:dyDescent="0.35">
      <c r="A1005" s="2" t="s">
        <v>1041</v>
      </c>
      <c r="B1005" s="3">
        <v>45462</v>
      </c>
      <c r="C1005" s="2" t="s">
        <v>25</v>
      </c>
      <c r="D1005" s="2" t="s">
        <v>62</v>
      </c>
      <c r="E1005" s="2" t="s">
        <v>27</v>
      </c>
      <c r="F1005" s="2">
        <v>1555.01</v>
      </c>
      <c r="G1005" s="2">
        <v>427.5</v>
      </c>
      <c r="H1005" s="2" t="s">
        <v>28</v>
      </c>
      <c r="I1005" s="2" t="s">
        <v>14</v>
      </c>
    </row>
    <row r="1006" spans="1:9" x14ac:dyDescent="0.35">
      <c r="A1006" s="2" t="s">
        <v>1042</v>
      </c>
      <c r="B1006" s="3">
        <v>44713</v>
      </c>
      <c r="C1006" s="2" t="s">
        <v>25</v>
      </c>
      <c r="D1006" s="2" t="s">
        <v>31</v>
      </c>
      <c r="E1006" s="2" t="s">
        <v>12</v>
      </c>
      <c r="F1006" s="2">
        <v>1715.87</v>
      </c>
      <c r="G1006" s="2">
        <v>482.66</v>
      </c>
      <c r="H1006" s="2" t="s">
        <v>13</v>
      </c>
      <c r="I1006" s="2" t="s">
        <v>34</v>
      </c>
    </row>
    <row r="1007" spans="1:9" x14ac:dyDescent="0.35">
      <c r="A1007" s="2" t="s">
        <v>1043</v>
      </c>
      <c r="B1007" s="3">
        <v>45240</v>
      </c>
      <c r="C1007" s="2" t="s">
        <v>10</v>
      </c>
      <c r="D1007" s="2" t="s">
        <v>50</v>
      </c>
      <c r="E1007" s="2" t="s">
        <v>12</v>
      </c>
      <c r="F1007" s="2">
        <v>301.07</v>
      </c>
      <c r="G1007" s="2">
        <v>58.13</v>
      </c>
      <c r="H1007" s="2" t="s">
        <v>28</v>
      </c>
      <c r="I1007" s="2" t="s">
        <v>20</v>
      </c>
    </row>
    <row r="1008" spans="1:9" x14ac:dyDescent="0.35">
      <c r="A1008" s="2" t="s">
        <v>1044</v>
      </c>
      <c r="B1008" s="3">
        <v>44781</v>
      </c>
      <c r="C1008" s="2" t="s">
        <v>16</v>
      </c>
      <c r="D1008" s="2" t="s">
        <v>62</v>
      </c>
      <c r="E1008" s="2" t="s">
        <v>27</v>
      </c>
      <c r="F1008" s="2">
        <v>1917.21</v>
      </c>
      <c r="G1008" s="2">
        <v>562.76</v>
      </c>
      <c r="H1008" s="2" t="s">
        <v>13</v>
      </c>
      <c r="I1008" s="2" t="s">
        <v>29</v>
      </c>
    </row>
    <row r="1009" spans="1:9" x14ac:dyDescent="0.35">
      <c r="A1009" s="2" t="s">
        <v>1045</v>
      </c>
      <c r="B1009" s="3">
        <v>45276</v>
      </c>
      <c r="C1009" s="2" t="s">
        <v>10</v>
      </c>
      <c r="D1009" s="2" t="s">
        <v>38</v>
      </c>
      <c r="E1009" s="2" t="s">
        <v>12</v>
      </c>
      <c r="F1009" s="2">
        <v>1252.31</v>
      </c>
      <c r="G1009" s="2">
        <v>263.82</v>
      </c>
      <c r="H1009" s="2" t="s">
        <v>19</v>
      </c>
      <c r="I1009" s="2" t="s">
        <v>20</v>
      </c>
    </row>
    <row r="1010" spans="1:9" x14ac:dyDescent="0.35">
      <c r="A1010" s="2" t="s">
        <v>1046</v>
      </c>
      <c r="B1010" s="3">
        <v>45622</v>
      </c>
      <c r="C1010" s="2" t="s">
        <v>22</v>
      </c>
      <c r="D1010" s="2" t="s">
        <v>95</v>
      </c>
      <c r="E1010" s="2" t="s">
        <v>18</v>
      </c>
      <c r="F1010" s="2">
        <v>404.95</v>
      </c>
      <c r="G1010" s="2">
        <v>114.74</v>
      </c>
      <c r="H1010" s="2" t="s">
        <v>13</v>
      </c>
      <c r="I1010" s="2" t="s">
        <v>14</v>
      </c>
    </row>
    <row r="1011" spans="1:9" x14ac:dyDescent="0.35">
      <c r="A1011" s="2" t="s">
        <v>1047</v>
      </c>
      <c r="B1011" s="3">
        <v>44822</v>
      </c>
      <c r="C1011" s="2" t="s">
        <v>10</v>
      </c>
      <c r="D1011" s="2" t="s">
        <v>97</v>
      </c>
      <c r="E1011" s="2" t="s">
        <v>27</v>
      </c>
      <c r="F1011" s="2">
        <v>489.89</v>
      </c>
      <c r="G1011" s="2">
        <v>75.11</v>
      </c>
      <c r="H1011" s="2" t="s">
        <v>13</v>
      </c>
      <c r="I1011" s="2" t="s">
        <v>29</v>
      </c>
    </row>
    <row r="1012" spans="1:9" x14ac:dyDescent="0.35">
      <c r="A1012" s="2" t="s">
        <v>1048</v>
      </c>
      <c r="B1012" s="3">
        <v>45311</v>
      </c>
      <c r="C1012" s="2" t="s">
        <v>16</v>
      </c>
      <c r="D1012" s="2" t="s">
        <v>50</v>
      </c>
      <c r="E1012" s="2" t="s">
        <v>12</v>
      </c>
      <c r="F1012" s="2">
        <v>582.11</v>
      </c>
      <c r="G1012" s="2">
        <v>29.88</v>
      </c>
      <c r="H1012" s="2" t="s">
        <v>13</v>
      </c>
      <c r="I1012" s="2" t="s">
        <v>34</v>
      </c>
    </row>
    <row r="1013" spans="1:9" x14ac:dyDescent="0.35">
      <c r="A1013" s="2" t="s">
        <v>1049</v>
      </c>
      <c r="B1013" s="3">
        <v>45131</v>
      </c>
      <c r="C1013" s="2" t="s">
        <v>16</v>
      </c>
      <c r="D1013" s="2" t="s">
        <v>17</v>
      </c>
      <c r="E1013" s="2" t="s">
        <v>18</v>
      </c>
      <c r="F1013" s="2">
        <v>447.61</v>
      </c>
      <c r="G1013" s="2">
        <v>54.21</v>
      </c>
      <c r="H1013" s="2" t="s">
        <v>19</v>
      </c>
      <c r="I1013" s="2" t="s">
        <v>29</v>
      </c>
    </row>
    <row r="1014" spans="1:9" x14ac:dyDescent="0.35">
      <c r="A1014" s="2" t="s">
        <v>1050</v>
      </c>
      <c r="B1014" s="3">
        <v>44627</v>
      </c>
      <c r="C1014" s="2" t="s">
        <v>25</v>
      </c>
      <c r="D1014" s="2" t="s">
        <v>50</v>
      </c>
      <c r="E1014" s="2" t="s">
        <v>12</v>
      </c>
      <c r="F1014" s="2">
        <v>581.41999999999996</v>
      </c>
      <c r="G1014" s="2">
        <v>117.42</v>
      </c>
      <c r="H1014" s="2" t="s">
        <v>19</v>
      </c>
      <c r="I1014" s="2" t="s">
        <v>14</v>
      </c>
    </row>
    <row r="1015" spans="1:9" x14ac:dyDescent="0.35">
      <c r="A1015" s="2" t="s">
        <v>1051</v>
      </c>
      <c r="B1015" s="3">
        <v>44825</v>
      </c>
      <c r="C1015" s="2" t="s">
        <v>22</v>
      </c>
      <c r="D1015" s="2" t="s">
        <v>97</v>
      </c>
      <c r="E1015" s="2" t="s">
        <v>27</v>
      </c>
      <c r="F1015" s="2">
        <v>1607.09</v>
      </c>
      <c r="G1015" s="2">
        <v>402.72</v>
      </c>
      <c r="H1015" s="2" t="s">
        <v>13</v>
      </c>
      <c r="I1015" s="2" t="s">
        <v>20</v>
      </c>
    </row>
    <row r="1016" spans="1:9" x14ac:dyDescent="0.35">
      <c r="A1016" s="2" t="s">
        <v>1052</v>
      </c>
      <c r="B1016" s="3">
        <v>44592</v>
      </c>
      <c r="C1016" s="2" t="s">
        <v>25</v>
      </c>
      <c r="D1016" s="2" t="s">
        <v>57</v>
      </c>
      <c r="E1016" s="2" t="s">
        <v>27</v>
      </c>
      <c r="F1016" s="2">
        <v>285.83</v>
      </c>
      <c r="G1016" s="2">
        <v>25.55</v>
      </c>
      <c r="H1016" s="2" t="s">
        <v>19</v>
      </c>
      <c r="I1016" s="2" t="s">
        <v>20</v>
      </c>
    </row>
    <row r="1017" spans="1:9" x14ac:dyDescent="0.35">
      <c r="A1017" s="2" t="s">
        <v>1053</v>
      </c>
      <c r="B1017" s="3">
        <v>45379</v>
      </c>
      <c r="C1017" s="2" t="s">
        <v>22</v>
      </c>
      <c r="D1017" s="2" t="s">
        <v>26</v>
      </c>
      <c r="E1017" s="2" t="s">
        <v>27</v>
      </c>
      <c r="F1017" s="2">
        <v>1421.15</v>
      </c>
      <c r="G1017" s="2">
        <v>345.03</v>
      </c>
      <c r="H1017" s="2" t="s">
        <v>13</v>
      </c>
      <c r="I1017" s="2" t="s">
        <v>14</v>
      </c>
    </row>
    <row r="1018" spans="1:9" x14ac:dyDescent="0.35">
      <c r="A1018" s="2" t="s">
        <v>1054</v>
      </c>
      <c r="B1018" s="3">
        <v>44697</v>
      </c>
      <c r="C1018" s="2" t="s">
        <v>10</v>
      </c>
      <c r="D1018" s="2" t="s">
        <v>62</v>
      </c>
      <c r="E1018" s="2" t="s">
        <v>27</v>
      </c>
      <c r="F1018" s="2">
        <v>1957.67</v>
      </c>
      <c r="G1018" s="2">
        <v>205.38</v>
      </c>
      <c r="H1018" s="2" t="s">
        <v>13</v>
      </c>
      <c r="I1018" s="2" t="s">
        <v>29</v>
      </c>
    </row>
    <row r="1019" spans="1:9" x14ac:dyDescent="0.35">
      <c r="A1019" s="2" t="s">
        <v>1055</v>
      </c>
      <c r="B1019" s="3">
        <v>45620</v>
      </c>
      <c r="C1019" s="2" t="s">
        <v>25</v>
      </c>
      <c r="D1019" s="2" t="s">
        <v>57</v>
      </c>
      <c r="E1019" s="2" t="s">
        <v>27</v>
      </c>
      <c r="F1019" s="2">
        <v>843.25</v>
      </c>
      <c r="G1019" s="2">
        <v>224.62</v>
      </c>
      <c r="H1019" s="2" t="s">
        <v>13</v>
      </c>
      <c r="I1019" s="2" t="s">
        <v>34</v>
      </c>
    </row>
    <row r="1020" spans="1:9" x14ac:dyDescent="0.35">
      <c r="A1020" s="2" t="s">
        <v>1056</v>
      </c>
      <c r="B1020" s="3">
        <v>44786</v>
      </c>
      <c r="C1020" s="2" t="s">
        <v>16</v>
      </c>
      <c r="D1020" s="2" t="s">
        <v>46</v>
      </c>
      <c r="E1020" s="2" t="s">
        <v>18</v>
      </c>
      <c r="F1020" s="2">
        <v>752.89</v>
      </c>
      <c r="G1020" s="2">
        <v>182.54</v>
      </c>
      <c r="H1020" s="2" t="s">
        <v>19</v>
      </c>
      <c r="I1020" s="2" t="s">
        <v>20</v>
      </c>
    </row>
    <row r="1021" spans="1:9" x14ac:dyDescent="0.35">
      <c r="A1021" s="2" t="s">
        <v>1057</v>
      </c>
      <c r="B1021" s="3">
        <v>44993</v>
      </c>
      <c r="C1021" s="2" t="s">
        <v>10</v>
      </c>
      <c r="D1021" s="2" t="s">
        <v>26</v>
      </c>
      <c r="E1021" s="2" t="s">
        <v>27</v>
      </c>
      <c r="F1021" s="2">
        <v>579.62</v>
      </c>
      <c r="G1021" s="2">
        <v>66.19</v>
      </c>
      <c r="H1021" s="2" t="s">
        <v>13</v>
      </c>
      <c r="I1021" s="2" t="s">
        <v>20</v>
      </c>
    </row>
    <row r="1022" spans="1:9" x14ac:dyDescent="0.35">
      <c r="A1022" s="2" t="s">
        <v>1058</v>
      </c>
      <c r="B1022" s="3">
        <v>45102</v>
      </c>
      <c r="C1022" s="2" t="s">
        <v>22</v>
      </c>
      <c r="D1022" s="2" t="s">
        <v>31</v>
      </c>
      <c r="E1022" s="2" t="s">
        <v>12</v>
      </c>
      <c r="F1022" s="2">
        <v>720.92</v>
      </c>
      <c r="G1022" s="2">
        <v>179.69</v>
      </c>
      <c r="H1022" s="2" t="s">
        <v>19</v>
      </c>
      <c r="I1022" s="2" t="s">
        <v>34</v>
      </c>
    </row>
    <row r="1023" spans="1:9" x14ac:dyDescent="0.35">
      <c r="A1023" s="2" t="s">
        <v>1059</v>
      </c>
      <c r="B1023" s="3">
        <v>45058</v>
      </c>
      <c r="C1023" s="2" t="s">
        <v>10</v>
      </c>
      <c r="D1023" s="2" t="s">
        <v>41</v>
      </c>
      <c r="E1023" s="2" t="s">
        <v>12</v>
      </c>
      <c r="F1023" s="2">
        <v>1088.4000000000001</v>
      </c>
      <c r="G1023" s="2">
        <v>173.54</v>
      </c>
      <c r="H1023" s="2" t="s">
        <v>19</v>
      </c>
      <c r="I1023" s="2" t="s">
        <v>34</v>
      </c>
    </row>
    <row r="1024" spans="1:9" x14ac:dyDescent="0.35">
      <c r="A1024" s="2" t="s">
        <v>1060</v>
      </c>
      <c r="B1024" s="3">
        <v>44985</v>
      </c>
      <c r="C1024" s="2" t="s">
        <v>10</v>
      </c>
      <c r="D1024" s="2" t="s">
        <v>73</v>
      </c>
      <c r="E1024" s="2" t="s">
        <v>27</v>
      </c>
      <c r="F1024" s="2">
        <v>654.92999999999995</v>
      </c>
      <c r="G1024" s="2">
        <v>109.05</v>
      </c>
      <c r="H1024" s="2" t="s">
        <v>28</v>
      </c>
      <c r="I1024" s="2" t="s">
        <v>20</v>
      </c>
    </row>
    <row r="1025" spans="1:9" x14ac:dyDescent="0.35">
      <c r="A1025" s="2" t="s">
        <v>1061</v>
      </c>
      <c r="B1025" s="3">
        <v>45608</v>
      </c>
      <c r="C1025" s="2" t="s">
        <v>16</v>
      </c>
      <c r="D1025" s="2" t="s">
        <v>95</v>
      </c>
      <c r="E1025" s="2" t="s">
        <v>18</v>
      </c>
      <c r="F1025" s="2">
        <v>1330.44</v>
      </c>
      <c r="G1025" s="2">
        <v>178.45</v>
      </c>
      <c r="H1025" s="2" t="s">
        <v>13</v>
      </c>
      <c r="I1025" s="2" t="s">
        <v>14</v>
      </c>
    </row>
    <row r="1026" spans="1:9" x14ac:dyDescent="0.35">
      <c r="A1026" s="2" t="s">
        <v>1062</v>
      </c>
      <c r="B1026" s="3">
        <v>45487</v>
      </c>
      <c r="C1026" s="2" t="s">
        <v>25</v>
      </c>
      <c r="D1026" s="2" t="s">
        <v>38</v>
      </c>
      <c r="E1026" s="2" t="s">
        <v>12</v>
      </c>
      <c r="F1026" s="2">
        <v>1283.8599999999999</v>
      </c>
      <c r="G1026" s="2">
        <v>282.63</v>
      </c>
      <c r="H1026" s="2" t="s">
        <v>28</v>
      </c>
      <c r="I1026" s="2" t="s">
        <v>20</v>
      </c>
    </row>
    <row r="1027" spans="1:9" x14ac:dyDescent="0.35">
      <c r="A1027" s="2" t="s">
        <v>1063</v>
      </c>
      <c r="B1027" s="3">
        <v>45522</v>
      </c>
      <c r="C1027" s="2" t="s">
        <v>16</v>
      </c>
      <c r="D1027" s="2" t="s">
        <v>31</v>
      </c>
      <c r="E1027" s="2" t="s">
        <v>12</v>
      </c>
      <c r="F1027" s="2">
        <v>207.57</v>
      </c>
      <c r="G1027" s="2">
        <v>14.29</v>
      </c>
      <c r="H1027" s="2" t="s">
        <v>13</v>
      </c>
      <c r="I1027" s="2" t="s">
        <v>20</v>
      </c>
    </row>
    <row r="1028" spans="1:9" x14ac:dyDescent="0.35">
      <c r="A1028" s="2" t="s">
        <v>1064</v>
      </c>
      <c r="B1028" s="3">
        <v>44622</v>
      </c>
      <c r="C1028" s="2" t="s">
        <v>16</v>
      </c>
      <c r="D1028" s="2" t="s">
        <v>57</v>
      </c>
      <c r="E1028" s="2" t="s">
        <v>27</v>
      </c>
      <c r="F1028" s="2">
        <v>883.51</v>
      </c>
      <c r="G1028" s="2">
        <v>133.76</v>
      </c>
      <c r="H1028" s="2" t="s">
        <v>28</v>
      </c>
      <c r="I1028" s="2" t="s">
        <v>14</v>
      </c>
    </row>
    <row r="1029" spans="1:9" x14ac:dyDescent="0.35">
      <c r="A1029" s="2" t="s">
        <v>1065</v>
      </c>
      <c r="B1029" s="3">
        <v>44794</v>
      </c>
      <c r="C1029" s="2" t="s">
        <v>10</v>
      </c>
      <c r="D1029" s="2" t="s">
        <v>73</v>
      </c>
      <c r="E1029" s="2" t="s">
        <v>27</v>
      </c>
      <c r="F1029" s="2">
        <v>1247.3699999999999</v>
      </c>
      <c r="G1029" s="2">
        <v>111.37</v>
      </c>
      <c r="H1029" s="2" t="s">
        <v>13</v>
      </c>
      <c r="I1029" s="2" t="s">
        <v>34</v>
      </c>
    </row>
    <row r="1030" spans="1:9" x14ac:dyDescent="0.35">
      <c r="A1030" s="2" t="s">
        <v>1066</v>
      </c>
      <c r="B1030" s="3">
        <v>44878</v>
      </c>
      <c r="C1030" s="2" t="s">
        <v>16</v>
      </c>
      <c r="D1030" s="2" t="s">
        <v>31</v>
      </c>
      <c r="E1030" s="2" t="s">
        <v>12</v>
      </c>
      <c r="F1030" s="2">
        <v>1529.1</v>
      </c>
      <c r="G1030" s="2">
        <v>343.61</v>
      </c>
      <c r="H1030" s="2" t="s">
        <v>13</v>
      </c>
      <c r="I1030" s="2" t="s">
        <v>14</v>
      </c>
    </row>
    <row r="1031" spans="1:9" x14ac:dyDescent="0.35">
      <c r="A1031" s="2" t="s">
        <v>1067</v>
      </c>
      <c r="B1031" s="3">
        <v>45100</v>
      </c>
      <c r="C1031" s="2" t="s">
        <v>16</v>
      </c>
      <c r="D1031" s="2" t="s">
        <v>95</v>
      </c>
      <c r="E1031" s="2" t="s">
        <v>18</v>
      </c>
      <c r="F1031" s="2">
        <v>397.14</v>
      </c>
      <c r="G1031" s="2">
        <v>103.74</v>
      </c>
      <c r="H1031" s="2" t="s">
        <v>19</v>
      </c>
      <c r="I1031" s="2" t="s">
        <v>14</v>
      </c>
    </row>
    <row r="1032" spans="1:9" x14ac:dyDescent="0.35">
      <c r="A1032" s="2" t="s">
        <v>1068</v>
      </c>
      <c r="B1032" s="3">
        <v>45001</v>
      </c>
      <c r="C1032" s="2" t="s">
        <v>16</v>
      </c>
      <c r="D1032" s="2" t="s">
        <v>95</v>
      </c>
      <c r="E1032" s="2" t="s">
        <v>18</v>
      </c>
      <c r="F1032" s="2">
        <v>500.05</v>
      </c>
      <c r="G1032" s="2">
        <v>140.44</v>
      </c>
      <c r="H1032" s="2" t="s">
        <v>13</v>
      </c>
      <c r="I1032" s="2" t="s">
        <v>34</v>
      </c>
    </row>
    <row r="1033" spans="1:9" x14ac:dyDescent="0.35">
      <c r="A1033" s="2" t="s">
        <v>1069</v>
      </c>
      <c r="B1033" s="3">
        <v>44903</v>
      </c>
      <c r="C1033" s="2" t="s">
        <v>10</v>
      </c>
      <c r="D1033" s="2" t="s">
        <v>41</v>
      </c>
      <c r="E1033" s="2" t="s">
        <v>12</v>
      </c>
      <c r="F1033" s="2">
        <v>582.13</v>
      </c>
      <c r="G1033" s="2">
        <v>53.74</v>
      </c>
      <c r="H1033" s="2" t="s">
        <v>13</v>
      </c>
      <c r="I1033" s="2" t="s">
        <v>34</v>
      </c>
    </row>
    <row r="1034" spans="1:9" x14ac:dyDescent="0.35">
      <c r="A1034" s="2" t="s">
        <v>1070</v>
      </c>
      <c r="B1034" s="3">
        <v>45510</v>
      </c>
      <c r="C1034" s="2" t="s">
        <v>16</v>
      </c>
      <c r="D1034" s="2" t="s">
        <v>95</v>
      </c>
      <c r="E1034" s="2" t="s">
        <v>18</v>
      </c>
      <c r="F1034" s="2">
        <v>391.37</v>
      </c>
      <c r="G1034" s="2">
        <v>114.19</v>
      </c>
      <c r="H1034" s="2" t="s">
        <v>13</v>
      </c>
      <c r="I1034" s="2" t="s">
        <v>29</v>
      </c>
    </row>
    <row r="1035" spans="1:9" x14ac:dyDescent="0.35">
      <c r="A1035" s="2" t="s">
        <v>1071</v>
      </c>
      <c r="B1035" s="3">
        <v>45408</v>
      </c>
      <c r="C1035" s="2" t="s">
        <v>16</v>
      </c>
      <c r="D1035" s="2" t="s">
        <v>73</v>
      </c>
      <c r="E1035" s="2" t="s">
        <v>27</v>
      </c>
      <c r="F1035" s="2">
        <v>1294.6300000000001</v>
      </c>
      <c r="G1035" s="2">
        <v>279.73</v>
      </c>
      <c r="H1035" s="2" t="s">
        <v>28</v>
      </c>
      <c r="I1035" s="2" t="s">
        <v>34</v>
      </c>
    </row>
    <row r="1036" spans="1:9" x14ac:dyDescent="0.35">
      <c r="A1036" s="2" t="s">
        <v>1072</v>
      </c>
      <c r="B1036" s="3">
        <v>45058</v>
      </c>
      <c r="C1036" s="2" t="s">
        <v>16</v>
      </c>
      <c r="D1036" s="2" t="s">
        <v>50</v>
      </c>
      <c r="E1036" s="2" t="s">
        <v>12</v>
      </c>
      <c r="F1036" s="2">
        <v>132.24</v>
      </c>
      <c r="G1036" s="2">
        <v>21.57</v>
      </c>
      <c r="H1036" s="2" t="s">
        <v>28</v>
      </c>
      <c r="I1036" s="2" t="s">
        <v>20</v>
      </c>
    </row>
    <row r="1037" spans="1:9" x14ac:dyDescent="0.35">
      <c r="A1037" s="2" t="s">
        <v>1073</v>
      </c>
      <c r="B1037" s="3">
        <v>45626</v>
      </c>
      <c r="C1037" s="2" t="s">
        <v>16</v>
      </c>
      <c r="D1037" s="2" t="s">
        <v>11</v>
      </c>
      <c r="E1037" s="2" t="s">
        <v>12</v>
      </c>
      <c r="F1037" s="2">
        <v>1200.78</v>
      </c>
      <c r="G1037" s="2">
        <v>72.709999999999994</v>
      </c>
      <c r="H1037" s="2" t="s">
        <v>13</v>
      </c>
      <c r="I1037" s="2" t="s">
        <v>14</v>
      </c>
    </row>
    <row r="1038" spans="1:9" x14ac:dyDescent="0.35">
      <c r="A1038" s="2" t="s">
        <v>1074</v>
      </c>
      <c r="B1038" s="3">
        <v>45556</v>
      </c>
      <c r="C1038" s="2" t="s">
        <v>10</v>
      </c>
      <c r="D1038" s="2" t="s">
        <v>33</v>
      </c>
      <c r="E1038" s="2" t="s">
        <v>18</v>
      </c>
      <c r="F1038" s="2">
        <v>1687.89</v>
      </c>
      <c r="G1038" s="2">
        <v>98.57</v>
      </c>
      <c r="H1038" s="2" t="s">
        <v>13</v>
      </c>
      <c r="I1038" s="2" t="s">
        <v>14</v>
      </c>
    </row>
    <row r="1039" spans="1:9" x14ac:dyDescent="0.35">
      <c r="A1039" s="2" t="s">
        <v>1075</v>
      </c>
      <c r="B1039" s="3">
        <v>44597</v>
      </c>
      <c r="C1039" s="2" t="s">
        <v>16</v>
      </c>
      <c r="D1039" s="2" t="s">
        <v>11</v>
      </c>
      <c r="E1039" s="2" t="s">
        <v>12</v>
      </c>
      <c r="F1039" s="2">
        <v>1970.03</v>
      </c>
      <c r="G1039" s="2">
        <v>289.56</v>
      </c>
      <c r="H1039" s="2" t="s">
        <v>19</v>
      </c>
      <c r="I1039" s="2" t="s">
        <v>14</v>
      </c>
    </row>
    <row r="1040" spans="1:9" x14ac:dyDescent="0.35">
      <c r="A1040" s="2" t="s">
        <v>1076</v>
      </c>
      <c r="B1040" s="3">
        <v>45410</v>
      </c>
      <c r="C1040" s="2" t="s">
        <v>16</v>
      </c>
      <c r="D1040" s="2" t="s">
        <v>26</v>
      </c>
      <c r="E1040" s="2" t="s">
        <v>27</v>
      </c>
      <c r="F1040" s="2">
        <v>1181.28</v>
      </c>
      <c r="G1040" s="2">
        <v>145.18</v>
      </c>
      <c r="H1040" s="2" t="s">
        <v>28</v>
      </c>
      <c r="I1040" s="2" t="s">
        <v>29</v>
      </c>
    </row>
    <row r="1041" spans="1:9" x14ac:dyDescent="0.35">
      <c r="A1041" s="2" t="s">
        <v>1077</v>
      </c>
      <c r="B1041" s="3">
        <v>45363</v>
      </c>
      <c r="C1041" s="2" t="s">
        <v>25</v>
      </c>
      <c r="D1041" s="2" t="s">
        <v>57</v>
      </c>
      <c r="E1041" s="2" t="s">
        <v>27</v>
      </c>
      <c r="F1041" s="2">
        <v>1828.61</v>
      </c>
      <c r="G1041" s="2">
        <v>328.96</v>
      </c>
      <c r="H1041" s="2" t="s">
        <v>19</v>
      </c>
      <c r="I1041" s="2" t="s">
        <v>14</v>
      </c>
    </row>
    <row r="1042" spans="1:9" x14ac:dyDescent="0.35">
      <c r="A1042" s="2" t="s">
        <v>1078</v>
      </c>
      <c r="B1042" s="3">
        <v>45493</v>
      </c>
      <c r="C1042" s="2" t="s">
        <v>25</v>
      </c>
      <c r="D1042" s="2" t="s">
        <v>57</v>
      </c>
      <c r="E1042" s="2" t="s">
        <v>27</v>
      </c>
      <c r="F1042" s="2">
        <v>1829.93</v>
      </c>
      <c r="G1042" s="2">
        <v>294.95</v>
      </c>
      <c r="H1042" s="2" t="s">
        <v>13</v>
      </c>
      <c r="I1042" s="2" t="s">
        <v>20</v>
      </c>
    </row>
    <row r="1043" spans="1:9" x14ac:dyDescent="0.35">
      <c r="A1043" s="2" t="s">
        <v>1079</v>
      </c>
      <c r="B1043" s="3">
        <v>44635</v>
      </c>
      <c r="C1043" s="2" t="s">
        <v>22</v>
      </c>
      <c r="D1043" s="2" t="s">
        <v>73</v>
      </c>
      <c r="E1043" s="2" t="s">
        <v>27</v>
      </c>
      <c r="F1043" s="2">
        <v>1326.72</v>
      </c>
      <c r="G1043" s="2">
        <v>314.39999999999998</v>
      </c>
      <c r="H1043" s="2" t="s">
        <v>28</v>
      </c>
      <c r="I1043" s="2" t="s">
        <v>34</v>
      </c>
    </row>
    <row r="1044" spans="1:9" x14ac:dyDescent="0.35">
      <c r="A1044" s="2" t="s">
        <v>1080</v>
      </c>
      <c r="B1044" s="3">
        <v>45542</v>
      </c>
      <c r="C1044" s="2" t="s">
        <v>16</v>
      </c>
      <c r="D1044" s="2" t="s">
        <v>31</v>
      </c>
      <c r="E1044" s="2" t="s">
        <v>12</v>
      </c>
      <c r="F1044" s="2">
        <v>430.21</v>
      </c>
      <c r="G1044" s="2">
        <v>89.82</v>
      </c>
      <c r="H1044" s="2" t="s">
        <v>28</v>
      </c>
      <c r="I1044" s="2" t="s">
        <v>20</v>
      </c>
    </row>
    <row r="1045" spans="1:9" x14ac:dyDescent="0.35">
      <c r="A1045" s="2" t="s">
        <v>1081</v>
      </c>
      <c r="B1045" s="3">
        <v>44584</v>
      </c>
      <c r="C1045" s="2" t="s">
        <v>16</v>
      </c>
      <c r="D1045" s="2" t="s">
        <v>50</v>
      </c>
      <c r="E1045" s="2" t="s">
        <v>12</v>
      </c>
      <c r="F1045" s="2">
        <v>304.83</v>
      </c>
      <c r="G1045" s="2">
        <v>82.06</v>
      </c>
      <c r="H1045" s="2" t="s">
        <v>19</v>
      </c>
      <c r="I1045" s="2" t="s">
        <v>20</v>
      </c>
    </row>
    <row r="1046" spans="1:9" x14ac:dyDescent="0.35">
      <c r="A1046" s="2" t="s">
        <v>1082</v>
      </c>
      <c r="B1046" s="3">
        <v>45023</v>
      </c>
      <c r="C1046" s="2" t="s">
        <v>16</v>
      </c>
      <c r="D1046" s="2" t="s">
        <v>46</v>
      </c>
      <c r="E1046" s="2" t="s">
        <v>18</v>
      </c>
      <c r="F1046" s="2">
        <v>1105.55</v>
      </c>
      <c r="G1046" s="2">
        <v>196.1</v>
      </c>
      <c r="H1046" s="2" t="s">
        <v>28</v>
      </c>
      <c r="I1046" s="2" t="s">
        <v>34</v>
      </c>
    </row>
    <row r="1047" spans="1:9" x14ac:dyDescent="0.35">
      <c r="A1047" s="2" t="s">
        <v>1083</v>
      </c>
      <c r="B1047" s="3">
        <v>45510</v>
      </c>
      <c r="C1047" s="2" t="s">
        <v>22</v>
      </c>
      <c r="D1047" s="2" t="s">
        <v>11</v>
      </c>
      <c r="E1047" s="2" t="s">
        <v>12</v>
      </c>
      <c r="F1047" s="2">
        <v>1073</v>
      </c>
      <c r="G1047" s="2">
        <v>113.18</v>
      </c>
      <c r="H1047" s="2" t="s">
        <v>13</v>
      </c>
      <c r="I1047" s="2" t="s">
        <v>34</v>
      </c>
    </row>
    <row r="1048" spans="1:9" x14ac:dyDescent="0.35">
      <c r="A1048" s="2" t="s">
        <v>1084</v>
      </c>
      <c r="B1048" s="3">
        <v>45164</v>
      </c>
      <c r="C1048" s="2" t="s">
        <v>16</v>
      </c>
      <c r="D1048" s="2" t="s">
        <v>97</v>
      </c>
      <c r="E1048" s="2" t="s">
        <v>27</v>
      </c>
      <c r="F1048" s="2">
        <v>1051.21</v>
      </c>
      <c r="G1048" s="2">
        <v>212.56</v>
      </c>
      <c r="H1048" s="2" t="s">
        <v>13</v>
      </c>
      <c r="I1048" s="2" t="s">
        <v>29</v>
      </c>
    </row>
    <row r="1049" spans="1:9" x14ac:dyDescent="0.35">
      <c r="A1049" s="2" t="s">
        <v>1085</v>
      </c>
      <c r="B1049" s="3">
        <v>44572</v>
      </c>
      <c r="C1049" s="2" t="s">
        <v>25</v>
      </c>
      <c r="D1049" s="2" t="s">
        <v>97</v>
      </c>
      <c r="E1049" s="2" t="s">
        <v>27</v>
      </c>
      <c r="F1049" s="2">
        <v>227.06</v>
      </c>
      <c r="G1049" s="2">
        <v>36.049999999999997</v>
      </c>
      <c r="H1049" s="2" t="s">
        <v>28</v>
      </c>
      <c r="I1049" s="2" t="s">
        <v>20</v>
      </c>
    </row>
    <row r="1050" spans="1:9" x14ac:dyDescent="0.35">
      <c r="A1050" s="2" t="s">
        <v>1086</v>
      </c>
      <c r="B1050" s="3">
        <v>45579</v>
      </c>
      <c r="C1050" s="2" t="s">
        <v>22</v>
      </c>
      <c r="D1050" s="2" t="s">
        <v>46</v>
      </c>
      <c r="E1050" s="2" t="s">
        <v>18</v>
      </c>
      <c r="F1050" s="2">
        <v>693.05</v>
      </c>
      <c r="G1050" s="2">
        <v>76.430000000000007</v>
      </c>
      <c r="H1050" s="2" t="s">
        <v>28</v>
      </c>
      <c r="I1050" s="2" t="s">
        <v>34</v>
      </c>
    </row>
    <row r="1051" spans="1:9" x14ac:dyDescent="0.35">
      <c r="A1051" s="2" t="s">
        <v>1087</v>
      </c>
      <c r="B1051" s="3">
        <v>45191</v>
      </c>
      <c r="C1051" s="2" t="s">
        <v>10</v>
      </c>
      <c r="D1051" s="2" t="s">
        <v>46</v>
      </c>
      <c r="E1051" s="2" t="s">
        <v>18</v>
      </c>
      <c r="F1051" s="2">
        <v>1980.23</v>
      </c>
      <c r="G1051" s="2">
        <v>111.97</v>
      </c>
      <c r="H1051" s="2" t="s">
        <v>28</v>
      </c>
      <c r="I1051" s="2" t="s">
        <v>29</v>
      </c>
    </row>
    <row r="1052" spans="1:9" x14ac:dyDescent="0.35">
      <c r="A1052" s="2" t="s">
        <v>1088</v>
      </c>
      <c r="B1052" s="3">
        <v>44778</v>
      </c>
      <c r="C1052" s="2" t="s">
        <v>10</v>
      </c>
      <c r="D1052" s="2" t="s">
        <v>26</v>
      </c>
      <c r="E1052" s="2" t="s">
        <v>27</v>
      </c>
      <c r="F1052" s="2">
        <v>971.18</v>
      </c>
      <c r="G1052" s="2">
        <v>90.35</v>
      </c>
      <c r="H1052" s="2" t="s">
        <v>13</v>
      </c>
      <c r="I1052" s="2" t="s">
        <v>29</v>
      </c>
    </row>
    <row r="1053" spans="1:9" x14ac:dyDescent="0.35">
      <c r="A1053" s="2" t="s">
        <v>1089</v>
      </c>
      <c r="B1053" s="3">
        <v>45585</v>
      </c>
      <c r="C1053" s="2" t="s">
        <v>10</v>
      </c>
      <c r="D1053" s="2" t="s">
        <v>31</v>
      </c>
      <c r="E1053" s="2" t="s">
        <v>12</v>
      </c>
      <c r="F1053" s="2">
        <v>1809.36</v>
      </c>
      <c r="G1053" s="2">
        <v>307.27</v>
      </c>
      <c r="H1053" s="2" t="s">
        <v>28</v>
      </c>
      <c r="I1053" s="2" t="s">
        <v>20</v>
      </c>
    </row>
    <row r="1054" spans="1:9" x14ac:dyDescent="0.35">
      <c r="A1054" s="2" t="s">
        <v>1090</v>
      </c>
      <c r="B1054" s="3">
        <v>44696</v>
      </c>
      <c r="C1054" s="2" t="s">
        <v>10</v>
      </c>
      <c r="D1054" s="2" t="s">
        <v>31</v>
      </c>
      <c r="E1054" s="2" t="s">
        <v>12</v>
      </c>
      <c r="F1054" s="2">
        <v>1850.72</v>
      </c>
      <c r="G1054" s="2">
        <v>278.27999999999997</v>
      </c>
      <c r="H1054" s="2" t="s">
        <v>28</v>
      </c>
      <c r="I1054" s="2" t="s">
        <v>20</v>
      </c>
    </row>
    <row r="1055" spans="1:9" x14ac:dyDescent="0.35">
      <c r="A1055" s="2" t="s">
        <v>1091</v>
      </c>
      <c r="B1055" s="3">
        <v>45643</v>
      </c>
      <c r="C1055" s="2" t="s">
        <v>16</v>
      </c>
      <c r="D1055" s="2" t="s">
        <v>57</v>
      </c>
      <c r="E1055" s="2" t="s">
        <v>27</v>
      </c>
      <c r="F1055" s="2">
        <v>1776.2</v>
      </c>
      <c r="G1055" s="2">
        <v>172.72</v>
      </c>
      <c r="H1055" s="2" t="s">
        <v>13</v>
      </c>
      <c r="I1055" s="2" t="s">
        <v>34</v>
      </c>
    </row>
    <row r="1056" spans="1:9" x14ac:dyDescent="0.35">
      <c r="A1056" s="2" t="s">
        <v>1092</v>
      </c>
      <c r="B1056" s="3">
        <v>45329</v>
      </c>
      <c r="C1056" s="2" t="s">
        <v>10</v>
      </c>
      <c r="D1056" s="2" t="s">
        <v>95</v>
      </c>
      <c r="E1056" s="2" t="s">
        <v>18</v>
      </c>
      <c r="F1056" s="2">
        <v>1788.86</v>
      </c>
      <c r="G1056" s="2">
        <v>207.65</v>
      </c>
      <c r="H1056" s="2" t="s">
        <v>19</v>
      </c>
      <c r="I1056" s="2" t="s">
        <v>29</v>
      </c>
    </row>
    <row r="1057" spans="1:9" x14ac:dyDescent="0.35">
      <c r="A1057" s="2" t="s">
        <v>1093</v>
      </c>
      <c r="B1057" s="3">
        <v>44750</v>
      </c>
      <c r="C1057" s="2" t="s">
        <v>16</v>
      </c>
      <c r="D1057" s="2" t="s">
        <v>41</v>
      </c>
      <c r="E1057" s="2" t="s">
        <v>12</v>
      </c>
      <c r="F1057" s="2">
        <v>1430.76</v>
      </c>
      <c r="G1057" s="2">
        <v>264.31</v>
      </c>
      <c r="H1057" s="2" t="s">
        <v>13</v>
      </c>
      <c r="I1057" s="2" t="s">
        <v>14</v>
      </c>
    </row>
    <row r="1058" spans="1:9" x14ac:dyDescent="0.35">
      <c r="A1058" s="2" t="s">
        <v>1094</v>
      </c>
      <c r="B1058" s="3">
        <v>45093</v>
      </c>
      <c r="C1058" s="2" t="s">
        <v>16</v>
      </c>
      <c r="D1058" s="2" t="s">
        <v>38</v>
      </c>
      <c r="E1058" s="2" t="s">
        <v>12</v>
      </c>
      <c r="F1058" s="2">
        <v>141.97999999999999</v>
      </c>
      <c r="G1058" s="2">
        <v>22.66</v>
      </c>
      <c r="H1058" s="2" t="s">
        <v>28</v>
      </c>
      <c r="I1058" s="2" t="s">
        <v>29</v>
      </c>
    </row>
    <row r="1059" spans="1:9" x14ac:dyDescent="0.35">
      <c r="A1059" s="2" t="s">
        <v>1095</v>
      </c>
      <c r="B1059" s="3">
        <v>45364</v>
      </c>
      <c r="C1059" s="2" t="s">
        <v>25</v>
      </c>
      <c r="D1059" s="2" t="s">
        <v>17</v>
      </c>
      <c r="E1059" s="2" t="s">
        <v>18</v>
      </c>
      <c r="F1059" s="2">
        <v>890.91</v>
      </c>
      <c r="G1059" s="2">
        <v>172.83</v>
      </c>
      <c r="H1059" s="2" t="s">
        <v>19</v>
      </c>
      <c r="I1059" s="2" t="s">
        <v>14</v>
      </c>
    </row>
    <row r="1060" spans="1:9" x14ac:dyDescent="0.35">
      <c r="A1060" s="2" t="s">
        <v>1096</v>
      </c>
      <c r="B1060" s="3">
        <v>45298</v>
      </c>
      <c r="C1060" s="2" t="s">
        <v>22</v>
      </c>
      <c r="D1060" s="2" t="s">
        <v>62</v>
      </c>
      <c r="E1060" s="2" t="s">
        <v>27</v>
      </c>
      <c r="F1060" s="2">
        <v>1001.34</v>
      </c>
      <c r="G1060" s="2">
        <v>163.81</v>
      </c>
      <c r="H1060" s="2" t="s">
        <v>28</v>
      </c>
      <c r="I1060" s="2" t="s">
        <v>29</v>
      </c>
    </row>
    <row r="1061" spans="1:9" x14ac:dyDescent="0.35">
      <c r="A1061" s="2" t="s">
        <v>1097</v>
      </c>
      <c r="B1061" s="3">
        <v>44708</v>
      </c>
      <c r="C1061" s="2" t="s">
        <v>16</v>
      </c>
      <c r="D1061" s="2" t="s">
        <v>97</v>
      </c>
      <c r="E1061" s="2" t="s">
        <v>27</v>
      </c>
      <c r="F1061" s="2">
        <v>1394.48</v>
      </c>
      <c r="G1061" s="2">
        <v>410.16</v>
      </c>
      <c r="H1061" s="2" t="s">
        <v>19</v>
      </c>
      <c r="I1061" s="2" t="s">
        <v>20</v>
      </c>
    </row>
    <row r="1062" spans="1:9" x14ac:dyDescent="0.35">
      <c r="A1062" s="2" t="s">
        <v>1098</v>
      </c>
      <c r="B1062" s="3">
        <v>44868</v>
      </c>
      <c r="C1062" s="2" t="s">
        <v>16</v>
      </c>
      <c r="D1062" s="2" t="s">
        <v>38</v>
      </c>
      <c r="E1062" s="2" t="s">
        <v>12</v>
      </c>
      <c r="F1062" s="2">
        <v>1967.04</v>
      </c>
      <c r="G1062" s="2">
        <v>114.13</v>
      </c>
      <c r="H1062" s="2" t="s">
        <v>28</v>
      </c>
      <c r="I1062" s="2" t="s">
        <v>34</v>
      </c>
    </row>
    <row r="1063" spans="1:9" x14ac:dyDescent="0.35">
      <c r="A1063" s="2" t="s">
        <v>1099</v>
      </c>
      <c r="B1063" s="3">
        <v>44667</v>
      </c>
      <c r="C1063" s="2" t="s">
        <v>25</v>
      </c>
      <c r="D1063" s="2" t="s">
        <v>73</v>
      </c>
      <c r="E1063" s="2" t="s">
        <v>27</v>
      </c>
      <c r="F1063" s="2">
        <v>392.34</v>
      </c>
      <c r="G1063" s="2">
        <v>97.49</v>
      </c>
      <c r="H1063" s="2" t="s">
        <v>19</v>
      </c>
      <c r="I1063" s="2" t="s">
        <v>34</v>
      </c>
    </row>
    <row r="1064" spans="1:9" x14ac:dyDescent="0.35">
      <c r="A1064" s="2" t="s">
        <v>1100</v>
      </c>
      <c r="B1064" s="3">
        <v>45377</v>
      </c>
      <c r="C1064" s="2" t="s">
        <v>16</v>
      </c>
      <c r="D1064" s="2" t="s">
        <v>57</v>
      </c>
      <c r="E1064" s="2" t="s">
        <v>27</v>
      </c>
      <c r="F1064" s="2">
        <v>336.57</v>
      </c>
      <c r="G1064" s="2">
        <v>52.7</v>
      </c>
      <c r="H1064" s="2" t="s">
        <v>19</v>
      </c>
      <c r="I1064" s="2" t="s">
        <v>20</v>
      </c>
    </row>
    <row r="1065" spans="1:9" x14ac:dyDescent="0.35">
      <c r="A1065" s="2" t="s">
        <v>1101</v>
      </c>
      <c r="B1065" s="3">
        <v>45046</v>
      </c>
      <c r="C1065" s="2" t="s">
        <v>16</v>
      </c>
      <c r="D1065" s="2" t="s">
        <v>33</v>
      </c>
      <c r="E1065" s="2" t="s">
        <v>18</v>
      </c>
      <c r="F1065" s="2">
        <v>758.89</v>
      </c>
      <c r="G1065" s="2">
        <v>225.53</v>
      </c>
      <c r="H1065" s="2" t="s">
        <v>19</v>
      </c>
      <c r="I1065" s="2" t="s">
        <v>29</v>
      </c>
    </row>
    <row r="1066" spans="1:9" x14ac:dyDescent="0.35">
      <c r="A1066" s="2" t="s">
        <v>1102</v>
      </c>
      <c r="B1066" s="3">
        <v>45105</v>
      </c>
      <c r="C1066" s="2" t="s">
        <v>16</v>
      </c>
      <c r="D1066" s="2" t="s">
        <v>31</v>
      </c>
      <c r="E1066" s="2" t="s">
        <v>12</v>
      </c>
      <c r="F1066" s="2">
        <v>1803.77</v>
      </c>
      <c r="G1066" s="2">
        <v>279.99</v>
      </c>
      <c r="H1066" s="2" t="s">
        <v>19</v>
      </c>
      <c r="I1066" s="2" t="s">
        <v>14</v>
      </c>
    </row>
    <row r="1067" spans="1:9" x14ac:dyDescent="0.35">
      <c r="A1067" s="2" t="s">
        <v>1103</v>
      </c>
      <c r="B1067" s="3">
        <v>44946</v>
      </c>
      <c r="C1067" s="2" t="s">
        <v>25</v>
      </c>
      <c r="D1067" s="2" t="s">
        <v>33</v>
      </c>
      <c r="E1067" s="2" t="s">
        <v>18</v>
      </c>
      <c r="F1067" s="2">
        <v>953.98</v>
      </c>
      <c r="G1067" s="2">
        <v>121.79</v>
      </c>
      <c r="H1067" s="2" t="s">
        <v>19</v>
      </c>
      <c r="I1067" s="2" t="s">
        <v>29</v>
      </c>
    </row>
    <row r="1068" spans="1:9" x14ac:dyDescent="0.35">
      <c r="A1068" s="2" t="s">
        <v>1104</v>
      </c>
      <c r="B1068" s="3">
        <v>44629</v>
      </c>
      <c r="C1068" s="2" t="s">
        <v>10</v>
      </c>
      <c r="D1068" s="2" t="s">
        <v>38</v>
      </c>
      <c r="E1068" s="2" t="s">
        <v>12</v>
      </c>
      <c r="F1068" s="2">
        <v>1440.75</v>
      </c>
      <c r="G1068" s="2">
        <v>243.18</v>
      </c>
      <c r="H1068" s="2" t="s">
        <v>19</v>
      </c>
      <c r="I1068" s="2" t="s">
        <v>20</v>
      </c>
    </row>
    <row r="1069" spans="1:9" x14ac:dyDescent="0.35">
      <c r="A1069" s="2" t="s">
        <v>1105</v>
      </c>
      <c r="B1069" s="3">
        <v>44821</v>
      </c>
      <c r="C1069" s="2" t="s">
        <v>25</v>
      </c>
      <c r="D1069" s="2" t="s">
        <v>26</v>
      </c>
      <c r="E1069" s="2" t="s">
        <v>27</v>
      </c>
      <c r="F1069" s="2">
        <v>1884.28</v>
      </c>
      <c r="G1069" s="2">
        <v>279.54000000000002</v>
      </c>
      <c r="H1069" s="2" t="s">
        <v>13</v>
      </c>
      <c r="I1069" s="2" t="s">
        <v>34</v>
      </c>
    </row>
    <row r="1070" spans="1:9" x14ac:dyDescent="0.35">
      <c r="A1070" s="2" t="s">
        <v>1106</v>
      </c>
      <c r="B1070" s="3">
        <v>45244</v>
      </c>
      <c r="C1070" s="2" t="s">
        <v>25</v>
      </c>
      <c r="D1070" s="2" t="s">
        <v>31</v>
      </c>
      <c r="E1070" s="2" t="s">
        <v>12</v>
      </c>
      <c r="F1070" s="2">
        <v>691.31</v>
      </c>
      <c r="G1070" s="2">
        <v>195.7</v>
      </c>
      <c r="H1070" s="2" t="s">
        <v>28</v>
      </c>
      <c r="I1070" s="2" t="s">
        <v>34</v>
      </c>
    </row>
    <row r="1071" spans="1:9" x14ac:dyDescent="0.35">
      <c r="A1071" s="2" t="s">
        <v>1107</v>
      </c>
      <c r="B1071" s="3">
        <v>44740</v>
      </c>
      <c r="C1071" s="2" t="s">
        <v>10</v>
      </c>
      <c r="D1071" s="2" t="s">
        <v>50</v>
      </c>
      <c r="E1071" s="2" t="s">
        <v>12</v>
      </c>
      <c r="F1071" s="2">
        <v>836.31</v>
      </c>
      <c r="G1071" s="2">
        <v>163.74</v>
      </c>
      <c r="H1071" s="2" t="s">
        <v>28</v>
      </c>
      <c r="I1071" s="2" t="s">
        <v>14</v>
      </c>
    </row>
    <row r="1072" spans="1:9" x14ac:dyDescent="0.35">
      <c r="A1072" s="2" t="s">
        <v>1108</v>
      </c>
      <c r="B1072" s="3">
        <v>44625</v>
      </c>
      <c r="C1072" s="2" t="s">
        <v>10</v>
      </c>
      <c r="D1072" s="2" t="s">
        <v>38</v>
      </c>
      <c r="E1072" s="2" t="s">
        <v>12</v>
      </c>
      <c r="F1072" s="2">
        <v>1000.93</v>
      </c>
      <c r="G1072" s="2">
        <v>95.56</v>
      </c>
      <c r="H1072" s="2" t="s">
        <v>28</v>
      </c>
      <c r="I1072" s="2" t="s">
        <v>34</v>
      </c>
    </row>
    <row r="1073" spans="1:9" x14ac:dyDescent="0.35">
      <c r="A1073" s="2" t="s">
        <v>1109</v>
      </c>
      <c r="B1073" s="3">
        <v>44740</v>
      </c>
      <c r="C1073" s="2" t="s">
        <v>16</v>
      </c>
      <c r="D1073" s="2" t="s">
        <v>33</v>
      </c>
      <c r="E1073" s="2" t="s">
        <v>18</v>
      </c>
      <c r="F1073" s="2">
        <v>823.94</v>
      </c>
      <c r="G1073" s="2">
        <v>43.51</v>
      </c>
      <c r="H1073" s="2" t="s">
        <v>13</v>
      </c>
      <c r="I1073" s="2" t="s">
        <v>29</v>
      </c>
    </row>
    <row r="1074" spans="1:9" x14ac:dyDescent="0.35">
      <c r="A1074" s="2" t="s">
        <v>1110</v>
      </c>
      <c r="B1074" s="3">
        <v>45265</v>
      </c>
      <c r="C1074" s="2" t="s">
        <v>10</v>
      </c>
      <c r="D1074" s="2" t="s">
        <v>97</v>
      </c>
      <c r="E1074" s="2" t="s">
        <v>27</v>
      </c>
      <c r="F1074" s="2">
        <v>1976.99</v>
      </c>
      <c r="G1074" s="2">
        <v>404.73</v>
      </c>
      <c r="H1074" s="2" t="s">
        <v>28</v>
      </c>
      <c r="I1074" s="2" t="s">
        <v>29</v>
      </c>
    </row>
    <row r="1075" spans="1:9" x14ac:dyDescent="0.35">
      <c r="A1075" s="2" t="s">
        <v>1111</v>
      </c>
      <c r="B1075" s="3">
        <v>45511</v>
      </c>
      <c r="C1075" s="2" t="s">
        <v>10</v>
      </c>
      <c r="D1075" s="2" t="s">
        <v>41</v>
      </c>
      <c r="E1075" s="2" t="s">
        <v>12</v>
      </c>
      <c r="F1075" s="2">
        <v>1759.74</v>
      </c>
      <c r="G1075" s="2">
        <v>309.75</v>
      </c>
      <c r="H1075" s="2" t="s">
        <v>19</v>
      </c>
      <c r="I1075" s="2" t="s">
        <v>34</v>
      </c>
    </row>
    <row r="1076" spans="1:9" x14ac:dyDescent="0.35">
      <c r="A1076" s="2" t="s">
        <v>1112</v>
      </c>
      <c r="B1076" s="3">
        <v>44622</v>
      </c>
      <c r="C1076" s="2" t="s">
        <v>25</v>
      </c>
      <c r="D1076" s="2" t="s">
        <v>50</v>
      </c>
      <c r="E1076" s="2" t="s">
        <v>12</v>
      </c>
      <c r="F1076" s="2">
        <v>1438.04</v>
      </c>
      <c r="G1076" s="2">
        <v>189.49</v>
      </c>
      <c r="H1076" s="2" t="s">
        <v>28</v>
      </c>
      <c r="I1076" s="2" t="s">
        <v>20</v>
      </c>
    </row>
    <row r="1077" spans="1:9" x14ac:dyDescent="0.35">
      <c r="A1077" s="2" t="s">
        <v>1113</v>
      </c>
      <c r="B1077" s="3">
        <v>44617</v>
      </c>
      <c r="C1077" s="2" t="s">
        <v>25</v>
      </c>
      <c r="D1077" s="2" t="s">
        <v>97</v>
      </c>
      <c r="E1077" s="2" t="s">
        <v>27</v>
      </c>
      <c r="F1077" s="2">
        <v>136.24</v>
      </c>
      <c r="G1077" s="2">
        <v>14.88</v>
      </c>
      <c r="H1077" s="2" t="s">
        <v>28</v>
      </c>
      <c r="I1077" s="2" t="s">
        <v>34</v>
      </c>
    </row>
    <row r="1078" spans="1:9" x14ac:dyDescent="0.35">
      <c r="A1078" s="2" t="s">
        <v>1114</v>
      </c>
      <c r="B1078" s="3">
        <v>45310</v>
      </c>
      <c r="C1078" s="2" t="s">
        <v>22</v>
      </c>
      <c r="D1078" s="2" t="s">
        <v>26</v>
      </c>
      <c r="E1078" s="2" t="s">
        <v>27</v>
      </c>
      <c r="F1078" s="2">
        <v>397.3</v>
      </c>
      <c r="G1078" s="2">
        <v>48.94</v>
      </c>
      <c r="H1078" s="2" t="s">
        <v>13</v>
      </c>
      <c r="I1078" s="2" t="s">
        <v>20</v>
      </c>
    </row>
    <row r="1079" spans="1:9" x14ac:dyDescent="0.35">
      <c r="A1079" s="2" t="s">
        <v>1115</v>
      </c>
      <c r="B1079" s="3">
        <v>44782</v>
      </c>
      <c r="C1079" s="2" t="s">
        <v>10</v>
      </c>
      <c r="D1079" s="2" t="s">
        <v>26</v>
      </c>
      <c r="E1079" s="2" t="s">
        <v>27</v>
      </c>
      <c r="F1079" s="2">
        <v>779.58</v>
      </c>
      <c r="G1079" s="2">
        <v>192.88</v>
      </c>
      <c r="H1079" s="2" t="s">
        <v>28</v>
      </c>
      <c r="I1079" s="2" t="s">
        <v>29</v>
      </c>
    </row>
    <row r="1080" spans="1:9" x14ac:dyDescent="0.35">
      <c r="A1080" s="2" t="s">
        <v>1116</v>
      </c>
      <c r="B1080" s="3">
        <v>44798</v>
      </c>
      <c r="C1080" s="2" t="s">
        <v>25</v>
      </c>
      <c r="D1080" s="2" t="s">
        <v>62</v>
      </c>
      <c r="E1080" s="2" t="s">
        <v>27</v>
      </c>
      <c r="F1080" s="2">
        <v>1200.17</v>
      </c>
      <c r="G1080" s="2">
        <v>302.58999999999997</v>
      </c>
      <c r="H1080" s="2" t="s">
        <v>13</v>
      </c>
      <c r="I1080" s="2" t="s">
        <v>14</v>
      </c>
    </row>
    <row r="1081" spans="1:9" x14ac:dyDescent="0.35">
      <c r="A1081" s="2" t="s">
        <v>1117</v>
      </c>
      <c r="B1081" s="3">
        <v>44842</v>
      </c>
      <c r="C1081" s="2" t="s">
        <v>10</v>
      </c>
      <c r="D1081" s="2" t="s">
        <v>62</v>
      </c>
      <c r="E1081" s="2" t="s">
        <v>27</v>
      </c>
      <c r="F1081" s="2">
        <v>1309.67</v>
      </c>
      <c r="G1081" s="2">
        <v>100.37</v>
      </c>
      <c r="H1081" s="2" t="s">
        <v>28</v>
      </c>
      <c r="I1081" s="2" t="s">
        <v>34</v>
      </c>
    </row>
    <row r="1082" spans="1:9" x14ac:dyDescent="0.35">
      <c r="A1082" s="2" t="s">
        <v>1118</v>
      </c>
      <c r="B1082" s="3">
        <v>44953</v>
      </c>
      <c r="C1082" s="2" t="s">
        <v>16</v>
      </c>
      <c r="D1082" s="2" t="s">
        <v>31</v>
      </c>
      <c r="E1082" s="2" t="s">
        <v>12</v>
      </c>
      <c r="F1082" s="2">
        <v>1997.28</v>
      </c>
      <c r="G1082" s="2">
        <v>454.16</v>
      </c>
      <c r="H1082" s="2" t="s">
        <v>13</v>
      </c>
      <c r="I1082" s="2" t="s">
        <v>14</v>
      </c>
    </row>
    <row r="1083" spans="1:9" x14ac:dyDescent="0.35">
      <c r="A1083" s="2" t="s">
        <v>1119</v>
      </c>
      <c r="B1083" s="3">
        <v>45449</v>
      </c>
      <c r="C1083" s="2" t="s">
        <v>22</v>
      </c>
      <c r="D1083" s="2" t="s">
        <v>73</v>
      </c>
      <c r="E1083" s="2" t="s">
        <v>27</v>
      </c>
      <c r="F1083" s="2">
        <v>154.79</v>
      </c>
      <c r="G1083" s="2">
        <v>31.46</v>
      </c>
      <c r="H1083" s="2" t="s">
        <v>28</v>
      </c>
      <c r="I1083" s="2" t="s">
        <v>20</v>
      </c>
    </row>
    <row r="1084" spans="1:9" x14ac:dyDescent="0.35">
      <c r="A1084" s="2" t="s">
        <v>1120</v>
      </c>
      <c r="B1084" s="3">
        <v>44783</v>
      </c>
      <c r="C1084" s="2" t="s">
        <v>10</v>
      </c>
      <c r="D1084" s="2" t="s">
        <v>97</v>
      </c>
      <c r="E1084" s="2" t="s">
        <v>27</v>
      </c>
      <c r="F1084" s="2">
        <v>1836.46</v>
      </c>
      <c r="G1084" s="2">
        <v>507.07</v>
      </c>
      <c r="H1084" s="2" t="s">
        <v>13</v>
      </c>
      <c r="I1084" s="2" t="s">
        <v>34</v>
      </c>
    </row>
    <row r="1085" spans="1:9" x14ac:dyDescent="0.35">
      <c r="A1085" s="2" t="s">
        <v>1121</v>
      </c>
      <c r="B1085" s="3">
        <v>44874</v>
      </c>
      <c r="C1085" s="2" t="s">
        <v>25</v>
      </c>
      <c r="D1085" s="2" t="s">
        <v>23</v>
      </c>
      <c r="E1085" s="2" t="s">
        <v>18</v>
      </c>
      <c r="F1085" s="2">
        <v>540.84</v>
      </c>
      <c r="G1085" s="2">
        <v>149.63999999999999</v>
      </c>
      <c r="H1085" s="2" t="s">
        <v>13</v>
      </c>
      <c r="I1085" s="2" t="s">
        <v>34</v>
      </c>
    </row>
    <row r="1086" spans="1:9" x14ac:dyDescent="0.35">
      <c r="A1086" s="2" t="s">
        <v>1122</v>
      </c>
      <c r="B1086" s="3">
        <v>45463</v>
      </c>
      <c r="C1086" s="2" t="s">
        <v>25</v>
      </c>
      <c r="D1086" s="2" t="s">
        <v>38</v>
      </c>
      <c r="E1086" s="2" t="s">
        <v>12</v>
      </c>
      <c r="F1086" s="2">
        <v>1431.94</v>
      </c>
      <c r="G1086" s="2">
        <v>168.46</v>
      </c>
      <c r="H1086" s="2" t="s">
        <v>28</v>
      </c>
      <c r="I1086" s="2" t="s">
        <v>14</v>
      </c>
    </row>
    <row r="1087" spans="1:9" x14ac:dyDescent="0.35">
      <c r="A1087" s="2" t="s">
        <v>1123</v>
      </c>
      <c r="B1087" s="3">
        <v>45503</v>
      </c>
      <c r="C1087" s="2" t="s">
        <v>22</v>
      </c>
      <c r="D1087" s="2" t="s">
        <v>31</v>
      </c>
      <c r="E1087" s="2" t="s">
        <v>12</v>
      </c>
      <c r="F1087" s="2">
        <v>1446.05</v>
      </c>
      <c r="G1087" s="2">
        <v>208.71</v>
      </c>
      <c r="H1087" s="2" t="s">
        <v>19</v>
      </c>
      <c r="I1087" s="2" t="s">
        <v>29</v>
      </c>
    </row>
    <row r="1088" spans="1:9" x14ac:dyDescent="0.35">
      <c r="A1088" s="2" t="s">
        <v>1124</v>
      </c>
      <c r="B1088" s="3">
        <v>45078</v>
      </c>
      <c r="C1088" s="2" t="s">
        <v>22</v>
      </c>
      <c r="D1088" s="2" t="s">
        <v>97</v>
      </c>
      <c r="E1088" s="2" t="s">
        <v>27</v>
      </c>
      <c r="F1088" s="2">
        <v>1520.79</v>
      </c>
      <c r="G1088" s="2">
        <v>358.51</v>
      </c>
      <c r="H1088" s="2" t="s">
        <v>28</v>
      </c>
      <c r="I1088" s="2" t="s">
        <v>20</v>
      </c>
    </row>
    <row r="1089" spans="1:9" x14ac:dyDescent="0.35">
      <c r="A1089" s="2" t="s">
        <v>1125</v>
      </c>
      <c r="B1089" s="3">
        <v>45123</v>
      </c>
      <c r="C1089" s="2" t="s">
        <v>22</v>
      </c>
      <c r="D1089" s="2" t="s">
        <v>73</v>
      </c>
      <c r="E1089" s="2" t="s">
        <v>27</v>
      </c>
      <c r="F1089" s="2">
        <v>1268.68</v>
      </c>
      <c r="G1089" s="2">
        <v>158.99</v>
      </c>
      <c r="H1089" s="2" t="s">
        <v>28</v>
      </c>
      <c r="I1089" s="2" t="s">
        <v>20</v>
      </c>
    </row>
    <row r="1090" spans="1:9" x14ac:dyDescent="0.35">
      <c r="A1090" s="2" t="s">
        <v>1126</v>
      </c>
      <c r="B1090" s="3">
        <v>45319</v>
      </c>
      <c r="C1090" s="2" t="s">
        <v>10</v>
      </c>
      <c r="D1090" s="2" t="s">
        <v>11</v>
      </c>
      <c r="E1090" s="2" t="s">
        <v>12</v>
      </c>
      <c r="F1090" s="2">
        <v>899.85</v>
      </c>
      <c r="G1090" s="2">
        <v>183.2</v>
      </c>
      <c r="H1090" s="2" t="s">
        <v>13</v>
      </c>
      <c r="I1090" s="2" t="s">
        <v>14</v>
      </c>
    </row>
    <row r="1091" spans="1:9" x14ac:dyDescent="0.35">
      <c r="A1091" s="2" t="s">
        <v>1127</v>
      </c>
      <c r="B1091" s="3">
        <v>45310</v>
      </c>
      <c r="C1091" s="2" t="s">
        <v>16</v>
      </c>
      <c r="D1091" s="2" t="s">
        <v>17</v>
      </c>
      <c r="E1091" s="2" t="s">
        <v>18</v>
      </c>
      <c r="F1091" s="2">
        <v>549.46</v>
      </c>
      <c r="G1091" s="2">
        <v>94.22</v>
      </c>
      <c r="H1091" s="2" t="s">
        <v>28</v>
      </c>
      <c r="I1091" s="2" t="s">
        <v>34</v>
      </c>
    </row>
    <row r="1092" spans="1:9" x14ac:dyDescent="0.35">
      <c r="A1092" s="2" t="s">
        <v>1128</v>
      </c>
      <c r="B1092" s="3">
        <v>45004</v>
      </c>
      <c r="C1092" s="2" t="s">
        <v>10</v>
      </c>
      <c r="D1092" s="2" t="s">
        <v>97</v>
      </c>
      <c r="E1092" s="2" t="s">
        <v>27</v>
      </c>
      <c r="F1092" s="2">
        <v>1775.52</v>
      </c>
      <c r="G1092" s="2">
        <v>310.26</v>
      </c>
      <c r="H1092" s="2" t="s">
        <v>13</v>
      </c>
      <c r="I1092" s="2" t="s">
        <v>14</v>
      </c>
    </row>
    <row r="1093" spans="1:9" x14ac:dyDescent="0.35">
      <c r="A1093" s="2" t="s">
        <v>1129</v>
      </c>
      <c r="B1093" s="3">
        <v>45136</v>
      </c>
      <c r="C1093" s="2" t="s">
        <v>16</v>
      </c>
      <c r="D1093" s="2" t="s">
        <v>97</v>
      </c>
      <c r="E1093" s="2" t="s">
        <v>27</v>
      </c>
      <c r="F1093" s="2">
        <v>1529.59</v>
      </c>
      <c r="G1093" s="2">
        <v>437.34</v>
      </c>
      <c r="H1093" s="2" t="s">
        <v>28</v>
      </c>
      <c r="I1093" s="2" t="s">
        <v>14</v>
      </c>
    </row>
    <row r="1094" spans="1:9" x14ac:dyDescent="0.35">
      <c r="A1094" s="2" t="s">
        <v>1130</v>
      </c>
      <c r="B1094" s="3">
        <v>44943</v>
      </c>
      <c r="C1094" s="2" t="s">
        <v>25</v>
      </c>
      <c r="D1094" s="2" t="s">
        <v>97</v>
      </c>
      <c r="E1094" s="2" t="s">
        <v>27</v>
      </c>
      <c r="F1094" s="2">
        <v>1029.5999999999999</v>
      </c>
      <c r="G1094" s="2">
        <v>174.23</v>
      </c>
      <c r="H1094" s="2" t="s">
        <v>28</v>
      </c>
      <c r="I1094" s="2" t="s">
        <v>14</v>
      </c>
    </row>
    <row r="1095" spans="1:9" x14ac:dyDescent="0.35">
      <c r="A1095" s="2" t="s">
        <v>1131</v>
      </c>
      <c r="B1095" s="3">
        <v>45442</v>
      </c>
      <c r="C1095" s="2" t="s">
        <v>25</v>
      </c>
      <c r="D1095" s="2" t="s">
        <v>50</v>
      </c>
      <c r="E1095" s="2" t="s">
        <v>12</v>
      </c>
      <c r="F1095" s="2">
        <v>581.07000000000005</v>
      </c>
      <c r="G1095" s="2">
        <v>136.1</v>
      </c>
      <c r="H1095" s="2" t="s">
        <v>28</v>
      </c>
      <c r="I1095" s="2" t="s">
        <v>14</v>
      </c>
    </row>
    <row r="1096" spans="1:9" x14ac:dyDescent="0.35">
      <c r="A1096" s="2" t="s">
        <v>1132</v>
      </c>
      <c r="B1096" s="3">
        <v>44680</v>
      </c>
      <c r="C1096" s="2" t="s">
        <v>10</v>
      </c>
      <c r="D1096" s="2" t="s">
        <v>97</v>
      </c>
      <c r="E1096" s="2" t="s">
        <v>27</v>
      </c>
      <c r="F1096" s="2">
        <v>224.15</v>
      </c>
      <c r="G1096" s="2">
        <v>39.78</v>
      </c>
      <c r="H1096" s="2" t="s">
        <v>13</v>
      </c>
      <c r="I1096" s="2" t="s">
        <v>14</v>
      </c>
    </row>
    <row r="1097" spans="1:9" x14ac:dyDescent="0.35">
      <c r="A1097" s="2" t="s">
        <v>1133</v>
      </c>
      <c r="B1097" s="3">
        <v>45172</v>
      </c>
      <c r="C1097" s="2" t="s">
        <v>10</v>
      </c>
      <c r="D1097" s="2" t="s">
        <v>41</v>
      </c>
      <c r="E1097" s="2" t="s">
        <v>12</v>
      </c>
      <c r="F1097" s="2">
        <v>661.17</v>
      </c>
      <c r="G1097" s="2">
        <v>48.71</v>
      </c>
      <c r="H1097" s="2" t="s">
        <v>19</v>
      </c>
      <c r="I1097" s="2" t="s">
        <v>29</v>
      </c>
    </row>
    <row r="1098" spans="1:9" x14ac:dyDescent="0.35">
      <c r="A1098" s="2" t="s">
        <v>1134</v>
      </c>
      <c r="B1098" s="3">
        <v>44597</v>
      </c>
      <c r="C1098" s="2" t="s">
        <v>16</v>
      </c>
      <c r="D1098" s="2" t="s">
        <v>97</v>
      </c>
      <c r="E1098" s="2" t="s">
        <v>27</v>
      </c>
      <c r="F1098" s="2">
        <v>1554.95</v>
      </c>
      <c r="G1098" s="2">
        <v>234.47</v>
      </c>
      <c r="H1098" s="2" t="s">
        <v>28</v>
      </c>
      <c r="I1098" s="2" t="s">
        <v>14</v>
      </c>
    </row>
    <row r="1099" spans="1:9" x14ac:dyDescent="0.35">
      <c r="A1099" s="2" t="s">
        <v>1135</v>
      </c>
      <c r="B1099" s="3">
        <v>44750</v>
      </c>
      <c r="C1099" s="2" t="s">
        <v>16</v>
      </c>
      <c r="D1099" s="2" t="s">
        <v>95</v>
      </c>
      <c r="E1099" s="2" t="s">
        <v>18</v>
      </c>
      <c r="F1099" s="2">
        <v>1652.68</v>
      </c>
      <c r="G1099" s="2">
        <v>433.84</v>
      </c>
      <c r="H1099" s="2" t="s">
        <v>28</v>
      </c>
      <c r="I1099" s="2" t="s">
        <v>14</v>
      </c>
    </row>
    <row r="1100" spans="1:9" x14ac:dyDescent="0.35">
      <c r="A1100" s="2" t="s">
        <v>1136</v>
      </c>
      <c r="B1100" s="3">
        <v>44782</v>
      </c>
      <c r="C1100" s="2" t="s">
        <v>10</v>
      </c>
      <c r="D1100" s="2" t="s">
        <v>41</v>
      </c>
      <c r="E1100" s="2" t="s">
        <v>12</v>
      </c>
      <c r="F1100" s="2">
        <v>171.34</v>
      </c>
      <c r="G1100" s="2">
        <v>30.61</v>
      </c>
      <c r="H1100" s="2" t="s">
        <v>28</v>
      </c>
      <c r="I1100" s="2" t="s">
        <v>34</v>
      </c>
    </row>
    <row r="1101" spans="1:9" x14ac:dyDescent="0.35">
      <c r="A1101" s="2" t="s">
        <v>1137</v>
      </c>
      <c r="B1101" s="3">
        <v>45145</v>
      </c>
      <c r="C1101" s="2" t="s">
        <v>25</v>
      </c>
      <c r="D1101" s="2" t="s">
        <v>31</v>
      </c>
      <c r="E1101" s="2" t="s">
        <v>12</v>
      </c>
      <c r="F1101" s="2">
        <v>1160.3800000000001</v>
      </c>
      <c r="G1101" s="2">
        <v>269.72000000000003</v>
      </c>
      <c r="H1101" s="2" t="s">
        <v>13</v>
      </c>
      <c r="I1101" s="2" t="s">
        <v>29</v>
      </c>
    </row>
    <row r="1102" spans="1:9" x14ac:dyDescent="0.35">
      <c r="A1102" s="2" t="s">
        <v>1138</v>
      </c>
      <c r="B1102" s="3">
        <v>44690</v>
      </c>
      <c r="C1102" s="2" t="s">
        <v>25</v>
      </c>
      <c r="D1102" s="2" t="s">
        <v>31</v>
      </c>
      <c r="E1102" s="2" t="s">
        <v>12</v>
      </c>
      <c r="F1102" s="2">
        <v>1183.2</v>
      </c>
      <c r="G1102" s="2">
        <v>228.22</v>
      </c>
      <c r="H1102" s="2" t="s">
        <v>28</v>
      </c>
      <c r="I1102" s="2" t="s">
        <v>29</v>
      </c>
    </row>
    <row r="1103" spans="1:9" x14ac:dyDescent="0.35">
      <c r="A1103" s="2" t="s">
        <v>1139</v>
      </c>
      <c r="B1103" s="3">
        <v>44855</v>
      </c>
      <c r="C1103" s="2" t="s">
        <v>22</v>
      </c>
      <c r="D1103" s="2" t="s">
        <v>41</v>
      </c>
      <c r="E1103" s="2" t="s">
        <v>12</v>
      </c>
      <c r="F1103" s="2">
        <v>1940.69</v>
      </c>
      <c r="G1103" s="2">
        <v>489.81</v>
      </c>
      <c r="H1103" s="2" t="s">
        <v>28</v>
      </c>
      <c r="I1103" s="2" t="s">
        <v>34</v>
      </c>
    </row>
    <row r="1104" spans="1:9" x14ac:dyDescent="0.35">
      <c r="A1104" s="2" t="s">
        <v>1140</v>
      </c>
      <c r="B1104" s="3">
        <v>45184</v>
      </c>
      <c r="C1104" s="2" t="s">
        <v>16</v>
      </c>
      <c r="D1104" s="2" t="s">
        <v>95</v>
      </c>
      <c r="E1104" s="2" t="s">
        <v>18</v>
      </c>
      <c r="F1104" s="2">
        <v>1610.29</v>
      </c>
      <c r="G1104" s="2">
        <v>278.82</v>
      </c>
      <c r="H1104" s="2" t="s">
        <v>13</v>
      </c>
      <c r="I1104" s="2" t="s">
        <v>34</v>
      </c>
    </row>
    <row r="1105" spans="1:9" x14ac:dyDescent="0.35">
      <c r="A1105" s="2" t="s">
        <v>1141</v>
      </c>
      <c r="B1105" s="3">
        <v>44911</v>
      </c>
      <c r="C1105" s="2" t="s">
        <v>25</v>
      </c>
      <c r="D1105" s="2" t="s">
        <v>73</v>
      </c>
      <c r="E1105" s="2" t="s">
        <v>27</v>
      </c>
      <c r="F1105" s="2">
        <v>847.68</v>
      </c>
      <c r="G1105" s="2">
        <v>145.19</v>
      </c>
      <c r="H1105" s="2" t="s">
        <v>28</v>
      </c>
      <c r="I1105" s="2" t="s">
        <v>20</v>
      </c>
    </row>
    <row r="1106" spans="1:9" x14ac:dyDescent="0.35">
      <c r="A1106" s="2" t="s">
        <v>1142</v>
      </c>
      <c r="B1106" s="3">
        <v>44580</v>
      </c>
      <c r="C1106" s="2" t="s">
        <v>25</v>
      </c>
      <c r="D1106" s="2" t="s">
        <v>31</v>
      </c>
      <c r="E1106" s="2" t="s">
        <v>12</v>
      </c>
      <c r="F1106" s="2">
        <v>1348.91</v>
      </c>
      <c r="G1106" s="2">
        <v>176.9</v>
      </c>
      <c r="H1106" s="2" t="s">
        <v>19</v>
      </c>
      <c r="I1106" s="2" t="s">
        <v>20</v>
      </c>
    </row>
    <row r="1107" spans="1:9" x14ac:dyDescent="0.35">
      <c r="A1107" s="2" t="s">
        <v>1143</v>
      </c>
      <c r="B1107" s="3">
        <v>45466</v>
      </c>
      <c r="C1107" s="2" t="s">
        <v>16</v>
      </c>
      <c r="D1107" s="2" t="s">
        <v>46</v>
      </c>
      <c r="E1107" s="2" t="s">
        <v>18</v>
      </c>
      <c r="F1107" s="2">
        <v>169.07</v>
      </c>
      <c r="G1107" s="2">
        <v>50.41</v>
      </c>
      <c r="H1107" s="2" t="s">
        <v>19</v>
      </c>
      <c r="I1107" s="2" t="s">
        <v>20</v>
      </c>
    </row>
    <row r="1108" spans="1:9" x14ac:dyDescent="0.35">
      <c r="A1108" s="2" t="s">
        <v>1144</v>
      </c>
      <c r="B1108" s="3">
        <v>45285</v>
      </c>
      <c r="C1108" s="2" t="s">
        <v>16</v>
      </c>
      <c r="D1108" s="2" t="s">
        <v>33</v>
      </c>
      <c r="E1108" s="2" t="s">
        <v>18</v>
      </c>
      <c r="F1108" s="2">
        <v>745.33</v>
      </c>
      <c r="G1108" s="2">
        <v>77.040000000000006</v>
      </c>
      <c r="H1108" s="2" t="s">
        <v>28</v>
      </c>
      <c r="I1108" s="2" t="s">
        <v>14</v>
      </c>
    </row>
    <row r="1109" spans="1:9" x14ac:dyDescent="0.35">
      <c r="A1109" s="2" t="s">
        <v>1145</v>
      </c>
      <c r="B1109" s="3">
        <v>45015</v>
      </c>
      <c r="C1109" s="2" t="s">
        <v>22</v>
      </c>
      <c r="D1109" s="2" t="s">
        <v>62</v>
      </c>
      <c r="E1109" s="2" t="s">
        <v>27</v>
      </c>
      <c r="F1109" s="2">
        <v>52.83</v>
      </c>
      <c r="G1109" s="2">
        <v>4.8600000000000003</v>
      </c>
      <c r="H1109" s="2" t="s">
        <v>28</v>
      </c>
      <c r="I1109" s="2" t="s">
        <v>29</v>
      </c>
    </row>
    <row r="1110" spans="1:9" x14ac:dyDescent="0.35">
      <c r="A1110" s="2" t="s">
        <v>1146</v>
      </c>
      <c r="B1110" s="3">
        <v>45261</v>
      </c>
      <c r="C1110" s="2" t="s">
        <v>16</v>
      </c>
      <c r="D1110" s="2" t="s">
        <v>95</v>
      </c>
      <c r="E1110" s="2" t="s">
        <v>18</v>
      </c>
      <c r="F1110" s="2">
        <v>1087.99</v>
      </c>
      <c r="G1110" s="2">
        <v>80.959999999999994</v>
      </c>
      <c r="H1110" s="2" t="s">
        <v>28</v>
      </c>
      <c r="I1110" s="2" t="s">
        <v>20</v>
      </c>
    </row>
    <row r="1111" spans="1:9" x14ac:dyDescent="0.35">
      <c r="A1111" s="2" t="s">
        <v>1147</v>
      </c>
      <c r="B1111" s="3">
        <v>45280</v>
      </c>
      <c r="C1111" s="2" t="s">
        <v>25</v>
      </c>
      <c r="D1111" s="2" t="s">
        <v>50</v>
      </c>
      <c r="E1111" s="2" t="s">
        <v>12</v>
      </c>
      <c r="F1111" s="2">
        <v>1549.46</v>
      </c>
      <c r="G1111" s="2">
        <v>136.77000000000001</v>
      </c>
      <c r="H1111" s="2" t="s">
        <v>19</v>
      </c>
      <c r="I1111" s="2" t="s">
        <v>14</v>
      </c>
    </row>
    <row r="1112" spans="1:9" x14ac:dyDescent="0.35">
      <c r="A1112" s="2" t="s">
        <v>1148</v>
      </c>
      <c r="B1112" s="3">
        <v>44989</v>
      </c>
      <c r="C1112" s="2" t="s">
        <v>22</v>
      </c>
      <c r="D1112" s="2" t="s">
        <v>38</v>
      </c>
      <c r="E1112" s="2" t="s">
        <v>12</v>
      </c>
      <c r="F1112" s="2">
        <v>429.28</v>
      </c>
      <c r="G1112" s="2">
        <v>60.28</v>
      </c>
      <c r="H1112" s="2" t="s">
        <v>19</v>
      </c>
      <c r="I1112" s="2" t="s">
        <v>29</v>
      </c>
    </row>
    <row r="1113" spans="1:9" x14ac:dyDescent="0.35">
      <c r="A1113" s="2" t="s">
        <v>1149</v>
      </c>
      <c r="B1113" s="3">
        <v>45403</v>
      </c>
      <c r="C1113" s="2" t="s">
        <v>16</v>
      </c>
      <c r="D1113" s="2" t="s">
        <v>73</v>
      </c>
      <c r="E1113" s="2" t="s">
        <v>27</v>
      </c>
      <c r="F1113" s="2">
        <v>1170.5</v>
      </c>
      <c r="G1113" s="2">
        <v>111.64</v>
      </c>
      <c r="H1113" s="2" t="s">
        <v>19</v>
      </c>
      <c r="I1113" s="2" t="s">
        <v>29</v>
      </c>
    </row>
    <row r="1114" spans="1:9" x14ac:dyDescent="0.35">
      <c r="A1114" s="2" t="s">
        <v>1150</v>
      </c>
      <c r="B1114" s="3">
        <v>45044</v>
      </c>
      <c r="C1114" s="2" t="s">
        <v>16</v>
      </c>
      <c r="D1114" s="2" t="s">
        <v>46</v>
      </c>
      <c r="E1114" s="2" t="s">
        <v>18</v>
      </c>
      <c r="F1114" s="2">
        <v>421.07</v>
      </c>
      <c r="G1114" s="2">
        <v>69.63</v>
      </c>
      <c r="H1114" s="2" t="s">
        <v>13</v>
      </c>
      <c r="I1114" s="2" t="s">
        <v>34</v>
      </c>
    </row>
    <row r="1115" spans="1:9" x14ac:dyDescent="0.35">
      <c r="A1115" s="2" t="s">
        <v>1151</v>
      </c>
      <c r="B1115" s="3">
        <v>45273</v>
      </c>
      <c r="C1115" s="2" t="s">
        <v>10</v>
      </c>
      <c r="D1115" s="2" t="s">
        <v>62</v>
      </c>
      <c r="E1115" s="2" t="s">
        <v>27</v>
      </c>
      <c r="F1115" s="2">
        <v>1879.84</v>
      </c>
      <c r="G1115" s="2">
        <v>486.85</v>
      </c>
      <c r="H1115" s="2" t="s">
        <v>19</v>
      </c>
      <c r="I1115" s="2" t="s">
        <v>20</v>
      </c>
    </row>
    <row r="1116" spans="1:9" x14ac:dyDescent="0.35">
      <c r="A1116" s="2" t="s">
        <v>1152</v>
      </c>
      <c r="B1116" s="3">
        <v>45464</v>
      </c>
      <c r="C1116" s="2" t="s">
        <v>10</v>
      </c>
      <c r="D1116" s="2" t="s">
        <v>23</v>
      </c>
      <c r="E1116" s="2" t="s">
        <v>18</v>
      </c>
      <c r="F1116" s="2">
        <v>1444.43</v>
      </c>
      <c r="G1116" s="2">
        <v>327.51</v>
      </c>
      <c r="H1116" s="2" t="s">
        <v>28</v>
      </c>
      <c r="I1116" s="2" t="s">
        <v>14</v>
      </c>
    </row>
    <row r="1117" spans="1:9" x14ac:dyDescent="0.35">
      <c r="A1117" s="2" t="s">
        <v>1153</v>
      </c>
      <c r="B1117" s="3">
        <v>45477</v>
      </c>
      <c r="C1117" s="2" t="s">
        <v>10</v>
      </c>
      <c r="D1117" s="2" t="s">
        <v>17</v>
      </c>
      <c r="E1117" s="2" t="s">
        <v>18</v>
      </c>
      <c r="F1117" s="2">
        <v>232.39</v>
      </c>
      <c r="G1117" s="2">
        <v>12.9</v>
      </c>
      <c r="H1117" s="2" t="s">
        <v>19</v>
      </c>
      <c r="I1117" s="2" t="s">
        <v>34</v>
      </c>
    </row>
    <row r="1118" spans="1:9" x14ac:dyDescent="0.35">
      <c r="A1118" s="2" t="s">
        <v>1154</v>
      </c>
      <c r="B1118" s="3">
        <v>44700</v>
      </c>
      <c r="C1118" s="2" t="s">
        <v>16</v>
      </c>
      <c r="D1118" s="2" t="s">
        <v>73</v>
      </c>
      <c r="E1118" s="2" t="s">
        <v>27</v>
      </c>
      <c r="F1118" s="2">
        <v>1230.31</v>
      </c>
      <c r="G1118" s="2">
        <v>175.89</v>
      </c>
      <c r="H1118" s="2" t="s">
        <v>19</v>
      </c>
      <c r="I1118" s="2" t="s">
        <v>29</v>
      </c>
    </row>
    <row r="1119" spans="1:9" x14ac:dyDescent="0.35">
      <c r="A1119" s="2" t="s">
        <v>1155</v>
      </c>
      <c r="B1119" s="3">
        <v>45597</v>
      </c>
      <c r="C1119" s="2" t="s">
        <v>10</v>
      </c>
      <c r="D1119" s="2" t="s">
        <v>50</v>
      </c>
      <c r="E1119" s="2" t="s">
        <v>12</v>
      </c>
      <c r="F1119" s="2">
        <v>468.39</v>
      </c>
      <c r="G1119" s="2">
        <v>59.27</v>
      </c>
      <c r="H1119" s="2" t="s">
        <v>19</v>
      </c>
      <c r="I1119" s="2" t="s">
        <v>20</v>
      </c>
    </row>
    <row r="1120" spans="1:9" x14ac:dyDescent="0.35">
      <c r="A1120" s="2" t="s">
        <v>1156</v>
      </c>
      <c r="B1120" s="3">
        <v>44567</v>
      </c>
      <c r="C1120" s="2" t="s">
        <v>10</v>
      </c>
      <c r="D1120" s="2" t="s">
        <v>33</v>
      </c>
      <c r="E1120" s="2" t="s">
        <v>18</v>
      </c>
      <c r="F1120" s="2">
        <v>1281.74</v>
      </c>
      <c r="G1120" s="2">
        <v>327.86</v>
      </c>
      <c r="H1120" s="2" t="s">
        <v>28</v>
      </c>
      <c r="I1120" s="2" t="s">
        <v>29</v>
      </c>
    </row>
    <row r="1121" spans="1:9" x14ac:dyDescent="0.35">
      <c r="A1121" s="2" t="s">
        <v>1157</v>
      </c>
      <c r="B1121" s="3">
        <v>44654</v>
      </c>
      <c r="C1121" s="2" t="s">
        <v>10</v>
      </c>
      <c r="D1121" s="2" t="s">
        <v>11</v>
      </c>
      <c r="E1121" s="2" t="s">
        <v>12</v>
      </c>
      <c r="F1121" s="2">
        <v>566.49</v>
      </c>
      <c r="G1121" s="2">
        <v>105.68</v>
      </c>
      <c r="H1121" s="2" t="s">
        <v>13</v>
      </c>
      <c r="I1121" s="2" t="s">
        <v>29</v>
      </c>
    </row>
    <row r="1122" spans="1:9" x14ac:dyDescent="0.35">
      <c r="A1122" s="2" t="s">
        <v>1158</v>
      </c>
      <c r="B1122" s="3">
        <v>44849</v>
      </c>
      <c r="C1122" s="2" t="s">
        <v>16</v>
      </c>
      <c r="D1122" s="2" t="s">
        <v>11</v>
      </c>
      <c r="E1122" s="2" t="s">
        <v>12</v>
      </c>
      <c r="F1122" s="2">
        <v>1395.31</v>
      </c>
      <c r="G1122" s="2">
        <v>317.85000000000002</v>
      </c>
      <c r="H1122" s="2" t="s">
        <v>13</v>
      </c>
      <c r="I1122" s="2" t="s">
        <v>20</v>
      </c>
    </row>
    <row r="1123" spans="1:9" x14ac:dyDescent="0.35">
      <c r="A1123" s="2" t="s">
        <v>1159</v>
      </c>
      <c r="B1123" s="3">
        <v>45379</v>
      </c>
      <c r="C1123" s="2" t="s">
        <v>10</v>
      </c>
      <c r="D1123" s="2" t="s">
        <v>50</v>
      </c>
      <c r="E1123" s="2" t="s">
        <v>12</v>
      </c>
      <c r="F1123" s="2">
        <v>1460.4</v>
      </c>
      <c r="G1123" s="2">
        <v>408.25</v>
      </c>
      <c r="H1123" s="2" t="s">
        <v>28</v>
      </c>
      <c r="I1123" s="2" t="s">
        <v>20</v>
      </c>
    </row>
    <row r="1124" spans="1:9" x14ac:dyDescent="0.35">
      <c r="A1124" s="2" t="s">
        <v>1160</v>
      </c>
      <c r="B1124" s="3">
        <v>45139</v>
      </c>
      <c r="C1124" s="2" t="s">
        <v>25</v>
      </c>
      <c r="D1124" s="2" t="s">
        <v>38</v>
      </c>
      <c r="E1124" s="2" t="s">
        <v>12</v>
      </c>
      <c r="F1124" s="2">
        <v>1344.82</v>
      </c>
      <c r="G1124" s="2">
        <v>376.32</v>
      </c>
      <c r="H1124" s="2" t="s">
        <v>28</v>
      </c>
      <c r="I1124" s="2" t="s">
        <v>20</v>
      </c>
    </row>
    <row r="1125" spans="1:9" x14ac:dyDescent="0.35">
      <c r="A1125" s="2" t="s">
        <v>1161</v>
      </c>
      <c r="B1125" s="3">
        <v>45532</v>
      </c>
      <c r="C1125" s="2" t="s">
        <v>22</v>
      </c>
      <c r="D1125" s="2" t="s">
        <v>73</v>
      </c>
      <c r="E1125" s="2" t="s">
        <v>27</v>
      </c>
      <c r="F1125" s="2">
        <v>1020.12</v>
      </c>
      <c r="G1125" s="2">
        <v>68.61</v>
      </c>
      <c r="H1125" s="2" t="s">
        <v>13</v>
      </c>
      <c r="I1125" s="2" t="s">
        <v>29</v>
      </c>
    </row>
    <row r="1126" spans="1:9" x14ac:dyDescent="0.35">
      <c r="A1126" s="2" t="s">
        <v>1162</v>
      </c>
      <c r="B1126" s="3">
        <v>45066</v>
      </c>
      <c r="C1126" s="2" t="s">
        <v>25</v>
      </c>
      <c r="D1126" s="2" t="s">
        <v>31</v>
      </c>
      <c r="E1126" s="2" t="s">
        <v>12</v>
      </c>
      <c r="F1126" s="2">
        <v>1219.75</v>
      </c>
      <c r="G1126" s="2">
        <v>146.91</v>
      </c>
      <c r="H1126" s="2" t="s">
        <v>13</v>
      </c>
      <c r="I1126" s="2" t="s">
        <v>20</v>
      </c>
    </row>
    <row r="1127" spans="1:9" x14ac:dyDescent="0.35">
      <c r="A1127" s="2" t="s">
        <v>1163</v>
      </c>
      <c r="B1127" s="3">
        <v>45250</v>
      </c>
      <c r="C1127" s="2" t="s">
        <v>10</v>
      </c>
      <c r="D1127" s="2" t="s">
        <v>97</v>
      </c>
      <c r="E1127" s="2" t="s">
        <v>27</v>
      </c>
      <c r="F1127" s="2">
        <v>318.38</v>
      </c>
      <c r="G1127" s="2">
        <v>88.53</v>
      </c>
      <c r="H1127" s="2" t="s">
        <v>13</v>
      </c>
      <c r="I1127" s="2" t="s">
        <v>20</v>
      </c>
    </row>
    <row r="1128" spans="1:9" x14ac:dyDescent="0.35">
      <c r="A1128" s="2" t="s">
        <v>1164</v>
      </c>
      <c r="B1128" s="3">
        <v>45641</v>
      </c>
      <c r="C1128" s="2" t="s">
        <v>16</v>
      </c>
      <c r="D1128" s="2" t="s">
        <v>95</v>
      </c>
      <c r="E1128" s="2" t="s">
        <v>18</v>
      </c>
      <c r="F1128" s="2">
        <v>1555.06</v>
      </c>
      <c r="G1128" s="2">
        <v>256.85000000000002</v>
      </c>
      <c r="H1128" s="2" t="s">
        <v>19</v>
      </c>
      <c r="I1128" s="2" t="s">
        <v>20</v>
      </c>
    </row>
    <row r="1129" spans="1:9" x14ac:dyDescent="0.35">
      <c r="A1129" s="2" t="s">
        <v>1165</v>
      </c>
      <c r="B1129" s="3">
        <v>44803</v>
      </c>
      <c r="C1129" s="2" t="s">
        <v>16</v>
      </c>
      <c r="D1129" s="2" t="s">
        <v>62</v>
      </c>
      <c r="E1129" s="2" t="s">
        <v>27</v>
      </c>
      <c r="F1129" s="2">
        <v>1570.76</v>
      </c>
      <c r="G1129" s="2">
        <v>247.76</v>
      </c>
      <c r="H1129" s="2" t="s">
        <v>13</v>
      </c>
      <c r="I1129" s="2" t="s">
        <v>34</v>
      </c>
    </row>
    <row r="1130" spans="1:9" x14ac:dyDescent="0.35">
      <c r="A1130" s="2" t="s">
        <v>1166</v>
      </c>
      <c r="B1130" s="3">
        <v>45277</v>
      </c>
      <c r="C1130" s="2" t="s">
        <v>25</v>
      </c>
      <c r="D1130" s="2" t="s">
        <v>17</v>
      </c>
      <c r="E1130" s="2" t="s">
        <v>18</v>
      </c>
      <c r="F1130" s="2">
        <v>195.3</v>
      </c>
      <c r="G1130" s="2">
        <v>57.96</v>
      </c>
      <c r="H1130" s="2" t="s">
        <v>19</v>
      </c>
      <c r="I1130" s="2" t="s">
        <v>29</v>
      </c>
    </row>
    <row r="1131" spans="1:9" x14ac:dyDescent="0.35">
      <c r="A1131" s="2" t="s">
        <v>1167</v>
      </c>
      <c r="B1131" s="3">
        <v>44576</v>
      </c>
      <c r="C1131" s="2" t="s">
        <v>10</v>
      </c>
      <c r="D1131" s="2" t="s">
        <v>41</v>
      </c>
      <c r="E1131" s="2" t="s">
        <v>12</v>
      </c>
      <c r="F1131" s="2">
        <v>1882.59</v>
      </c>
      <c r="G1131" s="2">
        <v>319.66000000000003</v>
      </c>
      <c r="H1131" s="2" t="s">
        <v>19</v>
      </c>
      <c r="I1131" s="2" t="s">
        <v>14</v>
      </c>
    </row>
    <row r="1132" spans="1:9" x14ac:dyDescent="0.35">
      <c r="A1132" s="2" t="s">
        <v>1168</v>
      </c>
      <c r="B1132" s="3">
        <v>44713</v>
      </c>
      <c r="C1132" s="2" t="s">
        <v>25</v>
      </c>
      <c r="D1132" s="2" t="s">
        <v>17</v>
      </c>
      <c r="E1132" s="2" t="s">
        <v>18</v>
      </c>
      <c r="F1132" s="2">
        <v>1618.88</v>
      </c>
      <c r="G1132" s="2">
        <v>255.12</v>
      </c>
      <c r="H1132" s="2" t="s">
        <v>19</v>
      </c>
      <c r="I1132" s="2" t="s">
        <v>34</v>
      </c>
    </row>
    <row r="1133" spans="1:9" x14ac:dyDescent="0.35">
      <c r="A1133" s="2" t="s">
        <v>1169</v>
      </c>
      <c r="B1133" s="3">
        <v>44600</v>
      </c>
      <c r="C1133" s="2" t="s">
        <v>10</v>
      </c>
      <c r="D1133" s="2" t="s">
        <v>31</v>
      </c>
      <c r="E1133" s="2" t="s">
        <v>12</v>
      </c>
      <c r="F1133" s="2">
        <v>1166.2</v>
      </c>
      <c r="G1133" s="2">
        <v>277.08999999999997</v>
      </c>
      <c r="H1133" s="2" t="s">
        <v>19</v>
      </c>
      <c r="I1133" s="2" t="s">
        <v>29</v>
      </c>
    </row>
    <row r="1134" spans="1:9" x14ac:dyDescent="0.35">
      <c r="A1134" s="2" t="s">
        <v>1170</v>
      </c>
      <c r="B1134" s="3">
        <v>45570</v>
      </c>
      <c r="C1134" s="2" t="s">
        <v>16</v>
      </c>
      <c r="D1134" s="2" t="s">
        <v>46</v>
      </c>
      <c r="E1134" s="2" t="s">
        <v>18</v>
      </c>
      <c r="F1134" s="2">
        <v>867.37</v>
      </c>
      <c r="G1134" s="2">
        <v>145.66999999999999</v>
      </c>
      <c r="H1134" s="2" t="s">
        <v>19</v>
      </c>
      <c r="I1134" s="2" t="s">
        <v>14</v>
      </c>
    </row>
    <row r="1135" spans="1:9" x14ac:dyDescent="0.35">
      <c r="A1135" s="2" t="s">
        <v>1171</v>
      </c>
      <c r="B1135" s="3">
        <v>45602</v>
      </c>
      <c r="C1135" s="2" t="s">
        <v>16</v>
      </c>
      <c r="D1135" s="2" t="s">
        <v>97</v>
      </c>
      <c r="E1135" s="2" t="s">
        <v>27</v>
      </c>
      <c r="F1135" s="2">
        <v>868.71</v>
      </c>
      <c r="G1135" s="2">
        <v>135.80000000000001</v>
      </c>
      <c r="H1135" s="2" t="s">
        <v>28</v>
      </c>
      <c r="I1135" s="2" t="s">
        <v>20</v>
      </c>
    </row>
    <row r="1136" spans="1:9" x14ac:dyDescent="0.35">
      <c r="A1136" s="2" t="s">
        <v>1172</v>
      </c>
      <c r="B1136" s="3">
        <v>45324</v>
      </c>
      <c r="C1136" s="2" t="s">
        <v>25</v>
      </c>
      <c r="D1136" s="2" t="s">
        <v>23</v>
      </c>
      <c r="E1136" s="2" t="s">
        <v>18</v>
      </c>
      <c r="F1136" s="2">
        <v>866.69</v>
      </c>
      <c r="G1136" s="2">
        <v>159.30000000000001</v>
      </c>
      <c r="H1136" s="2" t="s">
        <v>19</v>
      </c>
      <c r="I1136" s="2" t="s">
        <v>29</v>
      </c>
    </row>
    <row r="1137" spans="1:9" x14ac:dyDescent="0.35">
      <c r="A1137" s="2" t="s">
        <v>1173</v>
      </c>
      <c r="B1137" s="3">
        <v>45300</v>
      </c>
      <c r="C1137" s="2" t="s">
        <v>25</v>
      </c>
      <c r="D1137" s="2" t="s">
        <v>11</v>
      </c>
      <c r="E1137" s="2" t="s">
        <v>12</v>
      </c>
      <c r="F1137" s="2">
        <v>1479.82</v>
      </c>
      <c r="G1137" s="2">
        <v>281.69</v>
      </c>
      <c r="H1137" s="2" t="s">
        <v>19</v>
      </c>
      <c r="I1137" s="2" t="s">
        <v>14</v>
      </c>
    </row>
    <row r="1138" spans="1:9" x14ac:dyDescent="0.35">
      <c r="A1138" s="2" t="s">
        <v>1174</v>
      </c>
      <c r="B1138" s="3">
        <v>44883</v>
      </c>
      <c r="C1138" s="2" t="s">
        <v>10</v>
      </c>
      <c r="D1138" s="2" t="s">
        <v>31</v>
      </c>
      <c r="E1138" s="2" t="s">
        <v>12</v>
      </c>
      <c r="F1138" s="2">
        <v>1243.0999999999999</v>
      </c>
      <c r="G1138" s="2">
        <v>69.650000000000006</v>
      </c>
      <c r="H1138" s="2" t="s">
        <v>19</v>
      </c>
      <c r="I1138" s="2" t="s">
        <v>29</v>
      </c>
    </row>
    <row r="1139" spans="1:9" x14ac:dyDescent="0.35">
      <c r="A1139" s="2" t="s">
        <v>1175</v>
      </c>
      <c r="B1139" s="3">
        <v>44769</v>
      </c>
      <c r="C1139" s="2" t="s">
        <v>25</v>
      </c>
      <c r="D1139" s="2" t="s">
        <v>11</v>
      </c>
      <c r="E1139" s="2" t="s">
        <v>12</v>
      </c>
      <c r="F1139" s="2">
        <v>1356.91</v>
      </c>
      <c r="G1139" s="2">
        <v>119.59</v>
      </c>
      <c r="H1139" s="2" t="s">
        <v>28</v>
      </c>
      <c r="I1139" s="2" t="s">
        <v>14</v>
      </c>
    </row>
    <row r="1140" spans="1:9" x14ac:dyDescent="0.35">
      <c r="A1140" s="2" t="s">
        <v>1176</v>
      </c>
      <c r="B1140" s="3">
        <v>44614</v>
      </c>
      <c r="C1140" s="2" t="s">
        <v>25</v>
      </c>
      <c r="D1140" s="2" t="s">
        <v>62</v>
      </c>
      <c r="E1140" s="2" t="s">
        <v>27</v>
      </c>
      <c r="F1140" s="2">
        <v>904.6</v>
      </c>
      <c r="G1140" s="2">
        <v>159.51</v>
      </c>
      <c r="H1140" s="2" t="s">
        <v>28</v>
      </c>
      <c r="I1140" s="2" t="s">
        <v>14</v>
      </c>
    </row>
    <row r="1141" spans="1:9" x14ac:dyDescent="0.35">
      <c r="A1141" s="2" t="s">
        <v>1177</v>
      </c>
      <c r="B1141" s="3">
        <v>44682</v>
      </c>
      <c r="C1141" s="2" t="s">
        <v>10</v>
      </c>
      <c r="D1141" s="2" t="s">
        <v>33</v>
      </c>
      <c r="E1141" s="2" t="s">
        <v>18</v>
      </c>
      <c r="F1141" s="2">
        <v>1439.15</v>
      </c>
      <c r="G1141" s="2">
        <v>168.73</v>
      </c>
      <c r="H1141" s="2" t="s">
        <v>13</v>
      </c>
      <c r="I1141" s="2" t="s">
        <v>34</v>
      </c>
    </row>
    <row r="1142" spans="1:9" x14ac:dyDescent="0.35">
      <c r="A1142" s="2" t="s">
        <v>1178</v>
      </c>
      <c r="B1142" s="3">
        <v>45085</v>
      </c>
      <c r="C1142" s="2" t="s">
        <v>25</v>
      </c>
      <c r="D1142" s="2" t="s">
        <v>62</v>
      </c>
      <c r="E1142" s="2" t="s">
        <v>27</v>
      </c>
      <c r="F1142" s="2">
        <v>1068.8599999999999</v>
      </c>
      <c r="G1142" s="2">
        <v>214.63</v>
      </c>
      <c r="H1142" s="2" t="s">
        <v>28</v>
      </c>
      <c r="I1142" s="2" t="s">
        <v>20</v>
      </c>
    </row>
    <row r="1143" spans="1:9" x14ac:dyDescent="0.35">
      <c r="A1143" s="2" t="s">
        <v>1179</v>
      </c>
      <c r="B1143" s="3">
        <v>45600</v>
      </c>
      <c r="C1143" s="2" t="s">
        <v>16</v>
      </c>
      <c r="D1143" s="2" t="s">
        <v>31</v>
      </c>
      <c r="E1143" s="2" t="s">
        <v>12</v>
      </c>
      <c r="F1143" s="2">
        <v>1796.54</v>
      </c>
      <c r="G1143" s="2">
        <v>157.22999999999999</v>
      </c>
      <c r="H1143" s="2" t="s">
        <v>13</v>
      </c>
      <c r="I1143" s="2" t="s">
        <v>20</v>
      </c>
    </row>
    <row r="1144" spans="1:9" x14ac:dyDescent="0.35">
      <c r="A1144" s="2" t="s">
        <v>1180</v>
      </c>
      <c r="B1144" s="3">
        <v>44617</v>
      </c>
      <c r="C1144" s="2" t="s">
        <v>25</v>
      </c>
      <c r="D1144" s="2" t="s">
        <v>46</v>
      </c>
      <c r="E1144" s="2" t="s">
        <v>18</v>
      </c>
      <c r="F1144" s="2">
        <v>685.75</v>
      </c>
      <c r="G1144" s="2">
        <v>88.19</v>
      </c>
      <c r="H1144" s="2" t="s">
        <v>13</v>
      </c>
      <c r="I1144" s="2" t="s">
        <v>29</v>
      </c>
    </row>
    <row r="1145" spans="1:9" x14ac:dyDescent="0.35">
      <c r="A1145" s="2" t="s">
        <v>1181</v>
      </c>
      <c r="B1145" s="3">
        <v>45235</v>
      </c>
      <c r="C1145" s="2" t="s">
        <v>16</v>
      </c>
      <c r="D1145" s="2" t="s">
        <v>50</v>
      </c>
      <c r="E1145" s="2" t="s">
        <v>12</v>
      </c>
      <c r="F1145" s="2">
        <v>835.59</v>
      </c>
      <c r="G1145" s="2">
        <v>201.17</v>
      </c>
      <c r="H1145" s="2" t="s">
        <v>19</v>
      </c>
      <c r="I1145" s="2" t="s">
        <v>14</v>
      </c>
    </row>
    <row r="1146" spans="1:9" x14ac:dyDescent="0.35">
      <c r="A1146" s="2" t="s">
        <v>1182</v>
      </c>
      <c r="B1146" s="3">
        <v>45223</v>
      </c>
      <c r="C1146" s="2" t="s">
        <v>10</v>
      </c>
      <c r="D1146" s="2" t="s">
        <v>17</v>
      </c>
      <c r="E1146" s="2" t="s">
        <v>18</v>
      </c>
      <c r="F1146" s="2">
        <v>596.25</v>
      </c>
      <c r="G1146" s="2">
        <v>125.84</v>
      </c>
      <c r="H1146" s="2" t="s">
        <v>28</v>
      </c>
      <c r="I1146" s="2" t="s">
        <v>20</v>
      </c>
    </row>
    <row r="1147" spans="1:9" x14ac:dyDescent="0.35">
      <c r="A1147" s="2" t="s">
        <v>1183</v>
      </c>
      <c r="B1147" s="3">
        <v>45584</v>
      </c>
      <c r="C1147" s="2" t="s">
        <v>22</v>
      </c>
      <c r="D1147" s="2" t="s">
        <v>23</v>
      </c>
      <c r="E1147" s="2" t="s">
        <v>18</v>
      </c>
      <c r="F1147" s="2">
        <v>1877.89</v>
      </c>
      <c r="G1147" s="2">
        <v>115.01</v>
      </c>
      <c r="H1147" s="2" t="s">
        <v>19</v>
      </c>
      <c r="I1147" s="2" t="s">
        <v>29</v>
      </c>
    </row>
    <row r="1148" spans="1:9" x14ac:dyDescent="0.35">
      <c r="A1148" s="2" t="s">
        <v>1184</v>
      </c>
      <c r="B1148" s="3">
        <v>45436</v>
      </c>
      <c r="C1148" s="2" t="s">
        <v>25</v>
      </c>
      <c r="D1148" s="2" t="s">
        <v>73</v>
      </c>
      <c r="E1148" s="2" t="s">
        <v>27</v>
      </c>
      <c r="F1148" s="2">
        <v>538.02</v>
      </c>
      <c r="G1148" s="2">
        <v>153.01</v>
      </c>
      <c r="H1148" s="2" t="s">
        <v>13</v>
      </c>
      <c r="I1148" s="2" t="s">
        <v>20</v>
      </c>
    </row>
    <row r="1149" spans="1:9" x14ac:dyDescent="0.35">
      <c r="A1149" s="2" t="s">
        <v>1185</v>
      </c>
      <c r="B1149" s="3">
        <v>45391</v>
      </c>
      <c r="C1149" s="2" t="s">
        <v>10</v>
      </c>
      <c r="D1149" s="2" t="s">
        <v>26</v>
      </c>
      <c r="E1149" s="2" t="s">
        <v>27</v>
      </c>
      <c r="F1149" s="2">
        <v>809.51</v>
      </c>
      <c r="G1149" s="2">
        <v>186.43</v>
      </c>
      <c r="H1149" s="2" t="s">
        <v>13</v>
      </c>
      <c r="I1149" s="2" t="s">
        <v>29</v>
      </c>
    </row>
    <row r="1150" spans="1:9" x14ac:dyDescent="0.35">
      <c r="A1150" s="2" t="s">
        <v>1186</v>
      </c>
      <c r="B1150" s="3">
        <v>45492</v>
      </c>
      <c r="C1150" s="2" t="s">
        <v>22</v>
      </c>
      <c r="D1150" s="2" t="s">
        <v>38</v>
      </c>
      <c r="E1150" s="2" t="s">
        <v>12</v>
      </c>
      <c r="F1150" s="2">
        <v>1413.34</v>
      </c>
      <c r="G1150" s="2">
        <v>358.1</v>
      </c>
      <c r="H1150" s="2" t="s">
        <v>13</v>
      </c>
      <c r="I1150" s="2" t="s">
        <v>34</v>
      </c>
    </row>
    <row r="1151" spans="1:9" x14ac:dyDescent="0.35">
      <c r="A1151" s="2" t="s">
        <v>1187</v>
      </c>
      <c r="B1151" s="3">
        <v>45226</v>
      </c>
      <c r="C1151" s="2" t="s">
        <v>22</v>
      </c>
      <c r="D1151" s="2" t="s">
        <v>31</v>
      </c>
      <c r="E1151" s="2" t="s">
        <v>12</v>
      </c>
      <c r="F1151" s="2">
        <v>1973.25</v>
      </c>
      <c r="G1151" s="2">
        <v>568.26</v>
      </c>
      <c r="H1151" s="2" t="s">
        <v>13</v>
      </c>
      <c r="I1151" s="2" t="s">
        <v>29</v>
      </c>
    </row>
    <row r="1152" spans="1:9" x14ac:dyDescent="0.35">
      <c r="A1152" s="2" t="s">
        <v>1188</v>
      </c>
      <c r="B1152" s="3">
        <v>45130</v>
      </c>
      <c r="C1152" s="2" t="s">
        <v>25</v>
      </c>
      <c r="D1152" s="2" t="s">
        <v>50</v>
      </c>
      <c r="E1152" s="2" t="s">
        <v>12</v>
      </c>
      <c r="F1152" s="2">
        <v>1896.15</v>
      </c>
      <c r="G1152" s="2">
        <v>385.99</v>
      </c>
      <c r="H1152" s="2" t="s">
        <v>28</v>
      </c>
      <c r="I1152" s="2" t="s">
        <v>20</v>
      </c>
    </row>
    <row r="1153" spans="1:9" x14ac:dyDescent="0.35">
      <c r="A1153" s="2" t="s">
        <v>1189</v>
      </c>
      <c r="B1153" s="3">
        <v>45331</v>
      </c>
      <c r="C1153" s="2" t="s">
        <v>10</v>
      </c>
      <c r="D1153" s="2" t="s">
        <v>73</v>
      </c>
      <c r="E1153" s="2" t="s">
        <v>27</v>
      </c>
      <c r="F1153" s="2">
        <v>1114.0999999999999</v>
      </c>
      <c r="G1153" s="2">
        <v>63.42</v>
      </c>
      <c r="H1153" s="2" t="s">
        <v>13</v>
      </c>
      <c r="I1153" s="2" t="s">
        <v>14</v>
      </c>
    </row>
    <row r="1154" spans="1:9" x14ac:dyDescent="0.35">
      <c r="A1154" s="2" t="s">
        <v>1190</v>
      </c>
      <c r="B1154" s="3">
        <v>45300</v>
      </c>
      <c r="C1154" s="2" t="s">
        <v>10</v>
      </c>
      <c r="D1154" s="2" t="s">
        <v>23</v>
      </c>
      <c r="E1154" s="2" t="s">
        <v>18</v>
      </c>
      <c r="F1154" s="2">
        <v>1862.86</v>
      </c>
      <c r="G1154" s="2">
        <v>202.01</v>
      </c>
      <c r="H1154" s="2" t="s">
        <v>19</v>
      </c>
      <c r="I1154" s="2" t="s">
        <v>14</v>
      </c>
    </row>
    <row r="1155" spans="1:9" x14ac:dyDescent="0.35">
      <c r="A1155" s="2" t="s">
        <v>1191</v>
      </c>
      <c r="B1155" s="3">
        <v>44598</v>
      </c>
      <c r="C1155" s="2" t="s">
        <v>22</v>
      </c>
      <c r="D1155" s="2" t="s">
        <v>62</v>
      </c>
      <c r="E1155" s="2" t="s">
        <v>27</v>
      </c>
      <c r="F1155" s="2">
        <v>114.35</v>
      </c>
      <c r="G1155" s="2">
        <v>17.72</v>
      </c>
      <c r="H1155" s="2" t="s">
        <v>28</v>
      </c>
      <c r="I1155" s="2" t="s">
        <v>34</v>
      </c>
    </row>
    <row r="1156" spans="1:9" x14ac:dyDescent="0.35">
      <c r="A1156" s="2" t="s">
        <v>1192</v>
      </c>
      <c r="B1156" s="3">
        <v>44759</v>
      </c>
      <c r="C1156" s="2" t="s">
        <v>10</v>
      </c>
      <c r="D1156" s="2" t="s">
        <v>46</v>
      </c>
      <c r="E1156" s="2" t="s">
        <v>18</v>
      </c>
      <c r="F1156" s="2">
        <v>749.69</v>
      </c>
      <c r="G1156" s="2">
        <v>107.79</v>
      </c>
      <c r="H1156" s="2" t="s">
        <v>19</v>
      </c>
      <c r="I1156" s="2" t="s">
        <v>14</v>
      </c>
    </row>
    <row r="1157" spans="1:9" x14ac:dyDescent="0.35">
      <c r="A1157" s="2" t="s">
        <v>1193</v>
      </c>
      <c r="B1157" s="3">
        <v>45562</v>
      </c>
      <c r="C1157" s="2" t="s">
        <v>22</v>
      </c>
      <c r="D1157" s="2" t="s">
        <v>33</v>
      </c>
      <c r="E1157" s="2" t="s">
        <v>18</v>
      </c>
      <c r="F1157" s="2">
        <v>784.03</v>
      </c>
      <c r="G1157" s="2">
        <v>47.59</v>
      </c>
      <c r="H1157" s="2" t="s">
        <v>13</v>
      </c>
      <c r="I1157" s="2" t="s">
        <v>34</v>
      </c>
    </row>
    <row r="1158" spans="1:9" x14ac:dyDescent="0.35">
      <c r="A1158" s="2" t="s">
        <v>1194</v>
      </c>
      <c r="B1158" s="3">
        <v>44918</v>
      </c>
      <c r="C1158" s="2" t="s">
        <v>22</v>
      </c>
      <c r="D1158" s="2" t="s">
        <v>33</v>
      </c>
      <c r="E1158" s="2" t="s">
        <v>18</v>
      </c>
      <c r="F1158" s="2">
        <v>1576.73</v>
      </c>
      <c r="G1158" s="2">
        <v>281.86</v>
      </c>
      <c r="H1158" s="2" t="s">
        <v>19</v>
      </c>
      <c r="I1158" s="2" t="s">
        <v>14</v>
      </c>
    </row>
    <row r="1159" spans="1:9" x14ac:dyDescent="0.35">
      <c r="A1159" s="2" t="s">
        <v>1195</v>
      </c>
      <c r="B1159" s="3">
        <v>45595</v>
      </c>
      <c r="C1159" s="2" t="s">
        <v>25</v>
      </c>
      <c r="D1159" s="2" t="s">
        <v>17</v>
      </c>
      <c r="E1159" s="2" t="s">
        <v>18</v>
      </c>
      <c r="F1159" s="2">
        <v>593.41</v>
      </c>
      <c r="G1159" s="2">
        <v>37.56</v>
      </c>
      <c r="H1159" s="2" t="s">
        <v>19</v>
      </c>
      <c r="I1159" s="2" t="s">
        <v>14</v>
      </c>
    </row>
    <row r="1160" spans="1:9" x14ac:dyDescent="0.35">
      <c r="A1160" s="2" t="s">
        <v>1196</v>
      </c>
      <c r="B1160" s="3">
        <v>44711</v>
      </c>
      <c r="C1160" s="2" t="s">
        <v>10</v>
      </c>
      <c r="D1160" s="2" t="s">
        <v>23</v>
      </c>
      <c r="E1160" s="2" t="s">
        <v>18</v>
      </c>
      <c r="F1160" s="2">
        <v>59.55</v>
      </c>
      <c r="G1160" s="2">
        <v>17.61</v>
      </c>
      <c r="H1160" s="2" t="s">
        <v>28</v>
      </c>
      <c r="I1160" s="2" t="s">
        <v>14</v>
      </c>
    </row>
    <row r="1161" spans="1:9" x14ac:dyDescent="0.35">
      <c r="A1161" s="2" t="s">
        <v>1197</v>
      </c>
      <c r="B1161" s="3">
        <v>44700</v>
      </c>
      <c r="C1161" s="2" t="s">
        <v>16</v>
      </c>
      <c r="D1161" s="2" t="s">
        <v>73</v>
      </c>
      <c r="E1161" s="2" t="s">
        <v>27</v>
      </c>
      <c r="F1161" s="2">
        <v>1880.62</v>
      </c>
      <c r="G1161" s="2">
        <v>270.55</v>
      </c>
      <c r="H1161" s="2" t="s">
        <v>28</v>
      </c>
      <c r="I1161" s="2" t="s">
        <v>14</v>
      </c>
    </row>
    <row r="1162" spans="1:9" x14ac:dyDescent="0.35">
      <c r="A1162" s="2" t="s">
        <v>1198</v>
      </c>
      <c r="B1162" s="3">
        <v>44764</v>
      </c>
      <c r="C1162" s="2" t="s">
        <v>25</v>
      </c>
      <c r="D1162" s="2" t="s">
        <v>17</v>
      </c>
      <c r="E1162" s="2" t="s">
        <v>18</v>
      </c>
      <c r="F1162" s="2">
        <v>338.01</v>
      </c>
      <c r="G1162" s="2">
        <v>93.76</v>
      </c>
      <c r="H1162" s="2" t="s">
        <v>13</v>
      </c>
      <c r="I1162" s="2" t="s">
        <v>34</v>
      </c>
    </row>
    <row r="1163" spans="1:9" x14ac:dyDescent="0.35">
      <c r="A1163" s="2" t="s">
        <v>1199</v>
      </c>
      <c r="B1163" s="3">
        <v>44839</v>
      </c>
      <c r="C1163" s="2" t="s">
        <v>25</v>
      </c>
      <c r="D1163" s="2" t="s">
        <v>97</v>
      </c>
      <c r="E1163" s="2" t="s">
        <v>27</v>
      </c>
      <c r="F1163" s="2">
        <v>1076.92</v>
      </c>
      <c r="G1163" s="2">
        <v>133.12</v>
      </c>
      <c r="H1163" s="2" t="s">
        <v>19</v>
      </c>
      <c r="I1163" s="2" t="s">
        <v>14</v>
      </c>
    </row>
    <row r="1164" spans="1:9" x14ac:dyDescent="0.35">
      <c r="A1164" s="2" t="s">
        <v>1200</v>
      </c>
      <c r="B1164" s="3">
        <v>44930</v>
      </c>
      <c r="C1164" s="2" t="s">
        <v>22</v>
      </c>
      <c r="D1164" s="2" t="s">
        <v>57</v>
      </c>
      <c r="E1164" s="2" t="s">
        <v>27</v>
      </c>
      <c r="F1164" s="2">
        <v>408.34</v>
      </c>
      <c r="G1164" s="2">
        <v>107.43</v>
      </c>
      <c r="H1164" s="2" t="s">
        <v>28</v>
      </c>
      <c r="I1164" s="2" t="s">
        <v>29</v>
      </c>
    </row>
    <row r="1165" spans="1:9" x14ac:dyDescent="0.35">
      <c r="A1165" s="2" t="s">
        <v>1201</v>
      </c>
      <c r="B1165" s="3">
        <v>44893</v>
      </c>
      <c r="C1165" s="2" t="s">
        <v>22</v>
      </c>
      <c r="D1165" s="2" t="s">
        <v>41</v>
      </c>
      <c r="E1165" s="2" t="s">
        <v>12</v>
      </c>
      <c r="F1165" s="2">
        <v>1924.51</v>
      </c>
      <c r="G1165" s="2">
        <v>569.67999999999995</v>
      </c>
      <c r="H1165" s="2" t="s">
        <v>28</v>
      </c>
      <c r="I1165" s="2" t="s">
        <v>14</v>
      </c>
    </row>
    <row r="1166" spans="1:9" x14ac:dyDescent="0.35">
      <c r="A1166" s="2" t="s">
        <v>1202</v>
      </c>
      <c r="B1166" s="3">
        <v>44903</v>
      </c>
      <c r="C1166" s="2" t="s">
        <v>25</v>
      </c>
      <c r="D1166" s="2" t="s">
        <v>41</v>
      </c>
      <c r="E1166" s="2" t="s">
        <v>12</v>
      </c>
      <c r="F1166" s="2">
        <v>400.77</v>
      </c>
      <c r="G1166" s="2">
        <v>108.15</v>
      </c>
      <c r="H1166" s="2" t="s">
        <v>28</v>
      </c>
      <c r="I1166" s="2" t="s">
        <v>14</v>
      </c>
    </row>
    <row r="1167" spans="1:9" x14ac:dyDescent="0.35">
      <c r="A1167" s="2" t="s">
        <v>1203</v>
      </c>
      <c r="B1167" s="3">
        <v>44863</v>
      </c>
      <c r="C1167" s="2" t="s">
        <v>22</v>
      </c>
      <c r="D1167" s="2" t="s">
        <v>38</v>
      </c>
      <c r="E1167" s="2" t="s">
        <v>12</v>
      </c>
      <c r="F1167" s="2">
        <v>1149.05</v>
      </c>
      <c r="G1167" s="2">
        <v>135.88</v>
      </c>
      <c r="H1167" s="2" t="s">
        <v>19</v>
      </c>
      <c r="I1167" s="2" t="s">
        <v>14</v>
      </c>
    </row>
    <row r="1168" spans="1:9" x14ac:dyDescent="0.35">
      <c r="A1168" s="2" t="s">
        <v>1204</v>
      </c>
      <c r="B1168" s="3">
        <v>44657</v>
      </c>
      <c r="C1168" s="2" t="s">
        <v>22</v>
      </c>
      <c r="D1168" s="2" t="s">
        <v>46</v>
      </c>
      <c r="E1168" s="2" t="s">
        <v>18</v>
      </c>
      <c r="F1168" s="2">
        <v>491.86</v>
      </c>
      <c r="G1168" s="2">
        <v>44.49</v>
      </c>
      <c r="H1168" s="2" t="s">
        <v>19</v>
      </c>
      <c r="I1168" s="2" t="s">
        <v>20</v>
      </c>
    </row>
    <row r="1169" spans="1:9" x14ac:dyDescent="0.35">
      <c r="A1169" s="2" t="s">
        <v>1205</v>
      </c>
      <c r="B1169" s="3">
        <v>45362</v>
      </c>
      <c r="C1169" s="2" t="s">
        <v>10</v>
      </c>
      <c r="D1169" s="2" t="s">
        <v>38</v>
      </c>
      <c r="E1169" s="2" t="s">
        <v>12</v>
      </c>
      <c r="F1169" s="2">
        <v>611.34</v>
      </c>
      <c r="G1169" s="2">
        <v>58.49</v>
      </c>
      <c r="H1169" s="2" t="s">
        <v>28</v>
      </c>
      <c r="I1169" s="2" t="s">
        <v>14</v>
      </c>
    </row>
    <row r="1170" spans="1:9" x14ac:dyDescent="0.35">
      <c r="A1170" s="2" t="s">
        <v>1206</v>
      </c>
      <c r="B1170" s="3">
        <v>45522</v>
      </c>
      <c r="C1170" s="2" t="s">
        <v>16</v>
      </c>
      <c r="D1170" s="2" t="s">
        <v>23</v>
      </c>
      <c r="E1170" s="2" t="s">
        <v>18</v>
      </c>
      <c r="F1170" s="2">
        <v>1509.79</v>
      </c>
      <c r="G1170" s="2">
        <v>360.13</v>
      </c>
      <c r="H1170" s="2" t="s">
        <v>19</v>
      </c>
      <c r="I1170" s="2" t="s">
        <v>29</v>
      </c>
    </row>
    <row r="1171" spans="1:9" x14ac:dyDescent="0.35">
      <c r="A1171" s="2" t="s">
        <v>1207</v>
      </c>
      <c r="B1171" s="3">
        <v>45407</v>
      </c>
      <c r="C1171" s="2" t="s">
        <v>16</v>
      </c>
      <c r="D1171" s="2" t="s">
        <v>50</v>
      </c>
      <c r="E1171" s="2" t="s">
        <v>12</v>
      </c>
      <c r="F1171" s="2">
        <v>1307.71</v>
      </c>
      <c r="G1171" s="2">
        <v>97.9</v>
      </c>
      <c r="H1171" s="2" t="s">
        <v>13</v>
      </c>
      <c r="I1171" s="2" t="s">
        <v>29</v>
      </c>
    </row>
    <row r="1172" spans="1:9" x14ac:dyDescent="0.35">
      <c r="A1172" s="2" t="s">
        <v>1208</v>
      </c>
      <c r="B1172" s="3">
        <v>44916</v>
      </c>
      <c r="C1172" s="2" t="s">
        <v>22</v>
      </c>
      <c r="D1172" s="2" t="s">
        <v>17</v>
      </c>
      <c r="E1172" s="2" t="s">
        <v>18</v>
      </c>
      <c r="F1172" s="2">
        <v>805.05</v>
      </c>
      <c r="G1172" s="2">
        <v>121.23</v>
      </c>
      <c r="H1172" s="2" t="s">
        <v>28</v>
      </c>
      <c r="I1172" s="2" t="s">
        <v>14</v>
      </c>
    </row>
    <row r="1173" spans="1:9" x14ac:dyDescent="0.35">
      <c r="A1173" s="2" t="s">
        <v>1209</v>
      </c>
      <c r="B1173" s="3">
        <v>45207</v>
      </c>
      <c r="C1173" s="2" t="s">
        <v>16</v>
      </c>
      <c r="D1173" s="2" t="s">
        <v>11</v>
      </c>
      <c r="E1173" s="2" t="s">
        <v>12</v>
      </c>
      <c r="F1173" s="2">
        <v>1539.73</v>
      </c>
      <c r="G1173" s="2">
        <v>366.18</v>
      </c>
      <c r="H1173" s="2" t="s">
        <v>13</v>
      </c>
      <c r="I1173" s="2" t="s">
        <v>29</v>
      </c>
    </row>
    <row r="1174" spans="1:9" x14ac:dyDescent="0.35">
      <c r="A1174" s="2" t="s">
        <v>1210</v>
      </c>
      <c r="B1174" s="3">
        <v>44690</v>
      </c>
      <c r="C1174" s="2" t="s">
        <v>25</v>
      </c>
      <c r="D1174" s="2" t="s">
        <v>23</v>
      </c>
      <c r="E1174" s="2" t="s">
        <v>18</v>
      </c>
      <c r="F1174" s="2">
        <v>945.39</v>
      </c>
      <c r="G1174" s="2">
        <v>235.76</v>
      </c>
      <c r="H1174" s="2" t="s">
        <v>19</v>
      </c>
      <c r="I1174" s="2" t="s">
        <v>14</v>
      </c>
    </row>
    <row r="1175" spans="1:9" x14ac:dyDescent="0.35">
      <c r="A1175" s="2" t="s">
        <v>1211</v>
      </c>
      <c r="B1175" s="3">
        <v>45435</v>
      </c>
      <c r="C1175" s="2" t="s">
        <v>10</v>
      </c>
      <c r="D1175" s="2" t="s">
        <v>17</v>
      </c>
      <c r="E1175" s="2" t="s">
        <v>18</v>
      </c>
      <c r="F1175" s="2">
        <v>1997.42</v>
      </c>
      <c r="G1175" s="2">
        <v>443.16</v>
      </c>
      <c r="H1175" s="2" t="s">
        <v>28</v>
      </c>
      <c r="I1175" s="2" t="s">
        <v>14</v>
      </c>
    </row>
    <row r="1176" spans="1:9" x14ac:dyDescent="0.35">
      <c r="A1176" s="2" t="s">
        <v>1212</v>
      </c>
      <c r="B1176" s="3">
        <v>44565</v>
      </c>
      <c r="C1176" s="2" t="s">
        <v>25</v>
      </c>
      <c r="D1176" s="2" t="s">
        <v>26</v>
      </c>
      <c r="E1176" s="2" t="s">
        <v>27</v>
      </c>
      <c r="F1176" s="2">
        <v>1472.73</v>
      </c>
      <c r="G1176" s="2">
        <v>286.36</v>
      </c>
      <c r="H1176" s="2" t="s">
        <v>19</v>
      </c>
      <c r="I1176" s="2" t="s">
        <v>20</v>
      </c>
    </row>
    <row r="1177" spans="1:9" x14ac:dyDescent="0.35">
      <c r="A1177" s="2" t="s">
        <v>1213</v>
      </c>
      <c r="B1177" s="3">
        <v>45271</v>
      </c>
      <c r="C1177" s="2" t="s">
        <v>25</v>
      </c>
      <c r="D1177" s="2" t="s">
        <v>95</v>
      </c>
      <c r="E1177" s="2" t="s">
        <v>18</v>
      </c>
      <c r="F1177" s="2">
        <v>104.97</v>
      </c>
      <c r="G1177" s="2">
        <v>6.88</v>
      </c>
      <c r="H1177" s="2" t="s">
        <v>28</v>
      </c>
      <c r="I1177" s="2" t="s">
        <v>20</v>
      </c>
    </row>
    <row r="1178" spans="1:9" x14ac:dyDescent="0.35">
      <c r="A1178" s="2" t="s">
        <v>1214</v>
      </c>
      <c r="B1178" s="3">
        <v>45031</v>
      </c>
      <c r="C1178" s="2" t="s">
        <v>16</v>
      </c>
      <c r="D1178" s="2" t="s">
        <v>95</v>
      </c>
      <c r="E1178" s="2" t="s">
        <v>18</v>
      </c>
      <c r="F1178" s="2">
        <v>1917.87</v>
      </c>
      <c r="G1178" s="2">
        <v>282.76</v>
      </c>
      <c r="H1178" s="2" t="s">
        <v>13</v>
      </c>
      <c r="I1178" s="2" t="s">
        <v>34</v>
      </c>
    </row>
    <row r="1179" spans="1:9" x14ac:dyDescent="0.35">
      <c r="A1179" s="2" t="s">
        <v>1215</v>
      </c>
      <c r="B1179" s="3">
        <v>44746</v>
      </c>
      <c r="C1179" s="2" t="s">
        <v>10</v>
      </c>
      <c r="D1179" s="2" t="s">
        <v>46</v>
      </c>
      <c r="E1179" s="2" t="s">
        <v>18</v>
      </c>
      <c r="F1179" s="2">
        <v>1683.98</v>
      </c>
      <c r="G1179" s="2">
        <v>440.78</v>
      </c>
      <c r="H1179" s="2" t="s">
        <v>28</v>
      </c>
      <c r="I1179" s="2" t="s">
        <v>29</v>
      </c>
    </row>
    <row r="1180" spans="1:9" x14ac:dyDescent="0.35">
      <c r="A1180" s="2" t="s">
        <v>1216</v>
      </c>
      <c r="B1180" s="3">
        <v>45234</v>
      </c>
      <c r="C1180" s="2" t="s">
        <v>25</v>
      </c>
      <c r="D1180" s="2" t="s">
        <v>31</v>
      </c>
      <c r="E1180" s="2" t="s">
        <v>12</v>
      </c>
      <c r="F1180" s="2">
        <v>1850.17</v>
      </c>
      <c r="G1180" s="2">
        <v>368.16</v>
      </c>
      <c r="H1180" s="2" t="s">
        <v>13</v>
      </c>
      <c r="I1180" s="2" t="s">
        <v>29</v>
      </c>
    </row>
    <row r="1181" spans="1:9" x14ac:dyDescent="0.35">
      <c r="A1181" s="2" t="s">
        <v>1217</v>
      </c>
      <c r="B1181" s="3">
        <v>45461</v>
      </c>
      <c r="C1181" s="2" t="s">
        <v>22</v>
      </c>
      <c r="D1181" s="2" t="s">
        <v>38</v>
      </c>
      <c r="E1181" s="2" t="s">
        <v>12</v>
      </c>
      <c r="F1181" s="2">
        <v>747.39</v>
      </c>
      <c r="G1181" s="2">
        <v>167.76</v>
      </c>
      <c r="H1181" s="2" t="s">
        <v>19</v>
      </c>
      <c r="I1181" s="2" t="s">
        <v>14</v>
      </c>
    </row>
    <row r="1182" spans="1:9" x14ac:dyDescent="0.35">
      <c r="A1182" s="2" t="s">
        <v>1218</v>
      </c>
      <c r="B1182" s="3">
        <v>45477</v>
      </c>
      <c r="C1182" s="2" t="s">
        <v>16</v>
      </c>
      <c r="D1182" s="2" t="s">
        <v>11</v>
      </c>
      <c r="E1182" s="2" t="s">
        <v>12</v>
      </c>
      <c r="F1182" s="2">
        <v>1337.34</v>
      </c>
      <c r="G1182" s="2">
        <v>147.22</v>
      </c>
      <c r="H1182" s="2" t="s">
        <v>19</v>
      </c>
      <c r="I1182" s="2" t="s">
        <v>29</v>
      </c>
    </row>
    <row r="1183" spans="1:9" x14ac:dyDescent="0.35">
      <c r="A1183" s="2" t="s">
        <v>1219</v>
      </c>
      <c r="B1183" s="3">
        <v>44562</v>
      </c>
      <c r="C1183" s="2" t="s">
        <v>22</v>
      </c>
      <c r="D1183" s="2" t="s">
        <v>97</v>
      </c>
      <c r="E1183" s="2" t="s">
        <v>27</v>
      </c>
      <c r="F1183" s="2">
        <v>1869.07</v>
      </c>
      <c r="G1183" s="2">
        <v>384.17</v>
      </c>
      <c r="H1183" s="2" t="s">
        <v>28</v>
      </c>
      <c r="I1183" s="2" t="s">
        <v>34</v>
      </c>
    </row>
    <row r="1184" spans="1:9" x14ac:dyDescent="0.35">
      <c r="A1184" s="2" t="s">
        <v>1220</v>
      </c>
      <c r="B1184" s="3">
        <v>45569</v>
      </c>
      <c r="C1184" s="2" t="s">
        <v>25</v>
      </c>
      <c r="D1184" s="2" t="s">
        <v>33</v>
      </c>
      <c r="E1184" s="2" t="s">
        <v>18</v>
      </c>
      <c r="F1184" s="2">
        <v>492.32</v>
      </c>
      <c r="G1184" s="2">
        <v>86.47</v>
      </c>
      <c r="H1184" s="2" t="s">
        <v>19</v>
      </c>
      <c r="I1184" s="2" t="s">
        <v>20</v>
      </c>
    </row>
    <row r="1185" spans="1:9" x14ac:dyDescent="0.35">
      <c r="A1185" s="2" t="s">
        <v>1221</v>
      </c>
      <c r="B1185" s="3">
        <v>45223</v>
      </c>
      <c r="C1185" s="2" t="s">
        <v>16</v>
      </c>
      <c r="D1185" s="2" t="s">
        <v>11</v>
      </c>
      <c r="E1185" s="2" t="s">
        <v>12</v>
      </c>
      <c r="F1185" s="2">
        <v>977.56</v>
      </c>
      <c r="G1185" s="2">
        <v>139.16999999999999</v>
      </c>
      <c r="H1185" s="2" t="s">
        <v>19</v>
      </c>
      <c r="I1185" s="2" t="s">
        <v>29</v>
      </c>
    </row>
    <row r="1186" spans="1:9" x14ac:dyDescent="0.35">
      <c r="A1186" s="2" t="s">
        <v>1222</v>
      </c>
      <c r="B1186" s="3">
        <v>45653</v>
      </c>
      <c r="C1186" s="2" t="s">
        <v>16</v>
      </c>
      <c r="D1186" s="2" t="s">
        <v>41</v>
      </c>
      <c r="E1186" s="2" t="s">
        <v>12</v>
      </c>
      <c r="F1186" s="2">
        <v>1826.17</v>
      </c>
      <c r="G1186" s="2">
        <v>147.06</v>
      </c>
      <c r="H1186" s="2" t="s">
        <v>13</v>
      </c>
      <c r="I1186" s="2" t="s">
        <v>34</v>
      </c>
    </row>
    <row r="1187" spans="1:9" x14ac:dyDescent="0.35">
      <c r="A1187" s="2" t="s">
        <v>1223</v>
      </c>
      <c r="B1187" s="3">
        <v>45118</v>
      </c>
      <c r="C1187" s="2" t="s">
        <v>16</v>
      </c>
      <c r="D1187" s="2" t="s">
        <v>26</v>
      </c>
      <c r="E1187" s="2" t="s">
        <v>27</v>
      </c>
      <c r="F1187" s="2">
        <v>1561.24</v>
      </c>
      <c r="G1187" s="2">
        <v>132.88999999999999</v>
      </c>
      <c r="H1187" s="2" t="s">
        <v>13</v>
      </c>
      <c r="I1187" s="2" t="s">
        <v>34</v>
      </c>
    </row>
    <row r="1188" spans="1:9" x14ac:dyDescent="0.35">
      <c r="A1188" s="2" t="s">
        <v>1224</v>
      </c>
      <c r="B1188" s="3">
        <v>45271</v>
      </c>
      <c r="C1188" s="2" t="s">
        <v>25</v>
      </c>
      <c r="D1188" s="2" t="s">
        <v>41</v>
      </c>
      <c r="E1188" s="2" t="s">
        <v>12</v>
      </c>
      <c r="F1188" s="2">
        <v>1938.15</v>
      </c>
      <c r="G1188" s="2">
        <v>490.71</v>
      </c>
      <c r="H1188" s="2" t="s">
        <v>19</v>
      </c>
      <c r="I1188" s="2" t="s">
        <v>34</v>
      </c>
    </row>
    <row r="1189" spans="1:9" x14ac:dyDescent="0.35">
      <c r="A1189" s="2" t="s">
        <v>1225</v>
      </c>
      <c r="B1189" s="3">
        <v>44820</v>
      </c>
      <c r="C1189" s="2" t="s">
        <v>22</v>
      </c>
      <c r="D1189" s="2" t="s">
        <v>95</v>
      </c>
      <c r="E1189" s="2" t="s">
        <v>18</v>
      </c>
      <c r="F1189" s="2">
        <v>1688.28</v>
      </c>
      <c r="G1189" s="2">
        <v>423.26</v>
      </c>
      <c r="H1189" s="2" t="s">
        <v>19</v>
      </c>
      <c r="I1189" s="2" t="s">
        <v>14</v>
      </c>
    </row>
    <row r="1190" spans="1:9" x14ac:dyDescent="0.35">
      <c r="A1190" s="2" t="s">
        <v>1226</v>
      </c>
      <c r="B1190" s="3">
        <v>44766</v>
      </c>
      <c r="C1190" s="2" t="s">
        <v>10</v>
      </c>
      <c r="D1190" s="2" t="s">
        <v>62</v>
      </c>
      <c r="E1190" s="2" t="s">
        <v>27</v>
      </c>
      <c r="F1190" s="2">
        <v>69.92</v>
      </c>
      <c r="G1190" s="2">
        <v>20.55</v>
      </c>
      <c r="H1190" s="2" t="s">
        <v>28</v>
      </c>
      <c r="I1190" s="2" t="s">
        <v>14</v>
      </c>
    </row>
    <row r="1191" spans="1:9" x14ac:dyDescent="0.35">
      <c r="A1191" s="2" t="s">
        <v>1227</v>
      </c>
      <c r="B1191" s="3">
        <v>44653</v>
      </c>
      <c r="C1191" s="2" t="s">
        <v>10</v>
      </c>
      <c r="D1191" s="2" t="s">
        <v>26</v>
      </c>
      <c r="E1191" s="2" t="s">
        <v>27</v>
      </c>
      <c r="F1191" s="2">
        <v>551.46</v>
      </c>
      <c r="G1191" s="2">
        <v>161</v>
      </c>
      <c r="H1191" s="2" t="s">
        <v>19</v>
      </c>
      <c r="I1191" s="2" t="s">
        <v>29</v>
      </c>
    </row>
    <row r="1192" spans="1:9" x14ac:dyDescent="0.35">
      <c r="A1192" s="2" t="s">
        <v>1228</v>
      </c>
      <c r="B1192" s="3">
        <v>44790</v>
      </c>
      <c r="C1192" s="2" t="s">
        <v>22</v>
      </c>
      <c r="D1192" s="2" t="s">
        <v>95</v>
      </c>
      <c r="E1192" s="2" t="s">
        <v>18</v>
      </c>
      <c r="F1192" s="2">
        <v>892.36</v>
      </c>
      <c r="G1192" s="2">
        <v>93.3</v>
      </c>
      <c r="H1192" s="2" t="s">
        <v>13</v>
      </c>
      <c r="I1192" s="2" t="s">
        <v>20</v>
      </c>
    </row>
    <row r="1193" spans="1:9" x14ac:dyDescent="0.35">
      <c r="A1193" s="2" t="s">
        <v>1229</v>
      </c>
      <c r="B1193" s="3">
        <v>44861</v>
      </c>
      <c r="C1193" s="2" t="s">
        <v>16</v>
      </c>
      <c r="D1193" s="2" t="s">
        <v>38</v>
      </c>
      <c r="E1193" s="2" t="s">
        <v>12</v>
      </c>
      <c r="F1193" s="2">
        <v>1017.24</v>
      </c>
      <c r="G1193" s="2">
        <v>96.25</v>
      </c>
      <c r="H1193" s="2" t="s">
        <v>28</v>
      </c>
      <c r="I1193" s="2" t="s">
        <v>20</v>
      </c>
    </row>
    <row r="1194" spans="1:9" x14ac:dyDescent="0.35">
      <c r="A1194" s="2" t="s">
        <v>1230</v>
      </c>
      <c r="B1194" s="3">
        <v>44645</v>
      </c>
      <c r="C1194" s="2" t="s">
        <v>16</v>
      </c>
      <c r="D1194" s="2" t="s">
        <v>11</v>
      </c>
      <c r="E1194" s="2" t="s">
        <v>12</v>
      </c>
      <c r="F1194" s="2">
        <v>233.25</v>
      </c>
      <c r="G1194" s="2">
        <v>14.01</v>
      </c>
      <c r="H1194" s="2" t="s">
        <v>13</v>
      </c>
      <c r="I1194" s="2" t="s">
        <v>14</v>
      </c>
    </row>
    <row r="1195" spans="1:9" x14ac:dyDescent="0.35">
      <c r="A1195" s="2" t="s">
        <v>1231</v>
      </c>
      <c r="B1195" s="3">
        <v>44751</v>
      </c>
      <c r="C1195" s="2" t="s">
        <v>25</v>
      </c>
      <c r="D1195" s="2" t="s">
        <v>26</v>
      </c>
      <c r="E1195" s="2" t="s">
        <v>27</v>
      </c>
      <c r="F1195" s="2">
        <v>1476.63</v>
      </c>
      <c r="G1195" s="2">
        <v>349.56</v>
      </c>
      <c r="H1195" s="2" t="s">
        <v>13</v>
      </c>
      <c r="I1195" s="2" t="s">
        <v>34</v>
      </c>
    </row>
    <row r="1196" spans="1:9" x14ac:dyDescent="0.35">
      <c r="A1196" s="2" t="s">
        <v>1232</v>
      </c>
      <c r="B1196" s="3">
        <v>44766</v>
      </c>
      <c r="C1196" s="2" t="s">
        <v>25</v>
      </c>
      <c r="D1196" s="2" t="s">
        <v>11</v>
      </c>
      <c r="E1196" s="2" t="s">
        <v>12</v>
      </c>
      <c r="F1196" s="2">
        <v>1684.13</v>
      </c>
      <c r="G1196" s="2">
        <v>103.63</v>
      </c>
      <c r="H1196" s="2" t="s">
        <v>28</v>
      </c>
      <c r="I1196" s="2" t="s">
        <v>20</v>
      </c>
    </row>
    <row r="1197" spans="1:9" x14ac:dyDescent="0.35">
      <c r="A1197" s="2" t="s">
        <v>1233</v>
      </c>
      <c r="B1197" s="3">
        <v>44774</v>
      </c>
      <c r="C1197" s="2" t="s">
        <v>10</v>
      </c>
      <c r="D1197" s="2" t="s">
        <v>17</v>
      </c>
      <c r="E1197" s="2" t="s">
        <v>18</v>
      </c>
      <c r="F1197" s="2">
        <v>1905.36</v>
      </c>
      <c r="G1197" s="2">
        <v>362.16</v>
      </c>
      <c r="H1197" s="2" t="s">
        <v>28</v>
      </c>
      <c r="I1197" s="2" t="s">
        <v>14</v>
      </c>
    </row>
    <row r="1198" spans="1:9" x14ac:dyDescent="0.35">
      <c r="A1198" s="2" t="s">
        <v>1234</v>
      </c>
      <c r="B1198" s="3">
        <v>45573</v>
      </c>
      <c r="C1198" s="2" t="s">
        <v>10</v>
      </c>
      <c r="D1198" s="2" t="s">
        <v>57</v>
      </c>
      <c r="E1198" s="2" t="s">
        <v>27</v>
      </c>
      <c r="F1198" s="2">
        <v>807.91</v>
      </c>
      <c r="G1198" s="2">
        <v>50.16</v>
      </c>
      <c r="H1198" s="2" t="s">
        <v>13</v>
      </c>
      <c r="I1198" s="2" t="s">
        <v>34</v>
      </c>
    </row>
    <row r="1199" spans="1:9" x14ac:dyDescent="0.35">
      <c r="A1199" s="2" t="s">
        <v>1235</v>
      </c>
      <c r="B1199" s="3">
        <v>45533</v>
      </c>
      <c r="C1199" s="2" t="s">
        <v>10</v>
      </c>
      <c r="D1199" s="2" t="s">
        <v>26</v>
      </c>
      <c r="E1199" s="2" t="s">
        <v>27</v>
      </c>
      <c r="F1199" s="2">
        <v>1878.48</v>
      </c>
      <c r="G1199" s="2">
        <v>428.75</v>
      </c>
      <c r="H1199" s="2" t="s">
        <v>28</v>
      </c>
      <c r="I1199" s="2" t="s">
        <v>20</v>
      </c>
    </row>
    <row r="1200" spans="1:9" x14ac:dyDescent="0.35">
      <c r="A1200" s="2" t="s">
        <v>1236</v>
      </c>
      <c r="B1200" s="3">
        <v>45265</v>
      </c>
      <c r="C1200" s="2" t="s">
        <v>22</v>
      </c>
      <c r="D1200" s="2" t="s">
        <v>62</v>
      </c>
      <c r="E1200" s="2" t="s">
        <v>27</v>
      </c>
      <c r="F1200" s="2">
        <v>577.42999999999995</v>
      </c>
      <c r="G1200" s="2">
        <v>35.729999999999997</v>
      </c>
      <c r="H1200" s="2" t="s">
        <v>19</v>
      </c>
      <c r="I1200" s="2" t="s">
        <v>29</v>
      </c>
    </row>
    <row r="1201" spans="1:9" x14ac:dyDescent="0.35">
      <c r="A1201" s="2" t="s">
        <v>1237</v>
      </c>
      <c r="B1201" s="3">
        <v>45239</v>
      </c>
      <c r="C1201" s="2" t="s">
        <v>16</v>
      </c>
      <c r="D1201" s="2" t="s">
        <v>95</v>
      </c>
      <c r="E1201" s="2" t="s">
        <v>18</v>
      </c>
      <c r="F1201" s="2">
        <v>610.99</v>
      </c>
      <c r="G1201" s="2">
        <v>120.97</v>
      </c>
      <c r="H1201" s="2" t="s">
        <v>28</v>
      </c>
      <c r="I1201" s="2" t="s">
        <v>20</v>
      </c>
    </row>
    <row r="1202" spans="1:9" x14ac:dyDescent="0.35">
      <c r="A1202" s="2" t="s">
        <v>1238</v>
      </c>
      <c r="B1202" s="3">
        <v>44600</v>
      </c>
      <c r="C1202" s="2" t="s">
        <v>25</v>
      </c>
      <c r="D1202" s="2" t="s">
        <v>46</v>
      </c>
      <c r="E1202" s="2" t="s">
        <v>18</v>
      </c>
      <c r="F1202" s="2">
        <v>432.4</v>
      </c>
      <c r="G1202" s="2">
        <v>113.07</v>
      </c>
      <c r="H1202" s="2" t="s">
        <v>13</v>
      </c>
      <c r="I1202" s="2" t="s">
        <v>20</v>
      </c>
    </row>
    <row r="1203" spans="1:9" x14ac:dyDescent="0.35">
      <c r="A1203" s="2" t="s">
        <v>1239</v>
      </c>
      <c r="B1203" s="3">
        <v>45103</v>
      </c>
      <c r="C1203" s="2" t="s">
        <v>25</v>
      </c>
      <c r="D1203" s="2" t="s">
        <v>73</v>
      </c>
      <c r="E1203" s="2" t="s">
        <v>27</v>
      </c>
      <c r="F1203" s="2">
        <v>1484.86</v>
      </c>
      <c r="G1203" s="2">
        <v>193.26</v>
      </c>
      <c r="H1203" s="2" t="s">
        <v>19</v>
      </c>
      <c r="I1203" s="2" t="s">
        <v>20</v>
      </c>
    </row>
    <row r="1204" spans="1:9" x14ac:dyDescent="0.35">
      <c r="A1204" s="2" t="s">
        <v>1240</v>
      </c>
      <c r="B1204" s="3">
        <v>44607</v>
      </c>
      <c r="C1204" s="2" t="s">
        <v>25</v>
      </c>
      <c r="D1204" s="2" t="s">
        <v>41</v>
      </c>
      <c r="E1204" s="2" t="s">
        <v>12</v>
      </c>
      <c r="F1204" s="2">
        <v>237.73</v>
      </c>
      <c r="G1204" s="2">
        <v>56.84</v>
      </c>
      <c r="H1204" s="2" t="s">
        <v>13</v>
      </c>
      <c r="I1204" s="2" t="s">
        <v>34</v>
      </c>
    </row>
    <row r="1205" spans="1:9" x14ac:dyDescent="0.35">
      <c r="A1205" s="2" t="s">
        <v>1241</v>
      </c>
      <c r="B1205" s="3">
        <v>44592</v>
      </c>
      <c r="C1205" s="2" t="s">
        <v>16</v>
      </c>
      <c r="D1205" s="2" t="s">
        <v>11</v>
      </c>
      <c r="E1205" s="2" t="s">
        <v>12</v>
      </c>
      <c r="F1205" s="2">
        <v>1963.79</v>
      </c>
      <c r="G1205" s="2">
        <v>132.04</v>
      </c>
      <c r="H1205" s="2" t="s">
        <v>28</v>
      </c>
      <c r="I1205" s="2" t="s">
        <v>34</v>
      </c>
    </row>
    <row r="1206" spans="1:9" x14ac:dyDescent="0.35">
      <c r="A1206" s="2" t="s">
        <v>1242</v>
      </c>
      <c r="B1206" s="3">
        <v>44733</v>
      </c>
      <c r="C1206" s="2" t="s">
        <v>10</v>
      </c>
      <c r="D1206" s="2" t="s">
        <v>31</v>
      </c>
      <c r="E1206" s="2" t="s">
        <v>12</v>
      </c>
      <c r="F1206" s="2">
        <v>638.63</v>
      </c>
      <c r="G1206" s="2">
        <v>45.44</v>
      </c>
      <c r="H1206" s="2" t="s">
        <v>13</v>
      </c>
      <c r="I1206" s="2" t="s">
        <v>29</v>
      </c>
    </row>
    <row r="1207" spans="1:9" x14ac:dyDescent="0.35">
      <c r="A1207" s="2" t="s">
        <v>1243</v>
      </c>
      <c r="B1207" s="3">
        <v>44651</v>
      </c>
      <c r="C1207" s="2" t="s">
        <v>10</v>
      </c>
      <c r="D1207" s="2" t="s">
        <v>62</v>
      </c>
      <c r="E1207" s="2" t="s">
        <v>27</v>
      </c>
      <c r="F1207" s="2">
        <v>404.35</v>
      </c>
      <c r="G1207" s="2">
        <v>82.09</v>
      </c>
      <c r="H1207" s="2" t="s">
        <v>13</v>
      </c>
      <c r="I1207" s="2" t="s">
        <v>29</v>
      </c>
    </row>
    <row r="1208" spans="1:9" x14ac:dyDescent="0.35">
      <c r="A1208" s="2" t="s">
        <v>1244</v>
      </c>
      <c r="B1208" s="3">
        <v>44674</v>
      </c>
      <c r="C1208" s="2" t="s">
        <v>10</v>
      </c>
      <c r="D1208" s="2" t="s">
        <v>73</v>
      </c>
      <c r="E1208" s="2" t="s">
        <v>27</v>
      </c>
      <c r="F1208" s="2">
        <v>1274.83</v>
      </c>
      <c r="G1208" s="2">
        <v>215.75</v>
      </c>
      <c r="H1208" s="2" t="s">
        <v>19</v>
      </c>
      <c r="I1208" s="2" t="s">
        <v>29</v>
      </c>
    </row>
    <row r="1209" spans="1:9" x14ac:dyDescent="0.35">
      <c r="A1209" s="2" t="s">
        <v>1245</v>
      </c>
      <c r="B1209" s="3">
        <v>44845</v>
      </c>
      <c r="C1209" s="2" t="s">
        <v>16</v>
      </c>
      <c r="D1209" s="2" t="s">
        <v>41</v>
      </c>
      <c r="E1209" s="2" t="s">
        <v>12</v>
      </c>
      <c r="F1209" s="2">
        <v>1954.37</v>
      </c>
      <c r="G1209" s="2">
        <v>310</v>
      </c>
      <c r="H1209" s="2" t="s">
        <v>13</v>
      </c>
      <c r="I1209" s="2" t="s">
        <v>14</v>
      </c>
    </row>
    <row r="1210" spans="1:9" x14ac:dyDescent="0.35">
      <c r="A1210" s="2" t="s">
        <v>1246</v>
      </c>
      <c r="B1210" s="3">
        <v>44669</v>
      </c>
      <c r="C1210" s="2" t="s">
        <v>10</v>
      </c>
      <c r="D1210" s="2" t="s">
        <v>23</v>
      </c>
      <c r="E1210" s="2" t="s">
        <v>18</v>
      </c>
      <c r="F1210" s="2">
        <v>1264.72</v>
      </c>
      <c r="G1210" s="2">
        <v>309.76</v>
      </c>
      <c r="H1210" s="2" t="s">
        <v>13</v>
      </c>
      <c r="I1210" s="2" t="s">
        <v>29</v>
      </c>
    </row>
    <row r="1211" spans="1:9" x14ac:dyDescent="0.35">
      <c r="A1211" s="2" t="s">
        <v>1247</v>
      </c>
      <c r="B1211" s="3">
        <v>45620</v>
      </c>
      <c r="C1211" s="2" t="s">
        <v>16</v>
      </c>
      <c r="D1211" s="2" t="s">
        <v>41</v>
      </c>
      <c r="E1211" s="2" t="s">
        <v>12</v>
      </c>
      <c r="F1211" s="2">
        <v>221.34</v>
      </c>
      <c r="G1211" s="2">
        <v>52.77</v>
      </c>
      <c r="H1211" s="2" t="s">
        <v>28</v>
      </c>
      <c r="I1211" s="2" t="s">
        <v>34</v>
      </c>
    </row>
    <row r="1212" spans="1:9" x14ac:dyDescent="0.35">
      <c r="A1212" s="2" t="s">
        <v>1248</v>
      </c>
      <c r="B1212" s="3">
        <v>44723</v>
      </c>
      <c r="C1212" s="2" t="s">
        <v>16</v>
      </c>
      <c r="D1212" s="2" t="s">
        <v>46</v>
      </c>
      <c r="E1212" s="2" t="s">
        <v>18</v>
      </c>
      <c r="F1212" s="2">
        <v>1783.51</v>
      </c>
      <c r="G1212" s="2">
        <v>259.08999999999997</v>
      </c>
      <c r="H1212" s="2" t="s">
        <v>19</v>
      </c>
      <c r="I1212" s="2" t="s">
        <v>29</v>
      </c>
    </row>
    <row r="1213" spans="1:9" x14ac:dyDescent="0.35">
      <c r="A1213" s="2" t="s">
        <v>1249</v>
      </c>
      <c r="B1213" s="3">
        <v>44722</v>
      </c>
      <c r="C1213" s="2" t="s">
        <v>16</v>
      </c>
      <c r="D1213" s="2" t="s">
        <v>46</v>
      </c>
      <c r="E1213" s="2" t="s">
        <v>18</v>
      </c>
      <c r="F1213" s="2">
        <v>1337.79</v>
      </c>
      <c r="G1213" s="2">
        <v>243.99</v>
      </c>
      <c r="H1213" s="2" t="s">
        <v>19</v>
      </c>
      <c r="I1213" s="2" t="s">
        <v>29</v>
      </c>
    </row>
    <row r="1214" spans="1:9" x14ac:dyDescent="0.35">
      <c r="A1214" s="2" t="s">
        <v>1250</v>
      </c>
      <c r="B1214" s="3">
        <v>45635</v>
      </c>
      <c r="C1214" s="2" t="s">
        <v>25</v>
      </c>
      <c r="D1214" s="2" t="s">
        <v>41</v>
      </c>
      <c r="E1214" s="2" t="s">
        <v>12</v>
      </c>
      <c r="F1214" s="2">
        <v>71.040000000000006</v>
      </c>
      <c r="G1214" s="2">
        <v>19.23</v>
      </c>
      <c r="H1214" s="2" t="s">
        <v>13</v>
      </c>
      <c r="I1214" s="2" t="s">
        <v>20</v>
      </c>
    </row>
    <row r="1215" spans="1:9" x14ac:dyDescent="0.35">
      <c r="A1215" s="2" t="s">
        <v>1252</v>
      </c>
      <c r="B1215" s="3">
        <v>45352</v>
      </c>
      <c r="C1215" s="2" t="s">
        <v>22</v>
      </c>
      <c r="D1215" s="2" t="s">
        <v>26</v>
      </c>
      <c r="E1215" s="2" t="s">
        <v>27</v>
      </c>
      <c r="F1215" s="2">
        <v>95.4</v>
      </c>
      <c r="G1215" s="2">
        <v>24.66</v>
      </c>
      <c r="H1215" s="2" t="s">
        <v>19</v>
      </c>
      <c r="I1215" s="2" t="s">
        <v>34</v>
      </c>
    </row>
    <row r="1216" spans="1:9" x14ac:dyDescent="0.35">
      <c r="A1216" s="2" t="s">
        <v>1253</v>
      </c>
      <c r="B1216" s="3">
        <v>45180</v>
      </c>
      <c r="C1216" s="2" t="s">
        <v>22</v>
      </c>
      <c r="D1216" s="2" t="s">
        <v>41</v>
      </c>
      <c r="E1216" s="2" t="s">
        <v>12</v>
      </c>
      <c r="F1216" s="2">
        <v>1241.23</v>
      </c>
      <c r="G1216" s="2">
        <v>161.88</v>
      </c>
      <c r="H1216" s="2" t="s">
        <v>13</v>
      </c>
      <c r="I1216" s="2" t="s">
        <v>29</v>
      </c>
    </row>
    <row r="1217" spans="1:9" x14ac:dyDescent="0.35">
      <c r="A1217" s="2" t="s">
        <v>1254</v>
      </c>
      <c r="B1217" s="3">
        <v>44781</v>
      </c>
      <c r="C1217" s="2" t="s">
        <v>10</v>
      </c>
      <c r="D1217" s="2" t="s">
        <v>50</v>
      </c>
      <c r="E1217" s="2" t="s">
        <v>12</v>
      </c>
      <c r="F1217" s="2">
        <v>1203.6600000000001</v>
      </c>
      <c r="G1217" s="2">
        <v>182.09</v>
      </c>
      <c r="H1217" s="2" t="s">
        <v>19</v>
      </c>
      <c r="I1217" s="2" t="s">
        <v>20</v>
      </c>
    </row>
    <row r="1218" spans="1:9" x14ac:dyDescent="0.35">
      <c r="A1218" s="2" t="s">
        <v>1255</v>
      </c>
      <c r="B1218" s="3">
        <v>44614</v>
      </c>
      <c r="C1218" s="2" t="s">
        <v>16</v>
      </c>
      <c r="D1218" s="2" t="s">
        <v>41</v>
      </c>
      <c r="E1218" s="2" t="s">
        <v>12</v>
      </c>
      <c r="F1218" s="2">
        <v>737.74</v>
      </c>
      <c r="G1218" s="2">
        <v>133.30000000000001</v>
      </c>
      <c r="H1218" s="2" t="s">
        <v>28</v>
      </c>
      <c r="I1218" s="2" t="s">
        <v>14</v>
      </c>
    </row>
    <row r="1219" spans="1:9" x14ac:dyDescent="0.35">
      <c r="A1219" s="2" t="s">
        <v>1256</v>
      </c>
      <c r="B1219" s="3">
        <v>44983</v>
      </c>
      <c r="C1219" s="2" t="s">
        <v>16</v>
      </c>
      <c r="D1219" s="2" t="s">
        <v>33</v>
      </c>
      <c r="E1219" s="2" t="s">
        <v>18</v>
      </c>
      <c r="F1219" s="2">
        <v>1671.24</v>
      </c>
      <c r="G1219" s="2">
        <v>219.67</v>
      </c>
      <c r="H1219" s="2" t="s">
        <v>28</v>
      </c>
      <c r="I1219" s="2" t="s">
        <v>14</v>
      </c>
    </row>
    <row r="1220" spans="1:9" x14ac:dyDescent="0.35">
      <c r="A1220" s="2" t="s">
        <v>1257</v>
      </c>
      <c r="B1220" s="3">
        <v>45498</v>
      </c>
      <c r="C1220" s="2" t="s">
        <v>16</v>
      </c>
      <c r="D1220" s="2" t="s">
        <v>33</v>
      </c>
      <c r="E1220" s="2" t="s">
        <v>18</v>
      </c>
      <c r="F1220" s="2">
        <v>1969.03</v>
      </c>
      <c r="G1220" s="2">
        <v>579.98</v>
      </c>
      <c r="H1220" s="2" t="s">
        <v>19</v>
      </c>
      <c r="I1220" s="2" t="s">
        <v>14</v>
      </c>
    </row>
    <row r="1221" spans="1:9" x14ac:dyDescent="0.35">
      <c r="A1221" s="2" t="s">
        <v>1258</v>
      </c>
      <c r="B1221" s="3">
        <v>45152</v>
      </c>
      <c r="C1221" s="2" t="s">
        <v>22</v>
      </c>
      <c r="D1221" s="2" t="s">
        <v>11</v>
      </c>
      <c r="E1221" s="2" t="s">
        <v>12</v>
      </c>
      <c r="F1221" s="2">
        <v>536.92999999999995</v>
      </c>
      <c r="G1221" s="2">
        <v>111.28</v>
      </c>
      <c r="H1221" s="2" t="s">
        <v>19</v>
      </c>
      <c r="I1221" s="2" t="s">
        <v>20</v>
      </c>
    </row>
    <row r="1222" spans="1:9" x14ac:dyDescent="0.35">
      <c r="A1222" s="2" t="s">
        <v>1259</v>
      </c>
      <c r="B1222" s="3">
        <v>45408</v>
      </c>
      <c r="C1222" s="2" t="s">
        <v>25</v>
      </c>
      <c r="D1222" s="2" t="s">
        <v>31</v>
      </c>
      <c r="E1222" s="2" t="s">
        <v>12</v>
      </c>
      <c r="F1222" s="2">
        <v>697.37</v>
      </c>
      <c r="G1222" s="2">
        <v>164.24</v>
      </c>
      <c r="H1222" s="2" t="s">
        <v>13</v>
      </c>
      <c r="I1222" s="2" t="s">
        <v>34</v>
      </c>
    </row>
    <row r="1223" spans="1:9" x14ac:dyDescent="0.35">
      <c r="A1223" s="2" t="s">
        <v>1260</v>
      </c>
      <c r="B1223" s="3">
        <v>44637</v>
      </c>
      <c r="C1223" s="2" t="s">
        <v>16</v>
      </c>
      <c r="D1223" s="2" t="s">
        <v>97</v>
      </c>
      <c r="E1223" s="2" t="s">
        <v>27</v>
      </c>
      <c r="F1223" s="2">
        <v>521.49</v>
      </c>
      <c r="G1223" s="2">
        <v>35.49</v>
      </c>
      <c r="H1223" s="2" t="s">
        <v>13</v>
      </c>
      <c r="I1223" s="2" t="s">
        <v>34</v>
      </c>
    </row>
    <row r="1224" spans="1:9" x14ac:dyDescent="0.35">
      <c r="A1224" s="2" t="s">
        <v>1261</v>
      </c>
      <c r="B1224" s="3">
        <v>45290</v>
      </c>
      <c r="C1224" s="2" t="s">
        <v>10</v>
      </c>
      <c r="D1224" s="2" t="s">
        <v>41</v>
      </c>
      <c r="E1224" s="2" t="s">
        <v>12</v>
      </c>
      <c r="F1224" s="2">
        <v>1688.88</v>
      </c>
      <c r="G1224" s="2">
        <v>281.85000000000002</v>
      </c>
      <c r="H1224" s="2" t="s">
        <v>13</v>
      </c>
      <c r="I1224" s="2" t="s">
        <v>29</v>
      </c>
    </row>
    <row r="1225" spans="1:9" x14ac:dyDescent="0.35">
      <c r="A1225" s="2" t="s">
        <v>1262</v>
      </c>
      <c r="B1225" s="3">
        <v>44966</v>
      </c>
      <c r="C1225" s="2" t="s">
        <v>10</v>
      </c>
      <c r="D1225" s="2" t="s">
        <v>17</v>
      </c>
      <c r="E1225" s="2" t="s">
        <v>18</v>
      </c>
      <c r="F1225" s="2">
        <v>147</v>
      </c>
      <c r="G1225" s="2">
        <v>35.409999999999997</v>
      </c>
      <c r="H1225" s="2" t="s">
        <v>13</v>
      </c>
      <c r="I1225" s="2" t="s">
        <v>29</v>
      </c>
    </row>
    <row r="1226" spans="1:9" x14ac:dyDescent="0.35">
      <c r="A1226" s="2" t="s">
        <v>1263</v>
      </c>
      <c r="B1226" s="3">
        <v>45334</v>
      </c>
      <c r="C1226" s="2" t="s">
        <v>25</v>
      </c>
      <c r="D1226" s="2" t="s">
        <v>31</v>
      </c>
      <c r="E1226" s="2" t="s">
        <v>12</v>
      </c>
      <c r="F1226" s="2">
        <v>1818.11</v>
      </c>
      <c r="G1226" s="2">
        <v>322.37</v>
      </c>
      <c r="H1226" s="2" t="s">
        <v>19</v>
      </c>
      <c r="I1226" s="2" t="s">
        <v>14</v>
      </c>
    </row>
    <row r="1227" spans="1:9" x14ac:dyDescent="0.35">
      <c r="A1227" s="2" t="s">
        <v>1264</v>
      </c>
      <c r="B1227" s="3">
        <v>45158</v>
      </c>
      <c r="C1227" s="2" t="s">
        <v>22</v>
      </c>
      <c r="D1227" s="2" t="s">
        <v>62</v>
      </c>
      <c r="E1227" s="2" t="s">
        <v>27</v>
      </c>
      <c r="F1227" s="2">
        <v>114.57</v>
      </c>
      <c r="G1227" s="2">
        <v>9.0299999999999994</v>
      </c>
      <c r="H1227" s="2" t="s">
        <v>13</v>
      </c>
      <c r="I1227" s="2" t="s">
        <v>34</v>
      </c>
    </row>
    <row r="1228" spans="1:9" x14ac:dyDescent="0.35">
      <c r="A1228" s="2" t="s">
        <v>1265</v>
      </c>
      <c r="B1228" s="3">
        <v>45385</v>
      </c>
      <c r="C1228" s="2" t="s">
        <v>10</v>
      </c>
      <c r="D1228" s="2" t="s">
        <v>31</v>
      </c>
      <c r="E1228" s="2" t="s">
        <v>12</v>
      </c>
      <c r="F1228" s="2">
        <v>1810.79</v>
      </c>
      <c r="G1228" s="2">
        <v>250.4</v>
      </c>
      <c r="H1228" s="2" t="s">
        <v>13</v>
      </c>
      <c r="I1228" s="2" t="s">
        <v>14</v>
      </c>
    </row>
    <row r="1229" spans="1:9" x14ac:dyDescent="0.35">
      <c r="A1229" s="2" t="s">
        <v>1266</v>
      </c>
      <c r="B1229" s="3">
        <v>45199</v>
      </c>
      <c r="C1229" s="2" t="s">
        <v>16</v>
      </c>
      <c r="D1229" s="2" t="s">
        <v>73</v>
      </c>
      <c r="E1229" s="2" t="s">
        <v>27</v>
      </c>
      <c r="F1229" s="2">
        <v>1309.95</v>
      </c>
      <c r="G1229" s="2">
        <v>182.41</v>
      </c>
      <c r="H1229" s="2" t="s">
        <v>19</v>
      </c>
      <c r="I1229" s="2" t="s">
        <v>14</v>
      </c>
    </row>
    <row r="1230" spans="1:9" x14ac:dyDescent="0.35">
      <c r="A1230" s="2" t="s">
        <v>1267</v>
      </c>
      <c r="B1230" s="3">
        <v>44772</v>
      </c>
      <c r="C1230" s="2" t="s">
        <v>22</v>
      </c>
      <c r="D1230" s="2" t="s">
        <v>50</v>
      </c>
      <c r="E1230" s="2" t="s">
        <v>12</v>
      </c>
      <c r="F1230" s="2">
        <v>208.05</v>
      </c>
      <c r="G1230" s="2">
        <v>25.02</v>
      </c>
      <c r="H1230" s="2" t="s">
        <v>13</v>
      </c>
      <c r="I1230" s="2" t="s">
        <v>14</v>
      </c>
    </row>
    <row r="1231" spans="1:9" x14ac:dyDescent="0.35">
      <c r="A1231" s="2" t="s">
        <v>1268</v>
      </c>
      <c r="B1231" s="3">
        <v>45521</v>
      </c>
      <c r="C1231" s="2" t="s">
        <v>22</v>
      </c>
      <c r="D1231" s="2" t="s">
        <v>46</v>
      </c>
      <c r="E1231" s="2" t="s">
        <v>18</v>
      </c>
      <c r="F1231" s="2">
        <v>335.99</v>
      </c>
      <c r="G1231" s="2">
        <v>80.349999999999994</v>
      </c>
      <c r="H1231" s="2" t="s">
        <v>28</v>
      </c>
      <c r="I1231" s="2" t="s">
        <v>29</v>
      </c>
    </row>
    <row r="1232" spans="1:9" x14ac:dyDescent="0.35">
      <c r="A1232" s="2" t="s">
        <v>1269</v>
      </c>
      <c r="B1232" s="3">
        <v>45450</v>
      </c>
      <c r="C1232" s="2" t="s">
        <v>22</v>
      </c>
      <c r="D1232" s="2" t="s">
        <v>46</v>
      </c>
      <c r="E1232" s="2" t="s">
        <v>18</v>
      </c>
      <c r="F1232" s="2">
        <v>86.85</v>
      </c>
      <c r="G1232" s="2">
        <v>7.07</v>
      </c>
      <c r="H1232" s="2" t="s">
        <v>19</v>
      </c>
      <c r="I1232" s="2" t="s">
        <v>20</v>
      </c>
    </row>
    <row r="1233" spans="1:9" x14ac:dyDescent="0.35">
      <c r="A1233" s="2" t="s">
        <v>1270</v>
      </c>
      <c r="B1233" s="3">
        <v>44669</v>
      </c>
      <c r="C1233" s="2" t="s">
        <v>16</v>
      </c>
      <c r="D1233" s="2" t="s">
        <v>11</v>
      </c>
      <c r="E1233" s="2" t="s">
        <v>12</v>
      </c>
      <c r="F1233" s="2">
        <v>1588.36</v>
      </c>
      <c r="G1233" s="2">
        <v>196.96</v>
      </c>
      <c r="H1233" s="2" t="s">
        <v>13</v>
      </c>
      <c r="I1233" s="2" t="s">
        <v>20</v>
      </c>
    </row>
    <row r="1234" spans="1:9" x14ac:dyDescent="0.35">
      <c r="A1234" s="2" t="s">
        <v>1271</v>
      </c>
      <c r="B1234" s="3">
        <v>45142</v>
      </c>
      <c r="C1234" s="2" t="s">
        <v>22</v>
      </c>
      <c r="D1234" s="2" t="s">
        <v>17</v>
      </c>
      <c r="E1234" s="2" t="s">
        <v>18</v>
      </c>
      <c r="F1234" s="2">
        <v>1489.11</v>
      </c>
      <c r="G1234" s="2">
        <v>425.96</v>
      </c>
      <c r="H1234" s="2" t="s">
        <v>19</v>
      </c>
      <c r="I1234" s="2" t="s">
        <v>20</v>
      </c>
    </row>
    <row r="1235" spans="1:9" x14ac:dyDescent="0.35">
      <c r="A1235" s="2" t="s">
        <v>1272</v>
      </c>
      <c r="B1235" s="3">
        <v>45461</v>
      </c>
      <c r="C1235" s="2" t="s">
        <v>10</v>
      </c>
      <c r="D1235" s="2" t="s">
        <v>11</v>
      </c>
      <c r="E1235" s="2" t="s">
        <v>12</v>
      </c>
      <c r="F1235" s="2">
        <v>1926.9</v>
      </c>
      <c r="G1235" s="2">
        <v>452.94</v>
      </c>
      <c r="H1235" s="2" t="s">
        <v>19</v>
      </c>
      <c r="I1235" s="2" t="s">
        <v>34</v>
      </c>
    </row>
    <row r="1236" spans="1:9" x14ac:dyDescent="0.35">
      <c r="A1236" s="2" t="s">
        <v>1273</v>
      </c>
      <c r="B1236" s="3">
        <v>44961</v>
      </c>
      <c r="C1236" s="2" t="s">
        <v>25</v>
      </c>
      <c r="D1236" s="2" t="s">
        <v>57</v>
      </c>
      <c r="E1236" s="2" t="s">
        <v>27</v>
      </c>
      <c r="F1236" s="2">
        <v>1392.04</v>
      </c>
      <c r="G1236" s="2">
        <v>102.73</v>
      </c>
      <c r="H1236" s="2" t="s">
        <v>28</v>
      </c>
      <c r="I1236" s="2" t="s">
        <v>34</v>
      </c>
    </row>
    <row r="1237" spans="1:9" x14ac:dyDescent="0.35">
      <c r="A1237" s="2" t="s">
        <v>1274</v>
      </c>
      <c r="B1237" s="3">
        <v>45478</v>
      </c>
      <c r="C1237" s="2" t="s">
        <v>22</v>
      </c>
      <c r="D1237" s="2" t="s">
        <v>95</v>
      </c>
      <c r="E1237" s="2" t="s">
        <v>18</v>
      </c>
      <c r="F1237" s="2">
        <v>367.47</v>
      </c>
      <c r="G1237" s="2">
        <v>107.01</v>
      </c>
      <c r="H1237" s="2" t="s">
        <v>19</v>
      </c>
      <c r="I1237" s="2" t="s">
        <v>29</v>
      </c>
    </row>
    <row r="1238" spans="1:9" x14ac:dyDescent="0.35">
      <c r="A1238" s="2" t="s">
        <v>1275</v>
      </c>
      <c r="B1238" s="3">
        <v>45625</v>
      </c>
      <c r="C1238" s="2" t="s">
        <v>16</v>
      </c>
      <c r="D1238" s="2" t="s">
        <v>31</v>
      </c>
      <c r="E1238" s="2" t="s">
        <v>12</v>
      </c>
      <c r="F1238" s="2">
        <v>1491.62</v>
      </c>
      <c r="G1238" s="2">
        <v>424.9</v>
      </c>
      <c r="H1238" s="2" t="s">
        <v>19</v>
      </c>
      <c r="I1238" s="2" t="s">
        <v>29</v>
      </c>
    </row>
    <row r="1239" spans="1:9" x14ac:dyDescent="0.35">
      <c r="A1239" s="2" t="s">
        <v>1276</v>
      </c>
      <c r="B1239" s="3">
        <v>44757</v>
      </c>
      <c r="C1239" s="2" t="s">
        <v>22</v>
      </c>
      <c r="D1239" s="2" t="s">
        <v>62</v>
      </c>
      <c r="E1239" s="2" t="s">
        <v>27</v>
      </c>
      <c r="F1239" s="2">
        <v>73.37</v>
      </c>
      <c r="G1239" s="2">
        <v>18.78</v>
      </c>
      <c r="H1239" s="2" t="s">
        <v>19</v>
      </c>
      <c r="I1239" s="2" t="s">
        <v>14</v>
      </c>
    </row>
    <row r="1240" spans="1:9" x14ac:dyDescent="0.35">
      <c r="A1240" s="2" t="s">
        <v>1277</v>
      </c>
      <c r="B1240" s="3">
        <v>45537</v>
      </c>
      <c r="C1240" s="2" t="s">
        <v>10</v>
      </c>
      <c r="D1240" s="2" t="s">
        <v>73</v>
      </c>
      <c r="E1240" s="2" t="s">
        <v>27</v>
      </c>
      <c r="F1240" s="2">
        <v>1750.63</v>
      </c>
      <c r="G1240" s="2">
        <v>500.97</v>
      </c>
      <c r="H1240" s="2" t="s">
        <v>19</v>
      </c>
      <c r="I1240" s="2" t="s">
        <v>34</v>
      </c>
    </row>
    <row r="1241" spans="1:9" x14ac:dyDescent="0.35">
      <c r="A1241" s="2" t="s">
        <v>1278</v>
      </c>
      <c r="B1241" s="3">
        <v>44976</v>
      </c>
      <c r="C1241" s="2" t="s">
        <v>25</v>
      </c>
      <c r="D1241" s="2" t="s">
        <v>73</v>
      </c>
      <c r="E1241" s="2" t="s">
        <v>27</v>
      </c>
      <c r="F1241" s="2">
        <v>740.58</v>
      </c>
      <c r="G1241" s="2">
        <v>84.85</v>
      </c>
      <c r="H1241" s="2" t="s">
        <v>13</v>
      </c>
      <c r="I1241" s="2" t="s">
        <v>34</v>
      </c>
    </row>
    <row r="1242" spans="1:9" x14ac:dyDescent="0.35">
      <c r="A1242" s="2" t="s">
        <v>1279</v>
      </c>
      <c r="B1242" s="3">
        <v>44870</v>
      </c>
      <c r="C1242" s="2" t="s">
        <v>10</v>
      </c>
      <c r="D1242" s="2" t="s">
        <v>11</v>
      </c>
      <c r="E1242" s="2" t="s">
        <v>12</v>
      </c>
      <c r="F1242" s="2">
        <v>1871.94</v>
      </c>
      <c r="G1242" s="2">
        <v>415.91</v>
      </c>
      <c r="H1242" s="2" t="s">
        <v>13</v>
      </c>
      <c r="I1242" s="2" t="s">
        <v>34</v>
      </c>
    </row>
    <row r="1243" spans="1:9" x14ac:dyDescent="0.35">
      <c r="A1243" s="2" t="s">
        <v>1280</v>
      </c>
      <c r="B1243" s="3">
        <v>44688</v>
      </c>
      <c r="C1243" s="2" t="s">
        <v>25</v>
      </c>
      <c r="D1243" s="2" t="s">
        <v>50</v>
      </c>
      <c r="E1243" s="2" t="s">
        <v>12</v>
      </c>
      <c r="F1243" s="2">
        <v>1705.06</v>
      </c>
      <c r="G1243" s="2">
        <v>371.06</v>
      </c>
      <c r="H1243" s="2" t="s">
        <v>13</v>
      </c>
      <c r="I1243" s="2" t="s">
        <v>20</v>
      </c>
    </row>
    <row r="1244" spans="1:9" x14ac:dyDescent="0.35">
      <c r="A1244" s="2" t="s">
        <v>1281</v>
      </c>
      <c r="B1244" s="3">
        <v>45594</v>
      </c>
      <c r="C1244" s="2" t="s">
        <v>10</v>
      </c>
      <c r="D1244" s="2" t="s">
        <v>23</v>
      </c>
      <c r="E1244" s="2" t="s">
        <v>18</v>
      </c>
      <c r="F1244" s="2">
        <v>396.03</v>
      </c>
      <c r="G1244" s="2">
        <v>72.88</v>
      </c>
      <c r="H1244" s="2" t="s">
        <v>19</v>
      </c>
      <c r="I1244" s="2" t="s">
        <v>20</v>
      </c>
    </row>
    <row r="1245" spans="1:9" x14ac:dyDescent="0.35">
      <c r="A1245" s="2" t="s">
        <v>1282</v>
      </c>
      <c r="B1245" s="3">
        <v>44892</v>
      </c>
      <c r="C1245" s="2" t="s">
        <v>10</v>
      </c>
      <c r="D1245" s="2" t="s">
        <v>38</v>
      </c>
      <c r="E1245" s="2" t="s">
        <v>12</v>
      </c>
      <c r="F1245" s="2">
        <v>1168.97</v>
      </c>
      <c r="G1245" s="2">
        <v>257.01</v>
      </c>
      <c r="H1245" s="2" t="s">
        <v>19</v>
      </c>
      <c r="I1245" s="2" t="s">
        <v>20</v>
      </c>
    </row>
    <row r="1246" spans="1:9" x14ac:dyDescent="0.35">
      <c r="A1246" s="2" t="s">
        <v>1283</v>
      </c>
      <c r="B1246" s="3">
        <v>45301</v>
      </c>
      <c r="C1246" s="2" t="s">
        <v>25</v>
      </c>
      <c r="D1246" s="2" t="s">
        <v>62</v>
      </c>
      <c r="E1246" s="2" t="s">
        <v>27</v>
      </c>
      <c r="F1246" s="2">
        <v>1992.35</v>
      </c>
      <c r="G1246" s="2">
        <v>521.72</v>
      </c>
      <c r="H1246" s="2" t="s">
        <v>28</v>
      </c>
      <c r="I1246" s="2" t="s">
        <v>20</v>
      </c>
    </row>
    <row r="1247" spans="1:9" x14ac:dyDescent="0.35">
      <c r="A1247" s="2" t="s">
        <v>1284</v>
      </c>
      <c r="B1247" s="3">
        <v>45520</v>
      </c>
      <c r="C1247" s="2" t="s">
        <v>10</v>
      </c>
      <c r="D1247" s="2" t="s">
        <v>95</v>
      </c>
      <c r="E1247" s="2" t="s">
        <v>18</v>
      </c>
      <c r="F1247" s="2">
        <v>1132.48</v>
      </c>
      <c r="G1247" s="2">
        <v>270.36</v>
      </c>
      <c r="H1247" s="2" t="s">
        <v>28</v>
      </c>
      <c r="I1247" s="2" t="s">
        <v>34</v>
      </c>
    </row>
    <row r="1248" spans="1:9" x14ac:dyDescent="0.35">
      <c r="A1248" s="2" t="s">
        <v>1285</v>
      </c>
      <c r="B1248" s="3">
        <v>44822</v>
      </c>
      <c r="C1248" s="2" t="s">
        <v>10</v>
      </c>
      <c r="D1248" s="2" t="s">
        <v>17</v>
      </c>
      <c r="E1248" s="2" t="s">
        <v>18</v>
      </c>
      <c r="F1248" s="2">
        <v>881.29</v>
      </c>
      <c r="G1248" s="2">
        <v>153.19999999999999</v>
      </c>
      <c r="H1248" s="2" t="s">
        <v>28</v>
      </c>
      <c r="I1248" s="2" t="s">
        <v>14</v>
      </c>
    </row>
    <row r="1249" spans="1:9" x14ac:dyDescent="0.35">
      <c r="A1249" s="2" t="s">
        <v>1286</v>
      </c>
      <c r="B1249" s="3">
        <v>45601</v>
      </c>
      <c r="C1249" s="2" t="s">
        <v>22</v>
      </c>
      <c r="D1249" s="2" t="s">
        <v>46</v>
      </c>
      <c r="E1249" s="2" t="s">
        <v>18</v>
      </c>
      <c r="F1249" s="2">
        <v>1992.66</v>
      </c>
      <c r="G1249" s="2">
        <v>534.66999999999996</v>
      </c>
      <c r="H1249" s="2" t="s">
        <v>19</v>
      </c>
      <c r="I1249" s="2" t="s">
        <v>20</v>
      </c>
    </row>
    <row r="1250" spans="1:9" x14ac:dyDescent="0.35">
      <c r="A1250" s="2" t="s">
        <v>1287</v>
      </c>
      <c r="B1250" s="3">
        <v>44946</v>
      </c>
      <c r="C1250" s="2" t="s">
        <v>16</v>
      </c>
      <c r="D1250" s="2" t="s">
        <v>23</v>
      </c>
      <c r="E1250" s="2" t="s">
        <v>18</v>
      </c>
      <c r="F1250" s="2">
        <v>113.14</v>
      </c>
      <c r="G1250" s="2">
        <v>13.25</v>
      </c>
      <c r="H1250" s="2" t="s">
        <v>28</v>
      </c>
      <c r="I1250" s="2" t="s">
        <v>29</v>
      </c>
    </row>
    <row r="1251" spans="1:9" x14ac:dyDescent="0.35">
      <c r="A1251" s="2" t="s">
        <v>1288</v>
      </c>
      <c r="B1251" s="3">
        <v>45316</v>
      </c>
      <c r="C1251" s="2" t="s">
        <v>10</v>
      </c>
      <c r="D1251" s="2" t="s">
        <v>97</v>
      </c>
      <c r="E1251" s="2" t="s">
        <v>27</v>
      </c>
      <c r="F1251" s="2">
        <v>493.64</v>
      </c>
      <c r="G1251" s="2">
        <v>46.27</v>
      </c>
      <c r="H1251" s="2" t="s">
        <v>13</v>
      </c>
      <c r="I1251" s="2" t="s">
        <v>14</v>
      </c>
    </row>
    <row r="1252" spans="1:9" x14ac:dyDescent="0.35">
      <c r="A1252" s="2" t="s">
        <v>1289</v>
      </c>
      <c r="B1252" s="3">
        <v>45611</v>
      </c>
      <c r="C1252" s="2" t="s">
        <v>16</v>
      </c>
      <c r="D1252" s="2" t="s">
        <v>38</v>
      </c>
      <c r="E1252" s="2" t="s">
        <v>12</v>
      </c>
      <c r="F1252" s="2">
        <v>1073.52</v>
      </c>
      <c r="G1252" s="2">
        <v>213.17</v>
      </c>
      <c r="H1252" s="2" t="s">
        <v>28</v>
      </c>
      <c r="I1252" s="2" t="s">
        <v>20</v>
      </c>
    </row>
    <row r="1253" spans="1:9" x14ac:dyDescent="0.35">
      <c r="A1253" s="2" t="s">
        <v>1290</v>
      </c>
      <c r="B1253" s="3">
        <v>45569</v>
      </c>
      <c r="C1253" s="2" t="s">
        <v>16</v>
      </c>
      <c r="D1253" s="2" t="s">
        <v>33</v>
      </c>
      <c r="E1253" s="2" t="s">
        <v>18</v>
      </c>
      <c r="F1253" s="2">
        <v>1699.18</v>
      </c>
      <c r="G1253" s="2">
        <v>375.23</v>
      </c>
      <c r="H1253" s="2" t="s">
        <v>28</v>
      </c>
      <c r="I1253" s="2" t="s">
        <v>34</v>
      </c>
    </row>
    <row r="1254" spans="1:9" x14ac:dyDescent="0.35">
      <c r="A1254" s="2" t="s">
        <v>1291</v>
      </c>
      <c r="B1254" s="3">
        <v>45180</v>
      </c>
      <c r="C1254" s="2" t="s">
        <v>16</v>
      </c>
      <c r="D1254" s="2" t="s">
        <v>31</v>
      </c>
      <c r="E1254" s="2" t="s">
        <v>12</v>
      </c>
      <c r="F1254" s="2">
        <v>460.58</v>
      </c>
      <c r="G1254" s="2">
        <v>36.76</v>
      </c>
      <c r="H1254" s="2" t="s">
        <v>13</v>
      </c>
      <c r="I1254" s="2" t="s">
        <v>20</v>
      </c>
    </row>
    <row r="1255" spans="1:9" x14ac:dyDescent="0.35">
      <c r="A1255" s="2" t="s">
        <v>1292</v>
      </c>
      <c r="B1255" s="3">
        <v>44883</v>
      </c>
      <c r="C1255" s="2" t="s">
        <v>10</v>
      </c>
      <c r="D1255" s="2" t="s">
        <v>23</v>
      </c>
      <c r="E1255" s="2" t="s">
        <v>18</v>
      </c>
      <c r="F1255" s="2">
        <v>548.89</v>
      </c>
      <c r="G1255" s="2">
        <v>82.22</v>
      </c>
      <c r="H1255" s="2" t="s">
        <v>19</v>
      </c>
      <c r="I1255" s="2" t="s">
        <v>14</v>
      </c>
    </row>
    <row r="1256" spans="1:9" x14ac:dyDescent="0.35">
      <c r="A1256" s="2" t="s">
        <v>1293</v>
      </c>
      <c r="B1256" s="3">
        <v>45362</v>
      </c>
      <c r="C1256" s="2" t="s">
        <v>16</v>
      </c>
      <c r="D1256" s="2" t="s">
        <v>95</v>
      </c>
      <c r="E1256" s="2" t="s">
        <v>18</v>
      </c>
      <c r="F1256" s="2">
        <v>375.89</v>
      </c>
      <c r="G1256" s="2">
        <v>107.12</v>
      </c>
      <c r="H1256" s="2" t="s">
        <v>13</v>
      </c>
      <c r="I1256" s="2" t="s">
        <v>20</v>
      </c>
    </row>
    <row r="1257" spans="1:9" x14ac:dyDescent="0.35">
      <c r="A1257" s="2" t="s">
        <v>1294</v>
      </c>
      <c r="B1257" s="3">
        <v>44797</v>
      </c>
      <c r="C1257" s="2" t="s">
        <v>22</v>
      </c>
      <c r="D1257" s="2" t="s">
        <v>23</v>
      </c>
      <c r="E1257" s="2" t="s">
        <v>18</v>
      </c>
      <c r="F1257" s="2">
        <v>716.95</v>
      </c>
      <c r="G1257" s="2">
        <v>160.88999999999999</v>
      </c>
      <c r="H1257" s="2" t="s">
        <v>28</v>
      </c>
      <c r="I1257" s="2" t="s">
        <v>20</v>
      </c>
    </row>
    <row r="1258" spans="1:9" x14ac:dyDescent="0.35">
      <c r="A1258" s="2" t="s">
        <v>1295</v>
      </c>
      <c r="B1258" s="3">
        <v>45467</v>
      </c>
      <c r="C1258" s="2" t="s">
        <v>25</v>
      </c>
      <c r="D1258" s="2" t="s">
        <v>97</v>
      </c>
      <c r="E1258" s="2" t="s">
        <v>27</v>
      </c>
      <c r="F1258" s="2">
        <v>1263.67</v>
      </c>
      <c r="G1258" s="2">
        <v>150.75</v>
      </c>
      <c r="H1258" s="2" t="s">
        <v>28</v>
      </c>
      <c r="I1258" s="2" t="s">
        <v>14</v>
      </c>
    </row>
    <row r="1259" spans="1:9" x14ac:dyDescent="0.35">
      <c r="A1259" s="2" t="s">
        <v>1296</v>
      </c>
      <c r="B1259" s="3">
        <v>44741</v>
      </c>
      <c r="C1259" s="2" t="s">
        <v>22</v>
      </c>
      <c r="D1259" s="2" t="s">
        <v>38</v>
      </c>
      <c r="E1259" s="2" t="s">
        <v>12</v>
      </c>
      <c r="F1259" s="2">
        <v>449.66</v>
      </c>
      <c r="G1259" s="2">
        <v>72.64</v>
      </c>
      <c r="H1259" s="2" t="s">
        <v>13</v>
      </c>
      <c r="I1259" s="2" t="s">
        <v>20</v>
      </c>
    </row>
    <row r="1260" spans="1:9" x14ac:dyDescent="0.35">
      <c r="A1260" s="2" t="s">
        <v>1297</v>
      </c>
      <c r="B1260" s="3">
        <v>45401</v>
      </c>
      <c r="C1260" s="2" t="s">
        <v>22</v>
      </c>
      <c r="D1260" s="2" t="s">
        <v>95</v>
      </c>
      <c r="E1260" s="2" t="s">
        <v>18</v>
      </c>
      <c r="F1260" s="2">
        <v>1994.89</v>
      </c>
      <c r="G1260" s="2">
        <v>410.61</v>
      </c>
      <c r="H1260" s="2" t="s">
        <v>28</v>
      </c>
      <c r="I1260" s="2" t="s">
        <v>20</v>
      </c>
    </row>
    <row r="1261" spans="1:9" x14ac:dyDescent="0.35">
      <c r="A1261" s="2" t="s">
        <v>1298</v>
      </c>
      <c r="B1261" s="3">
        <v>45623</v>
      </c>
      <c r="C1261" s="2" t="s">
        <v>25</v>
      </c>
      <c r="D1261" s="2" t="s">
        <v>62</v>
      </c>
      <c r="E1261" s="2" t="s">
        <v>27</v>
      </c>
      <c r="F1261" s="2">
        <v>680.27</v>
      </c>
      <c r="G1261" s="2">
        <v>45.57</v>
      </c>
      <c r="H1261" s="2" t="s">
        <v>28</v>
      </c>
      <c r="I1261" s="2" t="s">
        <v>34</v>
      </c>
    </row>
    <row r="1262" spans="1:9" x14ac:dyDescent="0.35">
      <c r="A1262" s="2" t="s">
        <v>1299</v>
      </c>
      <c r="B1262" s="3">
        <v>44721</v>
      </c>
      <c r="C1262" s="2" t="s">
        <v>16</v>
      </c>
      <c r="D1262" s="2" t="s">
        <v>17</v>
      </c>
      <c r="E1262" s="2" t="s">
        <v>18</v>
      </c>
      <c r="F1262" s="2">
        <v>893.29</v>
      </c>
      <c r="G1262" s="2">
        <v>247.19</v>
      </c>
      <c r="H1262" s="2" t="s">
        <v>13</v>
      </c>
      <c r="I1262" s="2" t="s">
        <v>20</v>
      </c>
    </row>
    <row r="1263" spans="1:9" x14ac:dyDescent="0.35">
      <c r="A1263" s="2" t="s">
        <v>1300</v>
      </c>
      <c r="B1263" s="3">
        <v>44824</v>
      </c>
      <c r="C1263" s="2" t="s">
        <v>25</v>
      </c>
      <c r="D1263" s="2" t="s">
        <v>73</v>
      </c>
      <c r="E1263" s="2" t="s">
        <v>27</v>
      </c>
      <c r="F1263" s="2">
        <v>646.91</v>
      </c>
      <c r="G1263" s="2">
        <v>172.65</v>
      </c>
      <c r="H1263" s="2" t="s">
        <v>13</v>
      </c>
      <c r="I1263" s="2" t="s">
        <v>29</v>
      </c>
    </row>
    <row r="1264" spans="1:9" x14ac:dyDescent="0.35">
      <c r="A1264" s="2" t="s">
        <v>1301</v>
      </c>
      <c r="B1264" s="3">
        <v>44929</v>
      </c>
      <c r="C1264" s="2" t="s">
        <v>22</v>
      </c>
      <c r="D1264" s="2" t="s">
        <v>11</v>
      </c>
      <c r="E1264" s="2" t="s">
        <v>12</v>
      </c>
      <c r="F1264" s="2">
        <v>1251.3</v>
      </c>
      <c r="G1264" s="2">
        <v>247.89</v>
      </c>
      <c r="H1264" s="2" t="s">
        <v>28</v>
      </c>
      <c r="I1264" s="2" t="s">
        <v>20</v>
      </c>
    </row>
    <row r="1265" spans="1:9" x14ac:dyDescent="0.35">
      <c r="A1265" s="2" t="s">
        <v>1302</v>
      </c>
      <c r="B1265" s="3">
        <v>45612</v>
      </c>
      <c r="C1265" s="2" t="s">
        <v>16</v>
      </c>
      <c r="D1265" s="2" t="s">
        <v>31</v>
      </c>
      <c r="E1265" s="2" t="s">
        <v>12</v>
      </c>
      <c r="F1265" s="2">
        <v>132.91</v>
      </c>
      <c r="G1265" s="2">
        <v>31.69</v>
      </c>
      <c r="H1265" s="2" t="s">
        <v>28</v>
      </c>
      <c r="I1265" s="2" t="s">
        <v>29</v>
      </c>
    </row>
    <row r="1266" spans="1:9" x14ac:dyDescent="0.35">
      <c r="A1266" s="2" t="s">
        <v>1303</v>
      </c>
      <c r="B1266" s="3">
        <v>44971</v>
      </c>
      <c r="C1266" s="2" t="s">
        <v>10</v>
      </c>
      <c r="D1266" s="2" t="s">
        <v>62</v>
      </c>
      <c r="E1266" s="2" t="s">
        <v>27</v>
      </c>
      <c r="F1266" s="2">
        <v>1917.57</v>
      </c>
      <c r="G1266" s="2">
        <v>308.98</v>
      </c>
      <c r="H1266" s="2" t="s">
        <v>19</v>
      </c>
      <c r="I1266" s="2" t="s">
        <v>20</v>
      </c>
    </row>
    <row r="1267" spans="1:9" x14ac:dyDescent="0.35">
      <c r="A1267" s="2" t="s">
        <v>1304</v>
      </c>
      <c r="B1267" s="3">
        <v>44810</v>
      </c>
      <c r="C1267" s="2" t="s">
        <v>16</v>
      </c>
      <c r="D1267" s="2" t="s">
        <v>17</v>
      </c>
      <c r="E1267" s="2" t="s">
        <v>18</v>
      </c>
      <c r="F1267" s="2">
        <v>1831.47</v>
      </c>
      <c r="G1267" s="2">
        <v>255.27</v>
      </c>
      <c r="H1267" s="2" t="s">
        <v>28</v>
      </c>
      <c r="I1267" s="2" t="s">
        <v>20</v>
      </c>
    </row>
    <row r="1268" spans="1:9" x14ac:dyDescent="0.35">
      <c r="A1268" s="2" t="s">
        <v>1305</v>
      </c>
      <c r="B1268" s="3">
        <v>44812</v>
      </c>
      <c r="C1268" s="2" t="s">
        <v>22</v>
      </c>
      <c r="D1268" s="2" t="s">
        <v>23</v>
      </c>
      <c r="E1268" s="2" t="s">
        <v>18</v>
      </c>
      <c r="F1268" s="2">
        <v>1037.31</v>
      </c>
      <c r="G1268" s="2">
        <v>260.37</v>
      </c>
      <c r="H1268" s="2" t="s">
        <v>13</v>
      </c>
      <c r="I1268" s="2" t="s">
        <v>20</v>
      </c>
    </row>
    <row r="1269" spans="1:9" x14ac:dyDescent="0.35">
      <c r="A1269" s="2" t="s">
        <v>1306</v>
      </c>
      <c r="B1269" s="3">
        <v>45497</v>
      </c>
      <c r="C1269" s="2" t="s">
        <v>16</v>
      </c>
      <c r="D1269" s="2" t="s">
        <v>97</v>
      </c>
      <c r="E1269" s="2" t="s">
        <v>27</v>
      </c>
      <c r="F1269" s="2">
        <v>1388.98</v>
      </c>
      <c r="G1269" s="2">
        <v>192.91</v>
      </c>
      <c r="H1269" s="2" t="s">
        <v>13</v>
      </c>
      <c r="I1269" s="2" t="s">
        <v>29</v>
      </c>
    </row>
    <row r="1270" spans="1:9" x14ac:dyDescent="0.35">
      <c r="A1270" s="2" t="s">
        <v>1307</v>
      </c>
      <c r="B1270" s="3">
        <v>45344</v>
      </c>
      <c r="C1270" s="2" t="s">
        <v>16</v>
      </c>
      <c r="D1270" s="2" t="s">
        <v>46</v>
      </c>
      <c r="E1270" s="2" t="s">
        <v>18</v>
      </c>
      <c r="F1270" s="2">
        <v>1208.46</v>
      </c>
      <c r="G1270" s="2">
        <v>77.33</v>
      </c>
      <c r="H1270" s="2" t="s">
        <v>19</v>
      </c>
      <c r="I1270" s="2" t="s">
        <v>29</v>
      </c>
    </row>
    <row r="1271" spans="1:9" x14ac:dyDescent="0.35">
      <c r="A1271" s="2" t="s">
        <v>1308</v>
      </c>
      <c r="B1271" s="3">
        <v>45074</v>
      </c>
      <c r="C1271" s="2" t="s">
        <v>10</v>
      </c>
      <c r="D1271" s="2" t="s">
        <v>73</v>
      </c>
      <c r="E1271" s="2" t="s">
        <v>27</v>
      </c>
      <c r="F1271" s="2">
        <v>864.54</v>
      </c>
      <c r="G1271" s="2">
        <v>167.14</v>
      </c>
      <c r="H1271" s="2" t="s">
        <v>19</v>
      </c>
      <c r="I1271" s="2" t="s">
        <v>14</v>
      </c>
    </row>
    <row r="1272" spans="1:9" x14ac:dyDescent="0.35">
      <c r="A1272" s="2" t="s">
        <v>1309</v>
      </c>
      <c r="B1272" s="3">
        <v>45396</v>
      </c>
      <c r="C1272" s="2" t="s">
        <v>16</v>
      </c>
      <c r="D1272" s="2" t="s">
        <v>73</v>
      </c>
      <c r="E1272" s="2" t="s">
        <v>27</v>
      </c>
      <c r="F1272" s="2">
        <v>1978.36</v>
      </c>
      <c r="G1272" s="2">
        <v>212.64</v>
      </c>
      <c r="H1272" s="2" t="s">
        <v>28</v>
      </c>
      <c r="I1272" s="2" t="s">
        <v>29</v>
      </c>
    </row>
    <row r="1273" spans="1:9" x14ac:dyDescent="0.35">
      <c r="A1273" s="2" t="s">
        <v>1310</v>
      </c>
      <c r="B1273" s="3">
        <v>44735</v>
      </c>
      <c r="C1273" s="2" t="s">
        <v>10</v>
      </c>
      <c r="D1273" s="2" t="s">
        <v>38</v>
      </c>
      <c r="E1273" s="2" t="s">
        <v>12</v>
      </c>
      <c r="F1273" s="2">
        <v>168.97</v>
      </c>
      <c r="G1273" s="2">
        <v>47.85</v>
      </c>
      <c r="H1273" s="2" t="s">
        <v>28</v>
      </c>
      <c r="I1273" s="2" t="s">
        <v>29</v>
      </c>
    </row>
    <row r="1274" spans="1:9" x14ac:dyDescent="0.35">
      <c r="A1274" s="2" t="s">
        <v>1311</v>
      </c>
      <c r="B1274" s="3">
        <v>44671</v>
      </c>
      <c r="C1274" s="2" t="s">
        <v>10</v>
      </c>
      <c r="D1274" s="2" t="s">
        <v>57</v>
      </c>
      <c r="E1274" s="2" t="s">
        <v>27</v>
      </c>
      <c r="F1274" s="2">
        <v>1763.4</v>
      </c>
      <c r="G1274" s="2">
        <v>166.28</v>
      </c>
      <c r="H1274" s="2" t="s">
        <v>19</v>
      </c>
      <c r="I1274" s="2" t="s">
        <v>34</v>
      </c>
    </row>
    <row r="1275" spans="1:9" x14ac:dyDescent="0.35">
      <c r="A1275" s="2" t="s">
        <v>1312</v>
      </c>
      <c r="B1275" s="3">
        <v>44865</v>
      </c>
      <c r="C1275" s="2" t="s">
        <v>16</v>
      </c>
      <c r="D1275" s="2" t="s">
        <v>31</v>
      </c>
      <c r="E1275" s="2" t="s">
        <v>12</v>
      </c>
      <c r="F1275" s="2">
        <v>560.88</v>
      </c>
      <c r="G1275" s="2">
        <v>118.64</v>
      </c>
      <c r="H1275" s="2" t="s">
        <v>13</v>
      </c>
      <c r="I1275" s="2" t="s">
        <v>29</v>
      </c>
    </row>
    <row r="1276" spans="1:9" x14ac:dyDescent="0.35">
      <c r="A1276" s="2" t="s">
        <v>1313</v>
      </c>
      <c r="B1276" s="3">
        <v>45319</v>
      </c>
      <c r="C1276" s="2" t="s">
        <v>22</v>
      </c>
      <c r="D1276" s="2" t="s">
        <v>73</v>
      </c>
      <c r="E1276" s="2" t="s">
        <v>27</v>
      </c>
      <c r="F1276" s="2">
        <v>855.07</v>
      </c>
      <c r="G1276" s="2">
        <v>91</v>
      </c>
      <c r="H1276" s="2" t="s">
        <v>19</v>
      </c>
      <c r="I1276" s="2" t="s">
        <v>20</v>
      </c>
    </row>
    <row r="1277" spans="1:9" x14ac:dyDescent="0.35">
      <c r="A1277" s="2" t="s">
        <v>1314</v>
      </c>
      <c r="B1277" s="3">
        <v>45020</v>
      </c>
      <c r="C1277" s="2" t="s">
        <v>10</v>
      </c>
      <c r="D1277" s="2" t="s">
        <v>17</v>
      </c>
      <c r="E1277" s="2" t="s">
        <v>18</v>
      </c>
      <c r="F1277" s="2">
        <v>122.27</v>
      </c>
      <c r="G1277" s="2">
        <v>16.420000000000002</v>
      </c>
      <c r="H1277" s="2" t="s">
        <v>13</v>
      </c>
      <c r="I1277" s="2" t="s">
        <v>14</v>
      </c>
    </row>
    <row r="1278" spans="1:9" x14ac:dyDescent="0.35">
      <c r="A1278" s="2" t="s">
        <v>1315</v>
      </c>
      <c r="B1278" s="3">
        <v>44888</v>
      </c>
      <c r="C1278" s="2" t="s">
        <v>22</v>
      </c>
      <c r="D1278" s="2" t="s">
        <v>57</v>
      </c>
      <c r="E1278" s="2" t="s">
        <v>27</v>
      </c>
      <c r="F1278" s="2">
        <v>1631.94</v>
      </c>
      <c r="G1278" s="2">
        <v>285.75</v>
      </c>
      <c r="H1278" s="2" t="s">
        <v>28</v>
      </c>
      <c r="I1278" s="2" t="s">
        <v>20</v>
      </c>
    </row>
    <row r="1279" spans="1:9" x14ac:dyDescent="0.35">
      <c r="A1279" s="2" t="s">
        <v>1316</v>
      </c>
      <c r="B1279" s="3">
        <v>45078</v>
      </c>
      <c r="C1279" s="2" t="s">
        <v>10</v>
      </c>
      <c r="D1279" s="2" t="s">
        <v>50</v>
      </c>
      <c r="E1279" s="2" t="s">
        <v>12</v>
      </c>
      <c r="F1279" s="2">
        <v>781.29</v>
      </c>
      <c r="G1279" s="2">
        <v>176.78</v>
      </c>
      <c r="H1279" s="2" t="s">
        <v>19</v>
      </c>
      <c r="I1279" s="2" t="s">
        <v>14</v>
      </c>
    </row>
    <row r="1280" spans="1:9" x14ac:dyDescent="0.35">
      <c r="A1280" s="2" t="s">
        <v>1317</v>
      </c>
      <c r="B1280" s="3">
        <v>45587</v>
      </c>
      <c r="C1280" s="2" t="s">
        <v>25</v>
      </c>
      <c r="D1280" s="2" t="s">
        <v>33</v>
      </c>
      <c r="E1280" s="2" t="s">
        <v>18</v>
      </c>
      <c r="F1280" s="2">
        <v>1132.8599999999999</v>
      </c>
      <c r="G1280" s="2">
        <v>191.51</v>
      </c>
      <c r="H1280" s="2" t="s">
        <v>13</v>
      </c>
      <c r="I1280" s="2" t="s">
        <v>14</v>
      </c>
    </row>
    <row r="1281" spans="1:9" x14ac:dyDescent="0.35">
      <c r="A1281" s="2" t="s">
        <v>1318</v>
      </c>
      <c r="B1281" s="3">
        <v>44570</v>
      </c>
      <c r="C1281" s="2" t="s">
        <v>10</v>
      </c>
      <c r="D1281" s="2" t="s">
        <v>97</v>
      </c>
      <c r="E1281" s="2" t="s">
        <v>27</v>
      </c>
      <c r="F1281" s="2">
        <v>647.76</v>
      </c>
      <c r="G1281" s="2">
        <v>192.66</v>
      </c>
      <c r="H1281" s="2" t="s">
        <v>28</v>
      </c>
      <c r="I1281" s="2" t="s">
        <v>14</v>
      </c>
    </row>
    <row r="1282" spans="1:9" x14ac:dyDescent="0.35">
      <c r="A1282" s="2" t="s">
        <v>1319</v>
      </c>
      <c r="B1282" s="3">
        <v>44741</v>
      </c>
      <c r="C1282" s="2" t="s">
        <v>22</v>
      </c>
      <c r="D1282" s="2" t="s">
        <v>17</v>
      </c>
      <c r="E1282" s="2" t="s">
        <v>18</v>
      </c>
      <c r="F1282" s="2">
        <v>644.24</v>
      </c>
      <c r="G1282" s="2">
        <v>90.15</v>
      </c>
      <c r="H1282" s="2" t="s">
        <v>28</v>
      </c>
      <c r="I1282" s="2" t="s">
        <v>14</v>
      </c>
    </row>
    <row r="1283" spans="1:9" x14ac:dyDescent="0.35">
      <c r="A1283" s="2" t="s">
        <v>1320</v>
      </c>
      <c r="B1283" s="3">
        <v>44588</v>
      </c>
      <c r="C1283" s="2" t="s">
        <v>10</v>
      </c>
      <c r="D1283" s="2" t="s">
        <v>46</v>
      </c>
      <c r="E1283" s="2" t="s">
        <v>18</v>
      </c>
      <c r="F1283" s="2">
        <v>1311.67</v>
      </c>
      <c r="G1283" s="2">
        <v>312.45</v>
      </c>
      <c r="H1283" s="2" t="s">
        <v>13</v>
      </c>
      <c r="I1283" s="2" t="s">
        <v>34</v>
      </c>
    </row>
    <row r="1284" spans="1:9" x14ac:dyDescent="0.35">
      <c r="A1284" s="2" t="s">
        <v>1321</v>
      </c>
      <c r="B1284" s="3">
        <v>45414</v>
      </c>
      <c r="C1284" s="2" t="s">
        <v>22</v>
      </c>
      <c r="D1284" s="2" t="s">
        <v>11</v>
      </c>
      <c r="E1284" s="2" t="s">
        <v>12</v>
      </c>
      <c r="F1284" s="2">
        <v>1285.5999999999999</v>
      </c>
      <c r="G1284" s="2">
        <v>257.02999999999997</v>
      </c>
      <c r="H1284" s="2" t="s">
        <v>19</v>
      </c>
      <c r="I1284" s="2" t="s">
        <v>20</v>
      </c>
    </row>
    <row r="1285" spans="1:9" x14ac:dyDescent="0.35">
      <c r="A1285" s="2" t="s">
        <v>1322</v>
      </c>
      <c r="B1285" s="3">
        <v>45127</v>
      </c>
      <c r="C1285" s="2" t="s">
        <v>16</v>
      </c>
      <c r="D1285" s="2" t="s">
        <v>31</v>
      </c>
      <c r="E1285" s="2" t="s">
        <v>12</v>
      </c>
      <c r="F1285" s="2">
        <v>829.82</v>
      </c>
      <c r="G1285" s="2">
        <v>63.59</v>
      </c>
      <c r="H1285" s="2" t="s">
        <v>19</v>
      </c>
      <c r="I1285" s="2" t="s">
        <v>29</v>
      </c>
    </row>
    <row r="1286" spans="1:9" x14ac:dyDescent="0.35">
      <c r="A1286" s="2" t="s">
        <v>1323</v>
      </c>
      <c r="B1286" s="3">
        <v>45435</v>
      </c>
      <c r="C1286" s="2" t="s">
        <v>22</v>
      </c>
      <c r="D1286" s="2" t="s">
        <v>57</v>
      </c>
      <c r="E1286" s="2" t="s">
        <v>27</v>
      </c>
      <c r="F1286" s="2">
        <v>1331.23</v>
      </c>
      <c r="G1286" s="2">
        <v>300.7</v>
      </c>
      <c r="H1286" s="2" t="s">
        <v>13</v>
      </c>
      <c r="I1286" s="2" t="s">
        <v>29</v>
      </c>
    </row>
    <row r="1287" spans="1:9" x14ac:dyDescent="0.35">
      <c r="A1287" s="2" t="s">
        <v>1324</v>
      </c>
      <c r="B1287" s="3">
        <v>44859</v>
      </c>
      <c r="C1287" s="2" t="s">
        <v>16</v>
      </c>
      <c r="D1287" s="2" t="s">
        <v>11</v>
      </c>
      <c r="E1287" s="2" t="s">
        <v>12</v>
      </c>
      <c r="F1287" s="2">
        <v>1294.08</v>
      </c>
      <c r="G1287" s="2">
        <v>205.38</v>
      </c>
      <c r="H1287" s="2" t="s">
        <v>28</v>
      </c>
      <c r="I1287" s="2" t="s">
        <v>34</v>
      </c>
    </row>
    <row r="1288" spans="1:9" x14ac:dyDescent="0.35">
      <c r="A1288" s="2" t="s">
        <v>1325</v>
      </c>
      <c r="B1288" s="3">
        <v>45618</v>
      </c>
      <c r="C1288" s="2" t="s">
        <v>16</v>
      </c>
      <c r="D1288" s="2" t="s">
        <v>62</v>
      </c>
      <c r="E1288" s="2" t="s">
        <v>27</v>
      </c>
      <c r="F1288" s="2">
        <v>394.2</v>
      </c>
      <c r="G1288" s="2">
        <v>29.86</v>
      </c>
      <c r="H1288" s="2" t="s">
        <v>28</v>
      </c>
      <c r="I1288" s="2" t="s">
        <v>34</v>
      </c>
    </row>
    <row r="1289" spans="1:9" x14ac:dyDescent="0.35">
      <c r="A1289" s="2" t="s">
        <v>1326</v>
      </c>
      <c r="B1289" s="3">
        <v>45566</v>
      </c>
      <c r="C1289" s="2" t="s">
        <v>16</v>
      </c>
      <c r="D1289" s="2" t="s">
        <v>46</v>
      </c>
      <c r="E1289" s="2" t="s">
        <v>18</v>
      </c>
      <c r="F1289" s="2">
        <v>1942.14</v>
      </c>
      <c r="G1289" s="2">
        <v>346.65</v>
      </c>
      <c r="H1289" s="2" t="s">
        <v>19</v>
      </c>
      <c r="I1289" s="2" t="s">
        <v>20</v>
      </c>
    </row>
    <row r="1290" spans="1:9" x14ac:dyDescent="0.35">
      <c r="A1290" s="2" t="s">
        <v>1327</v>
      </c>
      <c r="B1290" s="3">
        <v>45043</v>
      </c>
      <c r="C1290" s="2" t="s">
        <v>10</v>
      </c>
      <c r="D1290" s="2" t="s">
        <v>57</v>
      </c>
      <c r="E1290" s="2" t="s">
        <v>27</v>
      </c>
      <c r="F1290" s="2">
        <v>1754.33</v>
      </c>
      <c r="G1290" s="2">
        <v>318.57</v>
      </c>
      <c r="H1290" s="2" t="s">
        <v>19</v>
      </c>
      <c r="I1290" s="2" t="s">
        <v>14</v>
      </c>
    </row>
    <row r="1291" spans="1:9" x14ac:dyDescent="0.35">
      <c r="A1291" s="2" t="s">
        <v>1328</v>
      </c>
      <c r="B1291" s="3">
        <v>45021</v>
      </c>
      <c r="C1291" s="2" t="s">
        <v>16</v>
      </c>
      <c r="D1291" s="2" t="s">
        <v>95</v>
      </c>
      <c r="E1291" s="2" t="s">
        <v>18</v>
      </c>
      <c r="F1291" s="2">
        <v>1732.29</v>
      </c>
      <c r="G1291" s="2">
        <v>202.01</v>
      </c>
      <c r="H1291" s="2" t="s">
        <v>28</v>
      </c>
      <c r="I1291" s="2" t="s">
        <v>14</v>
      </c>
    </row>
    <row r="1292" spans="1:9" x14ac:dyDescent="0.35">
      <c r="A1292" s="2" t="s">
        <v>1329</v>
      </c>
      <c r="B1292" s="3">
        <v>44663</v>
      </c>
      <c r="C1292" s="2" t="s">
        <v>10</v>
      </c>
      <c r="D1292" s="2" t="s">
        <v>17</v>
      </c>
      <c r="E1292" s="2" t="s">
        <v>18</v>
      </c>
      <c r="F1292" s="2">
        <v>1430.78</v>
      </c>
      <c r="G1292" s="2">
        <v>389.61</v>
      </c>
      <c r="H1292" s="2" t="s">
        <v>28</v>
      </c>
      <c r="I1292" s="2" t="s">
        <v>29</v>
      </c>
    </row>
    <row r="1293" spans="1:9" x14ac:dyDescent="0.35">
      <c r="A1293" s="2" t="s">
        <v>1330</v>
      </c>
      <c r="B1293" s="3">
        <v>45307</v>
      </c>
      <c r="C1293" s="2" t="s">
        <v>25</v>
      </c>
      <c r="D1293" s="2" t="s">
        <v>95</v>
      </c>
      <c r="E1293" s="2" t="s">
        <v>18</v>
      </c>
      <c r="F1293" s="2">
        <v>1196.54</v>
      </c>
      <c r="G1293" s="2">
        <v>124.08</v>
      </c>
      <c r="H1293" s="2" t="s">
        <v>28</v>
      </c>
      <c r="I1293" s="2" t="s">
        <v>20</v>
      </c>
    </row>
    <row r="1294" spans="1:9" x14ac:dyDescent="0.35">
      <c r="A1294" s="2" t="s">
        <v>1331</v>
      </c>
      <c r="B1294" s="3">
        <v>45601</v>
      </c>
      <c r="C1294" s="2" t="s">
        <v>25</v>
      </c>
      <c r="D1294" s="2" t="s">
        <v>31</v>
      </c>
      <c r="E1294" s="2" t="s">
        <v>12</v>
      </c>
      <c r="F1294" s="2">
        <v>742.49</v>
      </c>
      <c r="G1294" s="2">
        <v>104.31</v>
      </c>
      <c r="H1294" s="2" t="s">
        <v>19</v>
      </c>
      <c r="I1294" s="2" t="s">
        <v>14</v>
      </c>
    </row>
    <row r="1295" spans="1:9" x14ac:dyDescent="0.35">
      <c r="A1295" s="2" t="s">
        <v>1332</v>
      </c>
      <c r="B1295" s="3">
        <v>45235</v>
      </c>
      <c r="C1295" s="2" t="s">
        <v>16</v>
      </c>
      <c r="D1295" s="2" t="s">
        <v>31</v>
      </c>
      <c r="E1295" s="2" t="s">
        <v>12</v>
      </c>
      <c r="F1295" s="2">
        <v>1904.05</v>
      </c>
      <c r="G1295" s="2">
        <v>379.84</v>
      </c>
      <c r="H1295" s="2" t="s">
        <v>19</v>
      </c>
      <c r="I1295" s="2" t="s">
        <v>34</v>
      </c>
    </row>
    <row r="1296" spans="1:9" x14ac:dyDescent="0.35">
      <c r="A1296" s="2" t="s">
        <v>1333</v>
      </c>
      <c r="B1296" s="3">
        <v>45556</v>
      </c>
      <c r="C1296" s="2" t="s">
        <v>22</v>
      </c>
      <c r="D1296" s="2" t="s">
        <v>33</v>
      </c>
      <c r="E1296" s="2" t="s">
        <v>18</v>
      </c>
      <c r="F1296" s="2">
        <v>879.69</v>
      </c>
      <c r="G1296" s="2">
        <v>152.04</v>
      </c>
      <c r="H1296" s="2" t="s">
        <v>28</v>
      </c>
      <c r="I1296" s="2" t="s">
        <v>29</v>
      </c>
    </row>
    <row r="1297" spans="1:9" x14ac:dyDescent="0.35">
      <c r="A1297" s="2" t="s">
        <v>1334</v>
      </c>
      <c r="B1297" s="3">
        <v>44853</v>
      </c>
      <c r="C1297" s="2" t="s">
        <v>16</v>
      </c>
      <c r="D1297" s="2" t="s">
        <v>23</v>
      </c>
      <c r="E1297" s="2" t="s">
        <v>18</v>
      </c>
      <c r="F1297" s="2">
        <v>1564.24</v>
      </c>
      <c r="G1297" s="2">
        <v>227.92</v>
      </c>
      <c r="H1297" s="2" t="s">
        <v>19</v>
      </c>
      <c r="I1297" s="2" t="s">
        <v>14</v>
      </c>
    </row>
    <row r="1298" spans="1:9" x14ac:dyDescent="0.35">
      <c r="A1298" s="2" t="s">
        <v>1335</v>
      </c>
      <c r="B1298" s="3">
        <v>45250</v>
      </c>
      <c r="C1298" s="2" t="s">
        <v>16</v>
      </c>
      <c r="D1298" s="2" t="s">
        <v>95</v>
      </c>
      <c r="E1298" s="2" t="s">
        <v>18</v>
      </c>
      <c r="F1298" s="2">
        <v>1784.81</v>
      </c>
      <c r="G1298" s="2">
        <v>301.79000000000002</v>
      </c>
      <c r="H1298" s="2" t="s">
        <v>19</v>
      </c>
      <c r="I1298" s="2" t="s">
        <v>34</v>
      </c>
    </row>
    <row r="1299" spans="1:9" x14ac:dyDescent="0.35">
      <c r="A1299" s="2" t="s">
        <v>1336</v>
      </c>
      <c r="B1299" s="3">
        <v>44671</v>
      </c>
      <c r="C1299" s="2" t="s">
        <v>25</v>
      </c>
      <c r="D1299" s="2" t="s">
        <v>31</v>
      </c>
      <c r="E1299" s="2" t="s">
        <v>12</v>
      </c>
      <c r="F1299" s="2">
        <v>987.53</v>
      </c>
      <c r="G1299" s="2">
        <v>156.75</v>
      </c>
      <c r="H1299" s="2" t="s">
        <v>28</v>
      </c>
      <c r="I1299" s="2" t="s">
        <v>29</v>
      </c>
    </row>
    <row r="1300" spans="1:9" x14ac:dyDescent="0.35">
      <c r="A1300" s="2" t="s">
        <v>1337</v>
      </c>
      <c r="B1300" s="3">
        <v>44570</v>
      </c>
      <c r="C1300" s="2" t="s">
        <v>25</v>
      </c>
      <c r="D1300" s="2" t="s">
        <v>62</v>
      </c>
      <c r="E1300" s="2" t="s">
        <v>27</v>
      </c>
      <c r="F1300" s="2">
        <v>309.7</v>
      </c>
      <c r="G1300" s="2">
        <v>42.89</v>
      </c>
      <c r="H1300" s="2" t="s">
        <v>13</v>
      </c>
      <c r="I1300" s="2" t="s">
        <v>34</v>
      </c>
    </row>
    <row r="1301" spans="1:9" x14ac:dyDescent="0.35">
      <c r="A1301" s="2" t="s">
        <v>1338</v>
      </c>
      <c r="B1301" s="3">
        <v>45320</v>
      </c>
      <c r="C1301" s="2" t="s">
        <v>25</v>
      </c>
      <c r="D1301" s="2" t="s">
        <v>41</v>
      </c>
      <c r="E1301" s="2" t="s">
        <v>12</v>
      </c>
      <c r="F1301" s="2">
        <v>1709.72</v>
      </c>
      <c r="G1301" s="2">
        <v>136.88999999999999</v>
      </c>
      <c r="H1301" s="2" t="s">
        <v>28</v>
      </c>
      <c r="I1301" s="2" t="s">
        <v>20</v>
      </c>
    </row>
    <row r="1302" spans="1:9" x14ac:dyDescent="0.35">
      <c r="A1302" s="2" t="s">
        <v>1339</v>
      </c>
      <c r="B1302" s="3">
        <v>45376</v>
      </c>
      <c r="C1302" s="2" t="s">
        <v>10</v>
      </c>
      <c r="D1302" s="2" t="s">
        <v>38</v>
      </c>
      <c r="E1302" s="2" t="s">
        <v>12</v>
      </c>
      <c r="F1302" s="2">
        <v>1713.89</v>
      </c>
      <c r="G1302" s="2">
        <v>191.58</v>
      </c>
      <c r="H1302" s="2" t="s">
        <v>13</v>
      </c>
      <c r="I1302" s="2" t="s">
        <v>20</v>
      </c>
    </row>
    <row r="1303" spans="1:9" x14ac:dyDescent="0.35">
      <c r="A1303" s="2" t="s">
        <v>1340</v>
      </c>
      <c r="B1303" s="3">
        <v>45337</v>
      </c>
      <c r="C1303" s="2" t="s">
        <v>16</v>
      </c>
      <c r="D1303" s="2" t="s">
        <v>95</v>
      </c>
      <c r="E1303" s="2" t="s">
        <v>18</v>
      </c>
      <c r="F1303" s="2">
        <v>1205.53</v>
      </c>
      <c r="G1303" s="2">
        <v>207.57</v>
      </c>
      <c r="H1303" s="2" t="s">
        <v>19</v>
      </c>
      <c r="I1303" s="2" t="s">
        <v>14</v>
      </c>
    </row>
    <row r="1304" spans="1:9" x14ac:dyDescent="0.35">
      <c r="A1304" s="2" t="s">
        <v>1341</v>
      </c>
      <c r="B1304" s="3">
        <v>44768</v>
      </c>
      <c r="C1304" s="2" t="s">
        <v>16</v>
      </c>
      <c r="D1304" s="2" t="s">
        <v>41</v>
      </c>
      <c r="E1304" s="2" t="s">
        <v>12</v>
      </c>
      <c r="F1304" s="2">
        <v>1236.53</v>
      </c>
      <c r="G1304" s="2">
        <v>76.510000000000005</v>
      </c>
      <c r="H1304" s="2" t="s">
        <v>19</v>
      </c>
      <c r="I1304" s="2" t="s">
        <v>29</v>
      </c>
    </row>
    <row r="1305" spans="1:9" x14ac:dyDescent="0.35">
      <c r="A1305" s="2" t="s">
        <v>1342</v>
      </c>
      <c r="B1305" s="3">
        <v>44960</v>
      </c>
      <c r="C1305" s="2" t="s">
        <v>25</v>
      </c>
      <c r="D1305" s="2" t="s">
        <v>46</v>
      </c>
      <c r="E1305" s="2" t="s">
        <v>18</v>
      </c>
      <c r="F1305" s="2">
        <v>1094.3599999999999</v>
      </c>
      <c r="G1305" s="2">
        <v>205</v>
      </c>
      <c r="H1305" s="2" t="s">
        <v>19</v>
      </c>
      <c r="I1305" s="2" t="s">
        <v>34</v>
      </c>
    </row>
    <row r="1306" spans="1:9" x14ac:dyDescent="0.35">
      <c r="A1306" s="2" t="s">
        <v>1343</v>
      </c>
      <c r="B1306" s="3">
        <v>45493</v>
      </c>
      <c r="C1306" s="2" t="s">
        <v>25</v>
      </c>
      <c r="D1306" s="2" t="s">
        <v>33</v>
      </c>
      <c r="E1306" s="2" t="s">
        <v>18</v>
      </c>
      <c r="F1306" s="2">
        <v>653.42999999999995</v>
      </c>
      <c r="G1306" s="2">
        <v>134.15</v>
      </c>
      <c r="H1306" s="2" t="s">
        <v>28</v>
      </c>
      <c r="I1306" s="2" t="s">
        <v>14</v>
      </c>
    </row>
    <row r="1307" spans="1:9" x14ac:dyDescent="0.35">
      <c r="A1307" s="2" t="s">
        <v>1344</v>
      </c>
      <c r="B1307" s="3">
        <v>44874</v>
      </c>
      <c r="C1307" s="2" t="s">
        <v>22</v>
      </c>
      <c r="D1307" s="2" t="s">
        <v>73</v>
      </c>
      <c r="E1307" s="2" t="s">
        <v>27</v>
      </c>
      <c r="F1307" s="2">
        <v>1465.37</v>
      </c>
      <c r="G1307" s="2">
        <v>258.49</v>
      </c>
      <c r="H1307" s="2" t="s">
        <v>19</v>
      </c>
      <c r="I1307" s="2" t="s">
        <v>14</v>
      </c>
    </row>
    <row r="1308" spans="1:9" x14ac:dyDescent="0.35">
      <c r="A1308" s="2" t="s">
        <v>1345</v>
      </c>
      <c r="B1308" s="3">
        <v>44930</v>
      </c>
      <c r="C1308" s="2" t="s">
        <v>25</v>
      </c>
      <c r="D1308" s="2" t="s">
        <v>23</v>
      </c>
      <c r="E1308" s="2" t="s">
        <v>18</v>
      </c>
      <c r="F1308" s="2">
        <v>59.8</v>
      </c>
      <c r="G1308" s="2">
        <v>4.66</v>
      </c>
      <c r="H1308" s="2" t="s">
        <v>13</v>
      </c>
      <c r="I1308" s="2" t="s">
        <v>34</v>
      </c>
    </row>
    <row r="1309" spans="1:9" x14ac:dyDescent="0.35">
      <c r="A1309" s="2" t="s">
        <v>1346</v>
      </c>
      <c r="B1309" s="3">
        <v>44788</v>
      </c>
      <c r="C1309" s="2" t="s">
        <v>22</v>
      </c>
      <c r="D1309" s="2" t="s">
        <v>11</v>
      </c>
      <c r="E1309" s="2" t="s">
        <v>12</v>
      </c>
      <c r="F1309" s="2">
        <v>1625.93</v>
      </c>
      <c r="G1309" s="2">
        <v>133.80000000000001</v>
      </c>
      <c r="H1309" s="2" t="s">
        <v>28</v>
      </c>
      <c r="I1309" s="2" t="s">
        <v>20</v>
      </c>
    </row>
    <row r="1310" spans="1:9" x14ac:dyDescent="0.35">
      <c r="A1310" s="2" t="s">
        <v>1347</v>
      </c>
      <c r="B1310" s="3">
        <v>45109</v>
      </c>
      <c r="C1310" s="2" t="s">
        <v>22</v>
      </c>
      <c r="D1310" s="2" t="s">
        <v>73</v>
      </c>
      <c r="E1310" s="2" t="s">
        <v>27</v>
      </c>
      <c r="F1310" s="2">
        <v>1058.54</v>
      </c>
      <c r="G1310" s="2">
        <v>241.27</v>
      </c>
      <c r="H1310" s="2" t="s">
        <v>19</v>
      </c>
      <c r="I1310" s="2" t="s">
        <v>29</v>
      </c>
    </row>
    <row r="1311" spans="1:9" x14ac:dyDescent="0.35">
      <c r="A1311" s="2" t="s">
        <v>1348</v>
      </c>
      <c r="B1311" s="3">
        <v>44897</v>
      </c>
      <c r="C1311" s="2" t="s">
        <v>10</v>
      </c>
      <c r="D1311" s="2" t="s">
        <v>50</v>
      </c>
      <c r="E1311" s="2" t="s">
        <v>12</v>
      </c>
      <c r="F1311" s="2">
        <v>1528.22</v>
      </c>
      <c r="G1311" s="2">
        <v>340.28</v>
      </c>
      <c r="H1311" s="2" t="s">
        <v>13</v>
      </c>
      <c r="I1311" s="2" t="s">
        <v>14</v>
      </c>
    </row>
    <row r="1312" spans="1:9" x14ac:dyDescent="0.35">
      <c r="A1312" s="2" t="s">
        <v>1349</v>
      </c>
      <c r="B1312" s="3">
        <v>45364</v>
      </c>
      <c r="C1312" s="2" t="s">
        <v>22</v>
      </c>
      <c r="D1312" s="2" t="s">
        <v>31</v>
      </c>
      <c r="E1312" s="2" t="s">
        <v>12</v>
      </c>
      <c r="F1312" s="2">
        <v>1957.41</v>
      </c>
      <c r="G1312" s="2">
        <v>140.66999999999999</v>
      </c>
      <c r="H1312" s="2" t="s">
        <v>19</v>
      </c>
      <c r="I1312" s="2" t="s">
        <v>14</v>
      </c>
    </row>
    <row r="1313" spans="1:9" x14ac:dyDescent="0.35">
      <c r="A1313" s="2" t="s">
        <v>1350</v>
      </c>
      <c r="B1313" s="3">
        <v>44963</v>
      </c>
      <c r="C1313" s="2" t="s">
        <v>10</v>
      </c>
      <c r="D1313" s="2" t="s">
        <v>50</v>
      </c>
      <c r="E1313" s="2" t="s">
        <v>12</v>
      </c>
      <c r="F1313" s="2">
        <v>1140.72</v>
      </c>
      <c r="G1313" s="2">
        <v>106.24</v>
      </c>
      <c r="H1313" s="2" t="s">
        <v>19</v>
      </c>
      <c r="I1313" s="2" t="s">
        <v>20</v>
      </c>
    </row>
    <row r="1314" spans="1:9" x14ac:dyDescent="0.35">
      <c r="A1314" s="2" t="s">
        <v>1351</v>
      </c>
      <c r="B1314" s="3">
        <v>45569</v>
      </c>
      <c r="C1314" s="2" t="s">
        <v>25</v>
      </c>
      <c r="D1314" s="2" t="s">
        <v>23</v>
      </c>
      <c r="E1314" s="2" t="s">
        <v>18</v>
      </c>
      <c r="F1314" s="2">
        <v>1126.0899999999999</v>
      </c>
      <c r="G1314" s="2">
        <v>118.91</v>
      </c>
      <c r="H1314" s="2" t="s">
        <v>19</v>
      </c>
      <c r="I1314" s="2" t="s">
        <v>14</v>
      </c>
    </row>
    <row r="1315" spans="1:9" x14ac:dyDescent="0.35">
      <c r="A1315" s="2" t="s">
        <v>1352</v>
      </c>
      <c r="B1315" s="3">
        <v>45458</v>
      </c>
      <c r="C1315" s="2" t="s">
        <v>22</v>
      </c>
      <c r="D1315" s="2" t="s">
        <v>23</v>
      </c>
      <c r="E1315" s="2" t="s">
        <v>18</v>
      </c>
      <c r="F1315" s="2">
        <v>1295.24</v>
      </c>
      <c r="G1315" s="2">
        <v>90.84</v>
      </c>
      <c r="H1315" s="2" t="s">
        <v>19</v>
      </c>
      <c r="I1315" s="2" t="s">
        <v>14</v>
      </c>
    </row>
    <row r="1316" spans="1:9" x14ac:dyDescent="0.35">
      <c r="A1316" s="2" t="s">
        <v>1353</v>
      </c>
      <c r="B1316" s="3">
        <v>45045</v>
      </c>
      <c r="C1316" s="2" t="s">
        <v>10</v>
      </c>
      <c r="D1316" s="2" t="s">
        <v>23</v>
      </c>
      <c r="E1316" s="2" t="s">
        <v>18</v>
      </c>
      <c r="F1316" s="2">
        <v>319.07</v>
      </c>
      <c r="G1316" s="2">
        <v>46.31</v>
      </c>
      <c r="H1316" s="2" t="s">
        <v>13</v>
      </c>
      <c r="I1316" s="2" t="s">
        <v>20</v>
      </c>
    </row>
    <row r="1317" spans="1:9" x14ac:dyDescent="0.35">
      <c r="A1317" s="2" t="s">
        <v>1354</v>
      </c>
      <c r="B1317" s="3">
        <v>45230</v>
      </c>
      <c r="C1317" s="2" t="s">
        <v>16</v>
      </c>
      <c r="D1317" s="2" t="s">
        <v>11</v>
      </c>
      <c r="E1317" s="2" t="s">
        <v>12</v>
      </c>
      <c r="F1317" s="2">
        <v>1594.87</v>
      </c>
      <c r="G1317" s="2">
        <v>303.11</v>
      </c>
      <c r="H1317" s="2" t="s">
        <v>28</v>
      </c>
      <c r="I1317" s="2" t="s">
        <v>20</v>
      </c>
    </row>
    <row r="1318" spans="1:9" x14ac:dyDescent="0.35">
      <c r="A1318" s="2" t="s">
        <v>1355</v>
      </c>
      <c r="B1318" s="3">
        <v>44627</v>
      </c>
      <c r="C1318" s="2" t="s">
        <v>16</v>
      </c>
      <c r="D1318" s="2" t="s">
        <v>62</v>
      </c>
      <c r="E1318" s="2" t="s">
        <v>27</v>
      </c>
      <c r="F1318" s="2">
        <v>1615.57</v>
      </c>
      <c r="G1318" s="2">
        <v>287.74</v>
      </c>
      <c r="H1318" s="2" t="s">
        <v>28</v>
      </c>
      <c r="I1318" s="2" t="s">
        <v>29</v>
      </c>
    </row>
    <row r="1319" spans="1:9" x14ac:dyDescent="0.35">
      <c r="A1319" s="2" t="s">
        <v>1356</v>
      </c>
      <c r="B1319" s="3">
        <v>45455</v>
      </c>
      <c r="C1319" s="2" t="s">
        <v>16</v>
      </c>
      <c r="D1319" s="2" t="s">
        <v>31</v>
      </c>
      <c r="E1319" s="2" t="s">
        <v>12</v>
      </c>
      <c r="F1319" s="2">
        <v>287.02999999999997</v>
      </c>
      <c r="G1319" s="2">
        <v>80.67</v>
      </c>
      <c r="H1319" s="2" t="s">
        <v>13</v>
      </c>
      <c r="I1319" s="2" t="s">
        <v>29</v>
      </c>
    </row>
    <row r="1320" spans="1:9" x14ac:dyDescent="0.35">
      <c r="A1320" s="2" t="s">
        <v>1357</v>
      </c>
      <c r="B1320" s="3">
        <v>44896</v>
      </c>
      <c r="C1320" s="2" t="s">
        <v>16</v>
      </c>
      <c r="D1320" s="2" t="s">
        <v>97</v>
      </c>
      <c r="E1320" s="2" t="s">
        <v>27</v>
      </c>
      <c r="F1320" s="2">
        <v>966.46</v>
      </c>
      <c r="G1320" s="2">
        <v>289</v>
      </c>
      <c r="H1320" s="2" t="s">
        <v>28</v>
      </c>
      <c r="I1320" s="2" t="s">
        <v>14</v>
      </c>
    </row>
    <row r="1321" spans="1:9" x14ac:dyDescent="0.35">
      <c r="A1321" s="2" t="s">
        <v>1358</v>
      </c>
      <c r="B1321" s="3">
        <v>45225</v>
      </c>
      <c r="C1321" s="2" t="s">
        <v>10</v>
      </c>
      <c r="D1321" s="2" t="s">
        <v>41</v>
      </c>
      <c r="E1321" s="2" t="s">
        <v>12</v>
      </c>
      <c r="F1321" s="2">
        <v>376.87</v>
      </c>
      <c r="G1321" s="2">
        <v>94.99</v>
      </c>
      <c r="H1321" s="2" t="s">
        <v>28</v>
      </c>
      <c r="I1321" s="2" t="s">
        <v>20</v>
      </c>
    </row>
    <row r="1322" spans="1:9" x14ac:dyDescent="0.35">
      <c r="A1322" s="2" t="s">
        <v>1359</v>
      </c>
      <c r="B1322" s="3">
        <v>45316</v>
      </c>
      <c r="C1322" s="2" t="s">
        <v>22</v>
      </c>
      <c r="D1322" s="2" t="s">
        <v>97</v>
      </c>
      <c r="E1322" s="2" t="s">
        <v>27</v>
      </c>
      <c r="F1322" s="2">
        <v>1804.22</v>
      </c>
      <c r="G1322" s="2">
        <v>293.77999999999997</v>
      </c>
      <c r="H1322" s="2" t="s">
        <v>13</v>
      </c>
      <c r="I1322" s="2" t="s">
        <v>14</v>
      </c>
    </row>
    <row r="1323" spans="1:9" x14ac:dyDescent="0.35">
      <c r="A1323" s="2" t="s">
        <v>1360</v>
      </c>
      <c r="B1323" s="3">
        <v>44998</v>
      </c>
      <c r="C1323" s="2" t="s">
        <v>10</v>
      </c>
      <c r="D1323" s="2" t="s">
        <v>38</v>
      </c>
      <c r="E1323" s="2" t="s">
        <v>12</v>
      </c>
      <c r="F1323" s="2">
        <v>664.91</v>
      </c>
      <c r="G1323" s="2">
        <v>158.88999999999999</v>
      </c>
      <c r="H1323" s="2" t="s">
        <v>19</v>
      </c>
      <c r="I1323" s="2" t="s">
        <v>29</v>
      </c>
    </row>
    <row r="1324" spans="1:9" x14ac:dyDescent="0.35">
      <c r="A1324" s="2" t="s">
        <v>1361</v>
      </c>
      <c r="B1324" s="3">
        <v>44935</v>
      </c>
      <c r="C1324" s="2" t="s">
        <v>16</v>
      </c>
      <c r="D1324" s="2" t="s">
        <v>38</v>
      </c>
      <c r="E1324" s="2" t="s">
        <v>12</v>
      </c>
      <c r="F1324" s="2">
        <v>263.42</v>
      </c>
      <c r="G1324" s="2">
        <v>68.31</v>
      </c>
      <c r="H1324" s="2" t="s">
        <v>28</v>
      </c>
      <c r="I1324" s="2" t="s">
        <v>29</v>
      </c>
    </row>
    <row r="1325" spans="1:9" x14ac:dyDescent="0.35">
      <c r="A1325" s="2" t="s">
        <v>1362</v>
      </c>
      <c r="B1325" s="3">
        <v>44869</v>
      </c>
      <c r="C1325" s="2" t="s">
        <v>10</v>
      </c>
      <c r="D1325" s="2" t="s">
        <v>50</v>
      </c>
      <c r="E1325" s="2" t="s">
        <v>12</v>
      </c>
      <c r="F1325" s="2">
        <v>1956.12</v>
      </c>
      <c r="G1325" s="2">
        <v>558.41999999999996</v>
      </c>
      <c r="H1325" s="2" t="s">
        <v>19</v>
      </c>
      <c r="I1325" s="2" t="s">
        <v>20</v>
      </c>
    </row>
    <row r="1326" spans="1:9" x14ac:dyDescent="0.35">
      <c r="A1326" s="2" t="s">
        <v>1363</v>
      </c>
      <c r="B1326" s="3">
        <v>45273</v>
      </c>
      <c r="C1326" s="2" t="s">
        <v>10</v>
      </c>
      <c r="D1326" s="2" t="s">
        <v>26</v>
      </c>
      <c r="E1326" s="2" t="s">
        <v>27</v>
      </c>
      <c r="F1326" s="2">
        <v>205.18</v>
      </c>
      <c r="G1326" s="2">
        <v>27.78</v>
      </c>
      <c r="H1326" s="2" t="s">
        <v>28</v>
      </c>
      <c r="I1326" s="2" t="s">
        <v>29</v>
      </c>
    </row>
    <row r="1327" spans="1:9" x14ac:dyDescent="0.35">
      <c r="A1327" s="2" t="s">
        <v>1364</v>
      </c>
      <c r="B1327" s="3">
        <v>45358</v>
      </c>
      <c r="C1327" s="2" t="s">
        <v>10</v>
      </c>
      <c r="D1327" s="2" t="s">
        <v>46</v>
      </c>
      <c r="E1327" s="2" t="s">
        <v>18</v>
      </c>
      <c r="F1327" s="2">
        <v>120.98</v>
      </c>
      <c r="G1327" s="2">
        <v>24.55</v>
      </c>
      <c r="H1327" s="2" t="s">
        <v>28</v>
      </c>
      <c r="I1327" s="2" t="s">
        <v>20</v>
      </c>
    </row>
    <row r="1328" spans="1:9" x14ac:dyDescent="0.35">
      <c r="A1328" s="2" t="s">
        <v>1365</v>
      </c>
      <c r="B1328" s="3">
        <v>45569</v>
      </c>
      <c r="C1328" s="2" t="s">
        <v>10</v>
      </c>
      <c r="D1328" s="2" t="s">
        <v>26</v>
      </c>
      <c r="E1328" s="2" t="s">
        <v>27</v>
      </c>
      <c r="F1328" s="2">
        <v>476.01</v>
      </c>
      <c r="G1328" s="2">
        <v>83.35</v>
      </c>
      <c r="H1328" s="2" t="s">
        <v>19</v>
      </c>
      <c r="I1328" s="2" t="s">
        <v>20</v>
      </c>
    </row>
    <row r="1329" spans="1:9" x14ac:dyDescent="0.35">
      <c r="A1329" s="2" t="s">
        <v>1366</v>
      </c>
      <c r="B1329" s="3">
        <v>44728</v>
      </c>
      <c r="C1329" s="2" t="s">
        <v>10</v>
      </c>
      <c r="D1329" s="2" t="s">
        <v>57</v>
      </c>
      <c r="E1329" s="2" t="s">
        <v>27</v>
      </c>
      <c r="F1329" s="2">
        <v>1553.07</v>
      </c>
      <c r="G1329" s="2">
        <v>223.55</v>
      </c>
      <c r="H1329" s="2" t="s">
        <v>19</v>
      </c>
      <c r="I1329" s="2" t="s">
        <v>29</v>
      </c>
    </row>
    <row r="1330" spans="1:9" x14ac:dyDescent="0.35">
      <c r="A1330" s="2" t="s">
        <v>1367</v>
      </c>
      <c r="B1330" s="3">
        <v>45466</v>
      </c>
      <c r="C1330" s="2" t="s">
        <v>22</v>
      </c>
      <c r="D1330" s="2" t="s">
        <v>50</v>
      </c>
      <c r="E1330" s="2" t="s">
        <v>12</v>
      </c>
      <c r="F1330" s="2">
        <v>1928.55</v>
      </c>
      <c r="G1330" s="2">
        <v>284.64999999999998</v>
      </c>
      <c r="H1330" s="2" t="s">
        <v>28</v>
      </c>
      <c r="I1330" s="2" t="s">
        <v>20</v>
      </c>
    </row>
    <row r="1331" spans="1:9" x14ac:dyDescent="0.35">
      <c r="A1331" s="2" t="s">
        <v>1368</v>
      </c>
      <c r="B1331" s="3">
        <v>45020</v>
      </c>
      <c r="C1331" s="2" t="s">
        <v>22</v>
      </c>
      <c r="D1331" s="2" t="s">
        <v>73</v>
      </c>
      <c r="E1331" s="2" t="s">
        <v>27</v>
      </c>
      <c r="F1331" s="2">
        <v>352.54</v>
      </c>
      <c r="G1331" s="2">
        <v>80.05</v>
      </c>
      <c r="H1331" s="2" t="s">
        <v>13</v>
      </c>
      <c r="I1331" s="2" t="s">
        <v>34</v>
      </c>
    </row>
    <row r="1332" spans="1:9" x14ac:dyDescent="0.35">
      <c r="A1332" s="2" t="s">
        <v>1369</v>
      </c>
      <c r="B1332" s="3">
        <v>44799</v>
      </c>
      <c r="C1332" s="2" t="s">
        <v>22</v>
      </c>
      <c r="D1332" s="2" t="s">
        <v>17</v>
      </c>
      <c r="E1332" s="2" t="s">
        <v>18</v>
      </c>
      <c r="F1332" s="2">
        <v>1032.3</v>
      </c>
      <c r="G1332" s="2">
        <v>182.94</v>
      </c>
      <c r="H1332" s="2" t="s">
        <v>19</v>
      </c>
      <c r="I1332" s="2" t="s">
        <v>14</v>
      </c>
    </row>
    <row r="1333" spans="1:9" x14ac:dyDescent="0.35">
      <c r="A1333" s="2" t="s">
        <v>1370</v>
      </c>
      <c r="B1333" s="3">
        <v>44998</v>
      </c>
      <c r="C1333" s="2" t="s">
        <v>22</v>
      </c>
      <c r="D1333" s="2" t="s">
        <v>62</v>
      </c>
      <c r="E1333" s="2" t="s">
        <v>27</v>
      </c>
      <c r="F1333" s="2">
        <v>725.52</v>
      </c>
      <c r="G1333" s="2">
        <v>193.54</v>
      </c>
      <c r="H1333" s="2" t="s">
        <v>13</v>
      </c>
      <c r="I1333" s="2" t="s">
        <v>34</v>
      </c>
    </row>
    <row r="1334" spans="1:9" x14ac:dyDescent="0.35">
      <c r="A1334" s="2" t="s">
        <v>1371</v>
      </c>
      <c r="B1334" s="3">
        <v>45635</v>
      </c>
      <c r="C1334" s="2" t="s">
        <v>25</v>
      </c>
      <c r="D1334" s="2" t="s">
        <v>17</v>
      </c>
      <c r="E1334" s="2" t="s">
        <v>18</v>
      </c>
      <c r="F1334" s="2">
        <v>981.39</v>
      </c>
      <c r="G1334" s="2">
        <v>149.57</v>
      </c>
      <c r="H1334" s="2" t="s">
        <v>28</v>
      </c>
      <c r="I1334" s="2" t="s">
        <v>14</v>
      </c>
    </row>
    <row r="1335" spans="1:9" x14ac:dyDescent="0.35">
      <c r="A1335" s="2" t="s">
        <v>1372</v>
      </c>
      <c r="B1335" s="3">
        <v>45000</v>
      </c>
      <c r="C1335" s="2" t="s">
        <v>25</v>
      </c>
      <c r="D1335" s="2" t="s">
        <v>46</v>
      </c>
      <c r="E1335" s="2" t="s">
        <v>18</v>
      </c>
      <c r="F1335" s="2">
        <v>532.76</v>
      </c>
      <c r="G1335" s="2">
        <v>98.59</v>
      </c>
      <c r="H1335" s="2" t="s">
        <v>19</v>
      </c>
      <c r="I1335" s="2" t="s">
        <v>34</v>
      </c>
    </row>
    <row r="1336" spans="1:9" x14ac:dyDescent="0.35">
      <c r="A1336" s="2" t="s">
        <v>1373</v>
      </c>
      <c r="B1336" s="3">
        <v>44780</v>
      </c>
      <c r="C1336" s="2" t="s">
        <v>25</v>
      </c>
      <c r="D1336" s="2" t="s">
        <v>26</v>
      </c>
      <c r="E1336" s="2" t="s">
        <v>27</v>
      </c>
      <c r="F1336" s="2">
        <v>1582.82</v>
      </c>
      <c r="G1336" s="2">
        <v>170.9</v>
      </c>
      <c r="H1336" s="2" t="s">
        <v>19</v>
      </c>
      <c r="I1336" s="2" t="s">
        <v>14</v>
      </c>
    </row>
    <row r="1337" spans="1:9" x14ac:dyDescent="0.35">
      <c r="A1337" s="2" t="s">
        <v>1374</v>
      </c>
      <c r="B1337" s="3">
        <v>45523</v>
      </c>
      <c r="C1337" s="2" t="s">
        <v>16</v>
      </c>
      <c r="D1337" s="2" t="s">
        <v>26</v>
      </c>
      <c r="E1337" s="2" t="s">
        <v>27</v>
      </c>
      <c r="F1337" s="2">
        <v>849.91</v>
      </c>
      <c r="G1337" s="2">
        <v>174.96</v>
      </c>
      <c r="H1337" s="2" t="s">
        <v>19</v>
      </c>
      <c r="I1337" s="2" t="s">
        <v>29</v>
      </c>
    </row>
    <row r="1338" spans="1:9" x14ac:dyDescent="0.35">
      <c r="A1338" s="2" t="s">
        <v>1375</v>
      </c>
      <c r="B1338" s="3">
        <v>45657</v>
      </c>
      <c r="C1338" s="2" t="s">
        <v>16</v>
      </c>
      <c r="D1338" s="2" t="s">
        <v>33</v>
      </c>
      <c r="E1338" s="2" t="s">
        <v>18</v>
      </c>
      <c r="F1338" s="2">
        <v>1353.76</v>
      </c>
      <c r="G1338" s="2">
        <v>172.1</v>
      </c>
      <c r="H1338" s="2" t="s">
        <v>13</v>
      </c>
      <c r="I1338" s="2" t="s">
        <v>20</v>
      </c>
    </row>
    <row r="1339" spans="1:9" x14ac:dyDescent="0.35">
      <c r="A1339" s="2" t="s">
        <v>1376</v>
      </c>
      <c r="B1339" s="3">
        <v>45592</v>
      </c>
      <c r="C1339" s="2" t="s">
        <v>16</v>
      </c>
      <c r="D1339" s="2" t="s">
        <v>97</v>
      </c>
      <c r="E1339" s="2" t="s">
        <v>27</v>
      </c>
      <c r="F1339" s="2">
        <v>1143.5899999999999</v>
      </c>
      <c r="G1339" s="2">
        <v>249</v>
      </c>
      <c r="H1339" s="2" t="s">
        <v>28</v>
      </c>
      <c r="I1339" s="2" t="s">
        <v>34</v>
      </c>
    </row>
    <row r="1340" spans="1:9" x14ac:dyDescent="0.35">
      <c r="A1340" s="2" t="s">
        <v>1377</v>
      </c>
      <c r="B1340" s="3">
        <v>45585</v>
      </c>
      <c r="C1340" s="2" t="s">
        <v>22</v>
      </c>
      <c r="D1340" s="2" t="s">
        <v>62</v>
      </c>
      <c r="E1340" s="2" t="s">
        <v>27</v>
      </c>
      <c r="F1340" s="2">
        <v>1110.44</v>
      </c>
      <c r="G1340" s="2">
        <v>84.03</v>
      </c>
      <c r="H1340" s="2" t="s">
        <v>13</v>
      </c>
      <c r="I1340" s="2" t="s">
        <v>20</v>
      </c>
    </row>
    <row r="1341" spans="1:9" x14ac:dyDescent="0.35">
      <c r="A1341" s="2" t="s">
        <v>1378</v>
      </c>
      <c r="B1341" s="3">
        <v>45581</v>
      </c>
      <c r="C1341" s="2" t="s">
        <v>10</v>
      </c>
      <c r="D1341" s="2" t="s">
        <v>50</v>
      </c>
      <c r="E1341" s="2" t="s">
        <v>12</v>
      </c>
      <c r="F1341" s="2">
        <v>577.08000000000004</v>
      </c>
      <c r="G1341" s="2">
        <v>152.04</v>
      </c>
      <c r="H1341" s="2" t="s">
        <v>13</v>
      </c>
      <c r="I1341" s="2" t="s">
        <v>29</v>
      </c>
    </row>
    <row r="1342" spans="1:9" x14ac:dyDescent="0.35">
      <c r="A1342" s="2" t="s">
        <v>1379</v>
      </c>
      <c r="B1342" s="3">
        <v>45472</v>
      </c>
      <c r="C1342" s="2" t="s">
        <v>10</v>
      </c>
      <c r="D1342" s="2" t="s">
        <v>23</v>
      </c>
      <c r="E1342" s="2" t="s">
        <v>18</v>
      </c>
      <c r="F1342" s="2">
        <v>544.34</v>
      </c>
      <c r="G1342" s="2">
        <v>114.41</v>
      </c>
      <c r="H1342" s="2" t="s">
        <v>19</v>
      </c>
      <c r="I1342" s="2" t="s">
        <v>20</v>
      </c>
    </row>
    <row r="1343" spans="1:9" x14ac:dyDescent="0.35">
      <c r="A1343" s="2" t="s">
        <v>1380</v>
      </c>
      <c r="B1343" s="3">
        <v>45025</v>
      </c>
      <c r="C1343" s="2" t="s">
        <v>16</v>
      </c>
      <c r="D1343" s="2" t="s">
        <v>95</v>
      </c>
      <c r="E1343" s="2" t="s">
        <v>18</v>
      </c>
      <c r="F1343" s="2">
        <v>1285.05</v>
      </c>
      <c r="G1343" s="2">
        <v>284.38</v>
      </c>
      <c r="H1343" s="2" t="s">
        <v>19</v>
      </c>
      <c r="I1343" s="2" t="s">
        <v>14</v>
      </c>
    </row>
    <row r="1344" spans="1:9" x14ac:dyDescent="0.35">
      <c r="A1344" s="2" t="s">
        <v>1381</v>
      </c>
      <c r="B1344" s="3">
        <v>44690</v>
      </c>
      <c r="C1344" s="2" t="s">
        <v>22</v>
      </c>
      <c r="D1344" s="2" t="s">
        <v>11</v>
      </c>
      <c r="E1344" s="2" t="s">
        <v>12</v>
      </c>
      <c r="F1344" s="2">
        <v>1080.93</v>
      </c>
      <c r="G1344" s="2">
        <v>296.89999999999998</v>
      </c>
      <c r="H1344" s="2" t="s">
        <v>19</v>
      </c>
      <c r="I1344" s="2" t="s">
        <v>20</v>
      </c>
    </row>
    <row r="1345" spans="1:9" x14ac:dyDescent="0.35">
      <c r="A1345" s="2" t="s">
        <v>1382</v>
      </c>
      <c r="B1345" s="3">
        <v>45443</v>
      </c>
      <c r="C1345" s="2" t="s">
        <v>25</v>
      </c>
      <c r="D1345" s="2" t="s">
        <v>38</v>
      </c>
      <c r="E1345" s="2" t="s">
        <v>12</v>
      </c>
      <c r="F1345" s="2">
        <v>354.33</v>
      </c>
      <c r="G1345" s="2">
        <v>31.56</v>
      </c>
      <c r="H1345" s="2" t="s">
        <v>28</v>
      </c>
      <c r="I1345" s="2" t="s">
        <v>14</v>
      </c>
    </row>
    <row r="1346" spans="1:9" x14ac:dyDescent="0.35">
      <c r="A1346" s="2" t="s">
        <v>1383</v>
      </c>
      <c r="B1346" s="3">
        <v>44565</v>
      </c>
      <c r="C1346" s="2" t="s">
        <v>10</v>
      </c>
      <c r="D1346" s="2" t="s">
        <v>97</v>
      </c>
      <c r="E1346" s="2" t="s">
        <v>27</v>
      </c>
      <c r="F1346" s="2">
        <v>65.900000000000006</v>
      </c>
      <c r="G1346" s="2">
        <v>17.64</v>
      </c>
      <c r="H1346" s="2" t="s">
        <v>28</v>
      </c>
      <c r="I1346" s="2" t="s">
        <v>29</v>
      </c>
    </row>
    <row r="1347" spans="1:9" x14ac:dyDescent="0.35">
      <c r="A1347" s="2" t="s">
        <v>1384</v>
      </c>
      <c r="B1347" s="3">
        <v>45080</v>
      </c>
      <c r="C1347" s="2" t="s">
        <v>25</v>
      </c>
      <c r="D1347" s="2" t="s">
        <v>33</v>
      </c>
      <c r="E1347" s="2" t="s">
        <v>18</v>
      </c>
      <c r="F1347" s="2">
        <v>1185.29</v>
      </c>
      <c r="G1347" s="2">
        <v>322.47000000000003</v>
      </c>
      <c r="H1347" s="2" t="s">
        <v>19</v>
      </c>
      <c r="I1347" s="2" t="s">
        <v>14</v>
      </c>
    </row>
    <row r="1348" spans="1:9" x14ac:dyDescent="0.35">
      <c r="A1348" s="2" t="s">
        <v>1385</v>
      </c>
      <c r="B1348" s="3">
        <v>45406</v>
      </c>
      <c r="C1348" s="2" t="s">
        <v>10</v>
      </c>
      <c r="D1348" s="2" t="s">
        <v>33</v>
      </c>
      <c r="E1348" s="2" t="s">
        <v>18</v>
      </c>
      <c r="F1348" s="2">
        <v>1191.19</v>
      </c>
      <c r="G1348" s="2">
        <v>327.94</v>
      </c>
      <c r="H1348" s="2" t="s">
        <v>19</v>
      </c>
      <c r="I1348" s="2" t="s">
        <v>34</v>
      </c>
    </row>
    <row r="1349" spans="1:9" x14ac:dyDescent="0.35">
      <c r="A1349" s="2" t="s">
        <v>1386</v>
      </c>
      <c r="B1349" s="3">
        <v>44857</v>
      </c>
      <c r="C1349" s="2" t="s">
        <v>10</v>
      </c>
      <c r="D1349" s="2" t="s">
        <v>73</v>
      </c>
      <c r="E1349" s="2" t="s">
        <v>27</v>
      </c>
      <c r="F1349" s="2">
        <v>368.46</v>
      </c>
      <c r="G1349" s="2">
        <v>75.16</v>
      </c>
      <c r="H1349" s="2" t="s">
        <v>19</v>
      </c>
      <c r="I1349" s="2" t="s">
        <v>20</v>
      </c>
    </row>
    <row r="1350" spans="1:9" x14ac:dyDescent="0.35">
      <c r="A1350" s="2" t="s">
        <v>1387</v>
      </c>
      <c r="B1350" s="3">
        <v>45235</v>
      </c>
      <c r="C1350" s="2" t="s">
        <v>16</v>
      </c>
      <c r="D1350" s="2" t="s">
        <v>97</v>
      </c>
      <c r="E1350" s="2" t="s">
        <v>27</v>
      </c>
      <c r="F1350" s="2">
        <v>1429.84</v>
      </c>
      <c r="G1350" s="2">
        <v>149.86000000000001</v>
      </c>
      <c r="H1350" s="2" t="s">
        <v>28</v>
      </c>
      <c r="I1350" s="2" t="s">
        <v>34</v>
      </c>
    </row>
    <row r="1351" spans="1:9" x14ac:dyDescent="0.35">
      <c r="A1351" s="2" t="s">
        <v>1388</v>
      </c>
      <c r="B1351" s="3">
        <v>44925</v>
      </c>
      <c r="C1351" s="2" t="s">
        <v>25</v>
      </c>
      <c r="D1351" s="2" t="s">
        <v>38</v>
      </c>
      <c r="E1351" s="2" t="s">
        <v>12</v>
      </c>
      <c r="F1351" s="2">
        <v>99.19</v>
      </c>
      <c r="G1351" s="2">
        <v>20.49</v>
      </c>
      <c r="H1351" s="2" t="s">
        <v>13</v>
      </c>
      <c r="I1351" s="2" t="s">
        <v>34</v>
      </c>
    </row>
    <row r="1352" spans="1:9" x14ac:dyDescent="0.35">
      <c r="A1352" s="2" t="s">
        <v>1389</v>
      </c>
      <c r="B1352" s="3">
        <v>45530</v>
      </c>
      <c r="C1352" s="2" t="s">
        <v>10</v>
      </c>
      <c r="D1352" s="2" t="s">
        <v>38</v>
      </c>
      <c r="E1352" s="2" t="s">
        <v>12</v>
      </c>
      <c r="F1352" s="2">
        <v>1223.04</v>
      </c>
      <c r="G1352" s="2">
        <v>248.44</v>
      </c>
      <c r="H1352" s="2" t="s">
        <v>19</v>
      </c>
      <c r="I1352" s="2" t="s">
        <v>29</v>
      </c>
    </row>
    <row r="1353" spans="1:9" x14ac:dyDescent="0.35">
      <c r="A1353" s="2" t="s">
        <v>1390</v>
      </c>
      <c r="B1353" s="3">
        <v>45617</v>
      </c>
      <c r="C1353" s="2" t="s">
        <v>16</v>
      </c>
      <c r="D1353" s="2" t="s">
        <v>41</v>
      </c>
      <c r="E1353" s="2" t="s">
        <v>12</v>
      </c>
      <c r="F1353" s="2">
        <v>1113.57</v>
      </c>
      <c r="G1353" s="2">
        <v>140.52000000000001</v>
      </c>
      <c r="H1353" s="2" t="s">
        <v>28</v>
      </c>
      <c r="I1353" s="2" t="s">
        <v>34</v>
      </c>
    </row>
    <row r="1354" spans="1:9" x14ac:dyDescent="0.35">
      <c r="A1354" s="2" t="s">
        <v>1391</v>
      </c>
      <c r="B1354" s="3">
        <v>44870</v>
      </c>
      <c r="C1354" s="2" t="s">
        <v>22</v>
      </c>
      <c r="D1354" s="2" t="s">
        <v>62</v>
      </c>
      <c r="E1354" s="2" t="s">
        <v>27</v>
      </c>
      <c r="F1354" s="2">
        <v>52.06</v>
      </c>
      <c r="G1354" s="2">
        <v>10.61</v>
      </c>
      <c r="H1354" s="2" t="s">
        <v>19</v>
      </c>
      <c r="I1354" s="2" t="s">
        <v>34</v>
      </c>
    </row>
    <row r="1355" spans="1:9" x14ac:dyDescent="0.35">
      <c r="A1355" s="2" t="s">
        <v>1392</v>
      </c>
      <c r="B1355" s="3">
        <v>44652</v>
      </c>
      <c r="C1355" s="2" t="s">
        <v>25</v>
      </c>
      <c r="D1355" s="2" t="s">
        <v>57</v>
      </c>
      <c r="E1355" s="2" t="s">
        <v>27</v>
      </c>
      <c r="F1355" s="2">
        <v>1123.8</v>
      </c>
      <c r="G1355" s="2">
        <v>238.97</v>
      </c>
      <c r="H1355" s="2" t="s">
        <v>13</v>
      </c>
      <c r="I1355" s="2" t="s">
        <v>20</v>
      </c>
    </row>
    <row r="1356" spans="1:9" x14ac:dyDescent="0.35">
      <c r="A1356" s="2" t="s">
        <v>1393</v>
      </c>
      <c r="B1356" s="3">
        <v>45590</v>
      </c>
      <c r="C1356" s="2" t="s">
        <v>16</v>
      </c>
      <c r="D1356" s="2" t="s">
        <v>62</v>
      </c>
      <c r="E1356" s="2" t="s">
        <v>27</v>
      </c>
      <c r="F1356" s="2">
        <v>761.71</v>
      </c>
      <c r="G1356" s="2">
        <v>54.4</v>
      </c>
      <c r="H1356" s="2" t="s">
        <v>13</v>
      </c>
      <c r="I1356" s="2" t="s">
        <v>14</v>
      </c>
    </row>
    <row r="1357" spans="1:9" x14ac:dyDescent="0.35">
      <c r="A1357" s="2" t="s">
        <v>1394</v>
      </c>
      <c r="B1357" s="3">
        <v>44976</v>
      </c>
      <c r="C1357" s="2" t="s">
        <v>25</v>
      </c>
      <c r="D1357" s="2" t="s">
        <v>62</v>
      </c>
      <c r="E1357" s="2" t="s">
        <v>27</v>
      </c>
      <c r="F1357" s="2">
        <v>698.95</v>
      </c>
      <c r="G1357" s="2">
        <v>101.57</v>
      </c>
      <c r="H1357" s="2" t="s">
        <v>13</v>
      </c>
      <c r="I1357" s="2" t="s">
        <v>20</v>
      </c>
    </row>
    <row r="1358" spans="1:9" x14ac:dyDescent="0.35">
      <c r="A1358" s="2" t="s">
        <v>1395</v>
      </c>
      <c r="B1358" s="3">
        <v>45515</v>
      </c>
      <c r="C1358" s="2" t="s">
        <v>16</v>
      </c>
      <c r="D1358" s="2" t="s">
        <v>41</v>
      </c>
      <c r="E1358" s="2" t="s">
        <v>12</v>
      </c>
      <c r="F1358" s="2">
        <v>1977.89</v>
      </c>
      <c r="G1358" s="2">
        <v>322.67</v>
      </c>
      <c r="H1358" s="2" t="s">
        <v>19</v>
      </c>
      <c r="I1358" s="2" t="s">
        <v>20</v>
      </c>
    </row>
    <row r="1359" spans="1:9" x14ac:dyDescent="0.35">
      <c r="A1359" s="2" t="s">
        <v>1396</v>
      </c>
      <c r="B1359" s="3">
        <v>45362</v>
      </c>
      <c r="C1359" s="2" t="s">
        <v>16</v>
      </c>
      <c r="D1359" s="2" t="s">
        <v>62</v>
      </c>
      <c r="E1359" s="2" t="s">
        <v>27</v>
      </c>
      <c r="F1359" s="2">
        <v>349.91</v>
      </c>
      <c r="G1359" s="2">
        <v>104.73</v>
      </c>
      <c r="H1359" s="2" t="s">
        <v>13</v>
      </c>
      <c r="I1359" s="2" t="s">
        <v>29</v>
      </c>
    </row>
    <row r="1360" spans="1:9" x14ac:dyDescent="0.35">
      <c r="A1360" s="2" t="s">
        <v>1397</v>
      </c>
      <c r="B1360" s="3">
        <v>45417</v>
      </c>
      <c r="C1360" s="2" t="s">
        <v>22</v>
      </c>
      <c r="D1360" s="2" t="s">
        <v>97</v>
      </c>
      <c r="E1360" s="2" t="s">
        <v>27</v>
      </c>
      <c r="F1360" s="2">
        <v>1568.34</v>
      </c>
      <c r="G1360" s="2">
        <v>243.23</v>
      </c>
      <c r="H1360" s="2" t="s">
        <v>13</v>
      </c>
      <c r="I1360" s="2" t="s">
        <v>14</v>
      </c>
    </row>
    <row r="1361" spans="1:9" x14ac:dyDescent="0.35">
      <c r="A1361" s="2" t="s">
        <v>1398</v>
      </c>
      <c r="B1361" s="3">
        <v>45045</v>
      </c>
      <c r="C1361" s="2" t="s">
        <v>16</v>
      </c>
      <c r="D1361" s="2" t="s">
        <v>73</v>
      </c>
      <c r="E1361" s="2" t="s">
        <v>27</v>
      </c>
      <c r="F1361" s="2">
        <v>527.73</v>
      </c>
      <c r="G1361" s="2">
        <v>38.43</v>
      </c>
      <c r="H1361" s="2" t="s">
        <v>19</v>
      </c>
      <c r="I1361" s="2" t="s">
        <v>20</v>
      </c>
    </row>
    <row r="1362" spans="1:9" x14ac:dyDescent="0.35">
      <c r="A1362" s="2" t="s">
        <v>1399</v>
      </c>
      <c r="B1362" s="3">
        <v>45174</v>
      </c>
      <c r="C1362" s="2" t="s">
        <v>10</v>
      </c>
      <c r="D1362" s="2" t="s">
        <v>73</v>
      </c>
      <c r="E1362" s="2" t="s">
        <v>27</v>
      </c>
      <c r="F1362" s="2">
        <v>1770.33</v>
      </c>
      <c r="G1362" s="2">
        <v>188.5</v>
      </c>
      <c r="H1362" s="2" t="s">
        <v>19</v>
      </c>
      <c r="I1362" s="2" t="s">
        <v>34</v>
      </c>
    </row>
    <row r="1363" spans="1:9" x14ac:dyDescent="0.35">
      <c r="A1363" s="2" t="s">
        <v>1400</v>
      </c>
      <c r="B1363" s="3">
        <v>45522</v>
      </c>
      <c r="C1363" s="2" t="s">
        <v>10</v>
      </c>
      <c r="D1363" s="2" t="s">
        <v>38</v>
      </c>
      <c r="E1363" s="2" t="s">
        <v>12</v>
      </c>
      <c r="F1363" s="2">
        <v>220.82</v>
      </c>
      <c r="G1363" s="2">
        <v>29.36</v>
      </c>
      <c r="H1363" s="2" t="s">
        <v>19</v>
      </c>
      <c r="I1363" s="2" t="s">
        <v>20</v>
      </c>
    </row>
    <row r="1364" spans="1:9" x14ac:dyDescent="0.35">
      <c r="A1364" s="2" t="s">
        <v>1401</v>
      </c>
      <c r="B1364" s="3">
        <v>45162</v>
      </c>
      <c r="C1364" s="2" t="s">
        <v>22</v>
      </c>
      <c r="D1364" s="2" t="s">
        <v>38</v>
      </c>
      <c r="E1364" s="2" t="s">
        <v>12</v>
      </c>
      <c r="F1364" s="2">
        <v>1470.55</v>
      </c>
      <c r="G1364" s="2">
        <v>86.96</v>
      </c>
      <c r="H1364" s="2" t="s">
        <v>28</v>
      </c>
      <c r="I1364" s="2" t="s">
        <v>29</v>
      </c>
    </row>
    <row r="1365" spans="1:9" x14ac:dyDescent="0.35">
      <c r="A1365" s="2" t="s">
        <v>1402</v>
      </c>
      <c r="B1365" s="3">
        <v>45597</v>
      </c>
      <c r="C1365" s="2" t="s">
        <v>25</v>
      </c>
      <c r="D1365" s="2" t="s">
        <v>62</v>
      </c>
      <c r="E1365" s="2" t="s">
        <v>27</v>
      </c>
      <c r="F1365" s="2">
        <v>240.77</v>
      </c>
      <c r="G1365" s="2">
        <v>32.6</v>
      </c>
      <c r="H1365" s="2" t="s">
        <v>28</v>
      </c>
      <c r="I1365" s="2" t="s">
        <v>20</v>
      </c>
    </row>
    <row r="1366" spans="1:9" x14ac:dyDescent="0.35">
      <c r="A1366" s="2" t="s">
        <v>1403</v>
      </c>
      <c r="B1366" s="3">
        <v>45580</v>
      </c>
      <c r="C1366" s="2" t="s">
        <v>10</v>
      </c>
      <c r="D1366" s="2" t="s">
        <v>95</v>
      </c>
      <c r="E1366" s="2" t="s">
        <v>18</v>
      </c>
      <c r="F1366" s="2">
        <v>792.79</v>
      </c>
      <c r="G1366" s="2">
        <v>217.89</v>
      </c>
      <c r="H1366" s="2" t="s">
        <v>28</v>
      </c>
      <c r="I1366" s="2" t="s">
        <v>34</v>
      </c>
    </row>
    <row r="1367" spans="1:9" x14ac:dyDescent="0.35">
      <c r="A1367" s="2" t="s">
        <v>1404</v>
      </c>
      <c r="B1367" s="3">
        <v>44690</v>
      </c>
      <c r="C1367" s="2" t="s">
        <v>22</v>
      </c>
      <c r="D1367" s="2" t="s">
        <v>38</v>
      </c>
      <c r="E1367" s="2" t="s">
        <v>12</v>
      </c>
      <c r="F1367" s="2">
        <v>1529.34</v>
      </c>
      <c r="G1367" s="2">
        <v>356.28</v>
      </c>
      <c r="H1367" s="2" t="s">
        <v>19</v>
      </c>
      <c r="I1367" s="2" t="s">
        <v>20</v>
      </c>
    </row>
    <row r="1368" spans="1:9" x14ac:dyDescent="0.35">
      <c r="A1368" s="2" t="s">
        <v>1405</v>
      </c>
      <c r="B1368" s="3">
        <v>45539</v>
      </c>
      <c r="C1368" s="2" t="s">
        <v>10</v>
      </c>
      <c r="D1368" s="2" t="s">
        <v>17</v>
      </c>
      <c r="E1368" s="2" t="s">
        <v>18</v>
      </c>
      <c r="F1368" s="2">
        <v>1005.43</v>
      </c>
      <c r="G1368" s="2">
        <v>215.84</v>
      </c>
      <c r="H1368" s="2" t="s">
        <v>13</v>
      </c>
      <c r="I1368" s="2" t="s">
        <v>29</v>
      </c>
    </row>
    <row r="1369" spans="1:9" x14ac:dyDescent="0.35">
      <c r="A1369" s="2" t="s">
        <v>1406</v>
      </c>
      <c r="B1369" s="3">
        <v>44623</v>
      </c>
      <c r="C1369" s="2" t="s">
        <v>25</v>
      </c>
      <c r="D1369" s="2" t="s">
        <v>33</v>
      </c>
      <c r="E1369" s="2" t="s">
        <v>18</v>
      </c>
      <c r="F1369" s="2">
        <v>1827.45</v>
      </c>
      <c r="G1369" s="2">
        <v>132.97</v>
      </c>
      <c r="H1369" s="2" t="s">
        <v>28</v>
      </c>
      <c r="I1369" s="2" t="s">
        <v>14</v>
      </c>
    </row>
    <row r="1370" spans="1:9" x14ac:dyDescent="0.35">
      <c r="A1370" s="2" t="s">
        <v>1407</v>
      </c>
      <c r="B1370" s="3">
        <v>45030</v>
      </c>
      <c r="C1370" s="2" t="s">
        <v>22</v>
      </c>
      <c r="D1370" s="2" t="s">
        <v>95</v>
      </c>
      <c r="E1370" s="2" t="s">
        <v>18</v>
      </c>
      <c r="F1370" s="2">
        <v>318.43</v>
      </c>
      <c r="G1370" s="2">
        <v>74.42</v>
      </c>
      <c r="H1370" s="2" t="s">
        <v>19</v>
      </c>
      <c r="I1370" s="2" t="s">
        <v>14</v>
      </c>
    </row>
    <row r="1371" spans="1:9" x14ac:dyDescent="0.35">
      <c r="A1371" s="2" t="s">
        <v>1408</v>
      </c>
      <c r="B1371" s="3">
        <v>45169</v>
      </c>
      <c r="C1371" s="2" t="s">
        <v>25</v>
      </c>
      <c r="D1371" s="2" t="s">
        <v>31</v>
      </c>
      <c r="E1371" s="2" t="s">
        <v>12</v>
      </c>
      <c r="F1371" s="2">
        <v>200.61</v>
      </c>
      <c r="G1371" s="2">
        <v>17.32</v>
      </c>
      <c r="H1371" s="2" t="s">
        <v>19</v>
      </c>
      <c r="I1371" s="2" t="s">
        <v>14</v>
      </c>
    </row>
    <row r="1372" spans="1:9" x14ac:dyDescent="0.35">
      <c r="A1372" s="2" t="s">
        <v>1409</v>
      </c>
      <c r="B1372" s="3">
        <v>45524</v>
      </c>
      <c r="C1372" s="2" t="s">
        <v>22</v>
      </c>
      <c r="D1372" s="2" t="s">
        <v>95</v>
      </c>
      <c r="E1372" s="2" t="s">
        <v>18</v>
      </c>
      <c r="F1372" s="2">
        <v>752.69</v>
      </c>
      <c r="G1372" s="2">
        <v>146.29</v>
      </c>
      <c r="H1372" s="2" t="s">
        <v>28</v>
      </c>
      <c r="I1372" s="2" t="s">
        <v>20</v>
      </c>
    </row>
    <row r="1373" spans="1:9" x14ac:dyDescent="0.35">
      <c r="A1373" s="2" t="s">
        <v>1410</v>
      </c>
      <c r="B1373" s="3">
        <v>44603</v>
      </c>
      <c r="C1373" s="2" t="s">
        <v>10</v>
      </c>
      <c r="D1373" s="2" t="s">
        <v>95</v>
      </c>
      <c r="E1373" s="2" t="s">
        <v>18</v>
      </c>
      <c r="F1373" s="2">
        <v>1472.73</v>
      </c>
      <c r="G1373" s="2">
        <v>103.56</v>
      </c>
      <c r="H1373" s="2" t="s">
        <v>13</v>
      </c>
      <c r="I1373" s="2" t="s">
        <v>29</v>
      </c>
    </row>
    <row r="1374" spans="1:9" x14ac:dyDescent="0.35">
      <c r="A1374" s="2" t="s">
        <v>1411</v>
      </c>
      <c r="B1374" s="3">
        <v>45224</v>
      </c>
      <c r="C1374" s="2" t="s">
        <v>25</v>
      </c>
      <c r="D1374" s="2" t="s">
        <v>95</v>
      </c>
      <c r="E1374" s="2" t="s">
        <v>18</v>
      </c>
      <c r="F1374" s="2">
        <v>369.43</v>
      </c>
      <c r="G1374" s="2">
        <v>54.16</v>
      </c>
      <c r="H1374" s="2" t="s">
        <v>28</v>
      </c>
      <c r="I1374" s="2" t="s">
        <v>14</v>
      </c>
    </row>
    <row r="1375" spans="1:9" x14ac:dyDescent="0.35">
      <c r="A1375" s="2" t="s">
        <v>1412</v>
      </c>
      <c r="B1375" s="3">
        <v>45256</v>
      </c>
      <c r="C1375" s="2" t="s">
        <v>16</v>
      </c>
      <c r="D1375" s="2" t="s">
        <v>31</v>
      </c>
      <c r="E1375" s="2" t="s">
        <v>12</v>
      </c>
      <c r="F1375" s="2">
        <v>706.35</v>
      </c>
      <c r="G1375" s="2">
        <v>80.959999999999994</v>
      </c>
      <c r="H1375" s="2" t="s">
        <v>28</v>
      </c>
      <c r="I1375" s="2" t="s">
        <v>34</v>
      </c>
    </row>
    <row r="1376" spans="1:9" x14ac:dyDescent="0.35">
      <c r="A1376" s="2" t="s">
        <v>1413</v>
      </c>
      <c r="B1376" s="3">
        <v>44950</v>
      </c>
      <c r="C1376" s="2" t="s">
        <v>22</v>
      </c>
      <c r="D1376" s="2" t="s">
        <v>95</v>
      </c>
      <c r="E1376" s="2" t="s">
        <v>18</v>
      </c>
      <c r="F1376" s="2">
        <v>834.21</v>
      </c>
      <c r="G1376" s="2">
        <v>95.18</v>
      </c>
      <c r="H1376" s="2" t="s">
        <v>13</v>
      </c>
      <c r="I1376" s="2" t="s">
        <v>34</v>
      </c>
    </row>
    <row r="1377" spans="1:9" x14ac:dyDescent="0.35">
      <c r="A1377" s="2" t="s">
        <v>1414</v>
      </c>
      <c r="B1377" s="3">
        <v>45230</v>
      </c>
      <c r="C1377" s="2" t="s">
        <v>16</v>
      </c>
      <c r="D1377" s="2" t="s">
        <v>17</v>
      </c>
      <c r="E1377" s="2" t="s">
        <v>18</v>
      </c>
      <c r="F1377" s="2">
        <v>599.99</v>
      </c>
      <c r="G1377" s="2">
        <v>116.25</v>
      </c>
      <c r="H1377" s="2" t="s">
        <v>19</v>
      </c>
      <c r="I1377" s="2" t="s">
        <v>14</v>
      </c>
    </row>
    <row r="1378" spans="1:9" x14ac:dyDescent="0.35">
      <c r="A1378" s="2" t="s">
        <v>1415</v>
      </c>
      <c r="B1378" s="3">
        <v>45548</v>
      </c>
      <c r="C1378" s="2" t="s">
        <v>16</v>
      </c>
      <c r="D1378" s="2" t="s">
        <v>23</v>
      </c>
      <c r="E1378" s="2" t="s">
        <v>18</v>
      </c>
      <c r="F1378" s="2">
        <v>362.99</v>
      </c>
      <c r="G1378" s="2">
        <v>107</v>
      </c>
      <c r="H1378" s="2" t="s">
        <v>13</v>
      </c>
      <c r="I1378" s="2" t="s">
        <v>29</v>
      </c>
    </row>
    <row r="1379" spans="1:9" x14ac:dyDescent="0.35">
      <c r="A1379" s="2" t="s">
        <v>1416</v>
      </c>
      <c r="B1379" s="3">
        <v>44754</v>
      </c>
      <c r="C1379" s="2" t="s">
        <v>10</v>
      </c>
      <c r="D1379" s="2" t="s">
        <v>31</v>
      </c>
      <c r="E1379" s="2" t="s">
        <v>12</v>
      </c>
      <c r="F1379" s="2">
        <v>1330.97</v>
      </c>
      <c r="G1379" s="2">
        <v>206.06</v>
      </c>
      <c r="H1379" s="2" t="s">
        <v>28</v>
      </c>
      <c r="I1379" s="2" t="s">
        <v>20</v>
      </c>
    </row>
    <row r="1380" spans="1:9" x14ac:dyDescent="0.35">
      <c r="A1380" s="2" t="s">
        <v>1417</v>
      </c>
      <c r="B1380" s="3">
        <v>45148</v>
      </c>
      <c r="C1380" s="2" t="s">
        <v>25</v>
      </c>
      <c r="D1380" s="2" t="s">
        <v>73</v>
      </c>
      <c r="E1380" s="2" t="s">
        <v>27</v>
      </c>
      <c r="F1380" s="2">
        <v>307.82</v>
      </c>
      <c r="G1380" s="2">
        <v>27.73</v>
      </c>
      <c r="H1380" s="2" t="s">
        <v>19</v>
      </c>
      <c r="I1380" s="2" t="s">
        <v>14</v>
      </c>
    </row>
    <row r="1381" spans="1:9" x14ac:dyDescent="0.35">
      <c r="A1381" s="2" t="s">
        <v>1418</v>
      </c>
      <c r="B1381" s="3">
        <v>44947</v>
      </c>
      <c r="C1381" s="2" t="s">
        <v>25</v>
      </c>
      <c r="D1381" s="2" t="s">
        <v>23</v>
      </c>
      <c r="E1381" s="2" t="s">
        <v>18</v>
      </c>
      <c r="F1381" s="2">
        <v>648.85</v>
      </c>
      <c r="G1381" s="2">
        <v>54.71</v>
      </c>
      <c r="H1381" s="2" t="s">
        <v>28</v>
      </c>
      <c r="I1381" s="2" t="s">
        <v>20</v>
      </c>
    </row>
    <row r="1382" spans="1:9" x14ac:dyDescent="0.35">
      <c r="A1382" s="2" t="s">
        <v>1419</v>
      </c>
      <c r="B1382" s="3">
        <v>45576</v>
      </c>
      <c r="C1382" s="2" t="s">
        <v>10</v>
      </c>
      <c r="D1382" s="2" t="s">
        <v>57</v>
      </c>
      <c r="E1382" s="2" t="s">
        <v>27</v>
      </c>
      <c r="F1382" s="2">
        <v>583.24</v>
      </c>
      <c r="G1382" s="2">
        <v>117.89</v>
      </c>
      <c r="H1382" s="2" t="s">
        <v>13</v>
      </c>
      <c r="I1382" s="2" t="s">
        <v>34</v>
      </c>
    </row>
    <row r="1383" spans="1:9" x14ac:dyDescent="0.35">
      <c r="A1383" s="2" t="s">
        <v>1420</v>
      </c>
      <c r="B1383" s="3">
        <v>45468</v>
      </c>
      <c r="C1383" s="2" t="s">
        <v>10</v>
      </c>
      <c r="D1383" s="2" t="s">
        <v>17</v>
      </c>
      <c r="E1383" s="2" t="s">
        <v>18</v>
      </c>
      <c r="F1383" s="2">
        <v>748.63</v>
      </c>
      <c r="G1383" s="2">
        <v>200.31</v>
      </c>
      <c r="H1383" s="2" t="s">
        <v>28</v>
      </c>
      <c r="I1383" s="2" t="s">
        <v>29</v>
      </c>
    </row>
    <row r="1384" spans="1:9" x14ac:dyDescent="0.35">
      <c r="A1384" s="2" t="s">
        <v>1421</v>
      </c>
      <c r="B1384" s="3">
        <v>45557</v>
      </c>
      <c r="C1384" s="2" t="s">
        <v>25</v>
      </c>
      <c r="D1384" s="2" t="s">
        <v>95</v>
      </c>
      <c r="E1384" s="2" t="s">
        <v>18</v>
      </c>
      <c r="F1384" s="2">
        <v>700.55</v>
      </c>
      <c r="G1384" s="2">
        <v>86.79</v>
      </c>
      <c r="H1384" s="2" t="s">
        <v>19</v>
      </c>
      <c r="I1384" s="2" t="s">
        <v>34</v>
      </c>
    </row>
    <row r="1385" spans="1:9" x14ac:dyDescent="0.35">
      <c r="A1385" s="2" t="s">
        <v>1422</v>
      </c>
      <c r="B1385" s="3">
        <v>45178</v>
      </c>
      <c r="C1385" s="2" t="s">
        <v>10</v>
      </c>
      <c r="D1385" s="2" t="s">
        <v>57</v>
      </c>
      <c r="E1385" s="2" t="s">
        <v>27</v>
      </c>
      <c r="F1385" s="2">
        <v>1142.3499999999999</v>
      </c>
      <c r="G1385" s="2">
        <v>102.56</v>
      </c>
      <c r="H1385" s="2" t="s">
        <v>28</v>
      </c>
      <c r="I1385" s="2" t="s">
        <v>34</v>
      </c>
    </row>
    <row r="1386" spans="1:9" x14ac:dyDescent="0.35">
      <c r="A1386" s="2" t="s">
        <v>1423</v>
      </c>
      <c r="B1386" s="3">
        <v>44682</v>
      </c>
      <c r="C1386" s="2" t="s">
        <v>22</v>
      </c>
      <c r="D1386" s="2" t="s">
        <v>38</v>
      </c>
      <c r="E1386" s="2" t="s">
        <v>12</v>
      </c>
      <c r="F1386" s="2">
        <v>1346.86</v>
      </c>
      <c r="G1386" s="2">
        <v>148.75</v>
      </c>
      <c r="H1386" s="2" t="s">
        <v>28</v>
      </c>
      <c r="I1386" s="2" t="s">
        <v>29</v>
      </c>
    </row>
    <row r="1387" spans="1:9" x14ac:dyDescent="0.35">
      <c r="A1387" s="2" t="s">
        <v>1424</v>
      </c>
      <c r="B1387" s="3">
        <v>45328</v>
      </c>
      <c r="C1387" s="2" t="s">
        <v>10</v>
      </c>
      <c r="D1387" s="2" t="s">
        <v>62</v>
      </c>
      <c r="E1387" s="2" t="s">
        <v>27</v>
      </c>
      <c r="F1387" s="2">
        <v>619.53</v>
      </c>
      <c r="G1387" s="2">
        <v>41.3</v>
      </c>
      <c r="H1387" s="2" t="s">
        <v>13</v>
      </c>
      <c r="I1387" s="2" t="s">
        <v>20</v>
      </c>
    </row>
    <row r="1388" spans="1:9" x14ac:dyDescent="0.35">
      <c r="A1388" s="2" t="s">
        <v>1425</v>
      </c>
      <c r="B1388" s="3">
        <v>44747</v>
      </c>
      <c r="C1388" s="2" t="s">
        <v>25</v>
      </c>
      <c r="D1388" s="2" t="s">
        <v>46</v>
      </c>
      <c r="E1388" s="2" t="s">
        <v>18</v>
      </c>
      <c r="F1388" s="2">
        <v>1550.65</v>
      </c>
      <c r="G1388" s="2">
        <v>96.59</v>
      </c>
      <c r="H1388" s="2" t="s">
        <v>13</v>
      </c>
      <c r="I1388" s="2" t="s">
        <v>14</v>
      </c>
    </row>
    <row r="1389" spans="1:9" x14ac:dyDescent="0.35">
      <c r="A1389" s="2" t="s">
        <v>1426</v>
      </c>
      <c r="B1389" s="3">
        <v>45042</v>
      </c>
      <c r="C1389" s="2" t="s">
        <v>22</v>
      </c>
      <c r="D1389" s="2" t="s">
        <v>23</v>
      </c>
      <c r="E1389" s="2" t="s">
        <v>18</v>
      </c>
      <c r="F1389" s="2">
        <v>409.8</v>
      </c>
      <c r="G1389" s="2">
        <v>105.97</v>
      </c>
      <c r="H1389" s="2" t="s">
        <v>19</v>
      </c>
      <c r="I1389" s="2" t="s">
        <v>14</v>
      </c>
    </row>
    <row r="1390" spans="1:9" x14ac:dyDescent="0.35">
      <c r="A1390" s="2" t="s">
        <v>1427</v>
      </c>
      <c r="B1390" s="3">
        <v>45386</v>
      </c>
      <c r="C1390" s="2" t="s">
        <v>10</v>
      </c>
      <c r="D1390" s="2" t="s">
        <v>62</v>
      </c>
      <c r="E1390" s="2" t="s">
        <v>27</v>
      </c>
      <c r="F1390" s="2">
        <v>1250.3599999999999</v>
      </c>
      <c r="G1390" s="2">
        <v>364.06</v>
      </c>
      <c r="H1390" s="2" t="s">
        <v>13</v>
      </c>
      <c r="I1390" s="2" t="s">
        <v>20</v>
      </c>
    </row>
    <row r="1391" spans="1:9" x14ac:dyDescent="0.35">
      <c r="A1391" s="2" t="s">
        <v>1428</v>
      </c>
      <c r="B1391" s="3">
        <v>44863</v>
      </c>
      <c r="C1391" s="2" t="s">
        <v>22</v>
      </c>
      <c r="D1391" s="2" t="s">
        <v>50</v>
      </c>
      <c r="E1391" s="2" t="s">
        <v>12</v>
      </c>
      <c r="F1391" s="2">
        <v>1434.12</v>
      </c>
      <c r="G1391" s="2">
        <v>133.41999999999999</v>
      </c>
      <c r="H1391" s="2" t="s">
        <v>13</v>
      </c>
      <c r="I1391" s="2" t="s">
        <v>34</v>
      </c>
    </row>
    <row r="1392" spans="1:9" x14ac:dyDescent="0.35">
      <c r="A1392" s="2" t="s">
        <v>1429</v>
      </c>
      <c r="B1392" s="3">
        <v>45624</v>
      </c>
      <c r="C1392" s="2" t="s">
        <v>10</v>
      </c>
      <c r="D1392" s="2" t="s">
        <v>26</v>
      </c>
      <c r="E1392" s="2" t="s">
        <v>27</v>
      </c>
      <c r="F1392" s="2">
        <v>1225.31</v>
      </c>
      <c r="G1392" s="2">
        <v>301.98</v>
      </c>
      <c r="H1392" s="2" t="s">
        <v>28</v>
      </c>
      <c r="I1392" s="2" t="s">
        <v>34</v>
      </c>
    </row>
    <row r="1393" spans="1:9" x14ac:dyDescent="0.35">
      <c r="A1393" s="2" t="s">
        <v>1430</v>
      </c>
      <c r="B1393" s="3">
        <v>45280</v>
      </c>
      <c r="C1393" s="2" t="s">
        <v>10</v>
      </c>
      <c r="D1393" s="2" t="s">
        <v>11</v>
      </c>
      <c r="E1393" s="2" t="s">
        <v>12</v>
      </c>
      <c r="F1393" s="2">
        <v>858.46</v>
      </c>
      <c r="G1393" s="2">
        <v>192.06</v>
      </c>
      <c r="H1393" s="2" t="s">
        <v>28</v>
      </c>
      <c r="I1393" s="2" t="s">
        <v>34</v>
      </c>
    </row>
    <row r="1394" spans="1:9" x14ac:dyDescent="0.35">
      <c r="A1394" s="2" t="s">
        <v>1431</v>
      </c>
      <c r="B1394" s="3">
        <v>44937</v>
      </c>
      <c r="C1394" s="2" t="s">
        <v>25</v>
      </c>
      <c r="D1394" s="2" t="s">
        <v>95</v>
      </c>
      <c r="E1394" s="2" t="s">
        <v>18</v>
      </c>
      <c r="F1394" s="2">
        <v>194.32</v>
      </c>
      <c r="G1394" s="2">
        <v>13.47</v>
      </c>
      <c r="H1394" s="2" t="s">
        <v>13</v>
      </c>
      <c r="I1394" s="2" t="s">
        <v>14</v>
      </c>
    </row>
    <row r="1395" spans="1:9" x14ac:dyDescent="0.35">
      <c r="A1395" s="2" t="s">
        <v>1432</v>
      </c>
      <c r="B1395" s="3">
        <v>45387</v>
      </c>
      <c r="C1395" s="2" t="s">
        <v>16</v>
      </c>
      <c r="D1395" s="2" t="s">
        <v>41</v>
      </c>
      <c r="E1395" s="2" t="s">
        <v>12</v>
      </c>
      <c r="F1395" s="2">
        <v>1855.63</v>
      </c>
      <c r="G1395" s="2">
        <v>405.11</v>
      </c>
      <c r="H1395" s="2" t="s">
        <v>28</v>
      </c>
      <c r="I1395" s="2" t="s">
        <v>34</v>
      </c>
    </row>
    <row r="1396" spans="1:9" x14ac:dyDescent="0.35">
      <c r="A1396" s="2" t="s">
        <v>1433</v>
      </c>
      <c r="B1396" s="3">
        <v>44882</v>
      </c>
      <c r="C1396" s="2" t="s">
        <v>25</v>
      </c>
      <c r="D1396" s="2" t="s">
        <v>11</v>
      </c>
      <c r="E1396" s="2" t="s">
        <v>12</v>
      </c>
      <c r="F1396" s="2">
        <v>367.42</v>
      </c>
      <c r="G1396" s="2">
        <v>99.68</v>
      </c>
      <c r="H1396" s="2" t="s">
        <v>28</v>
      </c>
      <c r="I1396" s="2" t="s">
        <v>29</v>
      </c>
    </row>
    <row r="1397" spans="1:9" x14ac:dyDescent="0.35">
      <c r="A1397" s="2" t="s">
        <v>1434</v>
      </c>
      <c r="B1397" s="3">
        <v>45336</v>
      </c>
      <c r="C1397" s="2" t="s">
        <v>25</v>
      </c>
      <c r="D1397" s="2" t="s">
        <v>62</v>
      </c>
      <c r="E1397" s="2" t="s">
        <v>27</v>
      </c>
      <c r="F1397" s="2">
        <v>60.42</v>
      </c>
      <c r="G1397" s="2">
        <v>14.48</v>
      </c>
      <c r="H1397" s="2" t="s">
        <v>19</v>
      </c>
      <c r="I1397" s="2" t="s">
        <v>34</v>
      </c>
    </row>
    <row r="1398" spans="1:9" x14ac:dyDescent="0.35">
      <c r="A1398" s="2" t="s">
        <v>1435</v>
      </c>
      <c r="B1398" s="3">
        <v>45500</v>
      </c>
      <c r="C1398" s="2" t="s">
        <v>10</v>
      </c>
      <c r="D1398" s="2" t="s">
        <v>97</v>
      </c>
      <c r="E1398" s="2" t="s">
        <v>27</v>
      </c>
      <c r="F1398" s="2">
        <v>815.47</v>
      </c>
      <c r="G1398" s="2">
        <v>122.03</v>
      </c>
      <c r="H1398" s="2" t="s">
        <v>28</v>
      </c>
      <c r="I1398" s="2" t="s">
        <v>14</v>
      </c>
    </row>
    <row r="1399" spans="1:9" x14ac:dyDescent="0.35">
      <c r="A1399" s="2" t="s">
        <v>1436</v>
      </c>
      <c r="B1399" s="3">
        <v>45082</v>
      </c>
      <c r="C1399" s="2" t="s">
        <v>22</v>
      </c>
      <c r="D1399" s="2" t="s">
        <v>46</v>
      </c>
      <c r="E1399" s="2" t="s">
        <v>18</v>
      </c>
      <c r="F1399" s="2">
        <v>1336.99</v>
      </c>
      <c r="G1399" s="2">
        <v>144.37</v>
      </c>
      <c r="H1399" s="2" t="s">
        <v>13</v>
      </c>
      <c r="I1399" s="2" t="s">
        <v>14</v>
      </c>
    </row>
    <row r="1400" spans="1:9" x14ac:dyDescent="0.35">
      <c r="A1400" s="2" t="s">
        <v>1437</v>
      </c>
      <c r="B1400" s="3">
        <v>45577</v>
      </c>
      <c r="C1400" s="2" t="s">
        <v>10</v>
      </c>
      <c r="D1400" s="2" t="s">
        <v>73</v>
      </c>
      <c r="E1400" s="2" t="s">
        <v>27</v>
      </c>
      <c r="F1400" s="2">
        <v>85.14</v>
      </c>
      <c r="G1400" s="2">
        <v>12.97</v>
      </c>
      <c r="H1400" s="2" t="s">
        <v>28</v>
      </c>
      <c r="I1400" s="2" t="s">
        <v>14</v>
      </c>
    </row>
    <row r="1401" spans="1:9" x14ac:dyDescent="0.35">
      <c r="A1401" s="2" t="s">
        <v>1438</v>
      </c>
      <c r="B1401" s="3">
        <v>44806</v>
      </c>
      <c r="C1401" s="2" t="s">
        <v>25</v>
      </c>
      <c r="D1401" s="2" t="s">
        <v>26</v>
      </c>
      <c r="E1401" s="2" t="s">
        <v>27</v>
      </c>
      <c r="F1401" s="2">
        <v>67.34</v>
      </c>
      <c r="G1401" s="2">
        <v>10.75</v>
      </c>
      <c r="H1401" s="2" t="s">
        <v>19</v>
      </c>
      <c r="I1401" s="2" t="s">
        <v>20</v>
      </c>
    </row>
    <row r="1402" spans="1:9" x14ac:dyDescent="0.35">
      <c r="A1402" s="2" t="s">
        <v>1439</v>
      </c>
      <c r="B1402" s="3">
        <v>45561</v>
      </c>
      <c r="C1402" s="2" t="s">
        <v>25</v>
      </c>
      <c r="D1402" s="2" t="s">
        <v>57</v>
      </c>
      <c r="E1402" s="2" t="s">
        <v>27</v>
      </c>
      <c r="F1402" s="2">
        <v>1761.24</v>
      </c>
      <c r="G1402" s="2">
        <v>364.08</v>
      </c>
      <c r="H1402" s="2" t="s">
        <v>13</v>
      </c>
      <c r="I1402" s="2" t="s">
        <v>34</v>
      </c>
    </row>
    <row r="1403" spans="1:9" x14ac:dyDescent="0.35">
      <c r="A1403" s="2" t="s">
        <v>1440</v>
      </c>
      <c r="B1403" s="3">
        <v>45451</v>
      </c>
      <c r="C1403" s="2" t="s">
        <v>10</v>
      </c>
      <c r="D1403" s="2" t="s">
        <v>26</v>
      </c>
      <c r="E1403" s="2" t="s">
        <v>27</v>
      </c>
      <c r="F1403" s="2">
        <v>86.96</v>
      </c>
      <c r="G1403" s="2">
        <v>24.87</v>
      </c>
      <c r="H1403" s="2" t="s">
        <v>28</v>
      </c>
      <c r="I1403" s="2" t="s">
        <v>34</v>
      </c>
    </row>
    <row r="1404" spans="1:9" x14ac:dyDescent="0.35">
      <c r="A1404" s="2" t="s">
        <v>1441</v>
      </c>
      <c r="B1404" s="3">
        <v>45059</v>
      </c>
      <c r="C1404" s="2" t="s">
        <v>16</v>
      </c>
      <c r="D1404" s="2" t="s">
        <v>26</v>
      </c>
      <c r="E1404" s="2" t="s">
        <v>27</v>
      </c>
      <c r="F1404" s="2">
        <v>243.63</v>
      </c>
      <c r="G1404" s="2">
        <v>40.85</v>
      </c>
      <c r="H1404" s="2" t="s">
        <v>28</v>
      </c>
      <c r="I1404" s="2" t="s">
        <v>14</v>
      </c>
    </row>
    <row r="1405" spans="1:9" x14ac:dyDescent="0.35">
      <c r="A1405" s="2" t="s">
        <v>1442</v>
      </c>
      <c r="B1405" s="3">
        <v>44842</v>
      </c>
      <c r="C1405" s="2" t="s">
        <v>22</v>
      </c>
      <c r="D1405" s="2" t="s">
        <v>50</v>
      </c>
      <c r="E1405" s="2" t="s">
        <v>12</v>
      </c>
      <c r="F1405" s="2">
        <v>1916.04</v>
      </c>
      <c r="G1405" s="2">
        <v>298.33999999999997</v>
      </c>
      <c r="H1405" s="2" t="s">
        <v>19</v>
      </c>
      <c r="I1405" s="2" t="s">
        <v>14</v>
      </c>
    </row>
    <row r="1406" spans="1:9" x14ac:dyDescent="0.35">
      <c r="A1406" s="2" t="s">
        <v>1443</v>
      </c>
      <c r="B1406" s="3">
        <v>45187</v>
      </c>
      <c r="C1406" s="2" t="s">
        <v>16</v>
      </c>
      <c r="D1406" s="2" t="s">
        <v>95</v>
      </c>
      <c r="E1406" s="2" t="s">
        <v>18</v>
      </c>
      <c r="F1406" s="2">
        <v>630.78</v>
      </c>
      <c r="G1406" s="2">
        <v>83.77</v>
      </c>
      <c r="H1406" s="2" t="s">
        <v>19</v>
      </c>
      <c r="I1406" s="2" t="s">
        <v>14</v>
      </c>
    </row>
    <row r="1407" spans="1:9" x14ac:dyDescent="0.35">
      <c r="A1407" s="2" t="s">
        <v>1444</v>
      </c>
      <c r="B1407" s="3">
        <v>45109</v>
      </c>
      <c r="C1407" s="2" t="s">
        <v>10</v>
      </c>
      <c r="D1407" s="2" t="s">
        <v>26</v>
      </c>
      <c r="E1407" s="2" t="s">
        <v>27</v>
      </c>
      <c r="F1407" s="2">
        <v>1522.62</v>
      </c>
      <c r="G1407" s="2">
        <v>323.14999999999998</v>
      </c>
      <c r="H1407" s="2" t="s">
        <v>13</v>
      </c>
      <c r="I1407" s="2" t="s">
        <v>34</v>
      </c>
    </row>
    <row r="1408" spans="1:9" x14ac:dyDescent="0.35">
      <c r="A1408" s="2" t="s">
        <v>1445</v>
      </c>
      <c r="B1408" s="3">
        <v>44854</v>
      </c>
      <c r="C1408" s="2" t="s">
        <v>10</v>
      </c>
      <c r="D1408" s="2" t="s">
        <v>38</v>
      </c>
      <c r="E1408" s="2" t="s">
        <v>12</v>
      </c>
      <c r="F1408" s="2">
        <v>556.72</v>
      </c>
      <c r="G1408" s="2">
        <v>64.97</v>
      </c>
      <c r="H1408" s="2" t="s">
        <v>28</v>
      </c>
      <c r="I1408" s="2" t="s">
        <v>14</v>
      </c>
    </row>
    <row r="1409" spans="1:9" x14ac:dyDescent="0.35">
      <c r="A1409" s="2" t="s">
        <v>1446</v>
      </c>
      <c r="B1409" s="3">
        <v>44675</v>
      </c>
      <c r="C1409" s="2" t="s">
        <v>25</v>
      </c>
      <c r="D1409" s="2" t="s">
        <v>46</v>
      </c>
      <c r="E1409" s="2" t="s">
        <v>18</v>
      </c>
      <c r="F1409" s="2">
        <v>802.68</v>
      </c>
      <c r="G1409" s="2">
        <v>224.58</v>
      </c>
      <c r="H1409" s="2" t="s">
        <v>28</v>
      </c>
      <c r="I1409" s="2" t="s">
        <v>29</v>
      </c>
    </row>
    <row r="1410" spans="1:9" x14ac:dyDescent="0.35">
      <c r="A1410" s="2" t="s">
        <v>1447</v>
      </c>
      <c r="B1410" s="3">
        <v>44631</v>
      </c>
      <c r="C1410" s="2" t="s">
        <v>25</v>
      </c>
      <c r="D1410" s="2" t="s">
        <v>50</v>
      </c>
      <c r="E1410" s="2" t="s">
        <v>12</v>
      </c>
      <c r="F1410" s="2">
        <v>417.63</v>
      </c>
      <c r="G1410" s="2">
        <v>116.61</v>
      </c>
      <c r="H1410" s="2" t="s">
        <v>19</v>
      </c>
      <c r="I1410" s="2" t="s">
        <v>14</v>
      </c>
    </row>
    <row r="1411" spans="1:9" x14ac:dyDescent="0.35">
      <c r="A1411" s="2" t="s">
        <v>1448</v>
      </c>
      <c r="B1411" s="3">
        <v>44617</v>
      </c>
      <c r="C1411" s="2" t="s">
        <v>25</v>
      </c>
      <c r="D1411" s="2" t="s">
        <v>26</v>
      </c>
      <c r="E1411" s="2" t="s">
        <v>27</v>
      </c>
      <c r="F1411" s="2">
        <v>706.65</v>
      </c>
      <c r="G1411" s="2">
        <v>160.68</v>
      </c>
      <c r="H1411" s="2" t="s">
        <v>28</v>
      </c>
      <c r="I1411" s="2" t="s">
        <v>29</v>
      </c>
    </row>
    <row r="1412" spans="1:9" x14ac:dyDescent="0.35">
      <c r="A1412" s="2" t="s">
        <v>1449</v>
      </c>
      <c r="B1412" s="3">
        <v>44564</v>
      </c>
      <c r="C1412" s="2" t="s">
        <v>25</v>
      </c>
      <c r="D1412" s="2" t="s">
        <v>62</v>
      </c>
      <c r="E1412" s="2" t="s">
        <v>27</v>
      </c>
      <c r="F1412" s="2">
        <v>821.36</v>
      </c>
      <c r="G1412" s="2">
        <v>172.75</v>
      </c>
      <c r="H1412" s="2" t="s">
        <v>28</v>
      </c>
      <c r="I1412" s="2" t="s">
        <v>29</v>
      </c>
    </row>
    <row r="1413" spans="1:9" x14ac:dyDescent="0.35">
      <c r="A1413" s="2" t="s">
        <v>1450</v>
      </c>
      <c r="B1413" s="3">
        <v>44929</v>
      </c>
      <c r="C1413" s="2" t="s">
        <v>22</v>
      </c>
      <c r="D1413" s="2" t="s">
        <v>62</v>
      </c>
      <c r="E1413" s="2" t="s">
        <v>27</v>
      </c>
      <c r="F1413" s="2">
        <v>1748.82</v>
      </c>
      <c r="G1413" s="2">
        <v>373.96</v>
      </c>
      <c r="H1413" s="2" t="s">
        <v>13</v>
      </c>
      <c r="I1413" s="2" t="s">
        <v>14</v>
      </c>
    </row>
    <row r="1414" spans="1:9" x14ac:dyDescent="0.35">
      <c r="A1414" s="2" t="s">
        <v>1451</v>
      </c>
      <c r="B1414" s="3">
        <v>45650</v>
      </c>
      <c r="C1414" s="2" t="s">
        <v>22</v>
      </c>
      <c r="D1414" s="2" t="s">
        <v>57</v>
      </c>
      <c r="E1414" s="2" t="s">
        <v>27</v>
      </c>
      <c r="F1414" s="2">
        <v>1520.2</v>
      </c>
      <c r="G1414" s="2">
        <v>88.89</v>
      </c>
      <c r="H1414" s="2" t="s">
        <v>13</v>
      </c>
      <c r="I1414" s="2" t="s">
        <v>34</v>
      </c>
    </row>
    <row r="1415" spans="1:9" x14ac:dyDescent="0.35">
      <c r="A1415" s="2" t="s">
        <v>1452</v>
      </c>
      <c r="B1415" s="3">
        <v>45026</v>
      </c>
      <c r="C1415" s="2" t="s">
        <v>22</v>
      </c>
      <c r="D1415" s="2" t="s">
        <v>95</v>
      </c>
      <c r="E1415" s="2" t="s">
        <v>18</v>
      </c>
      <c r="F1415" s="2">
        <v>1774.86</v>
      </c>
      <c r="G1415" s="2">
        <v>153.25</v>
      </c>
      <c r="H1415" s="2" t="s">
        <v>19</v>
      </c>
      <c r="I1415" s="2" t="s">
        <v>20</v>
      </c>
    </row>
    <row r="1416" spans="1:9" x14ac:dyDescent="0.35">
      <c r="A1416" s="2" t="s">
        <v>1453</v>
      </c>
      <c r="B1416" s="3">
        <v>45655</v>
      </c>
      <c r="C1416" s="2" t="s">
        <v>22</v>
      </c>
      <c r="D1416" s="2" t="s">
        <v>26</v>
      </c>
      <c r="E1416" s="2" t="s">
        <v>27</v>
      </c>
      <c r="F1416" s="2">
        <v>1137.5</v>
      </c>
      <c r="G1416" s="2">
        <v>190.83</v>
      </c>
      <c r="H1416" s="2" t="s">
        <v>19</v>
      </c>
      <c r="I1416" s="2" t="s">
        <v>14</v>
      </c>
    </row>
    <row r="1417" spans="1:9" x14ac:dyDescent="0.35">
      <c r="A1417" s="2" t="s">
        <v>1454</v>
      </c>
      <c r="B1417" s="3">
        <v>45054</v>
      </c>
      <c r="C1417" s="2" t="s">
        <v>25</v>
      </c>
      <c r="D1417" s="2" t="s">
        <v>73</v>
      </c>
      <c r="E1417" s="2" t="s">
        <v>27</v>
      </c>
      <c r="F1417" s="2">
        <v>868.4</v>
      </c>
      <c r="G1417" s="2">
        <v>109.82</v>
      </c>
      <c r="H1417" s="2" t="s">
        <v>13</v>
      </c>
      <c r="I1417" s="2" t="s">
        <v>34</v>
      </c>
    </row>
    <row r="1418" spans="1:9" x14ac:dyDescent="0.35">
      <c r="A1418" s="2" t="s">
        <v>1455</v>
      </c>
      <c r="B1418" s="3">
        <v>45280</v>
      </c>
      <c r="C1418" s="2" t="s">
        <v>22</v>
      </c>
      <c r="D1418" s="2" t="s">
        <v>62</v>
      </c>
      <c r="E1418" s="2" t="s">
        <v>27</v>
      </c>
      <c r="F1418" s="2">
        <v>1190.4100000000001</v>
      </c>
      <c r="G1418" s="2">
        <v>165.76</v>
      </c>
      <c r="H1418" s="2" t="s">
        <v>19</v>
      </c>
      <c r="I1418" s="2" t="s">
        <v>14</v>
      </c>
    </row>
    <row r="1419" spans="1:9" x14ac:dyDescent="0.35">
      <c r="A1419" s="2" t="s">
        <v>1456</v>
      </c>
      <c r="B1419" s="3">
        <v>44675</v>
      </c>
      <c r="C1419" s="2" t="s">
        <v>10</v>
      </c>
      <c r="D1419" s="2" t="s">
        <v>41</v>
      </c>
      <c r="E1419" s="2" t="s">
        <v>12</v>
      </c>
      <c r="F1419" s="2">
        <v>1821.65</v>
      </c>
      <c r="G1419" s="2">
        <v>162.63999999999999</v>
      </c>
      <c r="H1419" s="2" t="s">
        <v>28</v>
      </c>
      <c r="I1419" s="2" t="s">
        <v>29</v>
      </c>
    </row>
    <row r="1420" spans="1:9" x14ac:dyDescent="0.35">
      <c r="A1420" s="2" t="s">
        <v>1457</v>
      </c>
      <c r="B1420" s="3">
        <v>44626</v>
      </c>
      <c r="C1420" s="2" t="s">
        <v>16</v>
      </c>
      <c r="D1420" s="2" t="s">
        <v>31</v>
      </c>
      <c r="E1420" s="2" t="s">
        <v>12</v>
      </c>
      <c r="F1420" s="2">
        <v>1866.08</v>
      </c>
      <c r="G1420" s="2">
        <v>472.83</v>
      </c>
      <c r="H1420" s="2" t="s">
        <v>19</v>
      </c>
      <c r="I1420" s="2" t="s">
        <v>29</v>
      </c>
    </row>
    <row r="1421" spans="1:9" x14ac:dyDescent="0.35">
      <c r="A1421" s="2" t="s">
        <v>1458</v>
      </c>
      <c r="B1421" s="3">
        <v>45630</v>
      </c>
      <c r="C1421" s="2" t="s">
        <v>25</v>
      </c>
      <c r="D1421" s="2" t="s">
        <v>38</v>
      </c>
      <c r="E1421" s="2" t="s">
        <v>12</v>
      </c>
      <c r="F1421" s="2">
        <v>1729.33</v>
      </c>
      <c r="G1421" s="2">
        <v>112.68</v>
      </c>
      <c r="H1421" s="2" t="s">
        <v>19</v>
      </c>
      <c r="I1421" s="2" t="s">
        <v>20</v>
      </c>
    </row>
    <row r="1422" spans="1:9" x14ac:dyDescent="0.35">
      <c r="A1422" s="2" t="s">
        <v>1459</v>
      </c>
      <c r="B1422" s="3">
        <v>44928</v>
      </c>
      <c r="C1422" s="2" t="s">
        <v>22</v>
      </c>
      <c r="D1422" s="2" t="s">
        <v>23</v>
      </c>
      <c r="E1422" s="2" t="s">
        <v>18</v>
      </c>
      <c r="F1422" s="2">
        <v>246.03</v>
      </c>
      <c r="G1422" s="2">
        <v>43.93</v>
      </c>
      <c r="H1422" s="2" t="s">
        <v>13</v>
      </c>
      <c r="I1422" s="2" t="s">
        <v>14</v>
      </c>
    </row>
    <row r="1423" spans="1:9" x14ac:dyDescent="0.35">
      <c r="A1423" s="2" t="s">
        <v>1460</v>
      </c>
      <c r="B1423" s="3">
        <v>45509</v>
      </c>
      <c r="C1423" s="2" t="s">
        <v>25</v>
      </c>
      <c r="D1423" s="2" t="s">
        <v>97</v>
      </c>
      <c r="E1423" s="2" t="s">
        <v>27</v>
      </c>
      <c r="F1423" s="2">
        <v>1805.28</v>
      </c>
      <c r="G1423" s="2">
        <v>470.77</v>
      </c>
      <c r="H1423" s="2" t="s">
        <v>19</v>
      </c>
      <c r="I1423" s="2" t="s">
        <v>20</v>
      </c>
    </row>
    <row r="1424" spans="1:9" x14ac:dyDescent="0.35">
      <c r="A1424" s="2" t="s">
        <v>1461</v>
      </c>
      <c r="B1424" s="3">
        <v>45459</v>
      </c>
      <c r="C1424" s="2" t="s">
        <v>25</v>
      </c>
      <c r="D1424" s="2" t="s">
        <v>31</v>
      </c>
      <c r="E1424" s="2" t="s">
        <v>12</v>
      </c>
      <c r="F1424" s="2">
        <v>649.52</v>
      </c>
      <c r="G1424" s="2">
        <v>92.58</v>
      </c>
      <c r="H1424" s="2" t="s">
        <v>28</v>
      </c>
      <c r="I1424" s="2" t="s">
        <v>20</v>
      </c>
    </row>
    <row r="1425" spans="1:9" x14ac:dyDescent="0.35">
      <c r="A1425" s="2" t="s">
        <v>1462</v>
      </c>
      <c r="B1425" s="3">
        <v>45097</v>
      </c>
      <c r="C1425" s="2" t="s">
        <v>10</v>
      </c>
      <c r="D1425" s="2" t="s">
        <v>73</v>
      </c>
      <c r="E1425" s="2" t="s">
        <v>27</v>
      </c>
      <c r="F1425" s="2">
        <v>1217.94</v>
      </c>
      <c r="G1425" s="2">
        <v>197.58</v>
      </c>
      <c r="H1425" s="2" t="s">
        <v>13</v>
      </c>
      <c r="I1425" s="2" t="s">
        <v>20</v>
      </c>
    </row>
    <row r="1426" spans="1:9" x14ac:dyDescent="0.35">
      <c r="A1426" s="2" t="s">
        <v>1463</v>
      </c>
      <c r="B1426" s="3">
        <v>44803</v>
      </c>
      <c r="C1426" s="2" t="s">
        <v>16</v>
      </c>
      <c r="D1426" s="2" t="s">
        <v>41</v>
      </c>
      <c r="E1426" s="2" t="s">
        <v>12</v>
      </c>
      <c r="F1426" s="2">
        <v>1907.09</v>
      </c>
      <c r="G1426" s="2">
        <v>450.37</v>
      </c>
      <c r="H1426" s="2" t="s">
        <v>28</v>
      </c>
      <c r="I1426" s="2" t="s">
        <v>34</v>
      </c>
    </row>
    <row r="1427" spans="1:9" x14ac:dyDescent="0.35">
      <c r="A1427" s="2" t="s">
        <v>1464</v>
      </c>
      <c r="B1427" s="3">
        <v>45647</v>
      </c>
      <c r="C1427" s="2" t="s">
        <v>16</v>
      </c>
      <c r="D1427" s="2" t="s">
        <v>97</v>
      </c>
      <c r="E1427" s="2" t="s">
        <v>27</v>
      </c>
      <c r="F1427" s="2">
        <v>1332.27</v>
      </c>
      <c r="G1427" s="2">
        <v>140.36000000000001</v>
      </c>
      <c r="H1427" s="2" t="s">
        <v>19</v>
      </c>
      <c r="I1427" s="2" t="s">
        <v>29</v>
      </c>
    </row>
    <row r="1428" spans="1:9" x14ac:dyDescent="0.35">
      <c r="A1428" s="2" t="s">
        <v>1465</v>
      </c>
      <c r="B1428" s="3">
        <v>44705</v>
      </c>
      <c r="C1428" s="2" t="s">
        <v>22</v>
      </c>
      <c r="D1428" s="2" t="s">
        <v>41</v>
      </c>
      <c r="E1428" s="2" t="s">
        <v>12</v>
      </c>
      <c r="F1428" s="2">
        <v>1254.67</v>
      </c>
      <c r="G1428" s="2">
        <v>332.32</v>
      </c>
      <c r="H1428" s="2" t="s">
        <v>13</v>
      </c>
      <c r="I1428" s="2" t="s">
        <v>20</v>
      </c>
    </row>
    <row r="1429" spans="1:9" x14ac:dyDescent="0.35">
      <c r="A1429" s="2" t="s">
        <v>1466</v>
      </c>
      <c r="B1429" s="3">
        <v>44614</v>
      </c>
      <c r="C1429" s="2" t="s">
        <v>25</v>
      </c>
      <c r="D1429" s="2" t="s">
        <v>31</v>
      </c>
      <c r="E1429" s="2" t="s">
        <v>12</v>
      </c>
      <c r="F1429" s="2">
        <v>1788.43</v>
      </c>
      <c r="G1429" s="2">
        <v>492.08</v>
      </c>
      <c r="H1429" s="2" t="s">
        <v>19</v>
      </c>
      <c r="I1429" s="2" t="s">
        <v>29</v>
      </c>
    </row>
    <row r="1430" spans="1:9" x14ac:dyDescent="0.35">
      <c r="A1430" s="2" t="s">
        <v>1467</v>
      </c>
      <c r="B1430" s="3">
        <v>45523</v>
      </c>
      <c r="C1430" s="2" t="s">
        <v>22</v>
      </c>
      <c r="D1430" s="2" t="s">
        <v>97</v>
      </c>
      <c r="E1430" s="2" t="s">
        <v>27</v>
      </c>
      <c r="F1430" s="2">
        <v>821.76</v>
      </c>
      <c r="G1430" s="2">
        <v>207.59</v>
      </c>
      <c r="H1430" s="2" t="s">
        <v>13</v>
      </c>
      <c r="I1430" s="2" t="s">
        <v>20</v>
      </c>
    </row>
    <row r="1431" spans="1:9" x14ac:dyDescent="0.35">
      <c r="A1431" s="2" t="s">
        <v>1468</v>
      </c>
      <c r="B1431" s="3">
        <v>44585</v>
      </c>
      <c r="C1431" s="2" t="s">
        <v>16</v>
      </c>
      <c r="D1431" s="2" t="s">
        <v>62</v>
      </c>
      <c r="E1431" s="2" t="s">
        <v>27</v>
      </c>
      <c r="F1431" s="2">
        <v>59.23</v>
      </c>
      <c r="G1431" s="2">
        <v>14.13</v>
      </c>
      <c r="H1431" s="2" t="s">
        <v>19</v>
      </c>
      <c r="I1431" s="2" t="s">
        <v>20</v>
      </c>
    </row>
    <row r="1432" spans="1:9" x14ac:dyDescent="0.35">
      <c r="A1432" s="2" t="s">
        <v>1469</v>
      </c>
      <c r="B1432" s="3">
        <v>44845</v>
      </c>
      <c r="C1432" s="2" t="s">
        <v>22</v>
      </c>
      <c r="D1432" s="2" t="s">
        <v>26</v>
      </c>
      <c r="E1432" s="2" t="s">
        <v>27</v>
      </c>
      <c r="F1432" s="2">
        <v>1931.84</v>
      </c>
      <c r="G1432" s="2">
        <v>346.26</v>
      </c>
      <c r="H1432" s="2" t="s">
        <v>13</v>
      </c>
      <c r="I1432" s="2" t="s">
        <v>34</v>
      </c>
    </row>
    <row r="1433" spans="1:9" x14ac:dyDescent="0.35">
      <c r="A1433" s="2" t="s">
        <v>1470</v>
      </c>
      <c r="B1433" s="3">
        <v>45471</v>
      </c>
      <c r="C1433" s="2" t="s">
        <v>10</v>
      </c>
      <c r="D1433" s="2" t="s">
        <v>73</v>
      </c>
      <c r="E1433" s="2" t="s">
        <v>27</v>
      </c>
      <c r="F1433" s="2">
        <v>1959.29</v>
      </c>
      <c r="G1433" s="2">
        <v>532.02</v>
      </c>
      <c r="H1433" s="2" t="s">
        <v>28</v>
      </c>
      <c r="I1433" s="2" t="s">
        <v>29</v>
      </c>
    </row>
    <row r="1434" spans="1:9" x14ac:dyDescent="0.35">
      <c r="A1434" s="2" t="s">
        <v>1471</v>
      </c>
      <c r="B1434" s="3">
        <v>44971</v>
      </c>
      <c r="C1434" s="2" t="s">
        <v>16</v>
      </c>
      <c r="D1434" s="2" t="s">
        <v>26</v>
      </c>
      <c r="E1434" s="2" t="s">
        <v>27</v>
      </c>
      <c r="F1434" s="2">
        <v>993.36</v>
      </c>
      <c r="G1434" s="2">
        <v>207.58</v>
      </c>
      <c r="H1434" s="2" t="s">
        <v>13</v>
      </c>
      <c r="I1434" s="2" t="s">
        <v>29</v>
      </c>
    </row>
    <row r="1435" spans="1:9" x14ac:dyDescent="0.35">
      <c r="A1435" s="2" t="s">
        <v>1472</v>
      </c>
      <c r="B1435" s="3">
        <v>45293</v>
      </c>
      <c r="C1435" s="2" t="s">
        <v>10</v>
      </c>
      <c r="D1435" s="2" t="s">
        <v>73</v>
      </c>
      <c r="E1435" s="2" t="s">
        <v>27</v>
      </c>
      <c r="F1435" s="2">
        <v>187.12</v>
      </c>
      <c r="G1435" s="2">
        <v>48.63</v>
      </c>
      <c r="H1435" s="2" t="s">
        <v>13</v>
      </c>
      <c r="I1435" s="2" t="s">
        <v>14</v>
      </c>
    </row>
    <row r="1436" spans="1:9" x14ac:dyDescent="0.35">
      <c r="A1436" s="2" t="s">
        <v>1473</v>
      </c>
      <c r="B1436" s="3">
        <v>44916</v>
      </c>
      <c r="C1436" s="2" t="s">
        <v>25</v>
      </c>
      <c r="D1436" s="2" t="s">
        <v>97</v>
      </c>
      <c r="E1436" s="2" t="s">
        <v>27</v>
      </c>
      <c r="F1436" s="2">
        <v>1998.52</v>
      </c>
      <c r="G1436" s="2">
        <v>284.10000000000002</v>
      </c>
      <c r="H1436" s="2" t="s">
        <v>13</v>
      </c>
      <c r="I1436" s="2" t="s">
        <v>29</v>
      </c>
    </row>
    <row r="1437" spans="1:9" x14ac:dyDescent="0.35">
      <c r="A1437" s="2" t="s">
        <v>1474</v>
      </c>
      <c r="B1437" s="3">
        <v>45344</v>
      </c>
      <c r="C1437" s="2" t="s">
        <v>25</v>
      </c>
      <c r="D1437" s="2" t="s">
        <v>62</v>
      </c>
      <c r="E1437" s="2" t="s">
        <v>27</v>
      </c>
      <c r="F1437" s="2">
        <v>480.38</v>
      </c>
      <c r="G1437" s="2">
        <v>72.5</v>
      </c>
      <c r="H1437" s="2" t="s">
        <v>13</v>
      </c>
      <c r="I1437" s="2" t="s">
        <v>14</v>
      </c>
    </row>
    <row r="1438" spans="1:9" x14ac:dyDescent="0.35">
      <c r="A1438" s="2" t="s">
        <v>1475</v>
      </c>
      <c r="B1438" s="3">
        <v>44565</v>
      </c>
      <c r="C1438" s="2" t="s">
        <v>16</v>
      </c>
      <c r="D1438" s="2" t="s">
        <v>95</v>
      </c>
      <c r="E1438" s="2" t="s">
        <v>18</v>
      </c>
      <c r="F1438" s="2">
        <v>1625.69</v>
      </c>
      <c r="G1438" s="2">
        <v>202.59</v>
      </c>
      <c r="H1438" s="2" t="s">
        <v>28</v>
      </c>
      <c r="I1438" s="2" t="s">
        <v>14</v>
      </c>
    </row>
    <row r="1439" spans="1:9" x14ac:dyDescent="0.35">
      <c r="A1439" s="2" t="s">
        <v>1476</v>
      </c>
      <c r="B1439" s="3">
        <v>45352</v>
      </c>
      <c r="C1439" s="2" t="s">
        <v>16</v>
      </c>
      <c r="D1439" s="2" t="s">
        <v>46</v>
      </c>
      <c r="E1439" s="2" t="s">
        <v>18</v>
      </c>
      <c r="F1439" s="2">
        <v>807.39</v>
      </c>
      <c r="G1439" s="2">
        <v>75.56</v>
      </c>
      <c r="H1439" s="2" t="s">
        <v>28</v>
      </c>
      <c r="I1439" s="2" t="s">
        <v>34</v>
      </c>
    </row>
    <row r="1440" spans="1:9" x14ac:dyDescent="0.35">
      <c r="A1440" s="2" t="s">
        <v>1477</v>
      </c>
      <c r="B1440" s="3">
        <v>44577</v>
      </c>
      <c r="C1440" s="2" t="s">
        <v>22</v>
      </c>
      <c r="D1440" s="2" t="s">
        <v>26</v>
      </c>
      <c r="E1440" s="2" t="s">
        <v>27</v>
      </c>
      <c r="F1440" s="2">
        <v>540</v>
      </c>
      <c r="G1440" s="2">
        <v>62.23</v>
      </c>
      <c r="H1440" s="2" t="s">
        <v>13</v>
      </c>
      <c r="I1440" s="2" t="s">
        <v>20</v>
      </c>
    </row>
    <row r="1441" spans="1:9" x14ac:dyDescent="0.35">
      <c r="A1441" s="2" t="s">
        <v>1478</v>
      </c>
      <c r="B1441" s="3">
        <v>44821</v>
      </c>
      <c r="C1441" s="2" t="s">
        <v>16</v>
      </c>
      <c r="D1441" s="2" t="s">
        <v>46</v>
      </c>
      <c r="E1441" s="2" t="s">
        <v>18</v>
      </c>
      <c r="F1441" s="2">
        <v>269.35000000000002</v>
      </c>
      <c r="G1441" s="2">
        <v>61.55</v>
      </c>
      <c r="H1441" s="2" t="s">
        <v>28</v>
      </c>
      <c r="I1441" s="2" t="s">
        <v>34</v>
      </c>
    </row>
    <row r="1442" spans="1:9" x14ac:dyDescent="0.35">
      <c r="A1442" s="2" t="s">
        <v>1479</v>
      </c>
      <c r="B1442" s="3">
        <v>45071</v>
      </c>
      <c r="C1442" s="2" t="s">
        <v>16</v>
      </c>
      <c r="D1442" s="2" t="s">
        <v>38</v>
      </c>
      <c r="E1442" s="2" t="s">
        <v>12</v>
      </c>
      <c r="F1442" s="2">
        <v>676.61</v>
      </c>
      <c r="G1442" s="2">
        <v>128.13999999999999</v>
      </c>
      <c r="H1442" s="2" t="s">
        <v>13</v>
      </c>
      <c r="I1442" s="2" t="s">
        <v>29</v>
      </c>
    </row>
    <row r="1443" spans="1:9" x14ac:dyDescent="0.35">
      <c r="A1443" s="2" t="s">
        <v>1480</v>
      </c>
      <c r="B1443" s="3">
        <v>45422</v>
      </c>
      <c r="C1443" s="2" t="s">
        <v>10</v>
      </c>
      <c r="D1443" s="2" t="s">
        <v>62</v>
      </c>
      <c r="E1443" s="2" t="s">
        <v>27</v>
      </c>
      <c r="F1443" s="2">
        <v>1891.81</v>
      </c>
      <c r="G1443" s="2">
        <v>324.85000000000002</v>
      </c>
      <c r="H1443" s="2" t="s">
        <v>19</v>
      </c>
      <c r="I1443" s="2" t="s">
        <v>14</v>
      </c>
    </row>
    <row r="1444" spans="1:9" x14ac:dyDescent="0.35">
      <c r="A1444" s="2" t="s">
        <v>1481</v>
      </c>
      <c r="B1444" s="3">
        <v>45637</v>
      </c>
      <c r="C1444" s="2" t="s">
        <v>25</v>
      </c>
      <c r="D1444" s="2" t="s">
        <v>11</v>
      </c>
      <c r="E1444" s="2" t="s">
        <v>12</v>
      </c>
      <c r="F1444" s="2">
        <v>1628.94</v>
      </c>
      <c r="G1444" s="2">
        <v>193.63</v>
      </c>
      <c r="H1444" s="2" t="s">
        <v>19</v>
      </c>
      <c r="I1444" s="2" t="s">
        <v>34</v>
      </c>
    </row>
    <row r="1445" spans="1:9" x14ac:dyDescent="0.35">
      <c r="A1445" s="2" t="s">
        <v>1482</v>
      </c>
      <c r="B1445" s="3">
        <v>45598</v>
      </c>
      <c r="C1445" s="2" t="s">
        <v>25</v>
      </c>
      <c r="D1445" s="2" t="s">
        <v>50</v>
      </c>
      <c r="E1445" s="2" t="s">
        <v>12</v>
      </c>
      <c r="F1445" s="2">
        <v>164.46</v>
      </c>
      <c r="G1445" s="2">
        <v>48.78</v>
      </c>
      <c r="H1445" s="2" t="s">
        <v>19</v>
      </c>
      <c r="I1445" s="2" t="s">
        <v>29</v>
      </c>
    </row>
    <row r="1446" spans="1:9" x14ac:dyDescent="0.35">
      <c r="A1446" s="2" t="s">
        <v>1483</v>
      </c>
      <c r="B1446" s="3">
        <v>45490</v>
      </c>
      <c r="C1446" s="2" t="s">
        <v>25</v>
      </c>
      <c r="D1446" s="2" t="s">
        <v>97</v>
      </c>
      <c r="E1446" s="2" t="s">
        <v>27</v>
      </c>
      <c r="F1446" s="2">
        <v>969.89</v>
      </c>
      <c r="G1446" s="2">
        <v>135.05000000000001</v>
      </c>
      <c r="H1446" s="2" t="s">
        <v>19</v>
      </c>
      <c r="I1446" s="2" t="s">
        <v>29</v>
      </c>
    </row>
    <row r="1447" spans="1:9" x14ac:dyDescent="0.35">
      <c r="A1447" s="2" t="s">
        <v>1484</v>
      </c>
      <c r="B1447" s="3">
        <v>45349</v>
      </c>
      <c r="C1447" s="2" t="s">
        <v>25</v>
      </c>
      <c r="D1447" s="2" t="s">
        <v>23</v>
      </c>
      <c r="E1447" s="2" t="s">
        <v>18</v>
      </c>
      <c r="F1447" s="2">
        <v>1250.9100000000001</v>
      </c>
      <c r="G1447" s="2">
        <v>108.12</v>
      </c>
      <c r="H1447" s="2" t="s">
        <v>19</v>
      </c>
      <c r="I1447" s="2" t="s">
        <v>20</v>
      </c>
    </row>
    <row r="1448" spans="1:9" x14ac:dyDescent="0.35">
      <c r="A1448" s="2" t="s">
        <v>1485</v>
      </c>
      <c r="B1448" s="3">
        <v>45542</v>
      </c>
      <c r="C1448" s="2" t="s">
        <v>10</v>
      </c>
      <c r="D1448" s="2" t="s">
        <v>46</v>
      </c>
      <c r="E1448" s="2" t="s">
        <v>18</v>
      </c>
      <c r="F1448" s="2">
        <v>1870.87</v>
      </c>
      <c r="G1448" s="2">
        <v>499.72</v>
      </c>
      <c r="H1448" s="2" t="s">
        <v>28</v>
      </c>
      <c r="I1448" s="2" t="s">
        <v>34</v>
      </c>
    </row>
    <row r="1449" spans="1:9" x14ac:dyDescent="0.35">
      <c r="A1449" s="2" t="s">
        <v>1486</v>
      </c>
      <c r="B1449" s="3">
        <v>45387</v>
      </c>
      <c r="C1449" s="2" t="s">
        <v>22</v>
      </c>
      <c r="D1449" s="2" t="s">
        <v>62</v>
      </c>
      <c r="E1449" s="2" t="s">
        <v>27</v>
      </c>
      <c r="F1449" s="2">
        <v>281.51</v>
      </c>
      <c r="G1449" s="2">
        <v>53.9</v>
      </c>
      <c r="H1449" s="2" t="s">
        <v>28</v>
      </c>
      <c r="I1449" s="2" t="s">
        <v>20</v>
      </c>
    </row>
    <row r="1450" spans="1:9" x14ac:dyDescent="0.35">
      <c r="A1450" s="2" t="s">
        <v>1487</v>
      </c>
      <c r="B1450" s="3">
        <v>45362</v>
      </c>
      <c r="C1450" s="2" t="s">
        <v>22</v>
      </c>
      <c r="D1450" s="2" t="s">
        <v>33</v>
      </c>
      <c r="E1450" s="2" t="s">
        <v>18</v>
      </c>
      <c r="F1450" s="2">
        <v>1415.86</v>
      </c>
      <c r="G1450" s="2">
        <v>300.97000000000003</v>
      </c>
      <c r="H1450" s="2" t="s">
        <v>19</v>
      </c>
      <c r="I1450" s="2" t="s">
        <v>14</v>
      </c>
    </row>
    <row r="1451" spans="1:9" x14ac:dyDescent="0.35">
      <c r="A1451" s="2" t="s">
        <v>1488</v>
      </c>
      <c r="B1451" s="3">
        <v>45119</v>
      </c>
      <c r="C1451" s="2" t="s">
        <v>22</v>
      </c>
      <c r="D1451" s="2" t="s">
        <v>73</v>
      </c>
      <c r="E1451" s="2" t="s">
        <v>27</v>
      </c>
      <c r="F1451" s="2">
        <v>1958.34</v>
      </c>
      <c r="G1451" s="2">
        <v>458.44</v>
      </c>
      <c r="H1451" s="2" t="s">
        <v>28</v>
      </c>
      <c r="I1451" s="2" t="s">
        <v>29</v>
      </c>
    </row>
    <row r="1452" spans="1:9" x14ac:dyDescent="0.35">
      <c r="A1452" s="2" t="s">
        <v>1489</v>
      </c>
      <c r="B1452" s="3">
        <v>45351</v>
      </c>
      <c r="C1452" s="2" t="s">
        <v>25</v>
      </c>
      <c r="D1452" s="2" t="s">
        <v>26</v>
      </c>
      <c r="E1452" s="2" t="s">
        <v>27</v>
      </c>
      <c r="F1452" s="2">
        <v>276.41000000000003</v>
      </c>
      <c r="G1452" s="2">
        <v>25.85</v>
      </c>
      <c r="H1452" s="2" t="s">
        <v>28</v>
      </c>
      <c r="I1452" s="2" t="s">
        <v>14</v>
      </c>
    </row>
    <row r="1453" spans="1:9" x14ac:dyDescent="0.35">
      <c r="A1453" s="2" t="s">
        <v>1490</v>
      </c>
      <c r="B1453" s="3">
        <v>45298</v>
      </c>
      <c r="C1453" s="2" t="s">
        <v>25</v>
      </c>
      <c r="D1453" s="2" t="s">
        <v>11</v>
      </c>
      <c r="E1453" s="2" t="s">
        <v>12</v>
      </c>
      <c r="F1453" s="2">
        <v>803.71</v>
      </c>
      <c r="G1453" s="2">
        <v>128.5</v>
      </c>
      <c r="H1453" s="2" t="s">
        <v>28</v>
      </c>
      <c r="I1453" s="2" t="s">
        <v>20</v>
      </c>
    </row>
    <row r="1454" spans="1:9" x14ac:dyDescent="0.35">
      <c r="A1454" s="2" t="s">
        <v>1491</v>
      </c>
      <c r="B1454" s="3">
        <v>45281</v>
      </c>
      <c r="C1454" s="2" t="s">
        <v>16</v>
      </c>
      <c r="D1454" s="2" t="s">
        <v>50</v>
      </c>
      <c r="E1454" s="2" t="s">
        <v>12</v>
      </c>
      <c r="F1454" s="2">
        <v>271.04000000000002</v>
      </c>
      <c r="G1454" s="2">
        <v>30.31</v>
      </c>
      <c r="H1454" s="2" t="s">
        <v>13</v>
      </c>
      <c r="I1454" s="2" t="s">
        <v>34</v>
      </c>
    </row>
    <row r="1455" spans="1:9" x14ac:dyDescent="0.35">
      <c r="A1455" s="2" t="s">
        <v>1492</v>
      </c>
      <c r="B1455" s="3">
        <v>45259</v>
      </c>
      <c r="C1455" s="2" t="s">
        <v>22</v>
      </c>
      <c r="D1455" s="2" t="s">
        <v>95</v>
      </c>
      <c r="E1455" s="2" t="s">
        <v>18</v>
      </c>
      <c r="F1455" s="2">
        <v>1726.43</v>
      </c>
      <c r="G1455" s="2">
        <v>182.86</v>
      </c>
      <c r="H1455" s="2" t="s">
        <v>13</v>
      </c>
      <c r="I1455" s="2" t="s">
        <v>34</v>
      </c>
    </row>
    <row r="1456" spans="1:9" x14ac:dyDescent="0.35">
      <c r="A1456" s="2" t="s">
        <v>1493</v>
      </c>
      <c r="B1456" s="3">
        <v>44991</v>
      </c>
      <c r="C1456" s="2" t="s">
        <v>16</v>
      </c>
      <c r="D1456" s="2" t="s">
        <v>46</v>
      </c>
      <c r="E1456" s="2" t="s">
        <v>18</v>
      </c>
      <c r="F1456" s="2">
        <v>1290.9000000000001</v>
      </c>
      <c r="G1456" s="2">
        <v>324.45999999999998</v>
      </c>
      <c r="H1456" s="2" t="s">
        <v>13</v>
      </c>
      <c r="I1456" s="2" t="s">
        <v>20</v>
      </c>
    </row>
    <row r="1457" spans="1:9" x14ac:dyDescent="0.35">
      <c r="A1457" s="2" t="s">
        <v>1494</v>
      </c>
      <c r="B1457" s="3">
        <v>44659</v>
      </c>
      <c r="C1457" s="2" t="s">
        <v>22</v>
      </c>
      <c r="D1457" s="2" t="s">
        <v>23</v>
      </c>
      <c r="E1457" s="2" t="s">
        <v>18</v>
      </c>
      <c r="F1457" s="2">
        <v>774.34</v>
      </c>
      <c r="G1457" s="2">
        <v>141.16999999999999</v>
      </c>
      <c r="H1457" s="2" t="s">
        <v>19</v>
      </c>
      <c r="I1457" s="2" t="s">
        <v>29</v>
      </c>
    </row>
    <row r="1458" spans="1:9" x14ac:dyDescent="0.35">
      <c r="A1458" s="2" t="s">
        <v>1495</v>
      </c>
      <c r="B1458" s="3">
        <v>44715</v>
      </c>
      <c r="C1458" s="2" t="s">
        <v>16</v>
      </c>
      <c r="D1458" s="2" t="s">
        <v>57</v>
      </c>
      <c r="E1458" s="2" t="s">
        <v>27</v>
      </c>
      <c r="F1458" s="2">
        <v>980.57</v>
      </c>
      <c r="G1458" s="2">
        <v>81.73</v>
      </c>
      <c r="H1458" s="2" t="s">
        <v>19</v>
      </c>
      <c r="I1458" s="2" t="s">
        <v>14</v>
      </c>
    </row>
    <row r="1459" spans="1:9" x14ac:dyDescent="0.35">
      <c r="A1459" s="2" t="s">
        <v>1496</v>
      </c>
      <c r="B1459" s="3">
        <v>45240</v>
      </c>
      <c r="C1459" s="2" t="s">
        <v>25</v>
      </c>
      <c r="D1459" s="2" t="s">
        <v>41</v>
      </c>
      <c r="E1459" s="2" t="s">
        <v>12</v>
      </c>
      <c r="F1459" s="2">
        <v>1558.01</v>
      </c>
      <c r="G1459" s="2">
        <v>301.35000000000002</v>
      </c>
      <c r="H1459" s="2" t="s">
        <v>28</v>
      </c>
      <c r="I1459" s="2" t="s">
        <v>34</v>
      </c>
    </row>
    <row r="1460" spans="1:9" x14ac:dyDescent="0.35">
      <c r="A1460" s="2" t="s">
        <v>1497</v>
      </c>
      <c r="B1460" s="3">
        <v>45293</v>
      </c>
      <c r="C1460" s="2" t="s">
        <v>25</v>
      </c>
      <c r="D1460" s="2" t="s">
        <v>38</v>
      </c>
      <c r="E1460" s="2" t="s">
        <v>12</v>
      </c>
      <c r="F1460" s="2">
        <v>1330.15</v>
      </c>
      <c r="G1460" s="2">
        <v>155.53</v>
      </c>
      <c r="H1460" s="2" t="s">
        <v>28</v>
      </c>
      <c r="I1460" s="2" t="s">
        <v>14</v>
      </c>
    </row>
    <row r="1461" spans="1:9" x14ac:dyDescent="0.35">
      <c r="A1461" s="2" t="s">
        <v>1498</v>
      </c>
      <c r="B1461" s="3">
        <v>45556</v>
      </c>
      <c r="C1461" s="2" t="s">
        <v>10</v>
      </c>
      <c r="D1461" s="2" t="s">
        <v>23</v>
      </c>
      <c r="E1461" s="2" t="s">
        <v>18</v>
      </c>
      <c r="F1461" s="2">
        <v>1335.88</v>
      </c>
      <c r="G1461" s="2">
        <v>221.01</v>
      </c>
      <c r="H1461" s="2" t="s">
        <v>28</v>
      </c>
      <c r="I1461" s="2" t="s">
        <v>29</v>
      </c>
    </row>
    <row r="1462" spans="1:9" x14ac:dyDescent="0.35">
      <c r="A1462" s="2" t="s">
        <v>1499</v>
      </c>
      <c r="B1462" s="3">
        <v>45192</v>
      </c>
      <c r="C1462" s="2" t="s">
        <v>10</v>
      </c>
      <c r="D1462" s="2" t="s">
        <v>17</v>
      </c>
      <c r="E1462" s="2" t="s">
        <v>18</v>
      </c>
      <c r="F1462" s="2">
        <v>1704.86</v>
      </c>
      <c r="G1462" s="2">
        <v>352.49</v>
      </c>
      <c r="H1462" s="2" t="s">
        <v>28</v>
      </c>
      <c r="I1462" s="2" t="s">
        <v>20</v>
      </c>
    </row>
    <row r="1463" spans="1:9" x14ac:dyDescent="0.35">
      <c r="A1463" s="2" t="s">
        <v>1500</v>
      </c>
      <c r="B1463" s="3">
        <v>45446</v>
      </c>
      <c r="C1463" s="2" t="s">
        <v>22</v>
      </c>
      <c r="D1463" s="2" t="s">
        <v>97</v>
      </c>
      <c r="E1463" s="2" t="s">
        <v>27</v>
      </c>
      <c r="F1463" s="2">
        <v>745.12</v>
      </c>
      <c r="G1463" s="2">
        <v>146.09</v>
      </c>
      <c r="H1463" s="2" t="s">
        <v>13</v>
      </c>
      <c r="I1463" s="2" t="s">
        <v>20</v>
      </c>
    </row>
    <row r="1464" spans="1:9" x14ac:dyDescent="0.35">
      <c r="A1464" s="2" t="s">
        <v>1501</v>
      </c>
      <c r="B1464" s="3">
        <v>45290</v>
      </c>
      <c r="C1464" s="2" t="s">
        <v>10</v>
      </c>
      <c r="D1464" s="2" t="s">
        <v>23</v>
      </c>
      <c r="E1464" s="2" t="s">
        <v>18</v>
      </c>
      <c r="F1464" s="2">
        <v>1380.24</v>
      </c>
      <c r="G1464" s="2">
        <v>287.07</v>
      </c>
      <c r="H1464" s="2" t="s">
        <v>19</v>
      </c>
      <c r="I1464" s="2" t="s">
        <v>14</v>
      </c>
    </row>
    <row r="1465" spans="1:9" x14ac:dyDescent="0.35">
      <c r="A1465" s="2" t="s">
        <v>1502</v>
      </c>
      <c r="B1465" s="3">
        <v>45279</v>
      </c>
      <c r="C1465" s="2" t="s">
        <v>16</v>
      </c>
      <c r="D1465" s="2" t="s">
        <v>73</v>
      </c>
      <c r="E1465" s="2" t="s">
        <v>27</v>
      </c>
      <c r="F1465" s="2">
        <v>613.91999999999996</v>
      </c>
      <c r="G1465" s="2">
        <v>180.53</v>
      </c>
      <c r="H1465" s="2" t="s">
        <v>13</v>
      </c>
      <c r="I1465" s="2" t="s">
        <v>14</v>
      </c>
    </row>
    <row r="1466" spans="1:9" x14ac:dyDescent="0.35">
      <c r="A1466" s="2" t="s">
        <v>1503</v>
      </c>
      <c r="B1466" s="3">
        <v>44588</v>
      </c>
      <c r="C1466" s="2" t="s">
        <v>10</v>
      </c>
      <c r="D1466" s="2" t="s">
        <v>41</v>
      </c>
      <c r="E1466" s="2" t="s">
        <v>12</v>
      </c>
      <c r="F1466" s="2">
        <v>1955.76</v>
      </c>
      <c r="G1466" s="2">
        <v>525.88</v>
      </c>
      <c r="H1466" s="2" t="s">
        <v>13</v>
      </c>
      <c r="I1466" s="2" t="s">
        <v>34</v>
      </c>
    </row>
    <row r="1467" spans="1:9" x14ac:dyDescent="0.35">
      <c r="A1467" s="2" t="s">
        <v>1504</v>
      </c>
      <c r="B1467" s="3">
        <v>45106</v>
      </c>
      <c r="C1467" s="2" t="s">
        <v>25</v>
      </c>
      <c r="D1467" s="2" t="s">
        <v>23</v>
      </c>
      <c r="E1467" s="2" t="s">
        <v>18</v>
      </c>
      <c r="F1467" s="2">
        <v>502.03</v>
      </c>
      <c r="G1467" s="2">
        <v>49.12</v>
      </c>
      <c r="H1467" s="2" t="s">
        <v>19</v>
      </c>
      <c r="I1467" s="2" t="s">
        <v>34</v>
      </c>
    </row>
    <row r="1468" spans="1:9" x14ac:dyDescent="0.35">
      <c r="A1468" s="2" t="s">
        <v>1505</v>
      </c>
      <c r="B1468" s="3">
        <v>44574</v>
      </c>
      <c r="C1468" s="2" t="s">
        <v>25</v>
      </c>
      <c r="D1468" s="2" t="s">
        <v>50</v>
      </c>
      <c r="E1468" s="2" t="s">
        <v>12</v>
      </c>
      <c r="F1468" s="2">
        <v>226.89</v>
      </c>
      <c r="G1468" s="2">
        <v>39.04</v>
      </c>
      <c r="H1468" s="2" t="s">
        <v>28</v>
      </c>
      <c r="I1468" s="2" t="s">
        <v>14</v>
      </c>
    </row>
    <row r="1469" spans="1:9" x14ac:dyDescent="0.35">
      <c r="A1469" s="2" t="s">
        <v>1506</v>
      </c>
      <c r="B1469" s="3">
        <v>44578</v>
      </c>
      <c r="C1469" s="2" t="s">
        <v>16</v>
      </c>
      <c r="D1469" s="2" t="s">
        <v>50</v>
      </c>
      <c r="E1469" s="2" t="s">
        <v>12</v>
      </c>
      <c r="F1469" s="2">
        <v>322.83</v>
      </c>
      <c r="G1469" s="2">
        <v>52.37</v>
      </c>
      <c r="H1469" s="2" t="s">
        <v>13</v>
      </c>
      <c r="I1469" s="2" t="s">
        <v>29</v>
      </c>
    </row>
    <row r="1470" spans="1:9" x14ac:dyDescent="0.35">
      <c r="A1470" s="2" t="s">
        <v>1507</v>
      </c>
      <c r="B1470" s="3">
        <v>45584</v>
      </c>
      <c r="C1470" s="2" t="s">
        <v>25</v>
      </c>
      <c r="D1470" s="2" t="s">
        <v>41</v>
      </c>
      <c r="E1470" s="2" t="s">
        <v>12</v>
      </c>
      <c r="F1470" s="2">
        <v>1095.53</v>
      </c>
      <c r="G1470" s="2">
        <v>197.04</v>
      </c>
      <c r="H1470" s="2" t="s">
        <v>13</v>
      </c>
      <c r="I1470" s="2" t="s">
        <v>14</v>
      </c>
    </row>
    <row r="1471" spans="1:9" x14ac:dyDescent="0.35">
      <c r="A1471" s="2" t="s">
        <v>1508</v>
      </c>
      <c r="B1471" s="3">
        <v>44738</v>
      </c>
      <c r="C1471" s="2" t="s">
        <v>25</v>
      </c>
      <c r="D1471" s="2" t="s">
        <v>31</v>
      </c>
      <c r="E1471" s="2" t="s">
        <v>12</v>
      </c>
      <c r="F1471" s="2">
        <v>218.61</v>
      </c>
      <c r="G1471" s="2">
        <v>23.58</v>
      </c>
      <c r="H1471" s="2" t="s">
        <v>13</v>
      </c>
      <c r="I1471" s="2" t="s">
        <v>29</v>
      </c>
    </row>
    <row r="1472" spans="1:9" x14ac:dyDescent="0.35">
      <c r="A1472" s="2" t="s">
        <v>1509</v>
      </c>
      <c r="B1472" s="3">
        <v>45505</v>
      </c>
      <c r="C1472" s="2" t="s">
        <v>22</v>
      </c>
      <c r="D1472" s="2" t="s">
        <v>38</v>
      </c>
      <c r="E1472" s="2" t="s">
        <v>12</v>
      </c>
      <c r="F1472" s="2">
        <v>788.5</v>
      </c>
      <c r="G1472" s="2">
        <v>143.68</v>
      </c>
      <c r="H1472" s="2" t="s">
        <v>19</v>
      </c>
      <c r="I1472" s="2" t="s">
        <v>34</v>
      </c>
    </row>
    <row r="1473" spans="1:9" x14ac:dyDescent="0.35">
      <c r="A1473" s="2" t="s">
        <v>1510</v>
      </c>
      <c r="B1473" s="3">
        <v>44573</v>
      </c>
      <c r="C1473" s="2" t="s">
        <v>25</v>
      </c>
      <c r="D1473" s="2" t="s">
        <v>11</v>
      </c>
      <c r="E1473" s="2" t="s">
        <v>12</v>
      </c>
      <c r="F1473" s="2">
        <v>816.16</v>
      </c>
      <c r="G1473" s="2">
        <v>208.33</v>
      </c>
      <c r="H1473" s="2" t="s">
        <v>28</v>
      </c>
      <c r="I1473" s="2" t="s">
        <v>34</v>
      </c>
    </row>
    <row r="1474" spans="1:9" x14ac:dyDescent="0.35">
      <c r="A1474" s="2" t="s">
        <v>1511</v>
      </c>
      <c r="B1474" s="3">
        <v>44933</v>
      </c>
      <c r="C1474" s="2" t="s">
        <v>16</v>
      </c>
      <c r="D1474" s="2" t="s">
        <v>26</v>
      </c>
      <c r="E1474" s="2" t="s">
        <v>27</v>
      </c>
      <c r="F1474" s="2">
        <v>881.44</v>
      </c>
      <c r="G1474" s="2">
        <v>257.98</v>
      </c>
      <c r="H1474" s="2" t="s">
        <v>13</v>
      </c>
      <c r="I1474" s="2" t="s">
        <v>14</v>
      </c>
    </row>
    <row r="1475" spans="1:9" x14ac:dyDescent="0.35">
      <c r="A1475" s="2" t="s">
        <v>1512</v>
      </c>
      <c r="B1475" s="3">
        <v>45076</v>
      </c>
      <c r="C1475" s="2" t="s">
        <v>10</v>
      </c>
      <c r="D1475" s="2" t="s">
        <v>38</v>
      </c>
      <c r="E1475" s="2" t="s">
        <v>12</v>
      </c>
      <c r="F1475" s="2">
        <v>1986.51</v>
      </c>
      <c r="G1475" s="2">
        <v>212.4</v>
      </c>
      <c r="H1475" s="2" t="s">
        <v>13</v>
      </c>
      <c r="I1475" s="2" t="s">
        <v>29</v>
      </c>
    </row>
    <row r="1476" spans="1:9" x14ac:dyDescent="0.35">
      <c r="A1476" s="2" t="s">
        <v>1513</v>
      </c>
      <c r="B1476" s="3">
        <v>45001</v>
      </c>
      <c r="C1476" s="2" t="s">
        <v>25</v>
      </c>
      <c r="D1476" s="2" t="s">
        <v>97</v>
      </c>
      <c r="E1476" s="2" t="s">
        <v>27</v>
      </c>
      <c r="F1476" s="2">
        <v>595.33000000000004</v>
      </c>
      <c r="G1476" s="2">
        <v>105.34</v>
      </c>
      <c r="H1476" s="2" t="s">
        <v>13</v>
      </c>
      <c r="I1476" s="2" t="s">
        <v>29</v>
      </c>
    </row>
    <row r="1477" spans="1:9" x14ac:dyDescent="0.35">
      <c r="A1477" s="2" t="s">
        <v>1514</v>
      </c>
      <c r="B1477" s="3">
        <v>45345</v>
      </c>
      <c r="C1477" s="2" t="s">
        <v>25</v>
      </c>
      <c r="D1477" s="2" t="s">
        <v>62</v>
      </c>
      <c r="E1477" s="2" t="s">
        <v>27</v>
      </c>
      <c r="F1477" s="2">
        <v>1810.07</v>
      </c>
      <c r="G1477" s="2">
        <v>278.29000000000002</v>
      </c>
      <c r="H1477" s="2" t="s">
        <v>13</v>
      </c>
      <c r="I1477" s="2" t="s">
        <v>29</v>
      </c>
    </row>
    <row r="1478" spans="1:9" x14ac:dyDescent="0.35">
      <c r="A1478" s="2" t="s">
        <v>1515</v>
      </c>
      <c r="B1478" s="3">
        <v>45518</v>
      </c>
      <c r="C1478" s="2" t="s">
        <v>16</v>
      </c>
      <c r="D1478" s="2" t="s">
        <v>41</v>
      </c>
      <c r="E1478" s="2" t="s">
        <v>12</v>
      </c>
      <c r="F1478" s="2">
        <v>1285.81</v>
      </c>
      <c r="G1478" s="2">
        <v>270.58</v>
      </c>
      <c r="H1478" s="2" t="s">
        <v>19</v>
      </c>
      <c r="I1478" s="2" t="s">
        <v>29</v>
      </c>
    </row>
    <row r="1479" spans="1:9" x14ac:dyDescent="0.35">
      <c r="A1479" s="2" t="s">
        <v>1516</v>
      </c>
      <c r="B1479" s="3">
        <v>45459</v>
      </c>
      <c r="C1479" s="2" t="s">
        <v>25</v>
      </c>
      <c r="D1479" s="2" t="s">
        <v>50</v>
      </c>
      <c r="E1479" s="2" t="s">
        <v>12</v>
      </c>
      <c r="F1479" s="2">
        <v>1548.61</v>
      </c>
      <c r="G1479" s="2">
        <v>237.27</v>
      </c>
      <c r="H1479" s="2" t="s">
        <v>13</v>
      </c>
      <c r="I1479" s="2" t="s">
        <v>14</v>
      </c>
    </row>
    <row r="1480" spans="1:9" x14ac:dyDescent="0.35">
      <c r="A1480" s="2" t="s">
        <v>1517</v>
      </c>
      <c r="B1480" s="3">
        <v>45506</v>
      </c>
      <c r="C1480" s="2" t="s">
        <v>25</v>
      </c>
      <c r="D1480" s="2" t="s">
        <v>31</v>
      </c>
      <c r="E1480" s="2" t="s">
        <v>12</v>
      </c>
      <c r="F1480" s="2">
        <v>1002.3</v>
      </c>
      <c r="G1480" s="2">
        <v>58.59</v>
      </c>
      <c r="H1480" s="2" t="s">
        <v>28</v>
      </c>
      <c r="I1480" s="2" t="s">
        <v>34</v>
      </c>
    </row>
    <row r="1481" spans="1:9" x14ac:dyDescent="0.35">
      <c r="A1481" s="2" t="s">
        <v>1518</v>
      </c>
      <c r="B1481" s="3">
        <v>44791</v>
      </c>
      <c r="C1481" s="2" t="s">
        <v>22</v>
      </c>
      <c r="D1481" s="2" t="s">
        <v>97</v>
      </c>
      <c r="E1481" s="2" t="s">
        <v>27</v>
      </c>
      <c r="F1481" s="2">
        <v>452.36</v>
      </c>
      <c r="G1481" s="2">
        <v>81.400000000000006</v>
      </c>
      <c r="H1481" s="2" t="s">
        <v>13</v>
      </c>
      <c r="I1481" s="2" t="s">
        <v>34</v>
      </c>
    </row>
    <row r="1482" spans="1:9" x14ac:dyDescent="0.35">
      <c r="A1482" s="2" t="s">
        <v>1519</v>
      </c>
      <c r="B1482" s="3">
        <v>45510</v>
      </c>
      <c r="C1482" s="2" t="s">
        <v>10</v>
      </c>
      <c r="D1482" s="2" t="s">
        <v>46</v>
      </c>
      <c r="E1482" s="2" t="s">
        <v>18</v>
      </c>
      <c r="F1482" s="2">
        <v>549.67999999999995</v>
      </c>
      <c r="G1482" s="2">
        <v>36.4</v>
      </c>
      <c r="H1482" s="2" t="s">
        <v>19</v>
      </c>
      <c r="I1482" s="2" t="s">
        <v>34</v>
      </c>
    </row>
    <row r="1483" spans="1:9" x14ac:dyDescent="0.35">
      <c r="A1483" s="2" t="s">
        <v>1520</v>
      </c>
      <c r="B1483" s="3">
        <v>45287</v>
      </c>
      <c r="C1483" s="2" t="s">
        <v>16</v>
      </c>
      <c r="D1483" s="2" t="s">
        <v>97</v>
      </c>
      <c r="E1483" s="2" t="s">
        <v>27</v>
      </c>
      <c r="F1483" s="2">
        <v>439.93</v>
      </c>
      <c r="G1483" s="2">
        <v>69.5</v>
      </c>
      <c r="H1483" s="2" t="s">
        <v>28</v>
      </c>
      <c r="I1483" s="2" t="s">
        <v>29</v>
      </c>
    </row>
    <row r="1484" spans="1:9" x14ac:dyDescent="0.35">
      <c r="A1484" s="2" t="s">
        <v>1521</v>
      </c>
      <c r="B1484" s="3">
        <v>45647</v>
      </c>
      <c r="C1484" s="2" t="s">
        <v>10</v>
      </c>
      <c r="D1484" s="2" t="s">
        <v>50</v>
      </c>
      <c r="E1484" s="2" t="s">
        <v>12</v>
      </c>
      <c r="F1484" s="2">
        <v>1157.47</v>
      </c>
      <c r="G1484" s="2">
        <v>267.56</v>
      </c>
      <c r="H1484" s="2" t="s">
        <v>13</v>
      </c>
      <c r="I1484" s="2" t="s">
        <v>14</v>
      </c>
    </row>
    <row r="1485" spans="1:9" x14ac:dyDescent="0.35">
      <c r="A1485" s="2" t="s">
        <v>1522</v>
      </c>
      <c r="B1485" s="3">
        <v>44772</v>
      </c>
      <c r="C1485" s="2" t="s">
        <v>10</v>
      </c>
      <c r="D1485" s="2" t="s">
        <v>41</v>
      </c>
      <c r="E1485" s="2" t="s">
        <v>12</v>
      </c>
      <c r="F1485" s="2">
        <v>705.91</v>
      </c>
      <c r="G1485" s="2">
        <v>123.21</v>
      </c>
      <c r="H1485" s="2" t="s">
        <v>13</v>
      </c>
      <c r="I1485" s="2" t="s">
        <v>34</v>
      </c>
    </row>
    <row r="1486" spans="1:9" x14ac:dyDescent="0.35">
      <c r="A1486" s="2" t="s">
        <v>1523</v>
      </c>
      <c r="B1486" s="3">
        <v>45349</v>
      </c>
      <c r="C1486" s="2" t="s">
        <v>22</v>
      </c>
      <c r="D1486" s="2" t="s">
        <v>26</v>
      </c>
      <c r="E1486" s="2" t="s">
        <v>27</v>
      </c>
      <c r="F1486" s="2">
        <v>1466.77</v>
      </c>
      <c r="G1486" s="2">
        <v>355.45</v>
      </c>
      <c r="H1486" s="2" t="s">
        <v>13</v>
      </c>
      <c r="I1486" s="2" t="s">
        <v>34</v>
      </c>
    </row>
    <row r="1487" spans="1:9" x14ac:dyDescent="0.35">
      <c r="A1487" s="2" t="s">
        <v>1524</v>
      </c>
      <c r="B1487" s="3">
        <v>44931</v>
      </c>
      <c r="C1487" s="2" t="s">
        <v>25</v>
      </c>
      <c r="D1487" s="2" t="s">
        <v>38</v>
      </c>
      <c r="E1487" s="2" t="s">
        <v>12</v>
      </c>
      <c r="F1487" s="2">
        <v>275.45</v>
      </c>
      <c r="G1487" s="2">
        <v>18.78</v>
      </c>
      <c r="H1487" s="2" t="s">
        <v>13</v>
      </c>
      <c r="I1487" s="2" t="s">
        <v>29</v>
      </c>
    </row>
    <row r="1488" spans="1:9" x14ac:dyDescent="0.35">
      <c r="A1488" s="2" t="s">
        <v>1525</v>
      </c>
      <c r="B1488" s="3">
        <v>44607</v>
      </c>
      <c r="C1488" s="2" t="s">
        <v>22</v>
      </c>
      <c r="D1488" s="2" t="s">
        <v>31</v>
      </c>
      <c r="E1488" s="2" t="s">
        <v>12</v>
      </c>
      <c r="F1488" s="2">
        <v>1205.71</v>
      </c>
      <c r="G1488" s="2">
        <v>251.27</v>
      </c>
      <c r="H1488" s="2" t="s">
        <v>13</v>
      </c>
      <c r="I1488" s="2" t="s">
        <v>14</v>
      </c>
    </row>
    <row r="1489" spans="1:9" x14ac:dyDescent="0.35">
      <c r="A1489" s="2" t="s">
        <v>1526</v>
      </c>
      <c r="B1489" s="3">
        <v>44951</v>
      </c>
      <c r="C1489" s="2" t="s">
        <v>22</v>
      </c>
      <c r="D1489" s="2" t="s">
        <v>50</v>
      </c>
      <c r="E1489" s="2" t="s">
        <v>12</v>
      </c>
      <c r="F1489" s="2">
        <v>324.27</v>
      </c>
      <c r="G1489" s="2">
        <v>18.29</v>
      </c>
      <c r="H1489" s="2" t="s">
        <v>19</v>
      </c>
      <c r="I1489" s="2" t="s">
        <v>14</v>
      </c>
    </row>
    <row r="1490" spans="1:9" x14ac:dyDescent="0.35">
      <c r="A1490" s="2" t="s">
        <v>1527</v>
      </c>
      <c r="B1490" s="3">
        <v>44787</v>
      </c>
      <c r="C1490" s="2" t="s">
        <v>10</v>
      </c>
      <c r="D1490" s="2" t="s">
        <v>33</v>
      </c>
      <c r="E1490" s="2" t="s">
        <v>18</v>
      </c>
      <c r="F1490" s="2">
        <v>1957.18</v>
      </c>
      <c r="G1490" s="2">
        <v>324.73</v>
      </c>
      <c r="H1490" s="2" t="s">
        <v>19</v>
      </c>
      <c r="I1490" s="2" t="s">
        <v>20</v>
      </c>
    </row>
    <row r="1491" spans="1:9" x14ac:dyDescent="0.35">
      <c r="A1491" s="2" t="s">
        <v>1528</v>
      </c>
      <c r="B1491" s="3">
        <v>45655</v>
      </c>
      <c r="C1491" s="2" t="s">
        <v>16</v>
      </c>
      <c r="D1491" s="2" t="s">
        <v>31</v>
      </c>
      <c r="E1491" s="2" t="s">
        <v>12</v>
      </c>
      <c r="F1491" s="2">
        <v>587.05999999999995</v>
      </c>
      <c r="G1491" s="2">
        <v>81.93</v>
      </c>
      <c r="H1491" s="2" t="s">
        <v>13</v>
      </c>
      <c r="I1491" s="2" t="s">
        <v>34</v>
      </c>
    </row>
    <row r="1492" spans="1:9" x14ac:dyDescent="0.35">
      <c r="A1492" s="2" t="s">
        <v>1529</v>
      </c>
      <c r="B1492" s="3">
        <v>45617</v>
      </c>
      <c r="C1492" s="2" t="s">
        <v>10</v>
      </c>
      <c r="D1492" s="2" t="s">
        <v>73</v>
      </c>
      <c r="E1492" s="2" t="s">
        <v>27</v>
      </c>
      <c r="F1492" s="2">
        <v>1284.83</v>
      </c>
      <c r="G1492" s="2">
        <v>268.10000000000002</v>
      </c>
      <c r="H1492" s="2" t="s">
        <v>28</v>
      </c>
      <c r="I1492" s="2" t="s">
        <v>14</v>
      </c>
    </row>
    <row r="1493" spans="1:9" x14ac:dyDescent="0.35">
      <c r="A1493" s="2" t="s">
        <v>1530</v>
      </c>
      <c r="B1493" s="3">
        <v>45374</v>
      </c>
      <c r="C1493" s="2" t="s">
        <v>22</v>
      </c>
      <c r="D1493" s="2" t="s">
        <v>17</v>
      </c>
      <c r="E1493" s="2" t="s">
        <v>18</v>
      </c>
      <c r="F1493" s="2">
        <v>139.31</v>
      </c>
      <c r="G1493" s="2">
        <v>38.409999999999997</v>
      </c>
      <c r="H1493" s="2" t="s">
        <v>28</v>
      </c>
      <c r="I1493" s="2" t="s">
        <v>14</v>
      </c>
    </row>
    <row r="1494" spans="1:9" x14ac:dyDescent="0.35">
      <c r="A1494" s="2" t="s">
        <v>1531</v>
      </c>
      <c r="B1494" s="3">
        <v>44915</v>
      </c>
      <c r="C1494" s="2" t="s">
        <v>16</v>
      </c>
      <c r="D1494" s="2" t="s">
        <v>38</v>
      </c>
      <c r="E1494" s="2" t="s">
        <v>12</v>
      </c>
      <c r="F1494" s="2">
        <v>1588.01</v>
      </c>
      <c r="G1494" s="2">
        <v>383.53</v>
      </c>
      <c r="H1494" s="2" t="s">
        <v>28</v>
      </c>
      <c r="I1494" s="2" t="s">
        <v>14</v>
      </c>
    </row>
    <row r="1495" spans="1:9" x14ac:dyDescent="0.35">
      <c r="A1495" s="2" t="s">
        <v>1532</v>
      </c>
      <c r="B1495" s="3">
        <v>45566</v>
      </c>
      <c r="C1495" s="2" t="s">
        <v>25</v>
      </c>
      <c r="D1495" s="2" t="s">
        <v>31</v>
      </c>
      <c r="E1495" s="2" t="s">
        <v>12</v>
      </c>
      <c r="F1495" s="2">
        <v>1299.44</v>
      </c>
      <c r="G1495" s="2">
        <v>312.98</v>
      </c>
      <c r="H1495" s="2" t="s">
        <v>28</v>
      </c>
      <c r="I1495" s="2" t="s">
        <v>14</v>
      </c>
    </row>
    <row r="1496" spans="1:9" x14ac:dyDescent="0.35">
      <c r="A1496" s="2" t="s">
        <v>1533</v>
      </c>
      <c r="B1496" s="3">
        <v>44963</v>
      </c>
      <c r="C1496" s="2" t="s">
        <v>10</v>
      </c>
      <c r="D1496" s="2" t="s">
        <v>46</v>
      </c>
      <c r="E1496" s="2" t="s">
        <v>18</v>
      </c>
      <c r="F1496" s="2">
        <v>1430.61</v>
      </c>
      <c r="G1496" s="2">
        <v>214.7</v>
      </c>
      <c r="H1496" s="2" t="s">
        <v>19</v>
      </c>
      <c r="I1496" s="2" t="s">
        <v>20</v>
      </c>
    </row>
    <row r="1497" spans="1:9" x14ac:dyDescent="0.35">
      <c r="A1497" s="2" t="s">
        <v>1534</v>
      </c>
      <c r="B1497" s="3">
        <v>45063</v>
      </c>
      <c r="C1497" s="2" t="s">
        <v>10</v>
      </c>
      <c r="D1497" s="2" t="s">
        <v>62</v>
      </c>
      <c r="E1497" s="2" t="s">
        <v>27</v>
      </c>
      <c r="F1497" s="2">
        <v>348.52</v>
      </c>
      <c r="G1497" s="2">
        <v>83.88</v>
      </c>
      <c r="H1497" s="2" t="s">
        <v>28</v>
      </c>
      <c r="I1497" s="2" t="s">
        <v>14</v>
      </c>
    </row>
    <row r="1498" spans="1:9" x14ac:dyDescent="0.35">
      <c r="A1498" s="2" t="s">
        <v>1535</v>
      </c>
      <c r="B1498" s="3">
        <v>45584</v>
      </c>
      <c r="C1498" s="2" t="s">
        <v>10</v>
      </c>
      <c r="D1498" s="2" t="s">
        <v>38</v>
      </c>
      <c r="E1498" s="2" t="s">
        <v>12</v>
      </c>
      <c r="F1498" s="2">
        <v>741.34</v>
      </c>
      <c r="G1498" s="2">
        <v>168.19</v>
      </c>
      <c r="H1498" s="2" t="s">
        <v>13</v>
      </c>
      <c r="I1498" s="2" t="s">
        <v>20</v>
      </c>
    </row>
    <row r="1499" spans="1:9" x14ac:dyDescent="0.35">
      <c r="A1499" s="2" t="s">
        <v>1536</v>
      </c>
      <c r="B1499" s="3">
        <v>45604</v>
      </c>
      <c r="C1499" s="2" t="s">
        <v>25</v>
      </c>
      <c r="D1499" s="2" t="s">
        <v>50</v>
      </c>
      <c r="E1499" s="2" t="s">
        <v>12</v>
      </c>
      <c r="F1499" s="2">
        <v>1603.83</v>
      </c>
      <c r="G1499" s="2">
        <v>179.15</v>
      </c>
      <c r="H1499" s="2" t="s">
        <v>28</v>
      </c>
      <c r="I1499" s="2" t="s">
        <v>34</v>
      </c>
    </row>
    <row r="1500" spans="1:9" x14ac:dyDescent="0.35">
      <c r="A1500" s="2" t="s">
        <v>1537</v>
      </c>
      <c r="B1500" s="3">
        <v>44853</v>
      </c>
      <c r="C1500" s="2" t="s">
        <v>22</v>
      </c>
      <c r="D1500" s="2" t="s">
        <v>41</v>
      </c>
      <c r="E1500" s="2" t="s">
        <v>12</v>
      </c>
      <c r="F1500" s="2">
        <v>126.49</v>
      </c>
      <c r="G1500" s="2">
        <v>20</v>
      </c>
      <c r="H1500" s="2" t="s">
        <v>28</v>
      </c>
      <c r="I1500" s="2" t="s">
        <v>14</v>
      </c>
    </row>
    <row r="1501" spans="1:9" x14ac:dyDescent="0.35">
      <c r="A1501" s="2" t="s">
        <v>1538</v>
      </c>
      <c r="B1501" s="3">
        <v>45277</v>
      </c>
      <c r="C1501" s="2" t="s">
        <v>16</v>
      </c>
      <c r="D1501" s="2" t="s">
        <v>31</v>
      </c>
      <c r="E1501" s="2" t="s">
        <v>12</v>
      </c>
      <c r="F1501" s="2">
        <v>915.61</v>
      </c>
      <c r="G1501" s="2">
        <v>213.69</v>
      </c>
      <c r="H1501" s="2" t="s">
        <v>28</v>
      </c>
      <c r="I1501" s="2" t="s">
        <v>14</v>
      </c>
    </row>
    <row r="1502" spans="1:9" x14ac:dyDescent="0.35">
      <c r="A1502" s="2" t="s">
        <v>1539</v>
      </c>
      <c r="B1502" s="3">
        <v>45331</v>
      </c>
      <c r="C1502" s="2" t="s">
        <v>25</v>
      </c>
      <c r="D1502" s="2" t="s">
        <v>38</v>
      </c>
      <c r="E1502" s="2" t="s">
        <v>12</v>
      </c>
      <c r="F1502" s="2">
        <v>1865.9</v>
      </c>
      <c r="G1502" s="2">
        <v>186.8</v>
      </c>
      <c r="H1502" s="2" t="s">
        <v>28</v>
      </c>
      <c r="I1502" s="2" t="s">
        <v>20</v>
      </c>
    </row>
    <row r="1503" spans="1:9" x14ac:dyDescent="0.35">
      <c r="A1503" s="2" t="s">
        <v>1540</v>
      </c>
      <c r="B1503" s="3">
        <v>45565</v>
      </c>
      <c r="C1503" s="2" t="s">
        <v>16</v>
      </c>
      <c r="D1503" s="2" t="s">
        <v>31</v>
      </c>
      <c r="E1503" s="2" t="s">
        <v>12</v>
      </c>
      <c r="F1503" s="2">
        <v>1569.81</v>
      </c>
      <c r="G1503" s="2">
        <v>420.82</v>
      </c>
      <c r="H1503" s="2" t="s">
        <v>28</v>
      </c>
      <c r="I1503" s="2" t="s">
        <v>14</v>
      </c>
    </row>
    <row r="1504" spans="1:9" x14ac:dyDescent="0.35">
      <c r="A1504" s="2" t="s">
        <v>1541</v>
      </c>
      <c r="B1504" s="3">
        <v>44891</v>
      </c>
      <c r="C1504" s="2" t="s">
        <v>25</v>
      </c>
      <c r="D1504" s="2" t="s">
        <v>73</v>
      </c>
      <c r="E1504" s="2" t="s">
        <v>27</v>
      </c>
      <c r="F1504" s="2">
        <v>67.73</v>
      </c>
      <c r="G1504" s="2">
        <v>18.43</v>
      </c>
      <c r="H1504" s="2" t="s">
        <v>19</v>
      </c>
      <c r="I1504" s="2" t="s">
        <v>29</v>
      </c>
    </row>
    <row r="1505" spans="1:9" x14ac:dyDescent="0.35">
      <c r="A1505" s="2" t="s">
        <v>1542</v>
      </c>
      <c r="B1505" s="3">
        <v>45147</v>
      </c>
      <c r="C1505" s="2" t="s">
        <v>10</v>
      </c>
      <c r="D1505" s="2" t="s">
        <v>46</v>
      </c>
      <c r="E1505" s="2" t="s">
        <v>18</v>
      </c>
      <c r="F1505" s="2">
        <v>994.01</v>
      </c>
      <c r="G1505" s="2">
        <v>256.10000000000002</v>
      </c>
      <c r="H1505" s="2" t="s">
        <v>13</v>
      </c>
      <c r="I1505" s="2" t="s">
        <v>29</v>
      </c>
    </row>
    <row r="1506" spans="1:9" x14ac:dyDescent="0.35">
      <c r="A1506" s="2" t="s">
        <v>1543</v>
      </c>
      <c r="B1506" s="3">
        <v>45008</v>
      </c>
      <c r="C1506" s="2" t="s">
        <v>10</v>
      </c>
      <c r="D1506" s="2" t="s">
        <v>50</v>
      </c>
      <c r="E1506" s="2" t="s">
        <v>12</v>
      </c>
      <c r="F1506" s="2">
        <v>305.47000000000003</v>
      </c>
      <c r="G1506" s="2">
        <v>43.25</v>
      </c>
      <c r="H1506" s="2" t="s">
        <v>28</v>
      </c>
      <c r="I1506" s="2" t="s">
        <v>20</v>
      </c>
    </row>
    <row r="1507" spans="1:9" x14ac:dyDescent="0.35">
      <c r="A1507" s="2" t="s">
        <v>1544</v>
      </c>
      <c r="B1507" s="3">
        <v>44895</v>
      </c>
      <c r="C1507" s="2" t="s">
        <v>16</v>
      </c>
      <c r="D1507" s="2" t="s">
        <v>73</v>
      </c>
      <c r="E1507" s="2" t="s">
        <v>27</v>
      </c>
      <c r="F1507" s="2">
        <v>1073.31</v>
      </c>
      <c r="G1507" s="2">
        <v>173.58</v>
      </c>
      <c r="H1507" s="2" t="s">
        <v>28</v>
      </c>
      <c r="I1507" s="2" t="s">
        <v>34</v>
      </c>
    </row>
    <row r="1508" spans="1:9" x14ac:dyDescent="0.35">
      <c r="A1508" s="2" t="s">
        <v>1545</v>
      </c>
      <c r="B1508" s="3">
        <v>45214</v>
      </c>
      <c r="C1508" s="2" t="s">
        <v>22</v>
      </c>
      <c r="D1508" s="2" t="s">
        <v>11</v>
      </c>
      <c r="E1508" s="2" t="s">
        <v>12</v>
      </c>
      <c r="F1508" s="2">
        <v>1778.67</v>
      </c>
      <c r="G1508" s="2">
        <v>376.28</v>
      </c>
      <c r="H1508" s="2" t="s">
        <v>13</v>
      </c>
      <c r="I1508" s="2" t="s">
        <v>14</v>
      </c>
    </row>
    <row r="1509" spans="1:9" x14ac:dyDescent="0.35">
      <c r="A1509" s="2" t="s">
        <v>1546</v>
      </c>
      <c r="B1509" s="3">
        <v>45233</v>
      </c>
      <c r="C1509" s="2" t="s">
        <v>10</v>
      </c>
      <c r="D1509" s="2" t="s">
        <v>50</v>
      </c>
      <c r="E1509" s="2" t="s">
        <v>12</v>
      </c>
      <c r="F1509" s="2">
        <v>909.35</v>
      </c>
      <c r="G1509" s="2">
        <v>143.52000000000001</v>
      </c>
      <c r="H1509" s="2" t="s">
        <v>28</v>
      </c>
      <c r="I1509" s="2" t="s">
        <v>20</v>
      </c>
    </row>
    <row r="1510" spans="1:9" x14ac:dyDescent="0.35">
      <c r="A1510" s="2" t="s">
        <v>1547</v>
      </c>
      <c r="B1510" s="3">
        <v>45525</v>
      </c>
      <c r="C1510" s="2" t="s">
        <v>16</v>
      </c>
      <c r="D1510" s="2" t="s">
        <v>97</v>
      </c>
      <c r="E1510" s="2" t="s">
        <v>27</v>
      </c>
      <c r="F1510" s="2">
        <v>1555.25</v>
      </c>
      <c r="G1510" s="2">
        <v>146.09</v>
      </c>
      <c r="H1510" s="2" t="s">
        <v>13</v>
      </c>
      <c r="I1510" s="2" t="s">
        <v>14</v>
      </c>
    </row>
    <row r="1511" spans="1:9" x14ac:dyDescent="0.35">
      <c r="A1511" s="2" t="s">
        <v>1548</v>
      </c>
      <c r="B1511" s="3">
        <v>44572</v>
      </c>
      <c r="C1511" s="2" t="s">
        <v>22</v>
      </c>
      <c r="D1511" s="2" t="s">
        <v>46</v>
      </c>
      <c r="E1511" s="2" t="s">
        <v>18</v>
      </c>
      <c r="F1511" s="2">
        <v>1902.66</v>
      </c>
      <c r="G1511" s="2">
        <v>566.24</v>
      </c>
      <c r="H1511" s="2" t="s">
        <v>13</v>
      </c>
      <c r="I1511" s="2" t="s">
        <v>14</v>
      </c>
    </row>
    <row r="1512" spans="1:9" x14ac:dyDescent="0.35">
      <c r="A1512" s="2" t="s">
        <v>1549</v>
      </c>
      <c r="B1512" s="3">
        <v>44767</v>
      </c>
      <c r="C1512" s="2" t="s">
        <v>22</v>
      </c>
      <c r="D1512" s="2" t="s">
        <v>11</v>
      </c>
      <c r="E1512" s="2" t="s">
        <v>12</v>
      </c>
      <c r="F1512" s="2">
        <v>1749.96</v>
      </c>
      <c r="G1512" s="2">
        <v>183.83</v>
      </c>
      <c r="H1512" s="2" t="s">
        <v>28</v>
      </c>
      <c r="I1512" s="2" t="s">
        <v>29</v>
      </c>
    </row>
    <row r="1513" spans="1:9" x14ac:dyDescent="0.35">
      <c r="A1513" s="2" t="s">
        <v>1550</v>
      </c>
      <c r="B1513" s="3">
        <v>45034</v>
      </c>
      <c r="C1513" s="2" t="s">
        <v>25</v>
      </c>
      <c r="D1513" s="2" t="s">
        <v>38</v>
      </c>
      <c r="E1513" s="2" t="s">
        <v>12</v>
      </c>
      <c r="F1513" s="2">
        <v>127.32</v>
      </c>
      <c r="G1513" s="2">
        <v>26.47</v>
      </c>
      <c r="H1513" s="2" t="s">
        <v>13</v>
      </c>
      <c r="I1513" s="2" t="s">
        <v>34</v>
      </c>
    </row>
    <row r="1514" spans="1:9" x14ac:dyDescent="0.35">
      <c r="A1514" s="2" t="s">
        <v>1551</v>
      </c>
      <c r="B1514" s="3">
        <v>44893</v>
      </c>
      <c r="C1514" s="2" t="s">
        <v>16</v>
      </c>
      <c r="D1514" s="2" t="s">
        <v>97</v>
      </c>
      <c r="E1514" s="2" t="s">
        <v>27</v>
      </c>
      <c r="F1514" s="2">
        <v>1632.77</v>
      </c>
      <c r="G1514" s="2">
        <v>271.54000000000002</v>
      </c>
      <c r="H1514" s="2" t="s">
        <v>19</v>
      </c>
      <c r="I1514" s="2" t="s">
        <v>14</v>
      </c>
    </row>
    <row r="1515" spans="1:9" x14ac:dyDescent="0.35">
      <c r="A1515" s="2" t="s">
        <v>1552</v>
      </c>
      <c r="B1515" s="3">
        <v>45103</v>
      </c>
      <c r="C1515" s="2" t="s">
        <v>16</v>
      </c>
      <c r="D1515" s="2" t="s">
        <v>50</v>
      </c>
      <c r="E1515" s="2" t="s">
        <v>12</v>
      </c>
      <c r="F1515" s="2">
        <v>427.38</v>
      </c>
      <c r="G1515" s="2">
        <v>22.66</v>
      </c>
      <c r="H1515" s="2" t="s">
        <v>19</v>
      </c>
      <c r="I1515" s="2" t="s">
        <v>29</v>
      </c>
    </row>
    <row r="1516" spans="1:9" x14ac:dyDescent="0.35">
      <c r="A1516" s="2" t="s">
        <v>1553</v>
      </c>
      <c r="B1516" s="3">
        <v>45307</v>
      </c>
      <c r="C1516" s="2" t="s">
        <v>10</v>
      </c>
      <c r="D1516" s="2" t="s">
        <v>38</v>
      </c>
      <c r="E1516" s="2" t="s">
        <v>12</v>
      </c>
      <c r="F1516" s="2">
        <v>528.1</v>
      </c>
      <c r="G1516" s="2">
        <v>140.24</v>
      </c>
      <c r="H1516" s="2" t="s">
        <v>19</v>
      </c>
      <c r="I1516" s="2" t="s">
        <v>34</v>
      </c>
    </row>
    <row r="1517" spans="1:9" x14ac:dyDescent="0.35">
      <c r="A1517" s="2" t="s">
        <v>1554</v>
      </c>
      <c r="B1517" s="3">
        <v>45495</v>
      </c>
      <c r="C1517" s="2" t="s">
        <v>16</v>
      </c>
      <c r="D1517" s="2" t="s">
        <v>50</v>
      </c>
      <c r="E1517" s="2" t="s">
        <v>12</v>
      </c>
      <c r="F1517" s="2">
        <v>560.66</v>
      </c>
      <c r="G1517" s="2">
        <v>103</v>
      </c>
      <c r="H1517" s="2" t="s">
        <v>13</v>
      </c>
      <c r="I1517" s="2" t="s">
        <v>34</v>
      </c>
    </row>
    <row r="1518" spans="1:9" x14ac:dyDescent="0.35">
      <c r="A1518" s="2" t="s">
        <v>1555</v>
      </c>
      <c r="B1518" s="3">
        <v>44572</v>
      </c>
      <c r="C1518" s="2" t="s">
        <v>16</v>
      </c>
      <c r="D1518" s="2" t="s">
        <v>95</v>
      </c>
      <c r="E1518" s="2" t="s">
        <v>18</v>
      </c>
      <c r="F1518" s="2">
        <v>1803.11</v>
      </c>
      <c r="G1518" s="2">
        <v>357.15</v>
      </c>
      <c r="H1518" s="2" t="s">
        <v>28</v>
      </c>
      <c r="I1518" s="2" t="s">
        <v>20</v>
      </c>
    </row>
    <row r="1519" spans="1:9" x14ac:dyDescent="0.35">
      <c r="A1519" s="2" t="s">
        <v>1556</v>
      </c>
      <c r="B1519" s="3">
        <v>45612</v>
      </c>
      <c r="C1519" s="2" t="s">
        <v>10</v>
      </c>
      <c r="D1519" s="2" t="s">
        <v>97</v>
      </c>
      <c r="E1519" s="2" t="s">
        <v>27</v>
      </c>
      <c r="F1519" s="2">
        <v>1961.09</v>
      </c>
      <c r="G1519" s="2">
        <v>250.02</v>
      </c>
      <c r="H1519" s="2" t="s">
        <v>13</v>
      </c>
      <c r="I1519" s="2" t="s">
        <v>14</v>
      </c>
    </row>
    <row r="1520" spans="1:9" x14ac:dyDescent="0.35">
      <c r="A1520" s="2" t="s">
        <v>1557</v>
      </c>
      <c r="B1520" s="3">
        <v>44978</v>
      </c>
      <c r="C1520" s="2" t="s">
        <v>22</v>
      </c>
      <c r="D1520" s="2" t="s">
        <v>50</v>
      </c>
      <c r="E1520" s="2" t="s">
        <v>12</v>
      </c>
      <c r="F1520" s="2">
        <v>1815.27</v>
      </c>
      <c r="G1520" s="2">
        <v>321.91000000000003</v>
      </c>
      <c r="H1520" s="2" t="s">
        <v>13</v>
      </c>
      <c r="I1520" s="2" t="s">
        <v>14</v>
      </c>
    </row>
    <row r="1521" spans="1:9" x14ac:dyDescent="0.35">
      <c r="A1521" s="2" t="s">
        <v>1558</v>
      </c>
      <c r="B1521" s="3">
        <v>44829</v>
      </c>
      <c r="C1521" s="2" t="s">
        <v>22</v>
      </c>
      <c r="D1521" s="2" t="s">
        <v>62</v>
      </c>
      <c r="E1521" s="2" t="s">
        <v>27</v>
      </c>
      <c r="F1521" s="2">
        <v>1870.81</v>
      </c>
      <c r="G1521" s="2">
        <v>316.74</v>
      </c>
      <c r="H1521" s="2" t="s">
        <v>28</v>
      </c>
      <c r="I1521" s="2" t="s">
        <v>14</v>
      </c>
    </row>
    <row r="1522" spans="1:9" x14ac:dyDescent="0.35">
      <c r="A1522" s="2" t="s">
        <v>1559</v>
      </c>
      <c r="B1522" s="3">
        <v>44952</v>
      </c>
      <c r="C1522" s="2" t="s">
        <v>10</v>
      </c>
      <c r="D1522" s="2" t="s">
        <v>31</v>
      </c>
      <c r="E1522" s="2" t="s">
        <v>12</v>
      </c>
      <c r="F1522" s="2">
        <v>646.4</v>
      </c>
      <c r="G1522" s="2">
        <v>35.93</v>
      </c>
      <c r="H1522" s="2" t="s">
        <v>28</v>
      </c>
      <c r="I1522" s="2" t="s">
        <v>34</v>
      </c>
    </row>
    <row r="1523" spans="1:9" x14ac:dyDescent="0.35">
      <c r="A1523" s="2" t="s">
        <v>1560</v>
      </c>
      <c r="B1523" s="3">
        <v>44870</v>
      </c>
      <c r="C1523" s="2" t="s">
        <v>22</v>
      </c>
      <c r="D1523" s="2" t="s">
        <v>57</v>
      </c>
      <c r="E1523" s="2" t="s">
        <v>27</v>
      </c>
      <c r="F1523" s="2">
        <v>190.6</v>
      </c>
      <c r="G1523" s="2">
        <v>11</v>
      </c>
      <c r="H1523" s="2" t="s">
        <v>28</v>
      </c>
      <c r="I1523" s="2" t="s">
        <v>20</v>
      </c>
    </row>
    <row r="1524" spans="1:9" x14ac:dyDescent="0.35">
      <c r="A1524" s="2" t="s">
        <v>1561</v>
      </c>
      <c r="B1524" s="3">
        <v>44636</v>
      </c>
      <c r="C1524" s="2" t="s">
        <v>22</v>
      </c>
      <c r="D1524" s="2" t="s">
        <v>23</v>
      </c>
      <c r="E1524" s="2" t="s">
        <v>18</v>
      </c>
      <c r="F1524" s="2">
        <v>1277.43</v>
      </c>
      <c r="G1524" s="2">
        <v>344.67</v>
      </c>
      <c r="H1524" s="2" t="s">
        <v>19</v>
      </c>
      <c r="I1524" s="2" t="s">
        <v>29</v>
      </c>
    </row>
    <row r="1525" spans="1:9" x14ac:dyDescent="0.35">
      <c r="A1525" s="2" t="s">
        <v>1562</v>
      </c>
      <c r="B1525" s="3">
        <v>44567</v>
      </c>
      <c r="C1525" s="2" t="s">
        <v>16</v>
      </c>
      <c r="D1525" s="2" t="s">
        <v>41</v>
      </c>
      <c r="E1525" s="2" t="s">
        <v>12</v>
      </c>
      <c r="F1525" s="2">
        <v>1095.04</v>
      </c>
      <c r="G1525" s="2">
        <v>69.39</v>
      </c>
      <c r="H1525" s="2" t="s">
        <v>28</v>
      </c>
      <c r="I1525" s="2" t="s">
        <v>14</v>
      </c>
    </row>
    <row r="1526" spans="1:9" x14ac:dyDescent="0.35">
      <c r="A1526" s="2" t="s">
        <v>1563</v>
      </c>
      <c r="B1526" s="3">
        <v>45648</v>
      </c>
      <c r="C1526" s="2" t="s">
        <v>22</v>
      </c>
      <c r="D1526" s="2" t="s">
        <v>95</v>
      </c>
      <c r="E1526" s="2" t="s">
        <v>18</v>
      </c>
      <c r="F1526" s="2">
        <v>1473.46</v>
      </c>
      <c r="G1526" s="2">
        <v>338.04</v>
      </c>
      <c r="H1526" s="2" t="s">
        <v>13</v>
      </c>
      <c r="I1526" s="2" t="s">
        <v>29</v>
      </c>
    </row>
    <row r="1527" spans="1:9" x14ac:dyDescent="0.35">
      <c r="A1527" s="2" t="s">
        <v>1564</v>
      </c>
      <c r="B1527" s="3">
        <v>45608</v>
      </c>
      <c r="C1527" s="2" t="s">
        <v>25</v>
      </c>
      <c r="D1527" s="2" t="s">
        <v>38</v>
      </c>
      <c r="E1527" s="2" t="s">
        <v>12</v>
      </c>
      <c r="F1527" s="2">
        <v>1185.8399999999999</v>
      </c>
      <c r="G1527" s="2">
        <v>189.43</v>
      </c>
      <c r="H1527" s="2" t="s">
        <v>28</v>
      </c>
      <c r="I1527" s="2" t="s">
        <v>29</v>
      </c>
    </row>
    <row r="1528" spans="1:9" x14ac:dyDescent="0.35">
      <c r="A1528" s="2" t="s">
        <v>1565</v>
      </c>
      <c r="B1528" s="3">
        <v>44919</v>
      </c>
      <c r="C1528" s="2" t="s">
        <v>25</v>
      </c>
      <c r="D1528" s="2" t="s">
        <v>41</v>
      </c>
      <c r="E1528" s="2" t="s">
        <v>12</v>
      </c>
      <c r="F1528" s="2">
        <v>1992.83</v>
      </c>
      <c r="G1528" s="2">
        <v>175.19</v>
      </c>
      <c r="H1528" s="2" t="s">
        <v>28</v>
      </c>
      <c r="I1528" s="2" t="s">
        <v>14</v>
      </c>
    </row>
    <row r="1529" spans="1:9" x14ac:dyDescent="0.35">
      <c r="A1529" s="2" t="s">
        <v>1566</v>
      </c>
      <c r="B1529" s="3">
        <v>45153</v>
      </c>
      <c r="C1529" s="2" t="s">
        <v>10</v>
      </c>
      <c r="D1529" s="2" t="s">
        <v>50</v>
      </c>
      <c r="E1529" s="2" t="s">
        <v>12</v>
      </c>
      <c r="F1529" s="2">
        <v>359.07</v>
      </c>
      <c r="G1529" s="2">
        <v>69.23</v>
      </c>
      <c r="H1529" s="2" t="s">
        <v>13</v>
      </c>
      <c r="I1529" s="2" t="s">
        <v>29</v>
      </c>
    </row>
    <row r="1530" spans="1:9" x14ac:dyDescent="0.35">
      <c r="A1530" s="2" t="s">
        <v>1567</v>
      </c>
      <c r="B1530" s="3">
        <v>44602</v>
      </c>
      <c r="C1530" s="2" t="s">
        <v>22</v>
      </c>
      <c r="D1530" s="2" t="s">
        <v>62</v>
      </c>
      <c r="E1530" s="2" t="s">
        <v>27</v>
      </c>
      <c r="F1530" s="2">
        <v>1497.1</v>
      </c>
      <c r="G1530" s="2">
        <v>198.26</v>
      </c>
      <c r="H1530" s="2" t="s">
        <v>28</v>
      </c>
      <c r="I1530" s="2" t="s">
        <v>29</v>
      </c>
    </row>
    <row r="1531" spans="1:9" x14ac:dyDescent="0.35">
      <c r="A1531" s="2" t="s">
        <v>1568</v>
      </c>
      <c r="B1531" s="3">
        <v>44708</v>
      </c>
      <c r="C1531" s="2" t="s">
        <v>10</v>
      </c>
      <c r="D1531" s="2" t="s">
        <v>26</v>
      </c>
      <c r="E1531" s="2" t="s">
        <v>27</v>
      </c>
      <c r="F1531" s="2">
        <v>1526.26</v>
      </c>
      <c r="G1531" s="2">
        <v>365.72</v>
      </c>
      <c r="H1531" s="2" t="s">
        <v>19</v>
      </c>
      <c r="I1531" s="2" t="s">
        <v>20</v>
      </c>
    </row>
    <row r="1532" spans="1:9" x14ac:dyDescent="0.35">
      <c r="A1532" s="2" t="s">
        <v>1569</v>
      </c>
      <c r="B1532" s="3">
        <v>44773</v>
      </c>
      <c r="C1532" s="2" t="s">
        <v>10</v>
      </c>
      <c r="D1532" s="2" t="s">
        <v>95</v>
      </c>
      <c r="E1532" s="2" t="s">
        <v>18</v>
      </c>
      <c r="F1532" s="2">
        <v>339.81</v>
      </c>
      <c r="G1532" s="2">
        <v>94.63</v>
      </c>
      <c r="H1532" s="2" t="s">
        <v>19</v>
      </c>
      <c r="I1532" s="2" t="s">
        <v>29</v>
      </c>
    </row>
    <row r="1533" spans="1:9" x14ac:dyDescent="0.35">
      <c r="A1533" s="2" t="s">
        <v>1570</v>
      </c>
      <c r="B1533" s="3">
        <v>45063</v>
      </c>
      <c r="C1533" s="2" t="s">
        <v>10</v>
      </c>
      <c r="D1533" s="2" t="s">
        <v>33</v>
      </c>
      <c r="E1533" s="2" t="s">
        <v>18</v>
      </c>
      <c r="F1533" s="2">
        <v>1401.27</v>
      </c>
      <c r="G1533" s="2">
        <v>167.86</v>
      </c>
      <c r="H1533" s="2" t="s">
        <v>13</v>
      </c>
      <c r="I1533" s="2" t="s">
        <v>29</v>
      </c>
    </row>
    <row r="1534" spans="1:9" x14ac:dyDescent="0.35">
      <c r="A1534" s="2" t="s">
        <v>1571</v>
      </c>
      <c r="B1534" s="3">
        <v>45069</v>
      </c>
      <c r="C1534" s="2" t="s">
        <v>25</v>
      </c>
      <c r="D1534" s="2" t="s">
        <v>73</v>
      </c>
      <c r="E1534" s="2" t="s">
        <v>27</v>
      </c>
      <c r="F1534" s="2">
        <v>1388.49</v>
      </c>
      <c r="G1534" s="2">
        <v>88.94</v>
      </c>
      <c r="H1534" s="2" t="s">
        <v>28</v>
      </c>
      <c r="I1534" s="2" t="s">
        <v>20</v>
      </c>
    </row>
    <row r="1535" spans="1:9" x14ac:dyDescent="0.35">
      <c r="A1535" s="2" t="s">
        <v>1572</v>
      </c>
      <c r="B1535" s="3">
        <v>44705</v>
      </c>
      <c r="C1535" s="2" t="s">
        <v>22</v>
      </c>
      <c r="D1535" s="2" t="s">
        <v>17</v>
      </c>
      <c r="E1535" s="2" t="s">
        <v>18</v>
      </c>
      <c r="F1535" s="2">
        <v>624.67999999999995</v>
      </c>
      <c r="G1535" s="2">
        <v>35.06</v>
      </c>
      <c r="H1535" s="2" t="s">
        <v>28</v>
      </c>
      <c r="I1535" s="2" t="s">
        <v>14</v>
      </c>
    </row>
    <row r="1536" spans="1:9" x14ac:dyDescent="0.35">
      <c r="A1536" s="2" t="s">
        <v>1573</v>
      </c>
      <c r="B1536" s="3">
        <v>44723</v>
      </c>
      <c r="C1536" s="2" t="s">
        <v>16</v>
      </c>
      <c r="D1536" s="2" t="s">
        <v>73</v>
      </c>
      <c r="E1536" s="2" t="s">
        <v>27</v>
      </c>
      <c r="F1536" s="2">
        <v>624.69000000000005</v>
      </c>
      <c r="G1536" s="2">
        <v>85.13</v>
      </c>
      <c r="H1536" s="2" t="s">
        <v>28</v>
      </c>
      <c r="I1536" s="2" t="s">
        <v>14</v>
      </c>
    </row>
    <row r="1537" spans="1:9" x14ac:dyDescent="0.35">
      <c r="A1537" s="2" t="s">
        <v>1574</v>
      </c>
      <c r="B1537" s="3">
        <v>45648</v>
      </c>
      <c r="C1537" s="2" t="s">
        <v>16</v>
      </c>
      <c r="D1537" s="2" t="s">
        <v>23</v>
      </c>
      <c r="E1537" s="2" t="s">
        <v>18</v>
      </c>
      <c r="F1537" s="2">
        <v>1137.76</v>
      </c>
      <c r="G1537" s="2">
        <v>77.86</v>
      </c>
      <c r="H1537" s="2" t="s">
        <v>13</v>
      </c>
      <c r="I1537" s="2" t="s">
        <v>20</v>
      </c>
    </row>
    <row r="1538" spans="1:9" x14ac:dyDescent="0.35">
      <c r="A1538" s="2" t="s">
        <v>1575</v>
      </c>
      <c r="B1538" s="3">
        <v>45106</v>
      </c>
      <c r="C1538" s="2" t="s">
        <v>22</v>
      </c>
      <c r="D1538" s="2" t="s">
        <v>46</v>
      </c>
      <c r="E1538" s="2" t="s">
        <v>18</v>
      </c>
      <c r="F1538" s="2">
        <v>308.62</v>
      </c>
      <c r="G1538" s="2">
        <v>89.15</v>
      </c>
      <c r="H1538" s="2" t="s">
        <v>28</v>
      </c>
      <c r="I1538" s="2" t="s">
        <v>20</v>
      </c>
    </row>
    <row r="1539" spans="1:9" x14ac:dyDescent="0.35">
      <c r="A1539" s="2" t="s">
        <v>1576</v>
      </c>
      <c r="B1539" s="3">
        <v>44915</v>
      </c>
      <c r="C1539" s="2" t="s">
        <v>16</v>
      </c>
      <c r="D1539" s="2" t="s">
        <v>50</v>
      </c>
      <c r="E1539" s="2" t="s">
        <v>12</v>
      </c>
      <c r="F1539" s="2">
        <v>873.26</v>
      </c>
      <c r="G1539" s="2">
        <v>173.55</v>
      </c>
      <c r="H1539" s="2" t="s">
        <v>28</v>
      </c>
      <c r="I1539" s="2" t="s">
        <v>29</v>
      </c>
    </row>
    <row r="1540" spans="1:9" x14ac:dyDescent="0.35">
      <c r="A1540" s="2" t="s">
        <v>1577</v>
      </c>
      <c r="B1540" s="3">
        <v>45562</v>
      </c>
      <c r="C1540" s="2" t="s">
        <v>25</v>
      </c>
      <c r="D1540" s="2" t="s">
        <v>38</v>
      </c>
      <c r="E1540" s="2" t="s">
        <v>12</v>
      </c>
      <c r="F1540" s="2">
        <v>1831.37</v>
      </c>
      <c r="G1540" s="2">
        <v>247.27</v>
      </c>
      <c r="H1540" s="2" t="s">
        <v>28</v>
      </c>
      <c r="I1540" s="2" t="s">
        <v>14</v>
      </c>
    </row>
    <row r="1541" spans="1:9" x14ac:dyDescent="0.35">
      <c r="A1541" s="2" t="s">
        <v>1578</v>
      </c>
      <c r="B1541" s="3">
        <v>44576</v>
      </c>
      <c r="C1541" s="2" t="s">
        <v>22</v>
      </c>
      <c r="D1541" s="2" t="s">
        <v>38</v>
      </c>
      <c r="E1541" s="2" t="s">
        <v>12</v>
      </c>
      <c r="F1541" s="2">
        <v>224.18</v>
      </c>
      <c r="G1541" s="2">
        <v>40.72</v>
      </c>
      <c r="H1541" s="2" t="s">
        <v>13</v>
      </c>
      <c r="I1541" s="2" t="s">
        <v>34</v>
      </c>
    </row>
    <row r="1542" spans="1:9" x14ac:dyDescent="0.35">
      <c r="A1542" s="2" t="s">
        <v>1579</v>
      </c>
      <c r="B1542" s="3">
        <v>45190</v>
      </c>
      <c r="C1542" s="2" t="s">
        <v>16</v>
      </c>
      <c r="D1542" s="2" t="s">
        <v>57</v>
      </c>
      <c r="E1542" s="2" t="s">
        <v>27</v>
      </c>
      <c r="F1542" s="2">
        <v>761.55</v>
      </c>
      <c r="G1542" s="2">
        <v>102.93</v>
      </c>
      <c r="H1542" s="2" t="s">
        <v>19</v>
      </c>
      <c r="I1542" s="2" t="s">
        <v>14</v>
      </c>
    </row>
    <row r="1543" spans="1:9" x14ac:dyDescent="0.35">
      <c r="A1543" s="2" t="s">
        <v>1580</v>
      </c>
      <c r="B1543" s="3">
        <v>44856</v>
      </c>
      <c r="C1543" s="2" t="s">
        <v>10</v>
      </c>
      <c r="D1543" s="2" t="s">
        <v>73</v>
      </c>
      <c r="E1543" s="2" t="s">
        <v>27</v>
      </c>
      <c r="F1543" s="2">
        <v>1779.8</v>
      </c>
      <c r="G1543" s="2">
        <v>164.56</v>
      </c>
      <c r="H1543" s="2" t="s">
        <v>19</v>
      </c>
      <c r="I1543" s="2" t="s">
        <v>29</v>
      </c>
    </row>
    <row r="1544" spans="1:9" x14ac:dyDescent="0.35">
      <c r="A1544" s="2" t="s">
        <v>1581</v>
      </c>
      <c r="B1544" s="3">
        <v>45237</v>
      </c>
      <c r="C1544" s="2" t="s">
        <v>16</v>
      </c>
      <c r="D1544" s="2" t="s">
        <v>26</v>
      </c>
      <c r="E1544" s="2" t="s">
        <v>27</v>
      </c>
      <c r="F1544" s="2">
        <v>635.67999999999995</v>
      </c>
      <c r="G1544" s="2">
        <v>41.22</v>
      </c>
      <c r="H1544" s="2" t="s">
        <v>28</v>
      </c>
      <c r="I1544" s="2" t="s">
        <v>14</v>
      </c>
    </row>
    <row r="1545" spans="1:9" x14ac:dyDescent="0.35">
      <c r="A1545" s="2" t="s">
        <v>1582</v>
      </c>
      <c r="B1545" s="3">
        <v>45381</v>
      </c>
      <c r="C1545" s="2" t="s">
        <v>25</v>
      </c>
      <c r="D1545" s="2" t="s">
        <v>73</v>
      </c>
      <c r="E1545" s="2" t="s">
        <v>27</v>
      </c>
      <c r="F1545" s="2">
        <v>904.54</v>
      </c>
      <c r="G1545" s="2">
        <v>252.28</v>
      </c>
      <c r="H1545" s="2" t="s">
        <v>28</v>
      </c>
      <c r="I1545" s="2" t="s">
        <v>29</v>
      </c>
    </row>
    <row r="1546" spans="1:9" x14ac:dyDescent="0.35">
      <c r="A1546" s="2" t="s">
        <v>1583</v>
      </c>
      <c r="B1546" s="3">
        <v>45339</v>
      </c>
      <c r="C1546" s="2" t="s">
        <v>10</v>
      </c>
      <c r="D1546" s="2" t="s">
        <v>73</v>
      </c>
      <c r="E1546" s="2" t="s">
        <v>27</v>
      </c>
      <c r="F1546" s="2">
        <v>1962.99</v>
      </c>
      <c r="G1546" s="2">
        <v>336.73</v>
      </c>
      <c r="H1546" s="2" t="s">
        <v>13</v>
      </c>
      <c r="I1546" s="2" t="s">
        <v>14</v>
      </c>
    </row>
    <row r="1547" spans="1:9" x14ac:dyDescent="0.35">
      <c r="A1547" s="2" t="s">
        <v>1584</v>
      </c>
      <c r="B1547" s="3">
        <v>45524</v>
      </c>
      <c r="C1547" s="2" t="s">
        <v>10</v>
      </c>
      <c r="D1547" s="2" t="s">
        <v>33</v>
      </c>
      <c r="E1547" s="2" t="s">
        <v>18</v>
      </c>
      <c r="F1547" s="2">
        <v>1674.02</v>
      </c>
      <c r="G1547" s="2">
        <v>229.19</v>
      </c>
      <c r="H1547" s="2" t="s">
        <v>19</v>
      </c>
      <c r="I1547" s="2" t="s">
        <v>20</v>
      </c>
    </row>
    <row r="1548" spans="1:9" x14ac:dyDescent="0.35">
      <c r="A1548" s="2" t="s">
        <v>1585</v>
      </c>
      <c r="B1548" s="3">
        <v>44876</v>
      </c>
      <c r="C1548" s="2" t="s">
        <v>16</v>
      </c>
      <c r="D1548" s="2" t="s">
        <v>26</v>
      </c>
      <c r="E1548" s="2" t="s">
        <v>27</v>
      </c>
      <c r="F1548" s="2">
        <v>1727</v>
      </c>
      <c r="G1548" s="2">
        <v>142.61000000000001</v>
      </c>
      <c r="H1548" s="2" t="s">
        <v>19</v>
      </c>
      <c r="I1548" s="2" t="s">
        <v>34</v>
      </c>
    </row>
    <row r="1549" spans="1:9" x14ac:dyDescent="0.35">
      <c r="A1549" s="2" t="s">
        <v>1586</v>
      </c>
      <c r="B1549" s="3">
        <v>44860</v>
      </c>
      <c r="C1549" s="2" t="s">
        <v>16</v>
      </c>
      <c r="D1549" s="2" t="s">
        <v>62</v>
      </c>
      <c r="E1549" s="2" t="s">
        <v>27</v>
      </c>
      <c r="F1549" s="2">
        <v>1600.38</v>
      </c>
      <c r="G1549" s="2">
        <v>161.6</v>
      </c>
      <c r="H1549" s="2" t="s">
        <v>19</v>
      </c>
      <c r="I1549" s="2" t="s">
        <v>34</v>
      </c>
    </row>
    <row r="1550" spans="1:9" x14ac:dyDescent="0.35">
      <c r="A1550" s="2" t="s">
        <v>1587</v>
      </c>
      <c r="B1550" s="3">
        <v>45634</v>
      </c>
      <c r="C1550" s="2" t="s">
        <v>22</v>
      </c>
      <c r="D1550" s="2" t="s">
        <v>38</v>
      </c>
      <c r="E1550" s="2" t="s">
        <v>12</v>
      </c>
      <c r="F1550" s="2">
        <v>1844.05</v>
      </c>
      <c r="G1550" s="2">
        <v>165.15</v>
      </c>
      <c r="H1550" s="2" t="s">
        <v>13</v>
      </c>
      <c r="I1550" s="2" t="s">
        <v>20</v>
      </c>
    </row>
    <row r="1551" spans="1:9" x14ac:dyDescent="0.35">
      <c r="A1551" s="2" t="s">
        <v>1588</v>
      </c>
      <c r="B1551" s="3">
        <v>45356</v>
      </c>
      <c r="C1551" s="2" t="s">
        <v>16</v>
      </c>
      <c r="D1551" s="2" t="s">
        <v>50</v>
      </c>
      <c r="E1551" s="2" t="s">
        <v>12</v>
      </c>
      <c r="F1551" s="2">
        <v>1737.61</v>
      </c>
      <c r="G1551" s="2">
        <v>171.54</v>
      </c>
      <c r="H1551" s="2" t="s">
        <v>13</v>
      </c>
      <c r="I1551" s="2" t="s">
        <v>20</v>
      </c>
    </row>
    <row r="1552" spans="1:9" x14ac:dyDescent="0.35">
      <c r="A1552" s="2" t="s">
        <v>1589</v>
      </c>
      <c r="B1552" s="3">
        <v>45216</v>
      </c>
      <c r="C1552" s="2" t="s">
        <v>10</v>
      </c>
      <c r="D1552" s="2" t="s">
        <v>11</v>
      </c>
      <c r="E1552" s="2" t="s">
        <v>12</v>
      </c>
      <c r="F1552" s="2">
        <v>836.34</v>
      </c>
      <c r="G1552" s="2">
        <v>42.18</v>
      </c>
      <c r="H1552" s="2" t="s">
        <v>13</v>
      </c>
      <c r="I1552" s="2" t="s">
        <v>29</v>
      </c>
    </row>
    <row r="1553" spans="1:9" x14ac:dyDescent="0.35">
      <c r="A1553" s="2" t="s">
        <v>1590</v>
      </c>
      <c r="B1553" s="3">
        <v>45234</v>
      </c>
      <c r="C1553" s="2" t="s">
        <v>22</v>
      </c>
      <c r="D1553" s="2" t="s">
        <v>11</v>
      </c>
      <c r="E1553" s="2" t="s">
        <v>12</v>
      </c>
      <c r="F1553" s="2">
        <v>310.14</v>
      </c>
      <c r="G1553" s="2">
        <v>52.87</v>
      </c>
      <c r="H1553" s="2" t="s">
        <v>19</v>
      </c>
      <c r="I1553" s="2" t="s">
        <v>20</v>
      </c>
    </row>
    <row r="1554" spans="1:9" x14ac:dyDescent="0.35">
      <c r="A1554" s="2" t="s">
        <v>1591</v>
      </c>
      <c r="B1554" s="3">
        <v>44945</v>
      </c>
      <c r="C1554" s="2" t="s">
        <v>16</v>
      </c>
      <c r="D1554" s="2" t="s">
        <v>38</v>
      </c>
      <c r="E1554" s="2" t="s">
        <v>12</v>
      </c>
      <c r="F1554" s="2">
        <v>639.96</v>
      </c>
      <c r="G1554" s="2">
        <v>83.86</v>
      </c>
      <c r="H1554" s="2" t="s">
        <v>28</v>
      </c>
      <c r="I1554" s="2" t="s">
        <v>34</v>
      </c>
    </row>
    <row r="1555" spans="1:9" x14ac:dyDescent="0.35">
      <c r="A1555" s="2" t="s">
        <v>1592</v>
      </c>
      <c r="B1555" s="3">
        <v>45439</v>
      </c>
      <c r="C1555" s="2" t="s">
        <v>25</v>
      </c>
      <c r="D1555" s="2" t="s">
        <v>57</v>
      </c>
      <c r="E1555" s="2" t="s">
        <v>27</v>
      </c>
      <c r="F1555" s="2">
        <v>993.96</v>
      </c>
      <c r="G1555" s="2">
        <v>221</v>
      </c>
      <c r="H1555" s="2" t="s">
        <v>19</v>
      </c>
      <c r="I1555" s="2" t="s">
        <v>20</v>
      </c>
    </row>
    <row r="1556" spans="1:9" x14ac:dyDescent="0.35">
      <c r="A1556" s="2" t="s">
        <v>1593</v>
      </c>
      <c r="B1556" s="3">
        <v>45191</v>
      </c>
      <c r="C1556" s="2" t="s">
        <v>16</v>
      </c>
      <c r="D1556" s="2" t="s">
        <v>50</v>
      </c>
      <c r="E1556" s="2" t="s">
        <v>12</v>
      </c>
      <c r="F1556" s="2">
        <v>1388.82</v>
      </c>
      <c r="G1556" s="2">
        <v>215.37</v>
      </c>
      <c r="H1556" s="2" t="s">
        <v>19</v>
      </c>
      <c r="I1556" s="2" t="s">
        <v>14</v>
      </c>
    </row>
    <row r="1557" spans="1:9" x14ac:dyDescent="0.35">
      <c r="A1557" s="2" t="s">
        <v>1594</v>
      </c>
      <c r="B1557" s="3">
        <v>44770</v>
      </c>
      <c r="C1557" s="2" t="s">
        <v>16</v>
      </c>
      <c r="D1557" s="2" t="s">
        <v>97</v>
      </c>
      <c r="E1557" s="2" t="s">
        <v>27</v>
      </c>
      <c r="F1557" s="2">
        <v>1518.02</v>
      </c>
      <c r="G1557" s="2">
        <v>107.38</v>
      </c>
      <c r="H1557" s="2" t="s">
        <v>28</v>
      </c>
      <c r="I1557" s="2" t="s">
        <v>14</v>
      </c>
    </row>
    <row r="1558" spans="1:9" x14ac:dyDescent="0.35">
      <c r="A1558" s="2" t="s">
        <v>1595</v>
      </c>
      <c r="B1558" s="3">
        <v>45635</v>
      </c>
      <c r="C1558" s="2" t="s">
        <v>16</v>
      </c>
      <c r="D1558" s="2" t="s">
        <v>46</v>
      </c>
      <c r="E1558" s="2" t="s">
        <v>18</v>
      </c>
      <c r="F1558" s="2">
        <v>1285.33</v>
      </c>
      <c r="G1558" s="2">
        <v>221.33</v>
      </c>
      <c r="H1558" s="2" t="s">
        <v>28</v>
      </c>
      <c r="I1558" s="2" t="s">
        <v>34</v>
      </c>
    </row>
    <row r="1559" spans="1:9" x14ac:dyDescent="0.35">
      <c r="A1559" s="2" t="s">
        <v>1596</v>
      </c>
      <c r="B1559" s="3">
        <v>45046</v>
      </c>
      <c r="C1559" s="2" t="s">
        <v>10</v>
      </c>
      <c r="D1559" s="2" t="s">
        <v>46</v>
      </c>
      <c r="E1559" s="2" t="s">
        <v>18</v>
      </c>
      <c r="F1559" s="2">
        <v>1804.02</v>
      </c>
      <c r="G1559" s="2">
        <v>305.51</v>
      </c>
      <c r="H1559" s="2" t="s">
        <v>19</v>
      </c>
      <c r="I1559" s="2" t="s">
        <v>20</v>
      </c>
    </row>
    <row r="1560" spans="1:9" x14ac:dyDescent="0.35">
      <c r="A1560" s="2" t="s">
        <v>1597</v>
      </c>
      <c r="B1560" s="3">
        <v>44566</v>
      </c>
      <c r="C1560" s="2" t="s">
        <v>16</v>
      </c>
      <c r="D1560" s="2" t="s">
        <v>23</v>
      </c>
      <c r="E1560" s="2" t="s">
        <v>18</v>
      </c>
      <c r="F1560" s="2">
        <v>887.36</v>
      </c>
      <c r="G1560" s="2">
        <v>110.47</v>
      </c>
      <c r="H1560" s="2" t="s">
        <v>13</v>
      </c>
      <c r="I1560" s="2" t="s">
        <v>34</v>
      </c>
    </row>
    <row r="1561" spans="1:9" x14ac:dyDescent="0.35">
      <c r="A1561" s="2" t="s">
        <v>1598</v>
      </c>
      <c r="B1561" s="3">
        <v>44879</v>
      </c>
      <c r="C1561" s="2" t="s">
        <v>10</v>
      </c>
      <c r="D1561" s="2" t="s">
        <v>41</v>
      </c>
      <c r="E1561" s="2" t="s">
        <v>12</v>
      </c>
      <c r="F1561" s="2">
        <v>1941.26</v>
      </c>
      <c r="G1561" s="2">
        <v>337.94</v>
      </c>
      <c r="H1561" s="2" t="s">
        <v>19</v>
      </c>
      <c r="I1561" s="2" t="s">
        <v>29</v>
      </c>
    </row>
    <row r="1562" spans="1:9" x14ac:dyDescent="0.35">
      <c r="A1562" s="2" t="s">
        <v>1599</v>
      </c>
      <c r="B1562" s="3">
        <v>44766</v>
      </c>
      <c r="C1562" s="2" t="s">
        <v>22</v>
      </c>
      <c r="D1562" s="2" t="s">
        <v>17</v>
      </c>
      <c r="E1562" s="2" t="s">
        <v>18</v>
      </c>
      <c r="F1562" s="2">
        <v>1818.96</v>
      </c>
      <c r="G1562" s="2">
        <v>477.7</v>
      </c>
      <c r="H1562" s="2" t="s">
        <v>28</v>
      </c>
      <c r="I1562" s="2" t="s">
        <v>29</v>
      </c>
    </row>
    <row r="1563" spans="1:9" x14ac:dyDescent="0.35">
      <c r="A1563" s="2" t="s">
        <v>1600</v>
      </c>
      <c r="B1563" s="3">
        <v>45192</v>
      </c>
      <c r="C1563" s="2" t="s">
        <v>16</v>
      </c>
      <c r="D1563" s="2" t="s">
        <v>73</v>
      </c>
      <c r="E1563" s="2" t="s">
        <v>27</v>
      </c>
      <c r="F1563" s="2">
        <v>766.05</v>
      </c>
      <c r="G1563" s="2">
        <v>110.25</v>
      </c>
      <c r="H1563" s="2" t="s">
        <v>28</v>
      </c>
      <c r="I1563" s="2" t="s">
        <v>14</v>
      </c>
    </row>
    <row r="1564" spans="1:9" x14ac:dyDescent="0.35">
      <c r="A1564" s="2" t="s">
        <v>1601</v>
      </c>
      <c r="B1564" s="3">
        <v>45029</v>
      </c>
      <c r="C1564" s="2" t="s">
        <v>10</v>
      </c>
      <c r="D1564" s="2" t="s">
        <v>33</v>
      </c>
      <c r="E1564" s="2" t="s">
        <v>18</v>
      </c>
      <c r="F1564" s="2">
        <v>689.02</v>
      </c>
      <c r="G1564" s="2">
        <v>76.48</v>
      </c>
      <c r="H1564" s="2" t="s">
        <v>19</v>
      </c>
      <c r="I1564" s="2" t="s">
        <v>34</v>
      </c>
    </row>
    <row r="1565" spans="1:9" x14ac:dyDescent="0.35">
      <c r="A1565" s="2" t="s">
        <v>1602</v>
      </c>
      <c r="B1565" s="3">
        <v>44825</v>
      </c>
      <c r="C1565" s="2" t="s">
        <v>25</v>
      </c>
      <c r="D1565" s="2" t="s">
        <v>31</v>
      </c>
      <c r="E1565" s="2" t="s">
        <v>12</v>
      </c>
      <c r="F1565" s="2">
        <v>754.25</v>
      </c>
      <c r="G1565" s="2">
        <v>184.76</v>
      </c>
      <c r="H1565" s="2" t="s">
        <v>19</v>
      </c>
      <c r="I1565" s="2" t="s">
        <v>29</v>
      </c>
    </row>
    <row r="1566" spans="1:9" x14ac:dyDescent="0.35">
      <c r="A1566" s="2" t="s">
        <v>1603</v>
      </c>
      <c r="B1566" s="3">
        <v>44822</v>
      </c>
      <c r="C1566" s="2" t="s">
        <v>10</v>
      </c>
      <c r="D1566" s="2" t="s">
        <v>31</v>
      </c>
      <c r="E1566" s="2" t="s">
        <v>12</v>
      </c>
      <c r="F1566" s="2">
        <v>1141.8</v>
      </c>
      <c r="G1566" s="2">
        <v>194.8</v>
      </c>
      <c r="H1566" s="2" t="s">
        <v>13</v>
      </c>
      <c r="I1566" s="2" t="s">
        <v>14</v>
      </c>
    </row>
    <row r="1567" spans="1:9" x14ac:dyDescent="0.35">
      <c r="A1567" s="2" t="s">
        <v>1604</v>
      </c>
      <c r="B1567" s="3">
        <v>44747</v>
      </c>
      <c r="C1567" s="2" t="s">
        <v>10</v>
      </c>
      <c r="D1567" s="2" t="s">
        <v>38</v>
      </c>
      <c r="E1567" s="2" t="s">
        <v>12</v>
      </c>
      <c r="F1567" s="2">
        <v>628.51</v>
      </c>
      <c r="G1567" s="2">
        <v>181.25</v>
      </c>
      <c r="H1567" s="2" t="s">
        <v>19</v>
      </c>
      <c r="I1567" s="2" t="s">
        <v>20</v>
      </c>
    </row>
    <row r="1568" spans="1:9" x14ac:dyDescent="0.35">
      <c r="A1568" s="2" t="s">
        <v>1605</v>
      </c>
      <c r="B1568" s="3">
        <v>45069</v>
      </c>
      <c r="C1568" s="2" t="s">
        <v>25</v>
      </c>
      <c r="D1568" s="2" t="s">
        <v>31</v>
      </c>
      <c r="E1568" s="2" t="s">
        <v>12</v>
      </c>
      <c r="F1568" s="2">
        <v>124.41</v>
      </c>
      <c r="G1568" s="2">
        <v>20.34</v>
      </c>
      <c r="H1568" s="2" t="s">
        <v>19</v>
      </c>
      <c r="I1568" s="2" t="s">
        <v>20</v>
      </c>
    </row>
    <row r="1569" spans="1:9" x14ac:dyDescent="0.35">
      <c r="A1569" s="2" t="s">
        <v>1606</v>
      </c>
      <c r="B1569" s="3">
        <v>44961</v>
      </c>
      <c r="C1569" s="2" t="s">
        <v>22</v>
      </c>
      <c r="D1569" s="2" t="s">
        <v>11</v>
      </c>
      <c r="E1569" s="2" t="s">
        <v>12</v>
      </c>
      <c r="F1569" s="2">
        <v>424.9</v>
      </c>
      <c r="G1569" s="2">
        <v>126.27</v>
      </c>
      <c r="H1569" s="2" t="s">
        <v>19</v>
      </c>
      <c r="I1569" s="2" t="s">
        <v>14</v>
      </c>
    </row>
    <row r="1570" spans="1:9" x14ac:dyDescent="0.35">
      <c r="A1570" s="2" t="s">
        <v>1607</v>
      </c>
      <c r="B1570" s="3">
        <v>44975</v>
      </c>
      <c r="C1570" s="2" t="s">
        <v>16</v>
      </c>
      <c r="D1570" s="2" t="s">
        <v>50</v>
      </c>
      <c r="E1570" s="2" t="s">
        <v>12</v>
      </c>
      <c r="F1570" s="2">
        <v>598.79</v>
      </c>
      <c r="G1570" s="2">
        <v>118.37</v>
      </c>
      <c r="H1570" s="2" t="s">
        <v>28</v>
      </c>
      <c r="I1570" s="2" t="s">
        <v>34</v>
      </c>
    </row>
    <row r="1571" spans="1:9" x14ac:dyDescent="0.35">
      <c r="A1571" s="2" t="s">
        <v>1608</v>
      </c>
      <c r="B1571" s="3">
        <v>45089</v>
      </c>
      <c r="C1571" s="2" t="s">
        <v>16</v>
      </c>
      <c r="D1571" s="2" t="s">
        <v>73</v>
      </c>
      <c r="E1571" s="2" t="s">
        <v>27</v>
      </c>
      <c r="F1571" s="2">
        <v>1690.31</v>
      </c>
      <c r="G1571" s="2">
        <v>177.69</v>
      </c>
      <c r="H1571" s="2" t="s">
        <v>19</v>
      </c>
      <c r="I1571" s="2" t="s">
        <v>20</v>
      </c>
    </row>
    <row r="1572" spans="1:9" x14ac:dyDescent="0.35">
      <c r="A1572" s="2" t="s">
        <v>1609</v>
      </c>
      <c r="B1572" s="3">
        <v>45046</v>
      </c>
      <c r="C1572" s="2" t="s">
        <v>25</v>
      </c>
      <c r="D1572" s="2" t="s">
        <v>46</v>
      </c>
      <c r="E1572" s="2" t="s">
        <v>18</v>
      </c>
      <c r="F1572" s="2">
        <v>71.209999999999994</v>
      </c>
      <c r="G1572" s="2">
        <v>6.52</v>
      </c>
      <c r="H1572" s="2" t="s">
        <v>28</v>
      </c>
      <c r="I1572" s="2" t="s">
        <v>14</v>
      </c>
    </row>
    <row r="1573" spans="1:9" x14ac:dyDescent="0.35">
      <c r="A1573" s="2" t="s">
        <v>1610</v>
      </c>
      <c r="B1573" s="3">
        <v>44941</v>
      </c>
      <c r="C1573" s="2" t="s">
        <v>10</v>
      </c>
      <c r="D1573" s="2" t="s">
        <v>38</v>
      </c>
      <c r="E1573" s="2" t="s">
        <v>12</v>
      </c>
      <c r="F1573" s="2">
        <v>197.99</v>
      </c>
      <c r="G1573" s="2">
        <v>35.61</v>
      </c>
      <c r="H1573" s="2" t="s">
        <v>19</v>
      </c>
      <c r="I1573" s="2" t="s">
        <v>29</v>
      </c>
    </row>
    <row r="1574" spans="1:9" x14ac:dyDescent="0.35">
      <c r="A1574" s="2" t="s">
        <v>1611</v>
      </c>
      <c r="B1574" s="3">
        <v>45032</v>
      </c>
      <c r="C1574" s="2" t="s">
        <v>16</v>
      </c>
      <c r="D1574" s="2" t="s">
        <v>17</v>
      </c>
      <c r="E1574" s="2" t="s">
        <v>18</v>
      </c>
      <c r="F1574" s="2">
        <v>1502.69</v>
      </c>
      <c r="G1574" s="2">
        <v>263.20999999999998</v>
      </c>
      <c r="H1574" s="2" t="s">
        <v>28</v>
      </c>
      <c r="I1574" s="2" t="s">
        <v>14</v>
      </c>
    </row>
    <row r="1575" spans="1:9" x14ac:dyDescent="0.35">
      <c r="A1575" s="2" t="s">
        <v>1612</v>
      </c>
      <c r="B1575" s="3">
        <v>44571</v>
      </c>
      <c r="C1575" s="2" t="s">
        <v>10</v>
      </c>
      <c r="D1575" s="2" t="s">
        <v>41</v>
      </c>
      <c r="E1575" s="2" t="s">
        <v>12</v>
      </c>
      <c r="F1575" s="2">
        <v>695.72</v>
      </c>
      <c r="G1575" s="2">
        <v>181.49</v>
      </c>
      <c r="H1575" s="2" t="s">
        <v>28</v>
      </c>
      <c r="I1575" s="2" t="s">
        <v>29</v>
      </c>
    </row>
    <row r="1576" spans="1:9" x14ac:dyDescent="0.35">
      <c r="A1576" s="2" t="s">
        <v>1613</v>
      </c>
      <c r="B1576" s="3">
        <v>44954</v>
      </c>
      <c r="C1576" s="2" t="s">
        <v>10</v>
      </c>
      <c r="D1576" s="2" t="s">
        <v>17</v>
      </c>
      <c r="E1576" s="2" t="s">
        <v>18</v>
      </c>
      <c r="F1576" s="2">
        <v>697.51</v>
      </c>
      <c r="G1576" s="2">
        <v>41.19</v>
      </c>
      <c r="H1576" s="2" t="s">
        <v>28</v>
      </c>
      <c r="I1576" s="2" t="s">
        <v>29</v>
      </c>
    </row>
    <row r="1577" spans="1:9" x14ac:dyDescent="0.35">
      <c r="A1577" s="2" t="s">
        <v>1614</v>
      </c>
      <c r="B1577" s="3">
        <v>44733</v>
      </c>
      <c r="C1577" s="2" t="s">
        <v>10</v>
      </c>
      <c r="D1577" s="2" t="s">
        <v>62</v>
      </c>
      <c r="E1577" s="2" t="s">
        <v>27</v>
      </c>
      <c r="F1577" s="2">
        <v>361.54</v>
      </c>
      <c r="G1577" s="2">
        <v>28.88</v>
      </c>
      <c r="H1577" s="2" t="s">
        <v>28</v>
      </c>
      <c r="I1577" s="2" t="s">
        <v>29</v>
      </c>
    </row>
    <row r="1578" spans="1:9" x14ac:dyDescent="0.35">
      <c r="A1578" s="2" t="s">
        <v>1615</v>
      </c>
      <c r="B1578" s="3">
        <v>45175</v>
      </c>
      <c r="C1578" s="2" t="s">
        <v>22</v>
      </c>
      <c r="D1578" s="2" t="s">
        <v>41</v>
      </c>
      <c r="E1578" s="2" t="s">
        <v>12</v>
      </c>
      <c r="F1578" s="2">
        <v>1930.08</v>
      </c>
      <c r="G1578" s="2">
        <v>432.42</v>
      </c>
      <c r="H1578" s="2" t="s">
        <v>13</v>
      </c>
      <c r="I1578" s="2" t="s">
        <v>14</v>
      </c>
    </row>
    <row r="1579" spans="1:9" x14ac:dyDescent="0.35">
      <c r="A1579" s="2" t="s">
        <v>1616</v>
      </c>
      <c r="B1579" s="3">
        <v>45022</v>
      </c>
      <c r="C1579" s="2" t="s">
        <v>25</v>
      </c>
      <c r="D1579" s="2" t="s">
        <v>46</v>
      </c>
      <c r="E1579" s="2" t="s">
        <v>18</v>
      </c>
      <c r="F1579" s="2">
        <v>1917.77</v>
      </c>
      <c r="G1579" s="2">
        <v>524.27</v>
      </c>
      <c r="H1579" s="2" t="s">
        <v>28</v>
      </c>
      <c r="I1579" s="2" t="s">
        <v>29</v>
      </c>
    </row>
    <row r="1580" spans="1:9" x14ac:dyDescent="0.35">
      <c r="A1580" s="2" t="s">
        <v>1617</v>
      </c>
      <c r="B1580" s="3">
        <v>45549</v>
      </c>
      <c r="C1580" s="2" t="s">
        <v>16</v>
      </c>
      <c r="D1580" s="2" t="s">
        <v>38</v>
      </c>
      <c r="E1580" s="2" t="s">
        <v>12</v>
      </c>
      <c r="F1580" s="2">
        <v>347.03</v>
      </c>
      <c r="G1580" s="2">
        <v>23.27</v>
      </c>
      <c r="H1580" s="2" t="s">
        <v>19</v>
      </c>
      <c r="I1580" s="2" t="s">
        <v>14</v>
      </c>
    </row>
    <row r="1581" spans="1:9" x14ac:dyDescent="0.35">
      <c r="A1581" s="2" t="s">
        <v>1618</v>
      </c>
      <c r="B1581" s="3">
        <v>45428</v>
      </c>
      <c r="C1581" s="2" t="s">
        <v>22</v>
      </c>
      <c r="D1581" s="2" t="s">
        <v>38</v>
      </c>
      <c r="E1581" s="2" t="s">
        <v>12</v>
      </c>
      <c r="F1581" s="2">
        <v>1281.8900000000001</v>
      </c>
      <c r="G1581" s="2">
        <v>209.37</v>
      </c>
      <c r="H1581" s="2" t="s">
        <v>13</v>
      </c>
      <c r="I1581" s="2" t="s">
        <v>29</v>
      </c>
    </row>
    <row r="1582" spans="1:9" x14ac:dyDescent="0.35">
      <c r="A1582" s="2" t="s">
        <v>1619</v>
      </c>
      <c r="B1582" s="3">
        <v>45010</v>
      </c>
      <c r="C1582" s="2" t="s">
        <v>10</v>
      </c>
      <c r="D1582" s="2" t="s">
        <v>23</v>
      </c>
      <c r="E1582" s="2" t="s">
        <v>18</v>
      </c>
      <c r="F1582" s="2">
        <v>1673.63</v>
      </c>
      <c r="G1582" s="2">
        <v>398.15</v>
      </c>
      <c r="H1582" s="2" t="s">
        <v>19</v>
      </c>
      <c r="I1582" s="2" t="s">
        <v>14</v>
      </c>
    </row>
    <row r="1583" spans="1:9" x14ac:dyDescent="0.35">
      <c r="A1583" s="2" t="s">
        <v>1620</v>
      </c>
      <c r="B1583" s="3">
        <v>44994</v>
      </c>
      <c r="C1583" s="2" t="s">
        <v>22</v>
      </c>
      <c r="D1583" s="2" t="s">
        <v>50</v>
      </c>
      <c r="E1583" s="2" t="s">
        <v>12</v>
      </c>
      <c r="F1583" s="2">
        <v>464.99</v>
      </c>
      <c r="G1583" s="2">
        <v>113.17</v>
      </c>
      <c r="H1583" s="2" t="s">
        <v>28</v>
      </c>
      <c r="I1583" s="2" t="s">
        <v>34</v>
      </c>
    </row>
    <row r="1584" spans="1:9" x14ac:dyDescent="0.35">
      <c r="A1584" s="2" t="s">
        <v>1621</v>
      </c>
      <c r="B1584" s="3">
        <v>45380</v>
      </c>
      <c r="C1584" s="2" t="s">
        <v>22</v>
      </c>
      <c r="D1584" s="2" t="s">
        <v>38</v>
      </c>
      <c r="E1584" s="2" t="s">
        <v>12</v>
      </c>
      <c r="F1584" s="2">
        <v>1650.24</v>
      </c>
      <c r="G1584" s="2">
        <v>146.52000000000001</v>
      </c>
      <c r="H1584" s="2" t="s">
        <v>28</v>
      </c>
      <c r="I1584" s="2" t="s">
        <v>29</v>
      </c>
    </row>
    <row r="1585" spans="1:9" x14ac:dyDescent="0.35">
      <c r="A1585" s="2" t="s">
        <v>1622</v>
      </c>
      <c r="B1585" s="3">
        <v>45229</v>
      </c>
      <c r="C1585" s="2" t="s">
        <v>25</v>
      </c>
      <c r="D1585" s="2" t="s">
        <v>73</v>
      </c>
      <c r="E1585" s="2" t="s">
        <v>27</v>
      </c>
      <c r="F1585" s="2">
        <v>1902.45</v>
      </c>
      <c r="G1585" s="2">
        <v>546.67999999999995</v>
      </c>
      <c r="H1585" s="2" t="s">
        <v>13</v>
      </c>
      <c r="I1585" s="2" t="s">
        <v>20</v>
      </c>
    </row>
    <row r="1586" spans="1:9" x14ac:dyDescent="0.35">
      <c r="A1586" s="2" t="s">
        <v>1623</v>
      </c>
      <c r="B1586" s="3">
        <v>44765</v>
      </c>
      <c r="C1586" s="2" t="s">
        <v>25</v>
      </c>
      <c r="D1586" s="2" t="s">
        <v>23</v>
      </c>
      <c r="E1586" s="2" t="s">
        <v>18</v>
      </c>
      <c r="F1586" s="2">
        <v>1662.11</v>
      </c>
      <c r="G1586" s="2">
        <v>286.5</v>
      </c>
      <c r="H1586" s="2" t="s">
        <v>13</v>
      </c>
      <c r="I1586" s="2" t="s">
        <v>29</v>
      </c>
    </row>
    <row r="1587" spans="1:9" x14ac:dyDescent="0.35">
      <c r="A1587" s="2" t="s">
        <v>1624</v>
      </c>
      <c r="B1587" s="3">
        <v>44870</v>
      </c>
      <c r="C1587" s="2" t="s">
        <v>25</v>
      </c>
      <c r="D1587" s="2" t="s">
        <v>23</v>
      </c>
      <c r="E1587" s="2" t="s">
        <v>18</v>
      </c>
      <c r="F1587" s="2">
        <v>271.8</v>
      </c>
      <c r="G1587" s="2">
        <v>47.73</v>
      </c>
      <c r="H1587" s="2" t="s">
        <v>28</v>
      </c>
      <c r="I1587" s="2" t="s">
        <v>34</v>
      </c>
    </row>
    <row r="1588" spans="1:9" x14ac:dyDescent="0.35">
      <c r="A1588" s="2" t="s">
        <v>1625</v>
      </c>
      <c r="B1588" s="3">
        <v>45137</v>
      </c>
      <c r="C1588" s="2" t="s">
        <v>25</v>
      </c>
      <c r="D1588" s="2" t="s">
        <v>17</v>
      </c>
      <c r="E1588" s="2" t="s">
        <v>18</v>
      </c>
      <c r="F1588" s="2">
        <v>878.48</v>
      </c>
      <c r="G1588" s="2">
        <v>100.61</v>
      </c>
      <c r="H1588" s="2" t="s">
        <v>28</v>
      </c>
      <c r="I1588" s="2" t="s">
        <v>34</v>
      </c>
    </row>
    <row r="1589" spans="1:9" x14ac:dyDescent="0.35">
      <c r="A1589" s="2" t="s">
        <v>1626</v>
      </c>
      <c r="B1589" s="3">
        <v>45443</v>
      </c>
      <c r="C1589" s="2" t="s">
        <v>10</v>
      </c>
      <c r="D1589" s="2" t="s">
        <v>73</v>
      </c>
      <c r="E1589" s="2" t="s">
        <v>27</v>
      </c>
      <c r="F1589" s="2">
        <v>793.68</v>
      </c>
      <c r="G1589" s="2">
        <v>159.09</v>
      </c>
      <c r="H1589" s="2" t="s">
        <v>28</v>
      </c>
      <c r="I1589" s="2" t="s">
        <v>29</v>
      </c>
    </row>
    <row r="1590" spans="1:9" x14ac:dyDescent="0.35">
      <c r="A1590" s="2" t="s">
        <v>1627</v>
      </c>
      <c r="B1590" s="3">
        <v>45120</v>
      </c>
      <c r="C1590" s="2" t="s">
        <v>16</v>
      </c>
      <c r="D1590" s="2" t="s">
        <v>17</v>
      </c>
      <c r="E1590" s="2" t="s">
        <v>18</v>
      </c>
      <c r="F1590" s="2">
        <v>1650.07</v>
      </c>
      <c r="G1590" s="2">
        <v>153.44</v>
      </c>
      <c r="H1590" s="2" t="s">
        <v>19</v>
      </c>
      <c r="I1590" s="2" t="s">
        <v>29</v>
      </c>
    </row>
    <row r="1591" spans="1:9" x14ac:dyDescent="0.35">
      <c r="A1591" s="2" t="s">
        <v>1628</v>
      </c>
      <c r="B1591" s="3">
        <v>45472</v>
      </c>
      <c r="C1591" s="2" t="s">
        <v>16</v>
      </c>
      <c r="D1591" s="2" t="s">
        <v>33</v>
      </c>
      <c r="E1591" s="2" t="s">
        <v>18</v>
      </c>
      <c r="F1591" s="2">
        <v>140.88</v>
      </c>
      <c r="G1591" s="2">
        <v>35.44</v>
      </c>
      <c r="H1591" s="2" t="s">
        <v>13</v>
      </c>
      <c r="I1591" s="2" t="s">
        <v>20</v>
      </c>
    </row>
    <row r="1592" spans="1:9" x14ac:dyDescent="0.35">
      <c r="A1592" s="2" t="s">
        <v>1629</v>
      </c>
      <c r="B1592" s="3">
        <v>45341</v>
      </c>
      <c r="C1592" s="2" t="s">
        <v>10</v>
      </c>
      <c r="D1592" s="2" t="s">
        <v>23</v>
      </c>
      <c r="E1592" s="2" t="s">
        <v>18</v>
      </c>
      <c r="F1592" s="2">
        <v>1460.79</v>
      </c>
      <c r="G1592" s="2">
        <v>282.11</v>
      </c>
      <c r="H1592" s="2" t="s">
        <v>28</v>
      </c>
      <c r="I1592" s="2" t="s">
        <v>34</v>
      </c>
    </row>
    <row r="1593" spans="1:9" x14ac:dyDescent="0.35">
      <c r="A1593" s="2" t="s">
        <v>1630</v>
      </c>
      <c r="B1593" s="3">
        <v>45609</v>
      </c>
      <c r="C1593" s="2" t="s">
        <v>25</v>
      </c>
      <c r="D1593" s="2" t="s">
        <v>33</v>
      </c>
      <c r="E1593" s="2" t="s">
        <v>18</v>
      </c>
      <c r="F1593" s="2">
        <v>1983.24</v>
      </c>
      <c r="G1593" s="2">
        <v>364.92</v>
      </c>
      <c r="H1593" s="2" t="s">
        <v>13</v>
      </c>
      <c r="I1593" s="2" t="s">
        <v>14</v>
      </c>
    </row>
    <row r="1594" spans="1:9" x14ac:dyDescent="0.35">
      <c r="A1594" s="2" t="s">
        <v>1631</v>
      </c>
      <c r="B1594" s="3">
        <v>45151</v>
      </c>
      <c r="C1594" s="2" t="s">
        <v>25</v>
      </c>
      <c r="D1594" s="2" t="s">
        <v>97</v>
      </c>
      <c r="E1594" s="2" t="s">
        <v>27</v>
      </c>
      <c r="F1594" s="2">
        <v>1421.76</v>
      </c>
      <c r="G1594" s="2">
        <v>421.97</v>
      </c>
      <c r="H1594" s="2" t="s">
        <v>28</v>
      </c>
      <c r="I1594" s="2" t="s">
        <v>14</v>
      </c>
    </row>
    <row r="1595" spans="1:9" x14ac:dyDescent="0.35">
      <c r="A1595" s="2" t="s">
        <v>1632</v>
      </c>
      <c r="B1595" s="3">
        <v>44861</v>
      </c>
      <c r="C1595" s="2" t="s">
        <v>10</v>
      </c>
      <c r="D1595" s="2" t="s">
        <v>38</v>
      </c>
      <c r="E1595" s="2" t="s">
        <v>12</v>
      </c>
      <c r="F1595" s="2">
        <v>1711.91</v>
      </c>
      <c r="G1595" s="2">
        <v>367.33</v>
      </c>
      <c r="H1595" s="2" t="s">
        <v>13</v>
      </c>
      <c r="I1595" s="2" t="s">
        <v>14</v>
      </c>
    </row>
    <row r="1596" spans="1:9" x14ac:dyDescent="0.35">
      <c r="A1596" s="2" t="s">
        <v>1633</v>
      </c>
      <c r="B1596" s="3">
        <v>44788</v>
      </c>
      <c r="C1596" s="2" t="s">
        <v>10</v>
      </c>
      <c r="D1596" s="2" t="s">
        <v>73</v>
      </c>
      <c r="E1596" s="2" t="s">
        <v>27</v>
      </c>
      <c r="F1596" s="2">
        <v>374.08</v>
      </c>
      <c r="G1596" s="2">
        <v>99.81</v>
      </c>
      <c r="H1596" s="2" t="s">
        <v>13</v>
      </c>
      <c r="I1596" s="2" t="s">
        <v>20</v>
      </c>
    </row>
    <row r="1597" spans="1:9" x14ac:dyDescent="0.35">
      <c r="A1597" s="2" t="s">
        <v>1634</v>
      </c>
      <c r="B1597" s="3">
        <v>45494</v>
      </c>
      <c r="C1597" s="2" t="s">
        <v>22</v>
      </c>
      <c r="D1597" s="2" t="s">
        <v>26</v>
      </c>
      <c r="E1597" s="2" t="s">
        <v>27</v>
      </c>
      <c r="F1597" s="2">
        <v>59</v>
      </c>
      <c r="G1597" s="2">
        <v>13.45</v>
      </c>
      <c r="H1597" s="2" t="s">
        <v>28</v>
      </c>
      <c r="I1597" s="2" t="s">
        <v>20</v>
      </c>
    </row>
    <row r="1598" spans="1:9" x14ac:dyDescent="0.35">
      <c r="A1598" s="2" t="s">
        <v>1635</v>
      </c>
      <c r="B1598" s="3">
        <v>45052</v>
      </c>
      <c r="C1598" s="2" t="s">
        <v>16</v>
      </c>
      <c r="D1598" s="2" t="s">
        <v>57</v>
      </c>
      <c r="E1598" s="2" t="s">
        <v>27</v>
      </c>
      <c r="F1598" s="2">
        <v>246.35</v>
      </c>
      <c r="G1598" s="2">
        <v>23.21</v>
      </c>
      <c r="H1598" s="2" t="s">
        <v>19</v>
      </c>
      <c r="I1598" s="2" t="s">
        <v>34</v>
      </c>
    </row>
    <row r="1599" spans="1:9" x14ac:dyDescent="0.35">
      <c r="A1599" s="2" t="s">
        <v>1636</v>
      </c>
      <c r="B1599" s="3">
        <v>45486</v>
      </c>
      <c r="C1599" s="2" t="s">
        <v>16</v>
      </c>
      <c r="D1599" s="2" t="s">
        <v>50</v>
      </c>
      <c r="E1599" s="2" t="s">
        <v>12</v>
      </c>
      <c r="F1599" s="2">
        <v>1055.58</v>
      </c>
      <c r="G1599" s="2">
        <v>96.18</v>
      </c>
      <c r="H1599" s="2" t="s">
        <v>19</v>
      </c>
      <c r="I1599" s="2" t="s">
        <v>20</v>
      </c>
    </row>
    <row r="1600" spans="1:9" x14ac:dyDescent="0.35">
      <c r="A1600" s="2" t="s">
        <v>1637</v>
      </c>
      <c r="B1600" s="3">
        <v>44979</v>
      </c>
      <c r="C1600" s="2" t="s">
        <v>10</v>
      </c>
      <c r="D1600" s="2" t="s">
        <v>73</v>
      </c>
      <c r="E1600" s="2" t="s">
        <v>27</v>
      </c>
      <c r="F1600" s="2">
        <v>357.33</v>
      </c>
      <c r="G1600" s="2">
        <v>32.729999999999997</v>
      </c>
      <c r="H1600" s="2" t="s">
        <v>28</v>
      </c>
      <c r="I1600" s="2" t="s">
        <v>14</v>
      </c>
    </row>
    <row r="1601" spans="1:9" x14ac:dyDescent="0.35">
      <c r="A1601" s="2" t="s">
        <v>1638</v>
      </c>
      <c r="B1601" s="3">
        <v>45015</v>
      </c>
      <c r="C1601" s="2" t="s">
        <v>10</v>
      </c>
      <c r="D1601" s="2" t="s">
        <v>95</v>
      </c>
      <c r="E1601" s="2" t="s">
        <v>18</v>
      </c>
      <c r="F1601" s="2">
        <v>1525.17</v>
      </c>
      <c r="G1601" s="2">
        <v>372.85</v>
      </c>
      <c r="H1601" s="2" t="s">
        <v>13</v>
      </c>
      <c r="I1601" s="2" t="s">
        <v>34</v>
      </c>
    </row>
    <row r="1602" spans="1:9" x14ac:dyDescent="0.35">
      <c r="A1602" s="2" t="s">
        <v>1639</v>
      </c>
      <c r="B1602" s="3">
        <v>44565</v>
      </c>
      <c r="C1602" s="2" t="s">
        <v>10</v>
      </c>
      <c r="D1602" s="2" t="s">
        <v>46</v>
      </c>
      <c r="E1602" s="2" t="s">
        <v>18</v>
      </c>
      <c r="F1602" s="2">
        <v>1195.81</v>
      </c>
      <c r="G1602" s="2">
        <v>272.79000000000002</v>
      </c>
      <c r="H1602" s="2" t="s">
        <v>28</v>
      </c>
      <c r="I1602" s="2" t="s">
        <v>14</v>
      </c>
    </row>
    <row r="1603" spans="1:9" x14ac:dyDescent="0.35">
      <c r="A1603" s="2" t="s">
        <v>1640</v>
      </c>
      <c r="B1603" s="3">
        <v>45362</v>
      </c>
      <c r="C1603" s="2" t="s">
        <v>25</v>
      </c>
      <c r="D1603" s="2" t="s">
        <v>57</v>
      </c>
      <c r="E1603" s="2" t="s">
        <v>27</v>
      </c>
      <c r="F1603" s="2">
        <v>1652.95</v>
      </c>
      <c r="G1603" s="2">
        <v>386.39</v>
      </c>
      <c r="H1603" s="2" t="s">
        <v>19</v>
      </c>
      <c r="I1603" s="2" t="s">
        <v>14</v>
      </c>
    </row>
    <row r="1604" spans="1:9" x14ac:dyDescent="0.35">
      <c r="A1604" s="2" t="s">
        <v>1641</v>
      </c>
      <c r="B1604" s="3">
        <v>44881</v>
      </c>
      <c r="C1604" s="2" t="s">
        <v>22</v>
      </c>
      <c r="D1604" s="2" t="s">
        <v>46</v>
      </c>
      <c r="E1604" s="2" t="s">
        <v>18</v>
      </c>
      <c r="F1604" s="2">
        <v>1757.04</v>
      </c>
      <c r="G1604" s="2">
        <v>463.13</v>
      </c>
      <c r="H1604" s="2" t="s">
        <v>13</v>
      </c>
      <c r="I1604" s="2" t="s">
        <v>14</v>
      </c>
    </row>
    <row r="1605" spans="1:9" x14ac:dyDescent="0.35">
      <c r="A1605" s="2" t="s">
        <v>1642</v>
      </c>
      <c r="B1605" s="3">
        <v>44579</v>
      </c>
      <c r="C1605" s="2" t="s">
        <v>16</v>
      </c>
      <c r="D1605" s="2" t="s">
        <v>73</v>
      </c>
      <c r="E1605" s="2" t="s">
        <v>27</v>
      </c>
      <c r="F1605" s="2">
        <v>58.48</v>
      </c>
      <c r="G1605" s="2">
        <v>8.5</v>
      </c>
      <c r="H1605" s="2" t="s">
        <v>28</v>
      </c>
      <c r="I1605" s="2" t="s">
        <v>34</v>
      </c>
    </row>
    <row r="1606" spans="1:9" x14ac:dyDescent="0.35">
      <c r="A1606" s="2" t="s">
        <v>1643</v>
      </c>
      <c r="B1606" s="3">
        <v>45492</v>
      </c>
      <c r="C1606" s="2" t="s">
        <v>22</v>
      </c>
      <c r="D1606" s="2" t="s">
        <v>50</v>
      </c>
      <c r="E1606" s="2" t="s">
        <v>12</v>
      </c>
      <c r="F1606" s="2">
        <v>1807.08</v>
      </c>
      <c r="G1606" s="2">
        <v>514.42999999999995</v>
      </c>
      <c r="H1606" s="2" t="s">
        <v>19</v>
      </c>
      <c r="I1606" s="2" t="s">
        <v>20</v>
      </c>
    </row>
    <row r="1607" spans="1:9" x14ac:dyDescent="0.35">
      <c r="A1607" s="2" t="s">
        <v>1644</v>
      </c>
      <c r="B1607" s="3">
        <v>44788</v>
      </c>
      <c r="C1607" s="2" t="s">
        <v>25</v>
      </c>
      <c r="D1607" s="2" t="s">
        <v>33</v>
      </c>
      <c r="E1607" s="2" t="s">
        <v>18</v>
      </c>
      <c r="F1607" s="2">
        <v>1900.23</v>
      </c>
      <c r="G1607" s="2">
        <v>197.27</v>
      </c>
      <c r="H1607" s="2" t="s">
        <v>28</v>
      </c>
      <c r="I1607" s="2" t="s">
        <v>29</v>
      </c>
    </row>
    <row r="1608" spans="1:9" x14ac:dyDescent="0.35">
      <c r="A1608" s="2" t="s">
        <v>1645</v>
      </c>
      <c r="B1608" s="3">
        <v>45222</v>
      </c>
      <c r="C1608" s="2" t="s">
        <v>10</v>
      </c>
      <c r="D1608" s="2" t="s">
        <v>31</v>
      </c>
      <c r="E1608" s="2" t="s">
        <v>12</v>
      </c>
      <c r="F1608" s="2">
        <v>1505.95</v>
      </c>
      <c r="G1608" s="2">
        <v>153.63</v>
      </c>
      <c r="H1608" s="2" t="s">
        <v>13</v>
      </c>
      <c r="I1608" s="2" t="s">
        <v>34</v>
      </c>
    </row>
    <row r="1609" spans="1:9" x14ac:dyDescent="0.35">
      <c r="A1609" s="2" t="s">
        <v>1646</v>
      </c>
      <c r="B1609" s="3">
        <v>45055</v>
      </c>
      <c r="C1609" s="2" t="s">
        <v>10</v>
      </c>
      <c r="D1609" s="2" t="s">
        <v>50</v>
      </c>
      <c r="E1609" s="2" t="s">
        <v>12</v>
      </c>
      <c r="F1609" s="2">
        <v>1534.23</v>
      </c>
      <c r="G1609" s="2">
        <v>224.15</v>
      </c>
      <c r="H1609" s="2" t="s">
        <v>13</v>
      </c>
      <c r="I1609" s="2" t="s">
        <v>34</v>
      </c>
    </row>
    <row r="1610" spans="1:9" x14ac:dyDescent="0.35">
      <c r="A1610" s="2" t="s">
        <v>1647</v>
      </c>
      <c r="B1610" s="3">
        <v>44625</v>
      </c>
      <c r="C1610" s="2" t="s">
        <v>25</v>
      </c>
      <c r="D1610" s="2" t="s">
        <v>73</v>
      </c>
      <c r="E1610" s="2" t="s">
        <v>27</v>
      </c>
      <c r="F1610" s="2">
        <v>1357.95</v>
      </c>
      <c r="G1610" s="2">
        <v>113.49</v>
      </c>
      <c r="H1610" s="2" t="s">
        <v>19</v>
      </c>
      <c r="I1610" s="2" t="s">
        <v>29</v>
      </c>
    </row>
    <row r="1611" spans="1:9" x14ac:dyDescent="0.35">
      <c r="A1611" s="2" t="s">
        <v>1648</v>
      </c>
      <c r="B1611" s="3">
        <v>44980</v>
      </c>
      <c r="C1611" s="2" t="s">
        <v>10</v>
      </c>
      <c r="D1611" s="2" t="s">
        <v>17</v>
      </c>
      <c r="E1611" s="2" t="s">
        <v>18</v>
      </c>
      <c r="F1611" s="2">
        <v>592.54</v>
      </c>
      <c r="G1611" s="2">
        <v>48.41</v>
      </c>
      <c r="H1611" s="2" t="s">
        <v>13</v>
      </c>
      <c r="I1611" s="2" t="s">
        <v>20</v>
      </c>
    </row>
    <row r="1612" spans="1:9" x14ac:dyDescent="0.35">
      <c r="A1612" s="2" t="s">
        <v>1649</v>
      </c>
      <c r="B1612" s="3">
        <v>45111</v>
      </c>
      <c r="C1612" s="2" t="s">
        <v>22</v>
      </c>
      <c r="D1612" s="2" t="s">
        <v>95</v>
      </c>
      <c r="E1612" s="2" t="s">
        <v>18</v>
      </c>
      <c r="F1612" s="2">
        <v>1766.97</v>
      </c>
      <c r="G1612" s="2">
        <v>498.72</v>
      </c>
      <c r="H1612" s="2" t="s">
        <v>28</v>
      </c>
      <c r="I1612" s="2" t="s">
        <v>20</v>
      </c>
    </row>
    <row r="1613" spans="1:9" x14ac:dyDescent="0.35">
      <c r="A1613" s="2" t="s">
        <v>1650</v>
      </c>
      <c r="B1613" s="3">
        <v>44963</v>
      </c>
      <c r="C1613" s="2" t="s">
        <v>22</v>
      </c>
      <c r="D1613" s="2" t="s">
        <v>41</v>
      </c>
      <c r="E1613" s="2" t="s">
        <v>12</v>
      </c>
      <c r="F1613" s="2">
        <v>1308.6600000000001</v>
      </c>
      <c r="G1613" s="2">
        <v>178.92</v>
      </c>
      <c r="H1613" s="2" t="s">
        <v>28</v>
      </c>
      <c r="I1613" s="2" t="s">
        <v>29</v>
      </c>
    </row>
    <row r="1614" spans="1:9" x14ac:dyDescent="0.35">
      <c r="A1614" s="2" t="s">
        <v>1651</v>
      </c>
      <c r="B1614" s="3">
        <v>45326</v>
      </c>
      <c r="C1614" s="2" t="s">
        <v>10</v>
      </c>
      <c r="D1614" s="2" t="s">
        <v>17</v>
      </c>
      <c r="E1614" s="2" t="s">
        <v>18</v>
      </c>
      <c r="F1614" s="2">
        <v>1211.27</v>
      </c>
      <c r="G1614" s="2">
        <v>70.19</v>
      </c>
      <c r="H1614" s="2" t="s">
        <v>28</v>
      </c>
      <c r="I1614" s="2" t="s">
        <v>29</v>
      </c>
    </row>
    <row r="1615" spans="1:9" x14ac:dyDescent="0.35">
      <c r="A1615" s="2" t="s">
        <v>1652</v>
      </c>
      <c r="B1615" s="3">
        <v>44882</v>
      </c>
      <c r="C1615" s="2" t="s">
        <v>25</v>
      </c>
      <c r="D1615" s="2" t="s">
        <v>57</v>
      </c>
      <c r="E1615" s="2" t="s">
        <v>27</v>
      </c>
      <c r="F1615" s="2">
        <v>1114.9000000000001</v>
      </c>
      <c r="G1615" s="2">
        <v>287.85000000000002</v>
      </c>
      <c r="H1615" s="2" t="s">
        <v>13</v>
      </c>
      <c r="I1615" s="2" t="s">
        <v>29</v>
      </c>
    </row>
    <row r="1616" spans="1:9" x14ac:dyDescent="0.35">
      <c r="A1616" s="2" t="s">
        <v>1653</v>
      </c>
      <c r="B1616" s="3">
        <v>45556</v>
      </c>
      <c r="C1616" s="2" t="s">
        <v>22</v>
      </c>
      <c r="D1616" s="2" t="s">
        <v>31</v>
      </c>
      <c r="E1616" s="2" t="s">
        <v>12</v>
      </c>
      <c r="F1616" s="2">
        <v>1961.43</v>
      </c>
      <c r="G1616" s="2">
        <v>457.7</v>
      </c>
      <c r="H1616" s="2" t="s">
        <v>13</v>
      </c>
      <c r="I1616" s="2" t="s">
        <v>14</v>
      </c>
    </row>
    <row r="1617" spans="1:9" x14ac:dyDescent="0.35">
      <c r="A1617" s="2" t="s">
        <v>1654</v>
      </c>
      <c r="B1617" s="3">
        <v>44838</v>
      </c>
      <c r="C1617" s="2" t="s">
        <v>16</v>
      </c>
      <c r="D1617" s="2" t="s">
        <v>97</v>
      </c>
      <c r="E1617" s="2" t="s">
        <v>27</v>
      </c>
      <c r="F1617" s="2">
        <v>1605.33</v>
      </c>
      <c r="G1617" s="2">
        <v>210.87</v>
      </c>
      <c r="H1617" s="2" t="s">
        <v>19</v>
      </c>
      <c r="I1617" s="2" t="s">
        <v>14</v>
      </c>
    </row>
    <row r="1618" spans="1:9" x14ac:dyDescent="0.35">
      <c r="A1618" s="2" t="s">
        <v>1655</v>
      </c>
      <c r="B1618" s="3">
        <v>45434</v>
      </c>
      <c r="C1618" s="2" t="s">
        <v>25</v>
      </c>
      <c r="D1618" s="2" t="s">
        <v>31</v>
      </c>
      <c r="E1618" s="2" t="s">
        <v>12</v>
      </c>
      <c r="F1618" s="2">
        <v>254.3</v>
      </c>
      <c r="G1618" s="2">
        <v>30.98</v>
      </c>
      <c r="H1618" s="2" t="s">
        <v>13</v>
      </c>
      <c r="I1618" s="2" t="s">
        <v>14</v>
      </c>
    </row>
    <row r="1619" spans="1:9" x14ac:dyDescent="0.35">
      <c r="A1619" s="2" t="s">
        <v>1656</v>
      </c>
      <c r="B1619" s="3">
        <v>44819</v>
      </c>
      <c r="C1619" s="2" t="s">
        <v>22</v>
      </c>
      <c r="D1619" s="2" t="s">
        <v>33</v>
      </c>
      <c r="E1619" s="2" t="s">
        <v>18</v>
      </c>
      <c r="F1619" s="2">
        <v>1180.75</v>
      </c>
      <c r="G1619" s="2">
        <v>116.63</v>
      </c>
      <c r="H1619" s="2" t="s">
        <v>28</v>
      </c>
      <c r="I1619" s="2" t="s">
        <v>20</v>
      </c>
    </row>
    <row r="1620" spans="1:9" x14ac:dyDescent="0.35">
      <c r="A1620" s="2" t="s">
        <v>1657</v>
      </c>
      <c r="B1620" s="3">
        <v>45552</v>
      </c>
      <c r="C1620" s="2" t="s">
        <v>25</v>
      </c>
      <c r="D1620" s="2" t="s">
        <v>46</v>
      </c>
      <c r="E1620" s="2" t="s">
        <v>18</v>
      </c>
      <c r="F1620" s="2">
        <v>521.21</v>
      </c>
      <c r="G1620" s="2">
        <v>49.37</v>
      </c>
      <c r="H1620" s="2" t="s">
        <v>13</v>
      </c>
      <c r="I1620" s="2" t="s">
        <v>20</v>
      </c>
    </row>
    <row r="1621" spans="1:9" x14ac:dyDescent="0.35">
      <c r="A1621" s="2" t="s">
        <v>1658</v>
      </c>
      <c r="B1621" s="3">
        <v>44895</v>
      </c>
      <c r="C1621" s="2" t="s">
        <v>22</v>
      </c>
      <c r="D1621" s="2" t="s">
        <v>97</v>
      </c>
      <c r="E1621" s="2" t="s">
        <v>27</v>
      </c>
      <c r="F1621" s="2">
        <v>907.89</v>
      </c>
      <c r="G1621" s="2">
        <v>265.08999999999997</v>
      </c>
      <c r="H1621" s="2" t="s">
        <v>13</v>
      </c>
      <c r="I1621" s="2" t="s">
        <v>14</v>
      </c>
    </row>
    <row r="1622" spans="1:9" x14ac:dyDescent="0.35">
      <c r="A1622" s="2" t="s">
        <v>1659</v>
      </c>
      <c r="B1622" s="3">
        <v>45450</v>
      </c>
      <c r="C1622" s="2" t="s">
        <v>22</v>
      </c>
      <c r="D1622" s="2" t="s">
        <v>46</v>
      </c>
      <c r="E1622" s="2" t="s">
        <v>18</v>
      </c>
      <c r="F1622" s="2">
        <v>864.95</v>
      </c>
      <c r="G1622" s="2">
        <v>153.1</v>
      </c>
      <c r="H1622" s="2" t="s">
        <v>13</v>
      </c>
      <c r="I1622" s="2" t="s">
        <v>29</v>
      </c>
    </row>
    <row r="1623" spans="1:9" x14ac:dyDescent="0.35">
      <c r="A1623" s="2" t="s">
        <v>1660</v>
      </c>
      <c r="B1623" s="3">
        <v>44697</v>
      </c>
      <c r="C1623" s="2" t="s">
        <v>10</v>
      </c>
      <c r="D1623" s="2" t="s">
        <v>41</v>
      </c>
      <c r="E1623" s="2" t="s">
        <v>12</v>
      </c>
      <c r="F1623" s="2">
        <v>1394.48</v>
      </c>
      <c r="G1623" s="2">
        <v>122.92</v>
      </c>
      <c r="H1623" s="2" t="s">
        <v>13</v>
      </c>
      <c r="I1623" s="2" t="s">
        <v>14</v>
      </c>
    </row>
    <row r="1624" spans="1:9" x14ac:dyDescent="0.35">
      <c r="A1624" s="2" t="s">
        <v>1661</v>
      </c>
      <c r="B1624" s="3">
        <v>45141</v>
      </c>
      <c r="C1624" s="2" t="s">
        <v>16</v>
      </c>
      <c r="D1624" s="2" t="s">
        <v>41</v>
      </c>
      <c r="E1624" s="2" t="s">
        <v>12</v>
      </c>
      <c r="F1624" s="2">
        <v>153.82</v>
      </c>
      <c r="G1624" s="2">
        <v>32.69</v>
      </c>
      <c r="H1624" s="2" t="s">
        <v>28</v>
      </c>
      <c r="I1624" s="2" t="s">
        <v>20</v>
      </c>
    </row>
    <row r="1625" spans="1:9" x14ac:dyDescent="0.35">
      <c r="A1625" s="2" t="s">
        <v>1662</v>
      </c>
      <c r="B1625" s="3">
        <v>45463</v>
      </c>
      <c r="C1625" s="2" t="s">
        <v>10</v>
      </c>
      <c r="D1625" s="2" t="s">
        <v>26</v>
      </c>
      <c r="E1625" s="2" t="s">
        <v>27</v>
      </c>
      <c r="F1625" s="2">
        <v>922</v>
      </c>
      <c r="G1625" s="2">
        <v>129.26</v>
      </c>
      <c r="H1625" s="2" t="s">
        <v>28</v>
      </c>
      <c r="I1625" s="2" t="s">
        <v>34</v>
      </c>
    </row>
    <row r="1626" spans="1:9" x14ac:dyDescent="0.35">
      <c r="A1626" s="2" t="s">
        <v>1663</v>
      </c>
      <c r="B1626" s="3">
        <v>45070</v>
      </c>
      <c r="C1626" s="2" t="s">
        <v>25</v>
      </c>
      <c r="D1626" s="2" t="s">
        <v>73</v>
      </c>
      <c r="E1626" s="2" t="s">
        <v>27</v>
      </c>
      <c r="F1626" s="2">
        <v>97.62</v>
      </c>
      <c r="G1626" s="2">
        <v>17.27</v>
      </c>
      <c r="H1626" s="2" t="s">
        <v>19</v>
      </c>
      <c r="I1626" s="2" t="s">
        <v>29</v>
      </c>
    </row>
    <row r="1627" spans="1:9" x14ac:dyDescent="0.35">
      <c r="A1627" s="2" t="s">
        <v>1664</v>
      </c>
      <c r="B1627" s="3">
        <v>44787</v>
      </c>
      <c r="C1627" s="2" t="s">
        <v>10</v>
      </c>
      <c r="D1627" s="2" t="s">
        <v>95</v>
      </c>
      <c r="E1627" s="2" t="s">
        <v>18</v>
      </c>
      <c r="F1627" s="2">
        <v>1051.08</v>
      </c>
      <c r="G1627" s="2">
        <v>122.57</v>
      </c>
      <c r="H1627" s="2" t="s">
        <v>13</v>
      </c>
      <c r="I1627" s="2" t="s">
        <v>20</v>
      </c>
    </row>
    <row r="1628" spans="1:9" x14ac:dyDescent="0.35">
      <c r="A1628" s="2" t="s">
        <v>1665</v>
      </c>
      <c r="B1628" s="3">
        <v>45017</v>
      </c>
      <c r="C1628" s="2" t="s">
        <v>22</v>
      </c>
      <c r="D1628" s="2" t="s">
        <v>95</v>
      </c>
      <c r="E1628" s="2" t="s">
        <v>18</v>
      </c>
      <c r="F1628" s="2">
        <v>1111.9000000000001</v>
      </c>
      <c r="G1628" s="2">
        <v>141.75</v>
      </c>
      <c r="H1628" s="2" t="s">
        <v>19</v>
      </c>
      <c r="I1628" s="2" t="s">
        <v>34</v>
      </c>
    </row>
    <row r="1629" spans="1:9" x14ac:dyDescent="0.35">
      <c r="A1629" s="2" t="s">
        <v>1666</v>
      </c>
      <c r="B1629" s="3">
        <v>45371</v>
      </c>
      <c r="C1629" s="2" t="s">
        <v>10</v>
      </c>
      <c r="D1629" s="2" t="s">
        <v>26</v>
      </c>
      <c r="E1629" s="2" t="s">
        <v>27</v>
      </c>
      <c r="F1629" s="2">
        <v>109.3</v>
      </c>
      <c r="G1629" s="2">
        <v>17.899999999999999</v>
      </c>
      <c r="H1629" s="2" t="s">
        <v>13</v>
      </c>
      <c r="I1629" s="2" t="s">
        <v>14</v>
      </c>
    </row>
    <row r="1630" spans="1:9" x14ac:dyDescent="0.35">
      <c r="A1630" s="2" t="s">
        <v>1667</v>
      </c>
      <c r="B1630" s="3">
        <v>44995</v>
      </c>
      <c r="C1630" s="2" t="s">
        <v>10</v>
      </c>
      <c r="D1630" s="2" t="s">
        <v>50</v>
      </c>
      <c r="E1630" s="2" t="s">
        <v>12</v>
      </c>
      <c r="F1630" s="2">
        <v>1590.84</v>
      </c>
      <c r="G1630" s="2">
        <v>156.66</v>
      </c>
      <c r="H1630" s="2" t="s">
        <v>13</v>
      </c>
      <c r="I1630" s="2" t="s">
        <v>29</v>
      </c>
    </row>
    <row r="1631" spans="1:9" x14ac:dyDescent="0.35">
      <c r="A1631" s="2" t="s">
        <v>1668</v>
      </c>
      <c r="B1631" s="3">
        <v>45396</v>
      </c>
      <c r="C1631" s="2" t="s">
        <v>22</v>
      </c>
      <c r="D1631" s="2" t="s">
        <v>41</v>
      </c>
      <c r="E1631" s="2" t="s">
        <v>12</v>
      </c>
      <c r="F1631" s="2">
        <v>1732.4</v>
      </c>
      <c r="G1631" s="2">
        <v>353.72</v>
      </c>
      <c r="H1631" s="2" t="s">
        <v>28</v>
      </c>
      <c r="I1631" s="2" t="s">
        <v>14</v>
      </c>
    </row>
    <row r="1632" spans="1:9" x14ac:dyDescent="0.35">
      <c r="A1632" s="2" t="s">
        <v>1669</v>
      </c>
      <c r="B1632" s="3">
        <v>45104</v>
      </c>
      <c r="C1632" s="2" t="s">
        <v>22</v>
      </c>
      <c r="D1632" s="2" t="s">
        <v>95</v>
      </c>
      <c r="E1632" s="2" t="s">
        <v>18</v>
      </c>
      <c r="F1632" s="2">
        <v>1240.76</v>
      </c>
      <c r="G1632" s="2">
        <v>135.63</v>
      </c>
      <c r="H1632" s="2" t="s">
        <v>28</v>
      </c>
      <c r="I1632" s="2" t="s">
        <v>29</v>
      </c>
    </row>
    <row r="1633" spans="1:9" x14ac:dyDescent="0.35">
      <c r="A1633" s="2" t="s">
        <v>1670</v>
      </c>
      <c r="B1633" s="3">
        <v>45412</v>
      </c>
      <c r="C1633" s="2" t="s">
        <v>22</v>
      </c>
      <c r="D1633" s="2" t="s">
        <v>11</v>
      </c>
      <c r="E1633" s="2" t="s">
        <v>12</v>
      </c>
      <c r="F1633" s="2">
        <v>945.56</v>
      </c>
      <c r="G1633" s="2">
        <v>50.03</v>
      </c>
      <c r="H1633" s="2" t="s">
        <v>28</v>
      </c>
      <c r="I1633" s="2" t="s">
        <v>34</v>
      </c>
    </row>
    <row r="1634" spans="1:9" x14ac:dyDescent="0.35">
      <c r="A1634" s="2" t="s">
        <v>1671</v>
      </c>
      <c r="B1634" s="3">
        <v>45652</v>
      </c>
      <c r="C1634" s="2" t="s">
        <v>10</v>
      </c>
      <c r="D1634" s="2" t="s">
        <v>31</v>
      </c>
      <c r="E1634" s="2" t="s">
        <v>12</v>
      </c>
      <c r="F1634" s="2">
        <v>1110.04</v>
      </c>
      <c r="G1634" s="2">
        <v>320.27</v>
      </c>
      <c r="H1634" s="2" t="s">
        <v>19</v>
      </c>
      <c r="I1634" s="2" t="s">
        <v>34</v>
      </c>
    </row>
    <row r="1635" spans="1:9" x14ac:dyDescent="0.35">
      <c r="A1635" s="2" t="s">
        <v>1672</v>
      </c>
      <c r="B1635" s="3">
        <v>44857</v>
      </c>
      <c r="C1635" s="2" t="s">
        <v>25</v>
      </c>
      <c r="D1635" s="2" t="s">
        <v>41</v>
      </c>
      <c r="E1635" s="2" t="s">
        <v>12</v>
      </c>
      <c r="F1635" s="2">
        <v>1364.35</v>
      </c>
      <c r="G1635" s="2">
        <v>253.74</v>
      </c>
      <c r="H1635" s="2" t="s">
        <v>13</v>
      </c>
      <c r="I1635" s="2" t="s">
        <v>20</v>
      </c>
    </row>
    <row r="1636" spans="1:9" x14ac:dyDescent="0.35">
      <c r="A1636" s="2" t="s">
        <v>1673</v>
      </c>
      <c r="B1636" s="3">
        <v>44918</v>
      </c>
      <c r="C1636" s="2" t="s">
        <v>22</v>
      </c>
      <c r="D1636" s="2" t="s">
        <v>33</v>
      </c>
      <c r="E1636" s="2" t="s">
        <v>18</v>
      </c>
      <c r="F1636" s="2">
        <v>1854.7</v>
      </c>
      <c r="G1636" s="2">
        <v>548.05999999999995</v>
      </c>
      <c r="H1636" s="2" t="s">
        <v>13</v>
      </c>
      <c r="I1636" s="2" t="s">
        <v>14</v>
      </c>
    </row>
    <row r="1637" spans="1:9" x14ac:dyDescent="0.35">
      <c r="A1637" s="2" t="s">
        <v>1674</v>
      </c>
      <c r="B1637" s="3">
        <v>44585</v>
      </c>
      <c r="C1637" s="2" t="s">
        <v>22</v>
      </c>
      <c r="D1637" s="2" t="s">
        <v>46</v>
      </c>
      <c r="E1637" s="2" t="s">
        <v>18</v>
      </c>
      <c r="F1637" s="2">
        <v>1410.31</v>
      </c>
      <c r="G1637" s="2">
        <v>197.56</v>
      </c>
      <c r="H1637" s="2" t="s">
        <v>19</v>
      </c>
      <c r="I1637" s="2" t="s">
        <v>34</v>
      </c>
    </row>
    <row r="1638" spans="1:9" x14ac:dyDescent="0.35">
      <c r="A1638" s="2" t="s">
        <v>1675</v>
      </c>
      <c r="B1638" s="3">
        <v>45066</v>
      </c>
      <c r="C1638" s="2" t="s">
        <v>22</v>
      </c>
      <c r="D1638" s="2" t="s">
        <v>46</v>
      </c>
      <c r="E1638" s="2" t="s">
        <v>18</v>
      </c>
      <c r="F1638" s="2">
        <v>271.87</v>
      </c>
      <c r="G1638" s="2">
        <v>71.34</v>
      </c>
      <c r="H1638" s="2" t="s">
        <v>19</v>
      </c>
      <c r="I1638" s="2" t="s">
        <v>34</v>
      </c>
    </row>
    <row r="1639" spans="1:9" x14ac:dyDescent="0.35">
      <c r="A1639" s="2" t="s">
        <v>1676</v>
      </c>
      <c r="B1639" s="3">
        <v>45220</v>
      </c>
      <c r="C1639" s="2" t="s">
        <v>22</v>
      </c>
      <c r="D1639" s="2" t="s">
        <v>57</v>
      </c>
      <c r="E1639" s="2" t="s">
        <v>27</v>
      </c>
      <c r="F1639" s="2">
        <v>663.1</v>
      </c>
      <c r="G1639" s="2">
        <v>66.14</v>
      </c>
      <c r="H1639" s="2" t="s">
        <v>19</v>
      </c>
      <c r="I1639" s="2" t="s">
        <v>29</v>
      </c>
    </row>
    <row r="1640" spans="1:9" x14ac:dyDescent="0.35">
      <c r="A1640" s="2" t="s">
        <v>1677</v>
      </c>
      <c r="B1640" s="3">
        <v>45386</v>
      </c>
      <c r="C1640" s="2" t="s">
        <v>22</v>
      </c>
      <c r="D1640" s="2" t="s">
        <v>57</v>
      </c>
      <c r="E1640" s="2" t="s">
        <v>27</v>
      </c>
      <c r="F1640" s="2">
        <v>819.95</v>
      </c>
      <c r="G1640" s="2">
        <v>117.75</v>
      </c>
      <c r="H1640" s="2" t="s">
        <v>19</v>
      </c>
      <c r="I1640" s="2" t="s">
        <v>14</v>
      </c>
    </row>
    <row r="1641" spans="1:9" x14ac:dyDescent="0.35">
      <c r="A1641" s="2" t="s">
        <v>1678</v>
      </c>
      <c r="B1641" s="3">
        <v>44596</v>
      </c>
      <c r="C1641" s="2" t="s">
        <v>16</v>
      </c>
      <c r="D1641" s="2" t="s">
        <v>17</v>
      </c>
      <c r="E1641" s="2" t="s">
        <v>18</v>
      </c>
      <c r="F1641" s="2">
        <v>832</v>
      </c>
      <c r="G1641" s="2">
        <v>133.61000000000001</v>
      </c>
      <c r="H1641" s="2" t="s">
        <v>19</v>
      </c>
      <c r="I1641" s="2" t="s">
        <v>20</v>
      </c>
    </row>
    <row r="1642" spans="1:9" x14ac:dyDescent="0.35">
      <c r="A1642" s="2" t="s">
        <v>1679</v>
      </c>
      <c r="B1642" s="3">
        <v>45334</v>
      </c>
      <c r="C1642" s="2" t="s">
        <v>22</v>
      </c>
      <c r="D1642" s="2" t="s">
        <v>95</v>
      </c>
      <c r="E1642" s="2" t="s">
        <v>18</v>
      </c>
      <c r="F1642" s="2">
        <v>721.27</v>
      </c>
      <c r="G1642" s="2">
        <v>195.07</v>
      </c>
      <c r="H1642" s="2" t="s">
        <v>13</v>
      </c>
      <c r="I1642" s="2" t="s">
        <v>29</v>
      </c>
    </row>
    <row r="1643" spans="1:9" x14ac:dyDescent="0.35">
      <c r="A1643" s="2" t="s">
        <v>1680</v>
      </c>
      <c r="B1643" s="3">
        <v>45612</v>
      </c>
      <c r="C1643" s="2" t="s">
        <v>25</v>
      </c>
      <c r="D1643" s="2" t="s">
        <v>31</v>
      </c>
      <c r="E1643" s="2" t="s">
        <v>12</v>
      </c>
      <c r="F1643" s="2">
        <v>1434.07</v>
      </c>
      <c r="G1643" s="2">
        <v>143.62</v>
      </c>
      <c r="H1643" s="2" t="s">
        <v>19</v>
      </c>
      <c r="I1643" s="2" t="s">
        <v>34</v>
      </c>
    </row>
    <row r="1644" spans="1:9" x14ac:dyDescent="0.35">
      <c r="A1644" s="2" t="s">
        <v>1681</v>
      </c>
      <c r="B1644" s="3">
        <v>45209</v>
      </c>
      <c r="C1644" s="2" t="s">
        <v>22</v>
      </c>
      <c r="D1644" s="2" t="s">
        <v>95</v>
      </c>
      <c r="E1644" s="2" t="s">
        <v>18</v>
      </c>
      <c r="F1644" s="2">
        <v>468.04</v>
      </c>
      <c r="G1644" s="2">
        <v>127.78</v>
      </c>
      <c r="H1644" s="2" t="s">
        <v>19</v>
      </c>
      <c r="I1644" s="2" t="s">
        <v>34</v>
      </c>
    </row>
    <row r="1645" spans="1:9" x14ac:dyDescent="0.35">
      <c r="A1645" s="2" t="s">
        <v>1682</v>
      </c>
      <c r="B1645" s="3">
        <v>45023</v>
      </c>
      <c r="C1645" s="2" t="s">
        <v>22</v>
      </c>
      <c r="D1645" s="2" t="s">
        <v>46</v>
      </c>
      <c r="E1645" s="2" t="s">
        <v>18</v>
      </c>
      <c r="F1645" s="2">
        <v>1049.96</v>
      </c>
      <c r="G1645" s="2">
        <v>87.76</v>
      </c>
      <c r="H1645" s="2" t="s">
        <v>28</v>
      </c>
      <c r="I1645" s="2" t="s">
        <v>14</v>
      </c>
    </row>
    <row r="1646" spans="1:9" x14ac:dyDescent="0.35">
      <c r="A1646" s="2" t="s">
        <v>1683</v>
      </c>
      <c r="B1646" s="3">
        <v>45273</v>
      </c>
      <c r="C1646" s="2" t="s">
        <v>10</v>
      </c>
      <c r="D1646" s="2" t="s">
        <v>26</v>
      </c>
      <c r="E1646" s="2" t="s">
        <v>27</v>
      </c>
      <c r="F1646" s="2">
        <v>821.36</v>
      </c>
      <c r="G1646" s="2">
        <v>44.84</v>
      </c>
      <c r="H1646" s="2" t="s">
        <v>13</v>
      </c>
      <c r="I1646" s="2" t="s">
        <v>34</v>
      </c>
    </row>
    <row r="1647" spans="1:9" x14ac:dyDescent="0.35">
      <c r="A1647" s="2" t="s">
        <v>1684</v>
      </c>
      <c r="B1647" s="3">
        <v>45591</v>
      </c>
      <c r="C1647" s="2" t="s">
        <v>16</v>
      </c>
      <c r="D1647" s="2" t="s">
        <v>31</v>
      </c>
      <c r="E1647" s="2" t="s">
        <v>12</v>
      </c>
      <c r="F1647" s="2">
        <v>1805.17</v>
      </c>
      <c r="G1647" s="2">
        <v>282.89999999999998</v>
      </c>
      <c r="H1647" s="2" t="s">
        <v>28</v>
      </c>
      <c r="I1647" s="2" t="s">
        <v>14</v>
      </c>
    </row>
    <row r="1648" spans="1:9" x14ac:dyDescent="0.35">
      <c r="A1648" s="2" t="s">
        <v>1685</v>
      </c>
      <c r="B1648" s="3">
        <v>45269</v>
      </c>
      <c r="C1648" s="2" t="s">
        <v>10</v>
      </c>
      <c r="D1648" s="2" t="s">
        <v>73</v>
      </c>
      <c r="E1648" s="2" t="s">
        <v>27</v>
      </c>
      <c r="F1648" s="2">
        <v>1015.01</v>
      </c>
      <c r="G1648" s="2">
        <v>144.72</v>
      </c>
      <c r="H1648" s="2" t="s">
        <v>19</v>
      </c>
      <c r="I1648" s="2" t="s">
        <v>34</v>
      </c>
    </row>
    <row r="1649" spans="1:9" x14ac:dyDescent="0.35">
      <c r="A1649" s="2" t="s">
        <v>1686</v>
      </c>
      <c r="B1649" s="3">
        <v>44878</v>
      </c>
      <c r="C1649" s="2" t="s">
        <v>22</v>
      </c>
      <c r="D1649" s="2" t="s">
        <v>97</v>
      </c>
      <c r="E1649" s="2" t="s">
        <v>27</v>
      </c>
      <c r="F1649" s="2">
        <v>685.58</v>
      </c>
      <c r="G1649" s="2">
        <v>159.9</v>
      </c>
      <c r="H1649" s="2" t="s">
        <v>13</v>
      </c>
      <c r="I1649" s="2" t="s">
        <v>20</v>
      </c>
    </row>
    <row r="1650" spans="1:9" x14ac:dyDescent="0.35">
      <c r="A1650" s="2" t="s">
        <v>1687</v>
      </c>
      <c r="B1650" s="3">
        <v>44914</v>
      </c>
      <c r="C1650" s="2" t="s">
        <v>25</v>
      </c>
      <c r="D1650" s="2" t="s">
        <v>11</v>
      </c>
      <c r="E1650" s="2" t="s">
        <v>12</v>
      </c>
      <c r="F1650" s="2">
        <v>1055.8699999999999</v>
      </c>
      <c r="G1650" s="2">
        <v>278.2</v>
      </c>
      <c r="H1650" s="2" t="s">
        <v>13</v>
      </c>
      <c r="I1650" s="2" t="s">
        <v>14</v>
      </c>
    </row>
    <row r="1651" spans="1:9" x14ac:dyDescent="0.35">
      <c r="A1651" s="2" t="s">
        <v>1688</v>
      </c>
      <c r="B1651" s="3">
        <v>45337</v>
      </c>
      <c r="C1651" s="2" t="s">
        <v>10</v>
      </c>
      <c r="D1651" s="2" t="s">
        <v>46</v>
      </c>
      <c r="E1651" s="2" t="s">
        <v>18</v>
      </c>
      <c r="F1651" s="2">
        <v>932.38</v>
      </c>
      <c r="G1651" s="2">
        <v>245.8</v>
      </c>
      <c r="H1651" s="2" t="s">
        <v>13</v>
      </c>
      <c r="I1651" s="2" t="s">
        <v>20</v>
      </c>
    </row>
    <row r="1652" spans="1:9" x14ac:dyDescent="0.35">
      <c r="A1652" s="2" t="s">
        <v>1689</v>
      </c>
      <c r="B1652" s="3">
        <v>45323</v>
      </c>
      <c r="C1652" s="2" t="s">
        <v>16</v>
      </c>
      <c r="D1652" s="2" t="s">
        <v>50</v>
      </c>
      <c r="E1652" s="2" t="s">
        <v>12</v>
      </c>
      <c r="F1652" s="2">
        <v>362.21</v>
      </c>
      <c r="G1652" s="2">
        <v>28.13</v>
      </c>
      <c r="H1652" s="2" t="s">
        <v>19</v>
      </c>
      <c r="I1652" s="2" t="s">
        <v>20</v>
      </c>
    </row>
    <row r="1653" spans="1:9" x14ac:dyDescent="0.35">
      <c r="A1653" s="2" t="s">
        <v>1690</v>
      </c>
      <c r="B1653" s="3">
        <v>45491</v>
      </c>
      <c r="C1653" s="2" t="s">
        <v>22</v>
      </c>
      <c r="D1653" s="2" t="s">
        <v>50</v>
      </c>
      <c r="E1653" s="2" t="s">
        <v>12</v>
      </c>
      <c r="F1653" s="2">
        <v>1995.38</v>
      </c>
      <c r="G1653" s="2">
        <v>279.52</v>
      </c>
      <c r="H1653" s="2" t="s">
        <v>19</v>
      </c>
      <c r="I1653" s="2" t="s">
        <v>14</v>
      </c>
    </row>
    <row r="1654" spans="1:9" x14ac:dyDescent="0.35">
      <c r="A1654" s="2" t="s">
        <v>1691</v>
      </c>
      <c r="B1654" s="3">
        <v>45051</v>
      </c>
      <c r="C1654" s="2" t="s">
        <v>10</v>
      </c>
      <c r="D1654" s="2" t="s">
        <v>73</v>
      </c>
      <c r="E1654" s="2" t="s">
        <v>27</v>
      </c>
      <c r="F1654" s="2">
        <v>1678.64</v>
      </c>
      <c r="G1654" s="2">
        <v>136.79</v>
      </c>
      <c r="H1654" s="2" t="s">
        <v>19</v>
      </c>
      <c r="I1654" s="2" t="s">
        <v>14</v>
      </c>
    </row>
    <row r="1655" spans="1:9" x14ac:dyDescent="0.35">
      <c r="A1655" s="2" t="s">
        <v>1692</v>
      </c>
      <c r="B1655" s="3">
        <v>44620</v>
      </c>
      <c r="C1655" s="2" t="s">
        <v>22</v>
      </c>
      <c r="D1655" s="2" t="s">
        <v>97</v>
      </c>
      <c r="E1655" s="2" t="s">
        <v>27</v>
      </c>
      <c r="F1655" s="2">
        <v>1309.6500000000001</v>
      </c>
      <c r="G1655" s="2">
        <v>239.64</v>
      </c>
      <c r="H1655" s="2" t="s">
        <v>28</v>
      </c>
      <c r="I1655" s="2" t="s">
        <v>14</v>
      </c>
    </row>
    <row r="1656" spans="1:9" x14ac:dyDescent="0.35">
      <c r="A1656" s="2" t="s">
        <v>1693</v>
      </c>
      <c r="B1656" s="3">
        <v>45301</v>
      </c>
      <c r="C1656" s="2" t="s">
        <v>10</v>
      </c>
      <c r="D1656" s="2" t="s">
        <v>46</v>
      </c>
      <c r="E1656" s="2" t="s">
        <v>18</v>
      </c>
      <c r="F1656" s="2">
        <v>128.52000000000001</v>
      </c>
      <c r="G1656" s="2">
        <v>11.9</v>
      </c>
      <c r="H1656" s="2" t="s">
        <v>28</v>
      </c>
      <c r="I1656" s="2" t="s">
        <v>29</v>
      </c>
    </row>
    <row r="1657" spans="1:9" x14ac:dyDescent="0.35">
      <c r="A1657" s="2" t="s">
        <v>1694</v>
      </c>
      <c r="B1657" s="3">
        <v>45566</v>
      </c>
      <c r="C1657" s="2" t="s">
        <v>22</v>
      </c>
      <c r="D1657" s="2" t="s">
        <v>31</v>
      </c>
      <c r="E1657" s="2" t="s">
        <v>12</v>
      </c>
      <c r="F1657" s="2">
        <v>660.59</v>
      </c>
      <c r="G1657" s="2">
        <v>89.63</v>
      </c>
      <c r="H1657" s="2" t="s">
        <v>28</v>
      </c>
      <c r="I1657" s="2" t="s">
        <v>29</v>
      </c>
    </row>
    <row r="1658" spans="1:9" x14ac:dyDescent="0.35">
      <c r="A1658" s="2" t="s">
        <v>1695</v>
      </c>
      <c r="B1658" s="3">
        <v>45353</v>
      </c>
      <c r="C1658" s="2" t="s">
        <v>22</v>
      </c>
      <c r="D1658" s="2" t="s">
        <v>62</v>
      </c>
      <c r="E1658" s="2" t="s">
        <v>27</v>
      </c>
      <c r="F1658" s="2">
        <v>1210.4100000000001</v>
      </c>
      <c r="G1658" s="2">
        <v>96.29</v>
      </c>
      <c r="H1658" s="2" t="s">
        <v>13</v>
      </c>
      <c r="I1658" s="2" t="s">
        <v>34</v>
      </c>
    </row>
    <row r="1659" spans="1:9" x14ac:dyDescent="0.35">
      <c r="A1659" s="2" t="s">
        <v>1696</v>
      </c>
      <c r="B1659" s="3">
        <v>45351</v>
      </c>
      <c r="C1659" s="2" t="s">
        <v>16</v>
      </c>
      <c r="D1659" s="2" t="s">
        <v>97</v>
      </c>
      <c r="E1659" s="2" t="s">
        <v>27</v>
      </c>
      <c r="F1659" s="2">
        <v>829.3</v>
      </c>
      <c r="G1659" s="2">
        <v>52.55</v>
      </c>
      <c r="H1659" s="2" t="s">
        <v>28</v>
      </c>
      <c r="I1659" s="2" t="s">
        <v>34</v>
      </c>
    </row>
    <row r="1660" spans="1:9" x14ac:dyDescent="0.35">
      <c r="A1660" s="2" t="s">
        <v>1697</v>
      </c>
      <c r="B1660" s="3">
        <v>44972</v>
      </c>
      <c r="C1660" s="2" t="s">
        <v>22</v>
      </c>
      <c r="D1660" s="2" t="s">
        <v>73</v>
      </c>
      <c r="E1660" s="2" t="s">
        <v>27</v>
      </c>
      <c r="F1660" s="2">
        <v>266.24</v>
      </c>
      <c r="G1660" s="2">
        <v>33.69</v>
      </c>
      <c r="H1660" s="2" t="s">
        <v>28</v>
      </c>
      <c r="I1660" s="2" t="s">
        <v>20</v>
      </c>
    </row>
    <row r="1661" spans="1:9" x14ac:dyDescent="0.35">
      <c r="A1661" s="2" t="s">
        <v>1698</v>
      </c>
      <c r="B1661" s="3">
        <v>45001</v>
      </c>
      <c r="C1661" s="2" t="s">
        <v>25</v>
      </c>
      <c r="D1661" s="2" t="s">
        <v>38</v>
      </c>
      <c r="E1661" s="2" t="s">
        <v>12</v>
      </c>
      <c r="F1661" s="2">
        <v>430.78</v>
      </c>
      <c r="G1661" s="2">
        <v>111.02</v>
      </c>
      <c r="H1661" s="2" t="s">
        <v>13</v>
      </c>
      <c r="I1661" s="2" t="s">
        <v>34</v>
      </c>
    </row>
    <row r="1662" spans="1:9" x14ac:dyDescent="0.35">
      <c r="A1662" s="2" t="s">
        <v>1699</v>
      </c>
      <c r="B1662" s="3">
        <v>45457</v>
      </c>
      <c r="C1662" s="2" t="s">
        <v>25</v>
      </c>
      <c r="D1662" s="2" t="s">
        <v>95</v>
      </c>
      <c r="E1662" s="2" t="s">
        <v>18</v>
      </c>
      <c r="F1662" s="2">
        <v>939.51</v>
      </c>
      <c r="G1662" s="2">
        <v>104.97</v>
      </c>
      <c r="H1662" s="2" t="s">
        <v>13</v>
      </c>
      <c r="I1662" s="2" t="s">
        <v>29</v>
      </c>
    </row>
    <row r="1663" spans="1:9" x14ac:dyDescent="0.35">
      <c r="A1663" s="2" t="s">
        <v>1700</v>
      </c>
      <c r="B1663" s="3">
        <v>45142</v>
      </c>
      <c r="C1663" s="2" t="s">
        <v>22</v>
      </c>
      <c r="D1663" s="2" t="s">
        <v>57</v>
      </c>
      <c r="E1663" s="2" t="s">
        <v>27</v>
      </c>
      <c r="F1663" s="2">
        <v>507.52</v>
      </c>
      <c r="G1663" s="2">
        <v>129</v>
      </c>
      <c r="H1663" s="2" t="s">
        <v>19</v>
      </c>
      <c r="I1663" s="2" t="s">
        <v>20</v>
      </c>
    </row>
    <row r="1664" spans="1:9" x14ac:dyDescent="0.35">
      <c r="A1664" s="2" t="s">
        <v>1701</v>
      </c>
      <c r="B1664" s="3">
        <v>44660</v>
      </c>
      <c r="C1664" s="2" t="s">
        <v>25</v>
      </c>
      <c r="D1664" s="2" t="s">
        <v>38</v>
      </c>
      <c r="E1664" s="2" t="s">
        <v>12</v>
      </c>
      <c r="F1664" s="2">
        <v>977.7</v>
      </c>
      <c r="G1664" s="2">
        <v>83.56</v>
      </c>
      <c r="H1664" s="2" t="s">
        <v>19</v>
      </c>
      <c r="I1664" s="2" t="s">
        <v>14</v>
      </c>
    </row>
    <row r="1665" spans="1:9" x14ac:dyDescent="0.35">
      <c r="A1665" s="2" t="s">
        <v>1702</v>
      </c>
      <c r="B1665" s="3">
        <v>44764</v>
      </c>
      <c r="C1665" s="2" t="s">
        <v>16</v>
      </c>
      <c r="D1665" s="2" t="s">
        <v>57</v>
      </c>
      <c r="E1665" s="2" t="s">
        <v>27</v>
      </c>
      <c r="F1665" s="2">
        <v>1515.05</v>
      </c>
      <c r="G1665" s="2">
        <v>274.86</v>
      </c>
      <c r="H1665" s="2" t="s">
        <v>13</v>
      </c>
      <c r="I1665" s="2" t="s">
        <v>34</v>
      </c>
    </row>
    <row r="1666" spans="1:9" x14ac:dyDescent="0.35">
      <c r="A1666" s="2" t="s">
        <v>1703</v>
      </c>
      <c r="B1666" s="3">
        <v>44990</v>
      </c>
      <c r="C1666" s="2" t="s">
        <v>16</v>
      </c>
      <c r="D1666" s="2" t="s">
        <v>57</v>
      </c>
      <c r="E1666" s="2" t="s">
        <v>27</v>
      </c>
      <c r="F1666" s="2">
        <v>280.20999999999998</v>
      </c>
      <c r="G1666" s="2">
        <v>30.73</v>
      </c>
      <c r="H1666" s="2" t="s">
        <v>13</v>
      </c>
      <c r="I1666" s="2" t="s">
        <v>20</v>
      </c>
    </row>
    <row r="1667" spans="1:9" x14ac:dyDescent="0.35">
      <c r="A1667" s="2" t="s">
        <v>1704</v>
      </c>
      <c r="B1667" s="3">
        <v>44691</v>
      </c>
      <c r="C1667" s="2" t="s">
        <v>22</v>
      </c>
      <c r="D1667" s="2" t="s">
        <v>57</v>
      </c>
      <c r="E1667" s="2" t="s">
        <v>27</v>
      </c>
      <c r="F1667" s="2">
        <v>1701.95</v>
      </c>
      <c r="G1667" s="2">
        <v>474.26</v>
      </c>
      <c r="H1667" s="2" t="s">
        <v>28</v>
      </c>
      <c r="I1667" s="2" t="s">
        <v>29</v>
      </c>
    </row>
    <row r="1668" spans="1:9" x14ac:dyDescent="0.35">
      <c r="A1668" s="2" t="s">
        <v>1705</v>
      </c>
      <c r="B1668" s="3">
        <v>45478</v>
      </c>
      <c r="C1668" s="2" t="s">
        <v>10</v>
      </c>
      <c r="D1668" s="2" t="s">
        <v>23</v>
      </c>
      <c r="E1668" s="2" t="s">
        <v>18</v>
      </c>
      <c r="F1668" s="2">
        <v>418.29</v>
      </c>
      <c r="G1668" s="2">
        <v>114.78</v>
      </c>
      <c r="H1668" s="2" t="s">
        <v>28</v>
      </c>
      <c r="I1668" s="2" t="s">
        <v>20</v>
      </c>
    </row>
    <row r="1669" spans="1:9" x14ac:dyDescent="0.35">
      <c r="A1669" s="2" t="s">
        <v>1706</v>
      </c>
      <c r="B1669" s="3">
        <v>44863</v>
      </c>
      <c r="C1669" s="2" t="s">
        <v>22</v>
      </c>
      <c r="D1669" s="2" t="s">
        <v>41</v>
      </c>
      <c r="E1669" s="2" t="s">
        <v>12</v>
      </c>
      <c r="F1669" s="2">
        <v>1286.9000000000001</v>
      </c>
      <c r="G1669" s="2">
        <v>114.9</v>
      </c>
      <c r="H1669" s="2" t="s">
        <v>28</v>
      </c>
      <c r="I1669" s="2" t="s">
        <v>20</v>
      </c>
    </row>
    <row r="1670" spans="1:9" x14ac:dyDescent="0.35">
      <c r="A1670" s="2" t="s">
        <v>1707</v>
      </c>
      <c r="B1670" s="3">
        <v>44689</v>
      </c>
      <c r="C1670" s="2" t="s">
        <v>16</v>
      </c>
      <c r="D1670" s="2" t="s">
        <v>33</v>
      </c>
      <c r="E1670" s="2" t="s">
        <v>18</v>
      </c>
      <c r="F1670" s="2">
        <v>175.12</v>
      </c>
      <c r="G1670" s="2">
        <v>33.61</v>
      </c>
      <c r="H1670" s="2" t="s">
        <v>19</v>
      </c>
      <c r="I1670" s="2" t="s">
        <v>34</v>
      </c>
    </row>
    <row r="1671" spans="1:9" x14ac:dyDescent="0.35">
      <c r="A1671" s="2" t="s">
        <v>1708</v>
      </c>
      <c r="B1671" s="3">
        <v>45108</v>
      </c>
      <c r="C1671" s="2" t="s">
        <v>10</v>
      </c>
      <c r="D1671" s="2" t="s">
        <v>23</v>
      </c>
      <c r="E1671" s="2" t="s">
        <v>18</v>
      </c>
      <c r="F1671" s="2">
        <v>319.45</v>
      </c>
      <c r="G1671" s="2">
        <v>80.03</v>
      </c>
      <c r="H1671" s="2" t="s">
        <v>28</v>
      </c>
      <c r="I1671" s="2" t="s">
        <v>29</v>
      </c>
    </row>
    <row r="1672" spans="1:9" x14ac:dyDescent="0.35">
      <c r="A1672" s="2" t="s">
        <v>1709</v>
      </c>
      <c r="B1672" s="3">
        <v>44867</v>
      </c>
      <c r="C1672" s="2" t="s">
        <v>25</v>
      </c>
      <c r="D1672" s="2" t="s">
        <v>95</v>
      </c>
      <c r="E1672" s="2" t="s">
        <v>18</v>
      </c>
      <c r="F1672" s="2">
        <v>1360.62</v>
      </c>
      <c r="G1672" s="2">
        <v>299.45999999999998</v>
      </c>
      <c r="H1672" s="2" t="s">
        <v>19</v>
      </c>
      <c r="I1672" s="2" t="s">
        <v>29</v>
      </c>
    </row>
    <row r="1673" spans="1:9" x14ac:dyDescent="0.35">
      <c r="A1673" s="2" t="s">
        <v>1710</v>
      </c>
      <c r="B1673" s="3">
        <v>45569</v>
      </c>
      <c r="C1673" s="2" t="s">
        <v>16</v>
      </c>
      <c r="D1673" s="2" t="s">
        <v>57</v>
      </c>
      <c r="E1673" s="2" t="s">
        <v>27</v>
      </c>
      <c r="F1673" s="2">
        <v>475.59</v>
      </c>
      <c r="G1673" s="2">
        <v>110.97</v>
      </c>
      <c r="H1673" s="2" t="s">
        <v>28</v>
      </c>
      <c r="I1673" s="2" t="s">
        <v>29</v>
      </c>
    </row>
    <row r="1674" spans="1:9" x14ac:dyDescent="0.35">
      <c r="A1674" s="2" t="s">
        <v>1711</v>
      </c>
      <c r="B1674" s="3">
        <v>44794</v>
      </c>
      <c r="C1674" s="2" t="s">
        <v>22</v>
      </c>
      <c r="D1674" s="2" t="s">
        <v>38</v>
      </c>
      <c r="E1674" s="2" t="s">
        <v>12</v>
      </c>
      <c r="F1674" s="2">
        <v>1788.42</v>
      </c>
      <c r="G1674" s="2">
        <v>448.93</v>
      </c>
      <c r="H1674" s="2" t="s">
        <v>19</v>
      </c>
      <c r="I1674" s="2" t="s">
        <v>14</v>
      </c>
    </row>
    <row r="1675" spans="1:9" x14ac:dyDescent="0.35">
      <c r="A1675" s="2" t="s">
        <v>1712</v>
      </c>
      <c r="B1675" s="3">
        <v>45100</v>
      </c>
      <c r="C1675" s="2" t="s">
        <v>16</v>
      </c>
      <c r="D1675" s="2" t="s">
        <v>11</v>
      </c>
      <c r="E1675" s="2" t="s">
        <v>12</v>
      </c>
      <c r="F1675" s="2">
        <v>240.49</v>
      </c>
      <c r="G1675" s="2">
        <v>15.97</v>
      </c>
      <c r="H1675" s="2" t="s">
        <v>28</v>
      </c>
      <c r="I1675" s="2" t="s">
        <v>14</v>
      </c>
    </row>
    <row r="1676" spans="1:9" x14ac:dyDescent="0.35">
      <c r="A1676" s="2" t="s">
        <v>1713</v>
      </c>
      <c r="B1676" s="3">
        <v>44855</v>
      </c>
      <c r="C1676" s="2" t="s">
        <v>22</v>
      </c>
      <c r="D1676" s="2" t="s">
        <v>23</v>
      </c>
      <c r="E1676" s="2" t="s">
        <v>18</v>
      </c>
      <c r="F1676" s="2">
        <v>201.75</v>
      </c>
      <c r="G1676" s="2">
        <v>49.21</v>
      </c>
      <c r="H1676" s="2" t="s">
        <v>13</v>
      </c>
      <c r="I1676" s="2" t="s">
        <v>29</v>
      </c>
    </row>
    <row r="1677" spans="1:9" x14ac:dyDescent="0.35">
      <c r="A1677" s="2" t="s">
        <v>1714</v>
      </c>
      <c r="B1677" s="3">
        <v>45380</v>
      </c>
      <c r="C1677" s="2" t="s">
        <v>10</v>
      </c>
      <c r="D1677" s="2" t="s">
        <v>41</v>
      </c>
      <c r="E1677" s="2" t="s">
        <v>12</v>
      </c>
      <c r="F1677" s="2">
        <v>961.38</v>
      </c>
      <c r="G1677" s="2">
        <v>196.27</v>
      </c>
      <c r="H1677" s="2" t="s">
        <v>19</v>
      </c>
      <c r="I1677" s="2" t="s">
        <v>14</v>
      </c>
    </row>
    <row r="1678" spans="1:9" x14ac:dyDescent="0.35">
      <c r="A1678" s="2" t="s">
        <v>1715</v>
      </c>
      <c r="B1678" s="3">
        <v>45001</v>
      </c>
      <c r="C1678" s="2" t="s">
        <v>25</v>
      </c>
      <c r="D1678" s="2" t="s">
        <v>31</v>
      </c>
      <c r="E1678" s="2" t="s">
        <v>12</v>
      </c>
      <c r="F1678" s="2">
        <v>995.11</v>
      </c>
      <c r="G1678" s="2">
        <v>293.52</v>
      </c>
      <c r="H1678" s="2" t="s">
        <v>28</v>
      </c>
      <c r="I1678" s="2" t="s">
        <v>14</v>
      </c>
    </row>
    <row r="1679" spans="1:9" x14ac:dyDescent="0.35">
      <c r="A1679" s="2" t="s">
        <v>1716</v>
      </c>
      <c r="B1679" s="3">
        <v>44619</v>
      </c>
      <c r="C1679" s="2" t="s">
        <v>16</v>
      </c>
      <c r="D1679" s="2" t="s">
        <v>23</v>
      </c>
      <c r="E1679" s="2" t="s">
        <v>18</v>
      </c>
      <c r="F1679" s="2">
        <v>1894.88</v>
      </c>
      <c r="G1679" s="2">
        <v>189.11</v>
      </c>
      <c r="H1679" s="2" t="s">
        <v>19</v>
      </c>
      <c r="I1679" s="2" t="s">
        <v>14</v>
      </c>
    </row>
    <row r="1680" spans="1:9" x14ac:dyDescent="0.35">
      <c r="A1680" s="2" t="s">
        <v>1717</v>
      </c>
      <c r="B1680" s="3">
        <v>44639</v>
      </c>
      <c r="C1680" s="2" t="s">
        <v>22</v>
      </c>
      <c r="D1680" s="2" t="s">
        <v>33</v>
      </c>
      <c r="E1680" s="2" t="s">
        <v>18</v>
      </c>
      <c r="F1680" s="2">
        <v>676.62</v>
      </c>
      <c r="G1680" s="2">
        <v>55.55</v>
      </c>
      <c r="H1680" s="2" t="s">
        <v>28</v>
      </c>
      <c r="I1680" s="2" t="s">
        <v>20</v>
      </c>
    </row>
    <row r="1681" spans="1:9" x14ac:dyDescent="0.35">
      <c r="A1681" s="2" t="s">
        <v>1718</v>
      </c>
      <c r="B1681" s="3">
        <v>44713</v>
      </c>
      <c r="C1681" s="2" t="s">
        <v>25</v>
      </c>
      <c r="D1681" s="2" t="s">
        <v>95</v>
      </c>
      <c r="E1681" s="2" t="s">
        <v>18</v>
      </c>
      <c r="F1681" s="2">
        <v>359</v>
      </c>
      <c r="G1681" s="2">
        <v>52.98</v>
      </c>
      <c r="H1681" s="2" t="s">
        <v>28</v>
      </c>
      <c r="I1681" s="2" t="s">
        <v>14</v>
      </c>
    </row>
    <row r="1682" spans="1:9" x14ac:dyDescent="0.35">
      <c r="A1682" s="2" t="s">
        <v>1719</v>
      </c>
      <c r="B1682" s="3">
        <v>44960</v>
      </c>
      <c r="C1682" s="2" t="s">
        <v>22</v>
      </c>
      <c r="D1682" s="2" t="s">
        <v>11</v>
      </c>
      <c r="E1682" s="2" t="s">
        <v>12</v>
      </c>
      <c r="F1682" s="2">
        <v>181.8</v>
      </c>
      <c r="G1682" s="2">
        <v>20.64</v>
      </c>
      <c r="H1682" s="2" t="s">
        <v>19</v>
      </c>
      <c r="I1682" s="2" t="s">
        <v>34</v>
      </c>
    </row>
    <row r="1683" spans="1:9" x14ac:dyDescent="0.35">
      <c r="A1683" s="2" t="s">
        <v>1720</v>
      </c>
      <c r="B1683" s="3">
        <v>45487</v>
      </c>
      <c r="C1683" s="2" t="s">
        <v>10</v>
      </c>
      <c r="D1683" s="2" t="s">
        <v>11</v>
      </c>
      <c r="E1683" s="2" t="s">
        <v>12</v>
      </c>
      <c r="F1683" s="2">
        <v>556.17999999999995</v>
      </c>
      <c r="G1683" s="2">
        <v>155.24</v>
      </c>
      <c r="H1683" s="2" t="s">
        <v>28</v>
      </c>
      <c r="I1683" s="2" t="s">
        <v>29</v>
      </c>
    </row>
    <row r="1684" spans="1:9" x14ac:dyDescent="0.35">
      <c r="A1684" s="2" t="s">
        <v>1721</v>
      </c>
      <c r="B1684" s="3">
        <v>44614</v>
      </c>
      <c r="C1684" s="2" t="s">
        <v>10</v>
      </c>
      <c r="D1684" s="2" t="s">
        <v>57</v>
      </c>
      <c r="E1684" s="2" t="s">
        <v>27</v>
      </c>
      <c r="F1684" s="2">
        <v>1308.5</v>
      </c>
      <c r="G1684" s="2">
        <v>303.89999999999998</v>
      </c>
      <c r="H1684" s="2" t="s">
        <v>28</v>
      </c>
      <c r="I1684" s="2" t="s">
        <v>20</v>
      </c>
    </row>
    <row r="1685" spans="1:9" x14ac:dyDescent="0.35">
      <c r="A1685" s="2" t="s">
        <v>1722</v>
      </c>
      <c r="B1685" s="3">
        <v>44584</v>
      </c>
      <c r="C1685" s="2" t="s">
        <v>16</v>
      </c>
      <c r="D1685" s="2" t="s">
        <v>97</v>
      </c>
      <c r="E1685" s="2" t="s">
        <v>27</v>
      </c>
      <c r="F1685" s="2">
        <v>1913.72</v>
      </c>
      <c r="G1685" s="2">
        <v>304.67</v>
      </c>
      <c r="H1685" s="2" t="s">
        <v>13</v>
      </c>
      <c r="I1685" s="2" t="s">
        <v>14</v>
      </c>
    </row>
    <row r="1686" spans="1:9" x14ac:dyDescent="0.35">
      <c r="A1686" s="2" t="s">
        <v>1723</v>
      </c>
      <c r="B1686" s="3">
        <v>44629</v>
      </c>
      <c r="C1686" s="2" t="s">
        <v>16</v>
      </c>
      <c r="D1686" s="2" t="s">
        <v>31</v>
      </c>
      <c r="E1686" s="2" t="s">
        <v>12</v>
      </c>
      <c r="F1686" s="2">
        <v>1396.37</v>
      </c>
      <c r="G1686" s="2">
        <v>184.51</v>
      </c>
      <c r="H1686" s="2" t="s">
        <v>19</v>
      </c>
      <c r="I1686" s="2" t="s">
        <v>14</v>
      </c>
    </row>
    <row r="1687" spans="1:9" x14ac:dyDescent="0.35">
      <c r="A1687" s="2" t="s">
        <v>1724</v>
      </c>
      <c r="B1687" s="3">
        <v>44758</v>
      </c>
      <c r="C1687" s="2" t="s">
        <v>10</v>
      </c>
      <c r="D1687" s="2" t="s">
        <v>41</v>
      </c>
      <c r="E1687" s="2" t="s">
        <v>12</v>
      </c>
      <c r="F1687" s="2">
        <v>1570.56</v>
      </c>
      <c r="G1687" s="2">
        <v>137.51</v>
      </c>
      <c r="H1687" s="2" t="s">
        <v>19</v>
      </c>
      <c r="I1687" s="2" t="s">
        <v>14</v>
      </c>
    </row>
    <row r="1688" spans="1:9" x14ac:dyDescent="0.35">
      <c r="A1688" s="2" t="s">
        <v>1725</v>
      </c>
      <c r="B1688" s="3">
        <v>45092</v>
      </c>
      <c r="C1688" s="2" t="s">
        <v>16</v>
      </c>
      <c r="D1688" s="2" t="s">
        <v>57</v>
      </c>
      <c r="E1688" s="2" t="s">
        <v>27</v>
      </c>
      <c r="F1688" s="2">
        <v>1115.6600000000001</v>
      </c>
      <c r="G1688" s="2">
        <v>91.51</v>
      </c>
      <c r="H1688" s="2" t="s">
        <v>19</v>
      </c>
      <c r="I1688" s="2" t="s">
        <v>34</v>
      </c>
    </row>
    <row r="1689" spans="1:9" x14ac:dyDescent="0.35">
      <c r="A1689" s="2" t="s">
        <v>1726</v>
      </c>
      <c r="B1689" s="3">
        <v>45313</v>
      </c>
      <c r="C1689" s="2" t="s">
        <v>10</v>
      </c>
      <c r="D1689" s="2" t="s">
        <v>95</v>
      </c>
      <c r="E1689" s="2" t="s">
        <v>18</v>
      </c>
      <c r="F1689" s="2">
        <v>1956.75</v>
      </c>
      <c r="G1689" s="2">
        <v>251.75</v>
      </c>
      <c r="H1689" s="2" t="s">
        <v>13</v>
      </c>
      <c r="I1689" s="2" t="s">
        <v>14</v>
      </c>
    </row>
    <row r="1690" spans="1:9" x14ac:dyDescent="0.35">
      <c r="A1690" s="2" t="s">
        <v>1727</v>
      </c>
      <c r="B1690" s="3">
        <v>45251</v>
      </c>
      <c r="C1690" s="2" t="s">
        <v>25</v>
      </c>
      <c r="D1690" s="2" t="s">
        <v>26</v>
      </c>
      <c r="E1690" s="2" t="s">
        <v>27</v>
      </c>
      <c r="F1690" s="2">
        <v>813.96</v>
      </c>
      <c r="G1690" s="2">
        <v>184.6</v>
      </c>
      <c r="H1690" s="2" t="s">
        <v>13</v>
      </c>
      <c r="I1690" s="2" t="s">
        <v>29</v>
      </c>
    </row>
    <row r="1691" spans="1:9" x14ac:dyDescent="0.35">
      <c r="A1691" s="2" t="s">
        <v>1728</v>
      </c>
      <c r="B1691" s="3">
        <v>45125</v>
      </c>
      <c r="C1691" s="2" t="s">
        <v>10</v>
      </c>
      <c r="D1691" s="2" t="s">
        <v>33</v>
      </c>
      <c r="E1691" s="2" t="s">
        <v>18</v>
      </c>
      <c r="F1691" s="2">
        <v>1853.51</v>
      </c>
      <c r="G1691" s="2">
        <v>300.18</v>
      </c>
      <c r="H1691" s="2" t="s">
        <v>13</v>
      </c>
      <c r="I1691" s="2" t="s">
        <v>29</v>
      </c>
    </row>
    <row r="1692" spans="1:9" x14ac:dyDescent="0.35">
      <c r="A1692" s="2" t="s">
        <v>1729</v>
      </c>
      <c r="B1692" s="3">
        <v>44973</v>
      </c>
      <c r="C1692" s="2" t="s">
        <v>10</v>
      </c>
      <c r="D1692" s="2" t="s">
        <v>38</v>
      </c>
      <c r="E1692" s="2" t="s">
        <v>12</v>
      </c>
      <c r="F1692" s="2">
        <v>1426.42</v>
      </c>
      <c r="G1692" s="2">
        <v>86.57</v>
      </c>
      <c r="H1692" s="2" t="s">
        <v>13</v>
      </c>
      <c r="I1692" s="2" t="s">
        <v>34</v>
      </c>
    </row>
    <row r="1693" spans="1:9" x14ac:dyDescent="0.35">
      <c r="A1693" s="2" t="s">
        <v>1730</v>
      </c>
      <c r="B1693" s="3">
        <v>45100</v>
      </c>
      <c r="C1693" s="2" t="s">
        <v>10</v>
      </c>
      <c r="D1693" s="2" t="s">
        <v>95</v>
      </c>
      <c r="E1693" s="2" t="s">
        <v>18</v>
      </c>
      <c r="F1693" s="2">
        <v>1777.17</v>
      </c>
      <c r="G1693" s="2">
        <v>292.8</v>
      </c>
      <c r="H1693" s="2" t="s">
        <v>13</v>
      </c>
      <c r="I1693" s="2" t="s">
        <v>34</v>
      </c>
    </row>
    <row r="1694" spans="1:9" x14ac:dyDescent="0.35">
      <c r="A1694" s="2" t="s">
        <v>1731</v>
      </c>
      <c r="B1694" s="3">
        <v>44572</v>
      </c>
      <c r="C1694" s="2" t="s">
        <v>10</v>
      </c>
      <c r="D1694" s="2" t="s">
        <v>46</v>
      </c>
      <c r="E1694" s="2" t="s">
        <v>18</v>
      </c>
      <c r="F1694" s="2">
        <v>1963.29</v>
      </c>
      <c r="G1694" s="2">
        <v>99.36</v>
      </c>
      <c r="H1694" s="2" t="s">
        <v>13</v>
      </c>
      <c r="I1694" s="2" t="s">
        <v>20</v>
      </c>
    </row>
    <row r="1695" spans="1:9" x14ac:dyDescent="0.35">
      <c r="A1695" s="2" t="s">
        <v>1732</v>
      </c>
      <c r="B1695" s="3">
        <v>44909</v>
      </c>
      <c r="C1695" s="2" t="s">
        <v>10</v>
      </c>
      <c r="D1695" s="2" t="s">
        <v>50</v>
      </c>
      <c r="E1695" s="2" t="s">
        <v>12</v>
      </c>
      <c r="F1695" s="2">
        <v>460.33</v>
      </c>
      <c r="G1695" s="2">
        <v>36.22</v>
      </c>
      <c r="H1695" s="2" t="s">
        <v>13</v>
      </c>
      <c r="I1695" s="2" t="s">
        <v>20</v>
      </c>
    </row>
    <row r="1696" spans="1:9" x14ac:dyDescent="0.35">
      <c r="A1696" s="2" t="s">
        <v>1733</v>
      </c>
      <c r="B1696" s="3">
        <v>45036</v>
      </c>
      <c r="C1696" s="2" t="s">
        <v>22</v>
      </c>
      <c r="D1696" s="2" t="s">
        <v>31</v>
      </c>
      <c r="E1696" s="2" t="s">
        <v>12</v>
      </c>
      <c r="F1696" s="2">
        <v>564.62</v>
      </c>
      <c r="G1696" s="2">
        <v>45.71</v>
      </c>
      <c r="H1696" s="2" t="s">
        <v>13</v>
      </c>
      <c r="I1696" s="2" t="s">
        <v>14</v>
      </c>
    </row>
    <row r="1697" spans="1:9" x14ac:dyDescent="0.35">
      <c r="A1697" s="2" t="s">
        <v>1734</v>
      </c>
      <c r="B1697" s="3">
        <v>44845</v>
      </c>
      <c r="C1697" s="2" t="s">
        <v>22</v>
      </c>
      <c r="D1697" s="2" t="s">
        <v>62</v>
      </c>
      <c r="E1697" s="2" t="s">
        <v>27</v>
      </c>
      <c r="F1697" s="2">
        <v>481.6</v>
      </c>
      <c r="G1697" s="2">
        <v>24.51</v>
      </c>
      <c r="H1697" s="2" t="s">
        <v>13</v>
      </c>
      <c r="I1697" s="2" t="s">
        <v>29</v>
      </c>
    </row>
    <row r="1698" spans="1:9" x14ac:dyDescent="0.35">
      <c r="A1698" s="2" t="s">
        <v>1735</v>
      </c>
      <c r="B1698" s="3">
        <v>45209</v>
      </c>
      <c r="C1698" s="2" t="s">
        <v>22</v>
      </c>
      <c r="D1698" s="2" t="s">
        <v>95</v>
      </c>
      <c r="E1698" s="2" t="s">
        <v>18</v>
      </c>
      <c r="F1698" s="2">
        <v>1805.46</v>
      </c>
      <c r="G1698" s="2">
        <v>412.03</v>
      </c>
      <c r="H1698" s="2" t="s">
        <v>28</v>
      </c>
      <c r="I1698" s="2" t="s">
        <v>29</v>
      </c>
    </row>
    <row r="1699" spans="1:9" x14ac:dyDescent="0.35">
      <c r="A1699" s="2" t="s">
        <v>1736</v>
      </c>
      <c r="B1699" s="3">
        <v>45012</v>
      </c>
      <c r="C1699" s="2" t="s">
        <v>10</v>
      </c>
      <c r="D1699" s="2" t="s">
        <v>23</v>
      </c>
      <c r="E1699" s="2" t="s">
        <v>18</v>
      </c>
      <c r="F1699" s="2">
        <v>755.62</v>
      </c>
      <c r="G1699" s="2">
        <v>144.02000000000001</v>
      </c>
      <c r="H1699" s="2" t="s">
        <v>13</v>
      </c>
      <c r="I1699" s="2" t="s">
        <v>34</v>
      </c>
    </row>
    <row r="1700" spans="1:9" x14ac:dyDescent="0.35">
      <c r="A1700" s="2" t="s">
        <v>1737</v>
      </c>
      <c r="B1700" s="3">
        <v>45515</v>
      </c>
      <c r="C1700" s="2" t="s">
        <v>10</v>
      </c>
      <c r="D1700" s="2" t="s">
        <v>26</v>
      </c>
      <c r="E1700" s="2" t="s">
        <v>27</v>
      </c>
      <c r="F1700" s="2">
        <v>799.44</v>
      </c>
      <c r="G1700" s="2">
        <v>151.9</v>
      </c>
      <c r="H1700" s="2" t="s">
        <v>13</v>
      </c>
      <c r="I1700" s="2" t="s">
        <v>14</v>
      </c>
    </row>
    <row r="1701" spans="1:9" x14ac:dyDescent="0.35">
      <c r="A1701" s="2" t="s">
        <v>1738</v>
      </c>
      <c r="B1701" s="3">
        <v>44624</v>
      </c>
      <c r="C1701" s="2" t="s">
        <v>22</v>
      </c>
      <c r="D1701" s="2" t="s">
        <v>17</v>
      </c>
      <c r="E1701" s="2" t="s">
        <v>18</v>
      </c>
      <c r="F1701" s="2">
        <v>1633.21</v>
      </c>
      <c r="G1701" s="2">
        <v>365.83</v>
      </c>
      <c r="H1701" s="2" t="s">
        <v>13</v>
      </c>
      <c r="I1701" s="2" t="s">
        <v>20</v>
      </c>
    </row>
    <row r="1702" spans="1:9" x14ac:dyDescent="0.35">
      <c r="A1702" s="2" t="s">
        <v>1739</v>
      </c>
      <c r="B1702" s="3">
        <v>45023</v>
      </c>
      <c r="C1702" s="2" t="s">
        <v>10</v>
      </c>
      <c r="D1702" s="2" t="s">
        <v>26</v>
      </c>
      <c r="E1702" s="2" t="s">
        <v>27</v>
      </c>
      <c r="F1702" s="2">
        <v>945.26</v>
      </c>
      <c r="G1702" s="2">
        <v>183.37</v>
      </c>
      <c r="H1702" s="2" t="s">
        <v>13</v>
      </c>
      <c r="I1702" s="2" t="s">
        <v>34</v>
      </c>
    </row>
    <row r="1703" spans="1:9" x14ac:dyDescent="0.35">
      <c r="A1703" s="2" t="s">
        <v>1740</v>
      </c>
      <c r="B1703" s="3">
        <v>45492</v>
      </c>
      <c r="C1703" s="2" t="s">
        <v>16</v>
      </c>
      <c r="D1703" s="2" t="s">
        <v>62</v>
      </c>
      <c r="E1703" s="2" t="s">
        <v>27</v>
      </c>
      <c r="F1703" s="2">
        <v>1922.85</v>
      </c>
      <c r="G1703" s="2">
        <v>538.48</v>
      </c>
      <c r="H1703" s="2" t="s">
        <v>13</v>
      </c>
      <c r="I1703" s="2" t="s">
        <v>29</v>
      </c>
    </row>
    <row r="1704" spans="1:9" x14ac:dyDescent="0.35">
      <c r="A1704" s="2" t="s">
        <v>1741</v>
      </c>
      <c r="B1704" s="3">
        <v>45269</v>
      </c>
      <c r="C1704" s="2" t="s">
        <v>25</v>
      </c>
      <c r="D1704" s="2" t="s">
        <v>26</v>
      </c>
      <c r="E1704" s="2" t="s">
        <v>27</v>
      </c>
      <c r="F1704" s="2">
        <v>682.64</v>
      </c>
      <c r="G1704" s="2">
        <v>151.77000000000001</v>
      </c>
      <c r="H1704" s="2" t="s">
        <v>28</v>
      </c>
      <c r="I1704" s="2" t="s">
        <v>14</v>
      </c>
    </row>
    <row r="1705" spans="1:9" x14ac:dyDescent="0.35">
      <c r="A1705" s="2" t="s">
        <v>1742</v>
      </c>
      <c r="B1705" s="3">
        <v>45415</v>
      </c>
      <c r="C1705" s="2" t="s">
        <v>25</v>
      </c>
      <c r="D1705" s="2" t="s">
        <v>73</v>
      </c>
      <c r="E1705" s="2" t="s">
        <v>27</v>
      </c>
      <c r="F1705" s="2">
        <v>189.94</v>
      </c>
      <c r="G1705" s="2">
        <v>42.28</v>
      </c>
      <c r="H1705" s="2" t="s">
        <v>13</v>
      </c>
      <c r="I1705" s="2" t="s">
        <v>20</v>
      </c>
    </row>
    <row r="1706" spans="1:9" x14ac:dyDescent="0.35">
      <c r="A1706" s="2" t="s">
        <v>1743</v>
      </c>
      <c r="B1706" s="3">
        <v>44855</v>
      </c>
      <c r="C1706" s="2" t="s">
        <v>22</v>
      </c>
      <c r="D1706" s="2" t="s">
        <v>95</v>
      </c>
      <c r="E1706" s="2" t="s">
        <v>18</v>
      </c>
      <c r="F1706" s="2">
        <v>312.05</v>
      </c>
      <c r="G1706" s="2">
        <v>31</v>
      </c>
      <c r="H1706" s="2" t="s">
        <v>28</v>
      </c>
      <c r="I1706" s="2" t="s">
        <v>20</v>
      </c>
    </row>
    <row r="1707" spans="1:9" x14ac:dyDescent="0.35">
      <c r="A1707" s="2" t="s">
        <v>1744</v>
      </c>
      <c r="B1707" s="3">
        <v>44911</v>
      </c>
      <c r="C1707" s="2" t="s">
        <v>10</v>
      </c>
      <c r="D1707" s="2" t="s">
        <v>73</v>
      </c>
      <c r="E1707" s="2" t="s">
        <v>27</v>
      </c>
      <c r="F1707" s="2">
        <v>1958.97</v>
      </c>
      <c r="G1707" s="2">
        <v>318.66000000000003</v>
      </c>
      <c r="H1707" s="2" t="s">
        <v>13</v>
      </c>
      <c r="I1707" s="2" t="s">
        <v>29</v>
      </c>
    </row>
    <row r="1708" spans="1:9" x14ac:dyDescent="0.35">
      <c r="A1708" s="2" t="s">
        <v>1745</v>
      </c>
      <c r="B1708" s="3">
        <v>44979</v>
      </c>
      <c r="C1708" s="2" t="s">
        <v>25</v>
      </c>
      <c r="D1708" s="2" t="s">
        <v>17</v>
      </c>
      <c r="E1708" s="2" t="s">
        <v>18</v>
      </c>
      <c r="F1708" s="2">
        <v>1917.91</v>
      </c>
      <c r="G1708" s="2">
        <v>317.04000000000002</v>
      </c>
      <c r="H1708" s="2" t="s">
        <v>13</v>
      </c>
      <c r="I1708" s="2" t="s">
        <v>14</v>
      </c>
    </row>
    <row r="1709" spans="1:9" x14ac:dyDescent="0.35">
      <c r="A1709" s="2" t="s">
        <v>1746</v>
      </c>
      <c r="B1709" s="3">
        <v>44879</v>
      </c>
      <c r="C1709" s="2" t="s">
        <v>22</v>
      </c>
      <c r="D1709" s="2" t="s">
        <v>62</v>
      </c>
      <c r="E1709" s="2" t="s">
        <v>27</v>
      </c>
      <c r="F1709" s="2">
        <v>1455.5</v>
      </c>
      <c r="G1709" s="2">
        <v>403.94</v>
      </c>
      <c r="H1709" s="2" t="s">
        <v>13</v>
      </c>
      <c r="I1709" s="2" t="s">
        <v>20</v>
      </c>
    </row>
    <row r="1710" spans="1:9" x14ac:dyDescent="0.35">
      <c r="A1710" s="2" t="s">
        <v>1747</v>
      </c>
      <c r="B1710" s="3">
        <v>45470</v>
      </c>
      <c r="C1710" s="2" t="s">
        <v>16</v>
      </c>
      <c r="D1710" s="2" t="s">
        <v>26</v>
      </c>
      <c r="E1710" s="2" t="s">
        <v>27</v>
      </c>
      <c r="F1710" s="2">
        <v>955.27</v>
      </c>
      <c r="G1710" s="2">
        <v>82.9</v>
      </c>
      <c r="H1710" s="2" t="s">
        <v>19</v>
      </c>
      <c r="I1710" s="2" t="s">
        <v>29</v>
      </c>
    </row>
    <row r="1711" spans="1:9" x14ac:dyDescent="0.35">
      <c r="A1711" s="2" t="s">
        <v>1748</v>
      </c>
      <c r="B1711" s="3">
        <v>45347</v>
      </c>
      <c r="C1711" s="2" t="s">
        <v>25</v>
      </c>
      <c r="D1711" s="2" t="s">
        <v>73</v>
      </c>
      <c r="E1711" s="2" t="s">
        <v>27</v>
      </c>
      <c r="F1711" s="2">
        <v>55.9</v>
      </c>
      <c r="G1711" s="2">
        <v>3.17</v>
      </c>
      <c r="H1711" s="2" t="s">
        <v>28</v>
      </c>
      <c r="I1711" s="2" t="s">
        <v>34</v>
      </c>
    </row>
    <row r="1712" spans="1:9" x14ac:dyDescent="0.35">
      <c r="A1712" s="2" t="s">
        <v>1749</v>
      </c>
      <c r="B1712" s="3">
        <v>45140</v>
      </c>
      <c r="C1712" s="2" t="s">
        <v>25</v>
      </c>
      <c r="D1712" s="2" t="s">
        <v>23</v>
      </c>
      <c r="E1712" s="2" t="s">
        <v>18</v>
      </c>
      <c r="F1712" s="2">
        <v>775.43</v>
      </c>
      <c r="G1712" s="2">
        <v>145.31</v>
      </c>
      <c r="H1712" s="2" t="s">
        <v>28</v>
      </c>
      <c r="I1712" s="2" t="s">
        <v>14</v>
      </c>
    </row>
    <row r="1713" spans="1:9" x14ac:dyDescent="0.35">
      <c r="A1713" s="2" t="s">
        <v>1750</v>
      </c>
      <c r="B1713" s="3">
        <v>45575</v>
      </c>
      <c r="C1713" s="2" t="s">
        <v>10</v>
      </c>
      <c r="D1713" s="2" t="s">
        <v>41</v>
      </c>
      <c r="E1713" s="2" t="s">
        <v>12</v>
      </c>
      <c r="F1713" s="2">
        <v>1605.72</v>
      </c>
      <c r="G1713" s="2">
        <v>262.13</v>
      </c>
      <c r="H1713" s="2" t="s">
        <v>13</v>
      </c>
      <c r="I1713" s="2" t="s">
        <v>14</v>
      </c>
    </row>
    <row r="1714" spans="1:9" x14ac:dyDescent="0.35">
      <c r="A1714" s="2" t="s">
        <v>1751</v>
      </c>
      <c r="B1714" s="3">
        <v>45146</v>
      </c>
      <c r="C1714" s="2" t="s">
        <v>25</v>
      </c>
      <c r="D1714" s="2" t="s">
        <v>23</v>
      </c>
      <c r="E1714" s="2" t="s">
        <v>18</v>
      </c>
      <c r="F1714" s="2">
        <v>407.57</v>
      </c>
      <c r="G1714" s="2">
        <v>98.57</v>
      </c>
      <c r="H1714" s="2" t="s">
        <v>13</v>
      </c>
      <c r="I1714" s="2" t="s">
        <v>14</v>
      </c>
    </row>
    <row r="1715" spans="1:9" x14ac:dyDescent="0.35">
      <c r="A1715" s="2" t="s">
        <v>1752</v>
      </c>
      <c r="B1715" s="3">
        <v>44863</v>
      </c>
      <c r="C1715" s="2" t="s">
        <v>10</v>
      </c>
      <c r="D1715" s="2" t="s">
        <v>97</v>
      </c>
      <c r="E1715" s="2" t="s">
        <v>27</v>
      </c>
      <c r="F1715" s="2">
        <v>199.52</v>
      </c>
      <c r="G1715" s="2">
        <v>43.55</v>
      </c>
      <c r="H1715" s="2" t="s">
        <v>13</v>
      </c>
      <c r="I1715" s="2" t="s">
        <v>34</v>
      </c>
    </row>
    <row r="1716" spans="1:9" x14ac:dyDescent="0.35">
      <c r="A1716" s="2" t="s">
        <v>1753</v>
      </c>
      <c r="B1716" s="3">
        <v>45174</v>
      </c>
      <c r="C1716" s="2" t="s">
        <v>16</v>
      </c>
      <c r="D1716" s="2" t="s">
        <v>11</v>
      </c>
      <c r="E1716" s="2" t="s">
        <v>12</v>
      </c>
      <c r="F1716" s="2">
        <v>113.58</v>
      </c>
      <c r="G1716" s="2">
        <v>20.22</v>
      </c>
      <c r="H1716" s="2" t="s">
        <v>19</v>
      </c>
      <c r="I1716" s="2" t="s">
        <v>34</v>
      </c>
    </row>
    <row r="1717" spans="1:9" x14ac:dyDescent="0.35">
      <c r="A1717" s="2" t="s">
        <v>1754</v>
      </c>
      <c r="B1717" s="3">
        <v>44602</v>
      </c>
      <c r="C1717" s="2" t="s">
        <v>22</v>
      </c>
      <c r="D1717" s="2" t="s">
        <v>97</v>
      </c>
      <c r="E1717" s="2" t="s">
        <v>27</v>
      </c>
      <c r="F1717" s="2">
        <v>1002.39</v>
      </c>
      <c r="G1717" s="2">
        <v>201.15</v>
      </c>
      <c r="H1717" s="2" t="s">
        <v>13</v>
      </c>
      <c r="I1717" s="2" t="s">
        <v>20</v>
      </c>
    </row>
    <row r="1718" spans="1:9" x14ac:dyDescent="0.35">
      <c r="A1718" s="2" t="s">
        <v>1755</v>
      </c>
      <c r="B1718" s="3">
        <v>45248</v>
      </c>
      <c r="C1718" s="2" t="s">
        <v>25</v>
      </c>
      <c r="D1718" s="2" t="s">
        <v>73</v>
      </c>
      <c r="E1718" s="2" t="s">
        <v>27</v>
      </c>
      <c r="F1718" s="2">
        <v>1966.36</v>
      </c>
      <c r="G1718" s="2">
        <v>420.96</v>
      </c>
      <c r="H1718" s="2" t="s">
        <v>19</v>
      </c>
      <c r="I1718" s="2" t="s">
        <v>20</v>
      </c>
    </row>
    <row r="1719" spans="1:9" x14ac:dyDescent="0.35">
      <c r="A1719" s="2" t="s">
        <v>1756</v>
      </c>
      <c r="B1719" s="3">
        <v>44985</v>
      </c>
      <c r="C1719" s="2" t="s">
        <v>10</v>
      </c>
      <c r="D1719" s="2" t="s">
        <v>17</v>
      </c>
      <c r="E1719" s="2" t="s">
        <v>18</v>
      </c>
      <c r="F1719" s="2">
        <v>1693.94</v>
      </c>
      <c r="G1719" s="2">
        <v>507.23</v>
      </c>
      <c r="H1719" s="2" t="s">
        <v>13</v>
      </c>
      <c r="I1719" s="2" t="s">
        <v>20</v>
      </c>
    </row>
    <row r="1720" spans="1:9" x14ac:dyDescent="0.35">
      <c r="A1720" s="2" t="s">
        <v>1757</v>
      </c>
      <c r="B1720" s="3">
        <v>44630</v>
      </c>
      <c r="C1720" s="2" t="s">
        <v>25</v>
      </c>
      <c r="D1720" s="2" t="s">
        <v>33</v>
      </c>
      <c r="E1720" s="2" t="s">
        <v>18</v>
      </c>
      <c r="F1720" s="2">
        <v>61.39</v>
      </c>
      <c r="G1720" s="2">
        <v>5.95</v>
      </c>
      <c r="H1720" s="2" t="s">
        <v>13</v>
      </c>
      <c r="I1720" s="2" t="s">
        <v>34</v>
      </c>
    </row>
    <row r="1721" spans="1:9" x14ac:dyDescent="0.35">
      <c r="A1721" s="2" t="s">
        <v>1758</v>
      </c>
      <c r="B1721" s="3">
        <v>45502</v>
      </c>
      <c r="C1721" s="2" t="s">
        <v>25</v>
      </c>
      <c r="D1721" s="2" t="s">
        <v>97</v>
      </c>
      <c r="E1721" s="2" t="s">
        <v>27</v>
      </c>
      <c r="F1721" s="2">
        <v>431.63</v>
      </c>
      <c r="G1721" s="2">
        <v>121.3</v>
      </c>
      <c r="H1721" s="2" t="s">
        <v>28</v>
      </c>
      <c r="I1721" s="2" t="s">
        <v>20</v>
      </c>
    </row>
    <row r="1722" spans="1:9" x14ac:dyDescent="0.35">
      <c r="A1722" s="2" t="s">
        <v>1759</v>
      </c>
      <c r="B1722" s="3">
        <v>45433</v>
      </c>
      <c r="C1722" s="2" t="s">
        <v>16</v>
      </c>
      <c r="D1722" s="2" t="s">
        <v>26</v>
      </c>
      <c r="E1722" s="2" t="s">
        <v>27</v>
      </c>
      <c r="F1722" s="2">
        <v>406.77</v>
      </c>
      <c r="G1722" s="2">
        <v>68.34</v>
      </c>
      <c r="H1722" s="2" t="s">
        <v>19</v>
      </c>
      <c r="I1722" s="2" t="s">
        <v>20</v>
      </c>
    </row>
    <row r="1723" spans="1:9" x14ac:dyDescent="0.35">
      <c r="A1723" s="2" t="s">
        <v>1760</v>
      </c>
      <c r="B1723" s="3">
        <v>45436</v>
      </c>
      <c r="C1723" s="2" t="s">
        <v>16</v>
      </c>
      <c r="D1723" s="2" t="s">
        <v>38</v>
      </c>
      <c r="E1723" s="2" t="s">
        <v>12</v>
      </c>
      <c r="F1723" s="2">
        <v>847.32</v>
      </c>
      <c r="G1723" s="2">
        <v>55.25</v>
      </c>
      <c r="H1723" s="2" t="s">
        <v>19</v>
      </c>
      <c r="I1723" s="2" t="s">
        <v>20</v>
      </c>
    </row>
    <row r="1724" spans="1:9" x14ac:dyDescent="0.35">
      <c r="A1724" s="2" t="s">
        <v>1761</v>
      </c>
      <c r="B1724" s="3">
        <v>45363</v>
      </c>
      <c r="C1724" s="2" t="s">
        <v>25</v>
      </c>
      <c r="D1724" s="2" t="s">
        <v>57</v>
      </c>
      <c r="E1724" s="2" t="s">
        <v>27</v>
      </c>
      <c r="F1724" s="2">
        <v>715.29</v>
      </c>
      <c r="G1724" s="2">
        <v>182.78</v>
      </c>
      <c r="H1724" s="2" t="s">
        <v>28</v>
      </c>
      <c r="I1724" s="2" t="s">
        <v>14</v>
      </c>
    </row>
    <row r="1725" spans="1:9" x14ac:dyDescent="0.35">
      <c r="A1725" s="2" t="s">
        <v>1762</v>
      </c>
      <c r="B1725" s="3">
        <v>44730</v>
      </c>
      <c r="C1725" s="2" t="s">
        <v>10</v>
      </c>
      <c r="D1725" s="2" t="s">
        <v>73</v>
      </c>
      <c r="E1725" s="2" t="s">
        <v>27</v>
      </c>
      <c r="F1725" s="2">
        <v>63.16</v>
      </c>
      <c r="G1725" s="2">
        <v>13.29</v>
      </c>
      <c r="H1725" s="2" t="s">
        <v>19</v>
      </c>
      <c r="I1725" s="2" t="s">
        <v>29</v>
      </c>
    </row>
    <row r="1726" spans="1:9" x14ac:dyDescent="0.35">
      <c r="A1726" s="2" t="s">
        <v>1763</v>
      </c>
      <c r="B1726" s="3">
        <v>44911</v>
      </c>
      <c r="C1726" s="2" t="s">
        <v>25</v>
      </c>
      <c r="D1726" s="2" t="s">
        <v>46</v>
      </c>
      <c r="E1726" s="2" t="s">
        <v>18</v>
      </c>
      <c r="F1726" s="2">
        <v>1124.21</v>
      </c>
      <c r="G1726" s="2">
        <v>80.28</v>
      </c>
      <c r="H1726" s="2" t="s">
        <v>28</v>
      </c>
      <c r="I1726" s="2" t="s">
        <v>20</v>
      </c>
    </row>
    <row r="1727" spans="1:9" x14ac:dyDescent="0.35">
      <c r="A1727" s="2" t="s">
        <v>1764</v>
      </c>
      <c r="B1727" s="3">
        <v>45144</v>
      </c>
      <c r="C1727" s="2" t="s">
        <v>22</v>
      </c>
      <c r="D1727" s="2" t="s">
        <v>11</v>
      </c>
      <c r="E1727" s="2" t="s">
        <v>12</v>
      </c>
      <c r="F1727" s="2">
        <v>213.17</v>
      </c>
      <c r="G1727" s="2">
        <v>20.62</v>
      </c>
      <c r="H1727" s="2" t="s">
        <v>19</v>
      </c>
      <c r="I1727" s="2" t="s">
        <v>29</v>
      </c>
    </row>
    <row r="1728" spans="1:9" x14ac:dyDescent="0.35">
      <c r="A1728" s="2" t="s">
        <v>1765</v>
      </c>
      <c r="B1728" s="3">
        <v>45118</v>
      </c>
      <c r="C1728" s="2" t="s">
        <v>22</v>
      </c>
      <c r="D1728" s="2" t="s">
        <v>17</v>
      </c>
      <c r="E1728" s="2" t="s">
        <v>18</v>
      </c>
      <c r="F1728" s="2">
        <v>1178.53</v>
      </c>
      <c r="G1728" s="2">
        <v>270.58</v>
      </c>
      <c r="H1728" s="2" t="s">
        <v>28</v>
      </c>
      <c r="I1728" s="2" t="s">
        <v>14</v>
      </c>
    </row>
    <row r="1729" spans="1:9" x14ac:dyDescent="0.35">
      <c r="A1729" s="2" t="s">
        <v>1766</v>
      </c>
      <c r="B1729" s="3">
        <v>44703</v>
      </c>
      <c r="C1729" s="2" t="s">
        <v>22</v>
      </c>
      <c r="D1729" s="2" t="s">
        <v>38</v>
      </c>
      <c r="E1729" s="2" t="s">
        <v>12</v>
      </c>
      <c r="F1729" s="2">
        <v>65.41</v>
      </c>
      <c r="G1729" s="2">
        <v>15.03</v>
      </c>
      <c r="H1729" s="2" t="s">
        <v>28</v>
      </c>
      <c r="I1729" s="2" t="s">
        <v>29</v>
      </c>
    </row>
    <row r="1730" spans="1:9" x14ac:dyDescent="0.35">
      <c r="A1730" s="2" t="s">
        <v>1767</v>
      </c>
      <c r="B1730" s="3">
        <v>44869</v>
      </c>
      <c r="C1730" s="2" t="s">
        <v>22</v>
      </c>
      <c r="D1730" s="2" t="s">
        <v>38</v>
      </c>
      <c r="E1730" s="2" t="s">
        <v>12</v>
      </c>
      <c r="F1730" s="2">
        <v>896.6</v>
      </c>
      <c r="G1730" s="2">
        <v>50.73</v>
      </c>
      <c r="H1730" s="2" t="s">
        <v>13</v>
      </c>
      <c r="I1730" s="2" t="s">
        <v>14</v>
      </c>
    </row>
    <row r="1731" spans="1:9" x14ac:dyDescent="0.35">
      <c r="A1731" s="2" t="s">
        <v>1768</v>
      </c>
      <c r="B1731" s="3">
        <v>45490</v>
      </c>
      <c r="C1731" s="2" t="s">
        <v>22</v>
      </c>
      <c r="D1731" s="2" t="s">
        <v>26</v>
      </c>
      <c r="E1731" s="2" t="s">
        <v>27</v>
      </c>
      <c r="F1731" s="2">
        <v>339.48</v>
      </c>
      <c r="G1731" s="2">
        <v>80.760000000000005</v>
      </c>
      <c r="H1731" s="2" t="s">
        <v>28</v>
      </c>
      <c r="I1731" s="2" t="s">
        <v>14</v>
      </c>
    </row>
    <row r="1732" spans="1:9" x14ac:dyDescent="0.35">
      <c r="A1732" s="2" t="s">
        <v>1769</v>
      </c>
      <c r="B1732" s="3">
        <v>45379</v>
      </c>
      <c r="C1732" s="2" t="s">
        <v>22</v>
      </c>
      <c r="D1732" s="2" t="s">
        <v>41</v>
      </c>
      <c r="E1732" s="2" t="s">
        <v>12</v>
      </c>
      <c r="F1732" s="2">
        <v>1609.3</v>
      </c>
      <c r="G1732" s="2">
        <v>358.3</v>
      </c>
      <c r="H1732" s="2" t="s">
        <v>28</v>
      </c>
      <c r="I1732" s="2" t="s">
        <v>14</v>
      </c>
    </row>
    <row r="1733" spans="1:9" x14ac:dyDescent="0.35">
      <c r="A1733" s="2" t="s">
        <v>1770</v>
      </c>
      <c r="B1733" s="3">
        <v>44566</v>
      </c>
      <c r="C1733" s="2" t="s">
        <v>16</v>
      </c>
      <c r="D1733" s="2" t="s">
        <v>95</v>
      </c>
      <c r="E1733" s="2" t="s">
        <v>18</v>
      </c>
      <c r="F1733" s="2">
        <v>159.19999999999999</v>
      </c>
      <c r="G1733" s="2">
        <v>39.49</v>
      </c>
      <c r="H1733" s="2" t="s">
        <v>13</v>
      </c>
      <c r="I1733" s="2" t="s">
        <v>29</v>
      </c>
    </row>
    <row r="1734" spans="1:9" x14ac:dyDescent="0.35">
      <c r="A1734" s="2" t="s">
        <v>1771</v>
      </c>
      <c r="B1734" s="3">
        <v>44938</v>
      </c>
      <c r="C1734" s="2" t="s">
        <v>16</v>
      </c>
      <c r="D1734" s="2" t="s">
        <v>23</v>
      </c>
      <c r="E1734" s="2" t="s">
        <v>18</v>
      </c>
      <c r="F1734" s="2">
        <v>617.28</v>
      </c>
      <c r="G1734" s="2">
        <v>52.57</v>
      </c>
      <c r="H1734" s="2" t="s">
        <v>13</v>
      </c>
      <c r="I1734" s="2" t="s">
        <v>20</v>
      </c>
    </row>
    <row r="1735" spans="1:9" x14ac:dyDescent="0.35">
      <c r="A1735" s="2" t="s">
        <v>1772</v>
      </c>
      <c r="B1735" s="3">
        <v>44833</v>
      </c>
      <c r="C1735" s="2" t="s">
        <v>16</v>
      </c>
      <c r="D1735" s="2" t="s">
        <v>23</v>
      </c>
      <c r="E1735" s="2" t="s">
        <v>18</v>
      </c>
      <c r="F1735" s="2">
        <v>1514.74</v>
      </c>
      <c r="G1735" s="2">
        <v>414.69</v>
      </c>
      <c r="H1735" s="2" t="s">
        <v>28</v>
      </c>
      <c r="I1735" s="2" t="s">
        <v>34</v>
      </c>
    </row>
    <row r="1736" spans="1:9" x14ac:dyDescent="0.35">
      <c r="A1736" s="2" t="s">
        <v>1773</v>
      </c>
      <c r="B1736" s="3">
        <v>44807</v>
      </c>
      <c r="C1736" s="2" t="s">
        <v>22</v>
      </c>
      <c r="D1736" s="2" t="s">
        <v>97</v>
      </c>
      <c r="E1736" s="2" t="s">
        <v>27</v>
      </c>
      <c r="F1736" s="2">
        <v>420.37</v>
      </c>
      <c r="G1736" s="2">
        <v>103.87</v>
      </c>
      <c r="H1736" s="2" t="s">
        <v>19</v>
      </c>
      <c r="I1736" s="2" t="s">
        <v>29</v>
      </c>
    </row>
    <row r="1737" spans="1:9" x14ac:dyDescent="0.35">
      <c r="A1737" s="2" t="s">
        <v>1774</v>
      </c>
      <c r="B1737" s="3">
        <v>44971</v>
      </c>
      <c r="C1737" s="2" t="s">
        <v>22</v>
      </c>
      <c r="D1737" s="2" t="s">
        <v>31</v>
      </c>
      <c r="E1737" s="2" t="s">
        <v>12</v>
      </c>
      <c r="F1737" s="2">
        <v>1224.1199999999999</v>
      </c>
      <c r="G1737" s="2">
        <v>327.02</v>
      </c>
      <c r="H1737" s="2" t="s">
        <v>19</v>
      </c>
      <c r="I1737" s="2" t="s">
        <v>34</v>
      </c>
    </row>
    <row r="1738" spans="1:9" x14ac:dyDescent="0.35">
      <c r="A1738" s="2" t="s">
        <v>1775</v>
      </c>
      <c r="B1738" s="3">
        <v>45517</v>
      </c>
      <c r="C1738" s="2" t="s">
        <v>22</v>
      </c>
      <c r="D1738" s="2" t="s">
        <v>23</v>
      </c>
      <c r="E1738" s="2" t="s">
        <v>18</v>
      </c>
      <c r="F1738" s="2">
        <v>491.39</v>
      </c>
      <c r="G1738" s="2">
        <v>62.67</v>
      </c>
      <c r="H1738" s="2" t="s">
        <v>13</v>
      </c>
      <c r="I1738" s="2" t="s">
        <v>14</v>
      </c>
    </row>
    <row r="1739" spans="1:9" x14ac:dyDescent="0.35">
      <c r="A1739" s="2" t="s">
        <v>1776</v>
      </c>
      <c r="B1739" s="3">
        <v>45367</v>
      </c>
      <c r="C1739" s="2" t="s">
        <v>10</v>
      </c>
      <c r="D1739" s="2" t="s">
        <v>95</v>
      </c>
      <c r="E1739" s="2" t="s">
        <v>18</v>
      </c>
      <c r="F1739" s="2">
        <v>202.35</v>
      </c>
      <c r="G1739" s="2">
        <v>12.82</v>
      </c>
      <c r="H1739" s="2" t="s">
        <v>19</v>
      </c>
      <c r="I1739" s="2" t="s">
        <v>34</v>
      </c>
    </row>
    <row r="1740" spans="1:9" x14ac:dyDescent="0.35">
      <c r="A1740" s="2" t="s">
        <v>1777</v>
      </c>
      <c r="B1740" s="3">
        <v>44936</v>
      </c>
      <c r="C1740" s="2" t="s">
        <v>10</v>
      </c>
      <c r="D1740" s="2" t="s">
        <v>95</v>
      </c>
      <c r="E1740" s="2" t="s">
        <v>18</v>
      </c>
      <c r="F1740" s="2">
        <v>1054.9000000000001</v>
      </c>
      <c r="G1740" s="2">
        <v>180.32</v>
      </c>
      <c r="H1740" s="2" t="s">
        <v>28</v>
      </c>
      <c r="I1740" s="2" t="s">
        <v>20</v>
      </c>
    </row>
    <row r="1741" spans="1:9" x14ac:dyDescent="0.35">
      <c r="A1741" s="2" t="s">
        <v>1778</v>
      </c>
      <c r="B1741" s="3">
        <v>45049</v>
      </c>
      <c r="C1741" s="2" t="s">
        <v>25</v>
      </c>
      <c r="D1741" s="2" t="s">
        <v>38</v>
      </c>
      <c r="E1741" s="2" t="s">
        <v>12</v>
      </c>
      <c r="F1741" s="2">
        <v>459.97</v>
      </c>
      <c r="G1741" s="2">
        <v>31.61</v>
      </c>
      <c r="H1741" s="2" t="s">
        <v>19</v>
      </c>
      <c r="I1741" s="2" t="s">
        <v>34</v>
      </c>
    </row>
    <row r="1742" spans="1:9" x14ac:dyDescent="0.35">
      <c r="A1742" s="2" t="s">
        <v>1779</v>
      </c>
      <c r="B1742" s="3">
        <v>45223</v>
      </c>
      <c r="C1742" s="2" t="s">
        <v>10</v>
      </c>
      <c r="D1742" s="2" t="s">
        <v>95</v>
      </c>
      <c r="E1742" s="2" t="s">
        <v>18</v>
      </c>
      <c r="F1742" s="2">
        <v>1536.29</v>
      </c>
      <c r="G1742" s="2">
        <v>452.64</v>
      </c>
      <c r="H1742" s="2" t="s">
        <v>13</v>
      </c>
      <c r="I1742" s="2" t="s">
        <v>14</v>
      </c>
    </row>
    <row r="1743" spans="1:9" x14ac:dyDescent="0.35">
      <c r="A1743" s="2" t="s">
        <v>1780</v>
      </c>
      <c r="B1743" s="3">
        <v>45597</v>
      </c>
      <c r="C1743" s="2" t="s">
        <v>25</v>
      </c>
      <c r="D1743" s="2" t="s">
        <v>26</v>
      </c>
      <c r="E1743" s="2" t="s">
        <v>27</v>
      </c>
      <c r="F1743" s="2">
        <v>1875.09</v>
      </c>
      <c r="G1743" s="2">
        <v>268.72000000000003</v>
      </c>
      <c r="H1743" s="2" t="s">
        <v>28</v>
      </c>
      <c r="I1743" s="2" t="s">
        <v>34</v>
      </c>
    </row>
    <row r="1744" spans="1:9" x14ac:dyDescent="0.35">
      <c r="A1744" s="2" t="s">
        <v>1781</v>
      </c>
      <c r="B1744" s="3">
        <v>45009</v>
      </c>
      <c r="C1744" s="2" t="s">
        <v>16</v>
      </c>
      <c r="D1744" s="2" t="s">
        <v>11</v>
      </c>
      <c r="E1744" s="2" t="s">
        <v>12</v>
      </c>
      <c r="F1744" s="2">
        <v>1540.48</v>
      </c>
      <c r="G1744" s="2">
        <v>307.14</v>
      </c>
      <c r="H1744" s="2" t="s">
        <v>28</v>
      </c>
      <c r="I1744" s="2" t="s">
        <v>20</v>
      </c>
    </row>
    <row r="1745" spans="1:9" x14ac:dyDescent="0.35">
      <c r="A1745" s="2" t="s">
        <v>1782</v>
      </c>
      <c r="B1745" s="3">
        <v>45584</v>
      </c>
      <c r="C1745" s="2" t="s">
        <v>16</v>
      </c>
      <c r="D1745" s="2" t="s">
        <v>17</v>
      </c>
      <c r="E1745" s="2" t="s">
        <v>18</v>
      </c>
      <c r="F1745" s="2">
        <v>1516.23</v>
      </c>
      <c r="G1745" s="2">
        <v>368.51</v>
      </c>
      <c r="H1745" s="2" t="s">
        <v>13</v>
      </c>
      <c r="I1745" s="2" t="s">
        <v>34</v>
      </c>
    </row>
    <row r="1746" spans="1:9" x14ac:dyDescent="0.35">
      <c r="A1746" s="2" t="s">
        <v>1783</v>
      </c>
      <c r="B1746" s="3">
        <v>45414</v>
      </c>
      <c r="C1746" s="2" t="s">
        <v>16</v>
      </c>
      <c r="D1746" s="2" t="s">
        <v>17</v>
      </c>
      <c r="E1746" s="2" t="s">
        <v>18</v>
      </c>
      <c r="F1746" s="2">
        <v>1724.22</v>
      </c>
      <c r="G1746" s="2">
        <v>477.57</v>
      </c>
      <c r="H1746" s="2" t="s">
        <v>28</v>
      </c>
      <c r="I1746" s="2" t="s">
        <v>14</v>
      </c>
    </row>
    <row r="1747" spans="1:9" x14ac:dyDescent="0.35">
      <c r="A1747" s="2" t="s">
        <v>1784</v>
      </c>
      <c r="B1747" s="3">
        <v>45566</v>
      </c>
      <c r="C1747" s="2" t="s">
        <v>22</v>
      </c>
      <c r="D1747" s="2" t="s">
        <v>23</v>
      </c>
      <c r="E1747" s="2" t="s">
        <v>18</v>
      </c>
      <c r="F1747" s="2">
        <v>1832.46</v>
      </c>
      <c r="G1747" s="2">
        <v>303.95999999999998</v>
      </c>
      <c r="H1747" s="2" t="s">
        <v>13</v>
      </c>
      <c r="I1747" s="2" t="s">
        <v>34</v>
      </c>
    </row>
    <row r="1748" spans="1:9" x14ac:dyDescent="0.35">
      <c r="A1748" s="2" t="s">
        <v>1785</v>
      </c>
      <c r="B1748" s="3">
        <v>45097</v>
      </c>
      <c r="C1748" s="2" t="s">
        <v>10</v>
      </c>
      <c r="D1748" s="2" t="s">
        <v>97</v>
      </c>
      <c r="E1748" s="2" t="s">
        <v>27</v>
      </c>
      <c r="F1748" s="2">
        <v>99.4</v>
      </c>
      <c r="G1748" s="2">
        <v>25.23</v>
      </c>
      <c r="H1748" s="2" t="s">
        <v>28</v>
      </c>
      <c r="I1748" s="2" t="s">
        <v>20</v>
      </c>
    </row>
    <row r="1749" spans="1:9" x14ac:dyDescent="0.35">
      <c r="A1749" s="2" t="s">
        <v>1786</v>
      </c>
      <c r="B1749" s="3">
        <v>45513</v>
      </c>
      <c r="C1749" s="2" t="s">
        <v>16</v>
      </c>
      <c r="D1749" s="2" t="s">
        <v>97</v>
      </c>
      <c r="E1749" s="2" t="s">
        <v>27</v>
      </c>
      <c r="F1749" s="2">
        <v>846.04</v>
      </c>
      <c r="G1749" s="2">
        <v>184.47</v>
      </c>
      <c r="H1749" s="2" t="s">
        <v>19</v>
      </c>
      <c r="I1749" s="2" t="s">
        <v>14</v>
      </c>
    </row>
    <row r="1750" spans="1:9" x14ac:dyDescent="0.35">
      <c r="A1750" s="2" t="s">
        <v>1787</v>
      </c>
      <c r="B1750" s="3">
        <v>44918</v>
      </c>
      <c r="C1750" s="2" t="s">
        <v>25</v>
      </c>
      <c r="D1750" s="2" t="s">
        <v>97</v>
      </c>
      <c r="E1750" s="2" t="s">
        <v>27</v>
      </c>
      <c r="F1750" s="2">
        <v>612.47</v>
      </c>
      <c r="G1750" s="2">
        <v>130.66999999999999</v>
      </c>
      <c r="H1750" s="2" t="s">
        <v>19</v>
      </c>
      <c r="I1750" s="2" t="s">
        <v>34</v>
      </c>
    </row>
    <row r="1751" spans="1:9" x14ac:dyDescent="0.35">
      <c r="A1751" s="2" t="s">
        <v>1788</v>
      </c>
      <c r="B1751" s="3">
        <v>44895</v>
      </c>
      <c r="C1751" s="2" t="s">
        <v>10</v>
      </c>
      <c r="D1751" s="2" t="s">
        <v>38</v>
      </c>
      <c r="E1751" s="2" t="s">
        <v>12</v>
      </c>
      <c r="F1751" s="2">
        <v>122.63</v>
      </c>
      <c r="G1751" s="2">
        <v>17.86</v>
      </c>
      <c r="H1751" s="2" t="s">
        <v>19</v>
      </c>
      <c r="I1751" s="2" t="s">
        <v>29</v>
      </c>
    </row>
    <row r="1752" spans="1:9" x14ac:dyDescent="0.35">
      <c r="A1752" s="2" t="s">
        <v>1789</v>
      </c>
      <c r="B1752" s="3">
        <v>44652</v>
      </c>
      <c r="C1752" s="2" t="s">
        <v>16</v>
      </c>
      <c r="D1752" s="2" t="s">
        <v>11</v>
      </c>
      <c r="E1752" s="2" t="s">
        <v>12</v>
      </c>
      <c r="F1752" s="2">
        <v>250.1</v>
      </c>
      <c r="G1752" s="2">
        <v>39.67</v>
      </c>
      <c r="H1752" s="2" t="s">
        <v>13</v>
      </c>
      <c r="I1752" s="2" t="s">
        <v>14</v>
      </c>
    </row>
    <row r="1753" spans="1:9" x14ac:dyDescent="0.35">
      <c r="A1753" s="2" t="s">
        <v>1790</v>
      </c>
      <c r="B1753" s="3">
        <v>44641</v>
      </c>
      <c r="C1753" s="2" t="s">
        <v>16</v>
      </c>
      <c r="D1753" s="2" t="s">
        <v>97</v>
      </c>
      <c r="E1753" s="2" t="s">
        <v>27</v>
      </c>
      <c r="F1753" s="2">
        <v>1881.72</v>
      </c>
      <c r="G1753" s="2">
        <v>145.94</v>
      </c>
      <c r="H1753" s="2" t="s">
        <v>13</v>
      </c>
      <c r="I1753" s="2" t="s">
        <v>14</v>
      </c>
    </row>
    <row r="1754" spans="1:9" x14ac:dyDescent="0.35">
      <c r="A1754" s="2" t="s">
        <v>1791</v>
      </c>
      <c r="B1754" s="3">
        <v>45652</v>
      </c>
      <c r="C1754" s="2" t="s">
        <v>25</v>
      </c>
      <c r="D1754" s="2" t="s">
        <v>95</v>
      </c>
      <c r="E1754" s="2" t="s">
        <v>18</v>
      </c>
      <c r="F1754" s="2">
        <v>1986.65</v>
      </c>
      <c r="G1754" s="2">
        <v>558.69000000000005</v>
      </c>
      <c r="H1754" s="2" t="s">
        <v>19</v>
      </c>
      <c r="I1754" s="2" t="s">
        <v>14</v>
      </c>
    </row>
    <row r="1755" spans="1:9" x14ac:dyDescent="0.35">
      <c r="A1755" s="2" t="s">
        <v>1792</v>
      </c>
      <c r="B1755" s="3">
        <v>45323</v>
      </c>
      <c r="C1755" s="2" t="s">
        <v>10</v>
      </c>
      <c r="D1755" s="2" t="s">
        <v>57</v>
      </c>
      <c r="E1755" s="2" t="s">
        <v>27</v>
      </c>
      <c r="F1755" s="2">
        <v>448.99</v>
      </c>
      <c r="G1755" s="2">
        <v>103.22</v>
      </c>
      <c r="H1755" s="2" t="s">
        <v>13</v>
      </c>
      <c r="I1755" s="2" t="s">
        <v>29</v>
      </c>
    </row>
    <row r="1756" spans="1:9" x14ac:dyDescent="0.35">
      <c r="A1756" s="2" t="s">
        <v>1793</v>
      </c>
      <c r="B1756" s="3">
        <v>45131</v>
      </c>
      <c r="C1756" s="2" t="s">
        <v>10</v>
      </c>
      <c r="D1756" s="2" t="s">
        <v>73</v>
      </c>
      <c r="E1756" s="2" t="s">
        <v>27</v>
      </c>
      <c r="F1756" s="2">
        <v>1038.26</v>
      </c>
      <c r="G1756" s="2">
        <v>52.27</v>
      </c>
      <c r="H1756" s="2" t="s">
        <v>19</v>
      </c>
      <c r="I1756" s="2" t="s">
        <v>14</v>
      </c>
    </row>
    <row r="1757" spans="1:9" x14ac:dyDescent="0.35">
      <c r="A1757" s="2" t="s">
        <v>1794</v>
      </c>
      <c r="B1757" s="3">
        <v>44779</v>
      </c>
      <c r="C1757" s="2" t="s">
        <v>10</v>
      </c>
      <c r="D1757" s="2" t="s">
        <v>50</v>
      </c>
      <c r="E1757" s="2" t="s">
        <v>12</v>
      </c>
      <c r="F1757" s="2">
        <v>1972.37</v>
      </c>
      <c r="G1757" s="2">
        <v>339.41</v>
      </c>
      <c r="H1757" s="2" t="s">
        <v>13</v>
      </c>
      <c r="I1757" s="2" t="s">
        <v>14</v>
      </c>
    </row>
    <row r="1758" spans="1:9" x14ac:dyDescent="0.35">
      <c r="A1758" s="2" t="s">
        <v>1795</v>
      </c>
      <c r="B1758" s="3">
        <v>44856</v>
      </c>
      <c r="C1758" s="2" t="s">
        <v>16</v>
      </c>
      <c r="D1758" s="2" t="s">
        <v>23</v>
      </c>
      <c r="E1758" s="2" t="s">
        <v>18</v>
      </c>
      <c r="F1758" s="2">
        <v>1244.82</v>
      </c>
      <c r="G1758" s="2">
        <v>355.67</v>
      </c>
      <c r="H1758" s="2" t="s">
        <v>13</v>
      </c>
      <c r="I1758" s="2" t="s">
        <v>20</v>
      </c>
    </row>
    <row r="1759" spans="1:9" x14ac:dyDescent="0.35">
      <c r="A1759" s="2" t="s">
        <v>1796</v>
      </c>
      <c r="B1759" s="3">
        <v>45374</v>
      </c>
      <c r="C1759" s="2" t="s">
        <v>22</v>
      </c>
      <c r="D1759" s="2" t="s">
        <v>62</v>
      </c>
      <c r="E1759" s="2" t="s">
        <v>27</v>
      </c>
      <c r="F1759" s="2">
        <v>787.78</v>
      </c>
      <c r="G1759" s="2">
        <v>231.22</v>
      </c>
      <c r="H1759" s="2" t="s">
        <v>13</v>
      </c>
      <c r="I1759" s="2" t="s">
        <v>34</v>
      </c>
    </row>
    <row r="1760" spans="1:9" x14ac:dyDescent="0.35">
      <c r="A1760" s="2" t="s">
        <v>1797</v>
      </c>
      <c r="B1760" s="3">
        <v>45540</v>
      </c>
      <c r="C1760" s="2" t="s">
        <v>22</v>
      </c>
      <c r="D1760" s="2" t="s">
        <v>38</v>
      </c>
      <c r="E1760" s="2" t="s">
        <v>12</v>
      </c>
      <c r="F1760" s="2">
        <v>832.85</v>
      </c>
      <c r="G1760" s="2">
        <v>70.62</v>
      </c>
      <c r="H1760" s="2" t="s">
        <v>19</v>
      </c>
      <c r="I1760" s="2" t="s">
        <v>20</v>
      </c>
    </row>
    <row r="1761" spans="1:9" x14ac:dyDescent="0.35">
      <c r="A1761" s="2" t="s">
        <v>1798</v>
      </c>
      <c r="B1761" s="3">
        <v>44931</v>
      </c>
      <c r="C1761" s="2" t="s">
        <v>10</v>
      </c>
      <c r="D1761" s="2" t="s">
        <v>33</v>
      </c>
      <c r="E1761" s="2" t="s">
        <v>18</v>
      </c>
      <c r="F1761" s="2">
        <v>272.17</v>
      </c>
      <c r="G1761" s="2">
        <v>23.11</v>
      </c>
      <c r="H1761" s="2" t="s">
        <v>28</v>
      </c>
      <c r="I1761" s="2" t="s">
        <v>29</v>
      </c>
    </row>
    <row r="1762" spans="1:9" x14ac:dyDescent="0.35">
      <c r="A1762" s="2" t="s">
        <v>1799</v>
      </c>
      <c r="B1762" s="3">
        <v>45191</v>
      </c>
      <c r="C1762" s="2" t="s">
        <v>22</v>
      </c>
      <c r="D1762" s="2" t="s">
        <v>50</v>
      </c>
      <c r="E1762" s="2" t="s">
        <v>12</v>
      </c>
      <c r="F1762" s="2">
        <v>1579.43</v>
      </c>
      <c r="G1762" s="2">
        <v>450.23</v>
      </c>
      <c r="H1762" s="2" t="s">
        <v>13</v>
      </c>
      <c r="I1762" s="2" t="s">
        <v>29</v>
      </c>
    </row>
    <row r="1763" spans="1:9" x14ac:dyDescent="0.35">
      <c r="A1763" s="2" t="s">
        <v>1800</v>
      </c>
      <c r="B1763" s="3">
        <v>45049</v>
      </c>
      <c r="C1763" s="2" t="s">
        <v>22</v>
      </c>
      <c r="D1763" s="2" t="s">
        <v>41</v>
      </c>
      <c r="E1763" s="2" t="s">
        <v>12</v>
      </c>
      <c r="F1763" s="2">
        <v>849.46</v>
      </c>
      <c r="G1763" s="2">
        <v>225.44</v>
      </c>
      <c r="H1763" s="2" t="s">
        <v>13</v>
      </c>
      <c r="I1763" s="2" t="s">
        <v>20</v>
      </c>
    </row>
    <row r="1764" spans="1:9" x14ac:dyDescent="0.35">
      <c r="A1764" s="2" t="s">
        <v>1801</v>
      </c>
      <c r="B1764" s="3">
        <v>44775</v>
      </c>
      <c r="C1764" s="2" t="s">
        <v>22</v>
      </c>
      <c r="D1764" s="2" t="s">
        <v>11</v>
      </c>
      <c r="E1764" s="2" t="s">
        <v>12</v>
      </c>
      <c r="F1764" s="2">
        <v>908.62</v>
      </c>
      <c r="G1764" s="2">
        <v>56.5</v>
      </c>
      <c r="H1764" s="2" t="s">
        <v>19</v>
      </c>
      <c r="I1764" s="2" t="s">
        <v>14</v>
      </c>
    </row>
    <row r="1765" spans="1:9" x14ac:dyDescent="0.35">
      <c r="A1765" s="2" t="s">
        <v>1802</v>
      </c>
      <c r="B1765" s="3">
        <v>44860</v>
      </c>
      <c r="C1765" s="2" t="s">
        <v>22</v>
      </c>
      <c r="D1765" s="2" t="s">
        <v>73</v>
      </c>
      <c r="E1765" s="2" t="s">
        <v>27</v>
      </c>
      <c r="F1765" s="2">
        <v>222.51</v>
      </c>
      <c r="G1765" s="2">
        <v>17.29</v>
      </c>
      <c r="H1765" s="2" t="s">
        <v>19</v>
      </c>
      <c r="I1765" s="2" t="s">
        <v>29</v>
      </c>
    </row>
    <row r="1766" spans="1:9" x14ac:dyDescent="0.35">
      <c r="A1766" s="2" t="s">
        <v>1803</v>
      </c>
      <c r="B1766" s="3">
        <v>44977</v>
      </c>
      <c r="C1766" s="2" t="s">
        <v>25</v>
      </c>
      <c r="D1766" s="2" t="s">
        <v>17</v>
      </c>
      <c r="E1766" s="2" t="s">
        <v>18</v>
      </c>
      <c r="F1766" s="2">
        <v>745.3</v>
      </c>
      <c r="G1766" s="2">
        <v>181.13</v>
      </c>
      <c r="H1766" s="2" t="s">
        <v>13</v>
      </c>
      <c r="I1766" s="2" t="s">
        <v>20</v>
      </c>
    </row>
    <row r="1767" spans="1:9" x14ac:dyDescent="0.35">
      <c r="A1767" s="2" t="s">
        <v>1804</v>
      </c>
      <c r="B1767" s="3">
        <v>44859</v>
      </c>
      <c r="C1767" s="2" t="s">
        <v>10</v>
      </c>
      <c r="D1767" s="2" t="s">
        <v>50</v>
      </c>
      <c r="E1767" s="2" t="s">
        <v>12</v>
      </c>
      <c r="F1767" s="2">
        <v>653.24</v>
      </c>
      <c r="G1767" s="2">
        <v>135.57</v>
      </c>
      <c r="H1767" s="2" t="s">
        <v>19</v>
      </c>
      <c r="I1767" s="2" t="s">
        <v>34</v>
      </c>
    </row>
    <row r="1768" spans="1:9" x14ac:dyDescent="0.35">
      <c r="A1768" s="2" t="s">
        <v>1805</v>
      </c>
      <c r="B1768" s="3">
        <v>45232</v>
      </c>
      <c r="C1768" s="2" t="s">
        <v>16</v>
      </c>
      <c r="D1768" s="2" t="s">
        <v>57</v>
      </c>
      <c r="E1768" s="2" t="s">
        <v>27</v>
      </c>
      <c r="F1768" s="2">
        <v>107.74</v>
      </c>
      <c r="G1768" s="2">
        <v>20.079999999999998</v>
      </c>
      <c r="H1768" s="2" t="s">
        <v>19</v>
      </c>
      <c r="I1768" s="2" t="s">
        <v>14</v>
      </c>
    </row>
    <row r="1769" spans="1:9" x14ac:dyDescent="0.35">
      <c r="A1769" s="2" t="s">
        <v>1806</v>
      </c>
      <c r="B1769" s="3">
        <v>45549</v>
      </c>
      <c r="C1769" s="2" t="s">
        <v>10</v>
      </c>
      <c r="D1769" s="2" t="s">
        <v>26</v>
      </c>
      <c r="E1769" s="2" t="s">
        <v>27</v>
      </c>
      <c r="F1769" s="2">
        <v>617.24</v>
      </c>
      <c r="G1769" s="2">
        <v>176.73</v>
      </c>
      <c r="H1769" s="2" t="s">
        <v>28</v>
      </c>
      <c r="I1769" s="2" t="s">
        <v>20</v>
      </c>
    </row>
    <row r="1770" spans="1:9" x14ac:dyDescent="0.35">
      <c r="A1770" s="2" t="s">
        <v>1807</v>
      </c>
      <c r="B1770" s="3">
        <v>44767</v>
      </c>
      <c r="C1770" s="2" t="s">
        <v>25</v>
      </c>
      <c r="D1770" s="2" t="s">
        <v>26</v>
      </c>
      <c r="E1770" s="2" t="s">
        <v>27</v>
      </c>
      <c r="F1770" s="2">
        <v>462.83</v>
      </c>
      <c r="G1770" s="2">
        <v>131.09</v>
      </c>
      <c r="H1770" s="2" t="s">
        <v>28</v>
      </c>
      <c r="I1770" s="2" t="s">
        <v>34</v>
      </c>
    </row>
    <row r="1771" spans="1:9" x14ac:dyDescent="0.35">
      <c r="A1771" s="2" t="s">
        <v>1808</v>
      </c>
      <c r="B1771" s="3">
        <v>45594</v>
      </c>
      <c r="C1771" s="2" t="s">
        <v>25</v>
      </c>
      <c r="D1771" s="2" t="s">
        <v>95</v>
      </c>
      <c r="E1771" s="2" t="s">
        <v>18</v>
      </c>
      <c r="F1771" s="2">
        <v>548.27</v>
      </c>
      <c r="G1771" s="2">
        <v>86.39</v>
      </c>
      <c r="H1771" s="2" t="s">
        <v>28</v>
      </c>
      <c r="I1771" s="2" t="s">
        <v>20</v>
      </c>
    </row>
    <row r="1772" spans="1:9" x14ac:dyDescent="0.35">
      <c r="A1772" s="2" t="s">
        <v>1809</v>
      </c>
      <c r="B1772" s="3">
        <v>44904</v>
      </c>
      <c r="C1772" s="2" t="s">
        <v>10</v>
      </c>
      <c r="D1772" s="2" t="s">
        <v>41</v>
      </c>
      <c r="E1772" s="2" t="s">
        <v>12</v>
      </c>
      <c r="F1772" s="2">
        <v>870.38</v>
      </c>
      <c r="G1772" s="2">
        <v>201.04</v>
      </c>
      <c r="H1772" s="2" t="s">
        <v>19</v>
      </c>
      <c r="I1772" s="2" t="s">
        <v>34</v>
      </c>
    </row>
    <row r="1773" spans="1:9" x14ac:dyDescent="0.35">
      <c r="A1773" s="2" t="s">
        <v>1810</v>
      </c>
      <c r="B1773" s="3">
        <v>45653</v>
      </c>
      <c r="C1773" s="2" t="s">
        <v>25</v>
      </c>
      <c r="D1773" s="2" t="s">
        <v>11</v>
      </c>
      <c r="E1773" s="2" t="s">
        <v>12</v>
      </c>
      <c r="F1773" s="2">
        <v>527.09</v>
      </c>
      <c r="G1773" s="2">
        <v>53.99</v>
      </c>
      <c r="H1773" s="2" t="s">
        <v>13</v>
      </c>
      <c r="I1773" s="2" t="s">
        <v>34</v>
      </c>
    </row>
    <row r="1774" spans="1:9" x14ac:dyDescent="0.35">
      <c r="A1774" s="2" t="s">
        <v>1811</v>
      </c>
      <c r="B1774" s="3">
        <v>45166</v>
      </c>
      <c r="C1774" s="2" t="s">
        <v>16</v>
      </c>
      <c r="D1774" s="2" t="s">
        <v>62</v>
      </c>
      <c r="E1774" s="2" t="s">
        <v>27</v>
      </c>
      <c r="F1774" s="2">
        <v>103.04</v>
      </c>
      <c r="G1774" s="2">
        <v>18.579999999999998</v>
      </c>
      <c r="H1774" s="2" t="s">
        <v>13</v>
      </c>
      <c r="I1774" s="2" t="s">
        <v>34</v>
      </c>
    </row>
    <row r="1775" spans="1:9" x14ac:dyDescent="0.35">
      <c r="A1775" s="2" t="s">
        <v>1812</v>
      </c>
      <c r="B1775" s="3">
        <v>44694</v>
      </c>
      <c r="C1775" s="2" t="s">
        <v>16</v>
      </c>
      <c r="D1775" s="2" t="s">
        <v>95</v>
      </c>
      <c r="E1775" s="2" t="s">
        <v>18</v>
      </c>
      <c r="F1775" s="2">
        <v>773.37</v>
      </c>
      <c r="G1775" s="2">
        <v>86.82</v>
      </c>
      <c r="H1775" s="2" t="s">
        <v>13</v>
      </c>
      <c r="I1775" s="2" t="s">
        <v>20</v>
      </c>
    </row>
    <row r="1776" spans="1:9" x14ac:dyDescent="0.35">
      <c r="A1776" s="2" t="s">
        <v>1813</v>
      </c>
      <c r="B1776" s="3">
        <v>45202</v>
      </c>
      <c r="C1776" s="2" t="s">
        <v>16</v>
      </c>
      <c r="D1776" s="2" t="s">
        <v>17</v>
      </c>
      <c r="E1776" s="2" t="s">
        <v>18</v>
      </c>
      <c r="F1776" s="2">
        <v>687.81</v>
      </c>
      <c r="G1776" s="2">
        <v>101.54</v>
      </c>
      <c r="H1776" s="2" t="s">
        <v>28</v>
      </c>
      <c r="I1776" s="2" t="s">
        <v>14</v>
      </c>
    </row>
    <row r="1777" spans="1:9" x14ac:dyDescent="0.35">
      <c r="A1777" s="2" t="s">
        <v>1814</v>
      </c>
      <c r="B1777" s="3">
        <v>45230</v>
      </c>
      <c r="C1777" s="2" t="s">
        <v>22</v>
      </c>
      <c r="D1777" s="2" t="s">
        <v>17</v>
      </c>
      <c r="E1777" s="2" t="s">
        <v>18</v>
      </c>
      <c r="F1777" s="2">
        <v>1547.43</v>
      </c>
      <c r="G1777" s="2">
        <v>207.9</v>
      </c>
      <c r="H1777" s="2" t="s">
        <v>19</v>
      </c>
      <c r="I1777" s="2" t="s">
        <v>34</v>
      </c>
    </row>
    <row r="1778" spans="1:9" x14ac:dyDescent="0.35">
      <c r="A1778" s="2" t="s">
        <v>1815</v>
      </c>
      <c r="B1778" s="3">
        <v>44608</v>
      </c>
      <c r="C1778" s="2" t="s">
        <v>10</v>
      </c>
      <c r="D1778" s="2" t="s">
        <v>46</v>
      </c>
      <c r="E1778" s="2" t="s">
        <v>18</v>
      </c>
      <c r="F1778" s="2">
        <v>477.5</v>
      </c>
      <c r="G1778" s="2">
        <v>69.16</v>
      </c>
      <c r="H1778" s="2" t="s">
        <v>13</v>
      </c>
      <c r="I1778" s="2" t="s">
        <v>29</v>
      </c>
    </row>
    <row r="1779" spans="1:9" x14ac:dyDescent="0.35">
      <c r="A1779" s="2" t="s">
        <v>1816</v>
      </c>
      <c r="B1779" s="3">
        <v>45102</v>
      </c>
      <c r="C1779" s="2" t="s">
        <v>22</v>
      </c>
      <c r="D1779" s="2" t="s">
        <v>97</v>
      </c>
      <c r="E1779" s="2" t="s">
        <v>27</v>
      </c>
      <c r="F1779" s="2">
        <v>1029.99</v>
      </c>
      <c r="G1779" s="2">
        <v>182.29</v>
      </c>
      <c r="H1779" s="2" t="s">
        <v>28</v>
      </c>
      <c r="I1779" s="2" t="s">
        <v>29</v>
      </c>
    </row>
    <row r="1780" spans="1:9" x14ac:dyDescent="0.35">
      <c r="A1780" s="2" t="s">
        <v>1817</v>
      </c>
      <c r="B1780" s="3">
        <v>45429</v>
      </c>
      <c r="C1780" s="2" t="s">
        <v>25</v>
      </c>
      <c r="D1780" s="2" t="s">
        <v>73</v>
      </c>
      <c r="E1780" s="2" t="s">
        <v>27</v>
      </c>
      <c r="F1780" s="2">
        <v>152.38999999999999</v>
      </c>
      <c r="G1780" s="2">
        <v>45.21</v>
      </c>
      <c r="H1780" s="2" t="s">
        <v>28</v>
      </c>
      <c r="I1780" s="2" t="s">
        <v>34</v>
      </c>
    </row>
    <row r="1781" spans="1:9" x14ac:dyDescent="0.35">
      <c r="A1781" s="2" t="s">
        <v>1818</v>
      </c>
      <c r="B1781" s="3">
        <v>45157</v>
      </c>
      <c r="C1781" s="2" t="s">
        <v>10</v>
      </c>
      <c r="D1781" s="2" t="s">
        <v>38</v>
      </c>
      <c r="E1781" s="2" t="s">
        <v>12</v>
      </c>
      <c r="F1781" s="2">
        <v>1070.31</v>
      </c>
      <c r="G1781" s="2">
        <v>286.19</v>
      </c>
      <c r="H1781" s="2" t="s">
        <v>28</v>
      </c>
      <c r="I1781" s="2" t="s">
        <v>34</v>
      </c>
    </row>
    <row r="1782" spans="1:9" x14ac:dyDescent="0.35">
      <c r="A1782" s="2" t="s">
        <v>1819</v>
      </c>
      <c r="B1782" s="3">
        <v>44785</v>
      </c>
      <c r="C1782" s="2" t="s">
        <v>25</v>
      </c>
      <c r="D1782" s="2" t="s">
        <v>38</v>
      </c>
      <c r="E1782" s="2" t="s">
        <v>12</v>
      </c>
      <c r="F1782" s="2">
        <v>1964.18</v>
      </c>
      <c r="G1782" s="2">
        <v>411.53</v>
      </c>
      <c r="H1782" s="2" t="s">
        <v>19</v>
      </c>
      <c r="I1782" s="2" t="s">
        <v>20</v>
      </c>
    </row>
    <row r="1783" spans="1:9" x14ac:dyDescent="0.35">
      <c r="A1783" s="2" t="s">
        <v>1820</v>
      </c>
      <c r="B1783" s="3">
        <v>45072</v>
      </c>
      <c r="C1783" s="2" t="s">
        <v>10</v>
      </c>
      <c r="D1783" s="2" t="s">
        <v>57</v>
      </c>
      <c r="E1783" s="2" t="s">
        <v>27</v>
      </c>
      <c r="F1783" s="2">
        <v>1163.05</v>
      </c>
      <c r="G1783" s="2">
        <v>259.51</v>
      </c>
      <c r="H1783" s="2" t="s">
        <v>28</v>
      </c>
      <c r="I1783" s="2" t="s">
        <v>14</v>
      </c>
    </row>
    <row r="1784" spans="1:9" x14ac:dyDescent="0.35">
      <c r="A1784" s="2" t="s">
        <v>1821</v>
      </c>
      <c r="B1784" s="3">
        <v>45489</v>
      </c>
      <c r="C1784" s="2" t="s">
        <v>10</v>
      </c>
      <c r="D1784" s="2" t="s">
        <v>26</v>
      </c>
      <c r="E1784" s="2" t="s">
        <v>27</v>
      </c>
      <c r="F1784" s="2">
        <v>991.35</v>
      </c>
      <c r="G1784" s="2">
        <v>77.12</v>
      </c>
      <c r="H1784" s="2" t="s">
        <v>28</v>
      </c>
      <c r="I1784" s="2" t="s">
        <v>14</v>
      </c>
    </row>
    <row r="1785" spans="1:9" x14ac:dyDescent="0.35">
      <c r="A1785" s="2" t="s">
        <v>1822</v>
      </c>
      <c r="B1785" s="3">
        <v>44993</v>
      </c>
      <c r="C1785" s="2" t="s">
        <v>22</v>
      </c>
      <c r="D1785" s="2" t="s">
        <v>31</v>
      </c>
      <c r="E1785" s="2" t="s">
        <v>12</v>
      </c>
      <c r="F1785" s="2">
        <v>1363.65</v>
      </c>
      <c r="G1785" s="2">
        <v>407.03</v>
      </c>
      <c r="H1785" s="2" t="s">
        <v>19</v>
      </c>
      <c r="I1785" s="2" t="s">
        <v>20</v>
      </c>
    </row>
    <row r="1786" spans="1:9" x14ac:dyDescent="0.35">
      <c r="A1786" s="2" t="s">
        <v>1823</v>
      </c>
      <c r="B1786" s="3">
        <v>45458</v>
      </c>
      <c r="C1786" s="2" t="s">
        <v>22</v>
      </c>
      <c r="D1786" s="2" t="s">
        <v>33</v>
      </c>
      <c r="E1786" s="2" t="s">
        <v>18</v>
      </c>
      <c r="F1786" s="2">
        <v>1643.37</v>
      </c>
      <c r="G1786" s="2">
        <v>313.45999999999998</v>
      </c>
      <c r="H1786" s="2" t="s">
        <v>28</v>
      </c>
      <c r="I1786" s="2" t="s">
        <v>14</v>
      </c>
    </row>
    <row r="1787" spans="1:9" x14ac:dyDescent="0.35">
      <c r="A1787" s="2" t="s">
        <v>1824</v>
      </c>
      <c r="B1787" s="3">
        <v>45001</v>
      </c>
      <c r="C1787" s="2" t="s">
        <v>25</v>
      </c>
      <c r="D1787" s="2" t="s">
        <v>41</v>
      </c>
      <c r="E1787" s="2" t="s">
        <v>12</v>
      </c>
      <c r="F1787" s="2">
        <v>1678.97</v>
      </c>
      <c r="G1787" s="2">
        <v>269.08999999999997</v>
      </c>
      <c r="H1787" s="2" t="s">
        <v>13</v>
      </c>
      <c r="I1787" s="2" t="s">
        <v>34</v>
      </c>
    </row>
    <row r="1788" spans="1:9" x14ac:dyDescent="0.35">
      <c r="A1788" s="2" t="s">
        <v>1825</v>
      </c>
      <c r="B1788" s="3">
        <v>45296</v>
      </c>
      <c r="C1788" s="2" t="s">
        <v>22</v>
      </c>
      <c r="D1788" s="2" t="s">
        <v>97</v>
      </c>
      <c r="E1788" s="2" t="s">
        <v>27</v>
      </c>
      <c r="F1788" s="2">
        <v>848.83</v>
      </c>
      <c r="G1788" s="2">
        <v>135.97</v>
      </c>
      <c r="H1788" s="2" t="s">
        <v>13</v>
      </c>
      <c r="I1788" s="2" t="s">
        <v>34</v>
      </c>
    </row>
    <row r="1789" spans="1:9" x14ac:dyDescent="0.35">
      <c r="A1789" s="2" t="s">
        <v>1826</v>
      </c>
      <c r="B1789" s="3">
        <v>45628</v>
      </c>
      <c r="C1789" s="2" t="s">
        <v>25</v>
      </c>
      <c r="D1789" s="2" t="s">
        <v>26</v>
      </c>
      <c r="E1789" s="2" t="s">
        <v>27</v>
      </c>
      <c r="F1789" s="2">
        <v>1792.42</v>
      </c>
      <c r="G1789" s="2">
        <v>189.86</v>
      </c>
      <c r="H1789" s="2" t="s">
        <v>13</v>
      </c>
      <c r="I1789" s="2" t="s">
        <v>14</v>
      </c>
    </row>
    <row r="1790" spans="1:9" x14ac:dyDescent="0.35">
      <c r="A1790" s="2" t="s">
        <v>1827</v>
      </c>
      <c r="B1790" s="3">
        <v>45342</v>
      </c>
      <c r="C1790" s="2" t="s">
        <v>10</v>
      </c>
      <c r="D1790" s="2" t="s">
        <v>31</v>
      </c>
      <c r="E1790" s="2" t="s">
        <v>12</v>
      </c>
      <c r="F1790" s="2">
        <v>89.14</v>
      </c>
      <c r="G1790" s="2">
        <v>9.9</v>
      </c>
      <c r="H1790" s="2" t="s">
        <v>28</v>
      </c>
      <c r="I1790" s="2" t="s">
        <v>20</v>
      </c>
    </row>
    <row r="1791" spans="1:9" x14ac:dyDescent="0.35">
      <c r="A1791" s="2" t="s">
        <v>1828</v>
      </c>
      <c r="B1791" s="3">
        <v>45551</v>
      </c>
      <c r="C1791" s="2" t="s">
        <v>10</v>
      </c>
      <c r="D1791" s="2" t="s">
        <v>23</v>
      </c>
      <c r="E1791" s="2" t="s">
        <v>18</v>
      </c>
      <c r="F1791" s="2">
        <v>776.82</v>
      </c>
      <c r="G1791" s="2">
        <v>203.55</v>
      </c>
      <c r="H1791" s="2" t="s">
        <v>28</v>
      </c>
      <c r="I1791" s="2" t="s">
        <v>34</v>
      </c>
    </row>
    <row r="1792" spans="1:9" x14ac:dyDescent="0.35">
      <c r="A1792" s="2" t="s">
        <v>1829</v>
      </c>
      <c r="B1792" s="3">
        <v>44846</v>
      </c>
      <c r="C1792" s="2" t="s">
        <v>10</v>
      </c>
      <c r="D1792" s="2" t="s">
        <v>62</v>
      </c>
      <c r="E1792" s="2" t="s">
        <v>27</v>
      </c>
      <c r="F1792" s="2">
        <v>611.13</v>
      </c>
      <c r="G1792" s="2">
        <v>125.78</v>
      </c>
      <c r="H1792" s="2" t="s">
        <v>19</v>
      </c>
      <c r="I1792" s="2" t="s">
        <v>29</v>
      </c>
    </row>
    <row r="1793" spans="1:9" x14ac:dyDescent="0.35">
      <c r="A1793" s="2" t="s">
        <v>1830</v>
      </c>
      <c r="B1793" s="3">
        <v>45443</v>
      </c>
      <c r="C1793" s="2" t="s">
        <v>16</v>
      </c>
      <c r="D1793" s="2" t="s">
        <v>23</v>
      </c>
      <c r="E1793" s="2" t="s">
        <v>18</v>
      </c>
      <c r="F1793" s="2">
        <v>677.39</v>
      </c>
      <c r="G1793" s="2">
        <v>77.88</v>
      </c>
      <c r="H1793" s="2" t="s">
        <v>13</v>
      </c>
      <c r="I1793" s="2" t="s">
        <v>14</v>
      </c>
    </row>
    <row r="1794" spans="1:9" x14ac:dyDescent="0.35">
      <c r="A1794" s="2" t="s">
        <v>1831</v>
      </c>
      <c r="B1794" s="3">
        <v>45461</v>
      </c>
      <c r="C1794" s="2" t="s">
        <v>10</v>
      </c>
      <c r="D1794" s="2" t="s">
        <v>41</v>
      </c>
      <c r="E1794" s="2" t="s">
        <v>12</v>
      </c>
      <c r="F1794" s="2">
        <v>848.4</v>
      </c>
      <c r="G1794" s="2">
        <v>227.93</v>
      </c>
      <c r="H1794" s="2" t="s">
        <v>28</v>
      </c>
      <c r="I1794" s="2" t="s">
        <v>29</v>
      </c>
    </row>
    <row r="1795" spans="1:9" x14ac:dyDescent="0.35">
      <c r="A1795" s="2" t="s">
        <v>1832</v>
      </c>
      <c r="B1795" s="3">
        <v>44695</v>
      </c>
      <c r="C1795" s="2" t="s">
        <v>22</v>
      </c>
      <c r="D1795" s="2" t="s">
        <v>95</v>
      </c>
      <c r="E1795" s="2" t="s">
        <v>18</v>
      </c>
      <c r="F1795" s="2">
        <v>1947.19</v>
      </c>
      <c r="G1795" s="2">
        <v>115.74</v>
      </c>
      <c r="H1795" s="2" t="s">
        <v>19</v>
      </c>
      <c r="I1795" s="2" t="s">
        <v>20</v>
      </c>
    </row>
    <row r="1796" spans="1:9" x14ac:dyDescent="0.35">
      <c r="A1796" s="2" t="s">
        <v>1833</v>
      </c>
      <c r="B1796" s="3">
        <v>45566</v>
      </c>
      <c r="C1796" s="2" t="s">
        <v>25</v>
      </c>
      <c r="D1796" s="2" t="s">
        <v>31</v>
      </c>
      <c r="E1796" s="2" t="s">
        <v>12</v>
      </c>
      <c r="F1796" s="2">
        <v>1897.99</v>
      </c>
      <c r="G1796" s="2">
        <v>286.95</v>
      </c>
      <c r="H1796" s="2" t="s">
        <v>28</v>
      </c>
      <c r="I1796" s="2" t="s">
        <v>29</v>
      </c>
    </row>
    <row r="1797" spans="1:9" x14ac:dyDescent="0.35">
      <c r="A1797" s="2" t="s">
        <v>1834</v>
      </c>
      <c r="B1797" s="3">
        <v>45316</v>
      </c>
      <c r="C1797" s="2" t="s">
        <v>10</v>
      </c>
      <c r="D1797" s="2" t="s">
        <v>31</v>
      </c>
      <c r="E1797" s="2" t="s">
        <v>12</v>
      </c>
      <c r="F1797" s="2">
        <v>947.26</v>
      </c>
      <c r="G1797" s="2">
        <v>240.46</v>
      </c>
      <c r="H1797" s="2" t="s">
        <v>13</v>
      </c>
      <c r="I1797" s="2" t="s">
        <v>20</v>
      </c>
    </row>
    <row r="1798" spans="1:9" x14ac:dyDescent="0.35">
      <c r="A1798" s="2" t="s">
        <v>1835</v>
      </c>
      <c r="B1798" s="3">
        <v>45546</v>
      </c>
      <c r="C1798" s="2" t="s">
        <v>25</v>
      </c>
      <c r="D1798" s="2" t="s">
        <v>50</v>
      </c>
      <c r="E1798" s="2" t="s">
        <v>12</v>
      </c>
      <c r="F1798" s="2">
        <v>378.33</v>
      </c>
      <c r="G1798" s="2">
        <v>91.29</v>
      </c>
      <c r="H1798" s="2" t="s">
        <v>13</v>
      </c>
      <c r="I1798" s="2" t="s">
        <v>34</v>
      </c>
    </row>
    <row r="1799" spans="1:9" x14ac:dyDescent="0.35">
      <c r="A1799" s="2" t="s">
        <v>1836</v>
      </c>
      <c r="B1799" s="3">
        <v>44964</v>
      </c>
      <c r="C1799" s="2" t="s">
        <v>10</v>
      </c>
      <c r="D1799" s="2" t="s">
        <v>23</v>
      </c>
      <c r="E1799" s="2" t="s">
        <v>18</v>
      </c>
      <c r="F1799" s="2">
        <v>1406.75</v>
      </c>
      <c r="G1799" s="2">
        <v>263.66000000000003</v>
      </c>
      <c r="H1799" s="2" t="s">
        <v>13</v>
      </c>
      <c r="I1799" s="2" t="s">
        <v>34</v>
      </c>
    </row>
    <row r="1800" spans="1:9" x14ac:dyDescent="0.35">
      <c r="A1800" s="2" t="s">
        <v>1837</v>
      </c>
      <c r="B1800" s="3">
        <v>45303</v>
      </c>
      <c r="C1800" s="2" t="s">
        <v>10</v>
      </c>
      <c r="D1800" s="2" t="s">
        <v>73</v>
      </c>
      <c r="E1800" s="2" t="s">
        <v>27</v>
      </c>
      <c r="F1800" s="2">
        <v>971.94</v>
      </c>
      <c r="G1800" s="2">
        <v>198.33</v>
      </c>
      <c r="H1800" s="2" t="s">
        <v>13</v>
      </c>
      <c r="I1800" s="2" t="s">
        <v>29</v>
      </c>
    </row>
    <row r="1801" spans="1:9" x14ac:dyDescent="0.35">
      <c r="A1801" s="2" t="s">
        <v>1838</v>
      </c>
      <c r="B1801" s="3">
        <v>45240</v>
      </c>
      <c r="C1801" s="2" t="s">
        <v>25</v>
      </c>
      <c r="D1801" s="2" t="s">
        <v>62</v>
      </c>
      <c r="E1801" s="2" t="s">
        <v>27</v>
      </c>
      <c r="F1801" s="2">
        <v>71.59</v>
      </c>
      <c r="G1801" s="2">
        <v>8.35</v>
      </c>
      <c r="H1801" s="2" t="s">
        <v>28</v>
      </c>
      <c r="I1801" s="2" t="s">
        <v>34</v>
      </c>
    </row>
    <row r="1802" spans="1:9" x14ac:dyDescent="0.35">
      <c r="A1802" s="2" t="s">
        <v>1839</v>
      </c>
      <c r="B1802" s="3">
        <v>44834</v>
      </c>
      <c r="C1802" s="2" t="s">
        <v>22</v>
      </c>
      <c r="D1802" s="2" t="s">
        <v>50</v>
      </c>
      <c r="E1802" s="2" t="s">
        <v>12</v>
      </c>
      <c r="F1802" s="2">
        <v>1899.58</v>
      </c>
      <c r="G1802" s="2">
        <v>236.58</v>
      </c>
      <c r="H1802" s="2" t="s">
        <v>19</v>
      </c>
      <c r="I1802" s="2" t="s">
        <v>20</v>
      </c>
    </row>
    <row r="1803" spans="1:9" x14ac:dyDescent="0.35">
      <c r="A1803" s="2" t="s">
        <v>1840</v>
      </c>
      <c r="B1803" s="3">
        <v>44855</v>
      </c>
      <c r="C1803" s="2" t="s">
        <v>22</v>
      </c>
      <c r="D1803" s="2" t="s">
        <v>11</v>
      </c>
      <c r="E1803" s="2" t="s">
        <v>12</v>
      </c>
      <c r="F1803" s="2">
        <v>337.15</v>
      </c>
      <c r="G1803" s="2">
        <v>79.8</v>
      </c>
      <c r="H1803" s="2" t="s">
        <v>13</v>
      </c>
      <c r="I1803" s="2" t="s">
        <v>14</v>
      </c>
    </row>
    <row r="1804" spans="1:9" x14ac:dyDescent="0.35">
      <c r="A1804" s="2" t="s">
        <v>1841</v>
      </c>
      <c r="B1804" s="3">
        <v>45490</v>
      </c>
      <c r="C1804" s="2" t="s">
        <v>25</v>
      </c>
      <c r="D1804" s="2" t="s">
        <v>33</v>
      </c>
      <c r="E1804" s="2" t="s">
        <v>18</v>
      </c>
      <c r="F1804" s="2">
        <v>429.36</v>
      </c>
      <c r="G1804" s="2">
        <v>103.25</v>
      </c>
      <c r="H1804" s="2" t="s">
        <v>28</v>
      </c>
      <c r="I1804" s="2" t="s">
        <v>20</v>
      </c>
    </row>
    <row r="1805" spans="1:9" x14ac:dyDescent="0.35">
      <c r="A1805" s="2" t="s">
        <v>1842</v>
      </c>
      <c r="B1805" s="3">
        <v>45048</v>
      </c>
      <c r="C1805" s="2" t="s">
        <v>16</v>
      </c>
      <c r="D1805" s="2" t="s">
        <v>50</v>
      </c>
      <c r="E1805" s="2" t="s">
        <v>12</v>
      </c>
      <c r="F1805" s="2">
        <v>1207.98</v>
      </c>
      <c r="G1805" s="2">
        <v>63.46</v>
      </c>
      <c r="H1805" s="2" t="s">
        <v>13</v>
      </c>
      <c r="I1805" s="2" t="s">
        <v>20</v>
      </c>
    </row>
    <row r="1806" spans="1:9" x14ac:dyDescent="0.35">
      <c r="A1806" s="2" t="s">
        <v>1843</v>
      </c>
      <c r="B1806" s="3">
        <v>44704</v>
      </c>
      <c r="C1806" s="2" t="s">
        <v>16</v>
      </c>
      <c r="D1806" s="2" t="s">
        <v>62</v>
      </c>
      <c r="E1806" s="2" t="s">
        <v>27</v>
      </c>
      <c r="F1806" s="2">
        <v>458.08</v>
      </c>
      <c r="G1806" s="2">
        <v>135.30000000000001</v>
      </c>
      <c r="H1806" s="2" t="s">
        <v>13</v>
      </c>
      <c r="I1806" s="2" t="s">
        <v>29</v>
      </c>
    </row>
    <row r="1807" spans="1:9" x14ac:dyDescent="0.35">
      <c r="A1807" s="2" t="s">
        <v>1844</v>
      </c>
      <c r="B1807" s="3">
        <v>45127</v>
      </c>
      <c r="C1807" s="2" t="s">
        <v>25</v>
      </c>
      <c r="D1807" s="2" t="s">
        <v>73</v>
      </c>
      <c r="E1807" s="2" t="s">
        <v>27</v>
      </c>
      <c r="F1807" s="2">
        <v>1333.17</v>
      </c>
      <c r="G1807" s="2">
        <v>322.77999999999997</v>
      </c>
      <c r="H1807" s="2" t="s">
        <v>13</v>
      </c>
      <c r="I1807" s="2" t="s">
        <v>29</v>
      </c>
    </row>
    <row r="1808" spans="1:9" x14ac:dyDescent="0.35">
      <c r="A1808" s="2" t="s">
        <v>1845</v>
      </c>
      <c r="B1808" s="3">
        <v>44903</v>
      </c>
      <c r="C1808" s="2" t="s">
        <v>10</v>
      </c>
      <c r="D1808" s="2" t="s">
        <v>97</v>
      </c>
      <c r="E1808" s="2" t="s">
        <v>27</v>
      </c>
      <c r="F1808" s="2">
        <v>1826.59</v>
      </c>
      <c r="G1808" s="2">
        <v>244.21</v>
      </c>
      <c r="H1808" s="2" t="s">
        <v>13</v>
      </c>
      <c r="I1808" s="2" t="s">
        <v>34</v>
      </c>
    </row>
    <row r="1809" spans="1:9" x14ac:dyDescent="0.35">
      <c r="A1809" s="2" t="s">
        <v>1846</v>
      </c>
      <c r="B1809" s="3">
        <v>45283</v>
      </c>
      <c r="C1809" s="2" t="s">
        <v>10</v>
      </c>
      <c r="D1809" s="2" t="s">
        <v>97</v>
      </c>
      <c r="E1809" s="2" t="s">
        <v>27</v>
      </c>
      <c r="F1809" s="2">
        <v>1809.13</v>
      </c>
      <c r="G1809" s="2">
        <v>258.3</v>
      </c>
      <c r="H1809" s="2" t="s">
        <v>19</v>
      </c>
      <c r="I1809" s="2" t="s">
        <v>29</v>
      </c>
    </row>
    <row r="1810" spans="1:9" x14ac:dyDescent="0.35">
      <c r="A1810" s="2" t="s">
        <v>1847</v>
      </c>
      <c r="B1810" s="3">
        <v>44827</v>
      </c>
      <c r="C1810" s="2" t="s">
        <v>22</v>
      </c>
      <c r="D1810" s="2" t="s">
        <v>50</v>
      </c>
      <c r="E1810" s="2" t="s">
        <v>12</v>
      </c>
      <c r="F1810" s="2">
        <v>924.65</v>
      </c>
      <c r="G1810" s="2">
        <v>175.76</v>
      </c>
      <c r="H1810" s="2" t="s">
        <v>28</v>
      </c>
      <c r="I1810" s="2" t="s">
        <v>20</v>
      </c>
    </row>
    <row r="1811" spans="1:9" x14ac:dyDescent="0.35">
      <c r="A1811" s="2" t="s">
        <v>1848</v>
      </c>
      <c r="B1811" s="3">
        <v>45082</v>
      </c>
      <c r="C1811" s="2" t="s">
        <v>16</v>
      </c>
      <c r="D1811" s="2" t="s">
        <v>26</v>
      </c>
      <c r="E1811" s="2" t="s">
        <v>27</v>
      </c>
      <c r="F1811" s="2">
        <v>527.63</v>
      </c>
      <c r="G1811" s="2">
        <v>113.57</v>
      </c>
      <c r="H1811" s="2" t="s">
        <v>28</v>
      </c>
      <c r="I1811" s="2" t="s">
        <v>20</v>
      </c>
    </row>
    <row r="1812" spans="1:9" x14ac:dyDescent="0.35">
      <c r="A1812" s="2" t="s">
        <v>1849</v>
      </c>
      <c r="B1812" s="3">
        <v>45470</v>
      </c>
      <c r="C1812" s="2" t="s">
        <v>16</v>
      </c>
      <c r="D1812" s="2" t="s">
        <v>73</v>
      </c>
      <c r="E1812" s="2" t="s">
        <v>27</v>
      </c>
      <c r="F1812" s="2">
        <v>1216.6099999999999</v>
      </c>
      <c r="G1812" s="2">
        <v>75.16</v>
      </c>
      <c r="H1812" s="2" t="s">
        <v>28</v>
      </c>
      <c r="I1812" s="2" t="s">
        <v>20</v>
      </c>
    </row>
    <row r="1813" spans="1:9" x14ac:dyDescent="0.35">
      <c r="A1813" s="2" t="s">
        <v>1850</v>
      </c>
      <c r="B1813" s="3">
        <v>45467</v>
      </c>
      <c r="C1813" s="2" t="s">
        <v>25</v>
      </c>
      <c r="D1813" s="2" t="s">
        <v>38</v>
      </c>
      <c r="E1813" s="2" t="s">
        <v>12</v>
      </c>
      <c r="F1813" s="2">
        <v>1694.64</v>
      </c>
      <c r="G1813" s="2">
        <v>192.45</v>
      </c>
      <c r="H1813" s="2" t="s">
        <v>28</v>
      </c>
      <c r="I1813" s="2" t="s">
        <v>29</v>
      </c>
    </row>
    <row r="1814" spans="1:9" x14ac:dyDescent="0.35">
      <c r="A1814" s="2" t="s">
        <v>1851</v>
      </c>
      <c r="B1814" s="3">
        <v>44698</v>
      </c>
      <c r="C1814" s="2" t="s">
        <v>22</v>
      </c>
      <c r="D1814" s="2" t="s">
        <v>38</v>
      </c>
      <c r="E1814" s="2" t="s">
        <v>12</v>
      </c>
      <c r="F1814" s="2">
        <v>975.29</v>
      </c>
      <c r="G1814" s="2">
        <v>198.34</v>
      </c>
      <c r="H1814" s="2" t="s">
        <v>13</v>
      </c>
      <c r="I1814" s="2" t="s">
        <v>14</v>
      </c>
    </row>
    <row r="1815" spans="1:9" x14ac:dyDescent="0.35">
      <c r="A1815" s="2" t="s">
        <v>1852</v>
      </c>
      <c r="B1815" s="3">
        <v>44739</v>
      </c>
      <c r="C1815" s="2" t="s">
        <v>16</v>
      </c>
      <c r="D1815" s="2" t="s">
        <v>73</v>
      </c>
      <c r="E1815" s="2" t="s">
        <v>27</v>
      </c>
      <c r="F1815" s="2">
        <v>337.53</v>
      </c>
      <c r="G1815" s="2">
        <v>39.840000000000003</v>
      </c>
      <c r="H1815" s="2" t="s">
        <v>13</v>
      </c>
      <c r="I1815" s="2" t="s">
        <v>20</v>
      </c>
    </row>
    <row r="1816" spans="1:9" x14ac:dyDescent="0.35">
      <c r="A1816" s="2" t="s">
        <v>1853</v>
      </c>
      <c r="B1816" s="3">
        <v>45260</v>
      </c>
      <c r="C1816" s="2" t="s">
        <v>16</v>
      </c>
      <c r="D1816" s="2" t="s">
        <v>26</v>
      </c>
      <c r="E1816" s="2" t="s">
        <v>27</v>
      </c>
      <c r="F1816" s="2">
        <v>1350.4</v>
      </c>
      <c r="G1816" s="2">
        <v>304.19</v>
      </c>
      <c r="H1816" s="2" t="s">
        <v>19</v>
      </c>
      <c r="I1816" s="2" t="s">
        <v>14</v>
      </c>
    </row>
    <row r="1817" spans="1:9" x14ac:dyDescent="0.35">
      <c r="A1817" s="2" t="s">
        <v>1854</v>
      </c>
      <c r="B1817" s="3">
        <v>45531</v>
      </c>
      <c r="C1817" s="2" t="s">
        <v>25</v>
      </c>
      <c r="D1817" s="2" t="s">
        <v>38</v>
      </c>
      <c r="E1817" s="2" t="s">
        <v>12</v>
      </c>
      <c r="F1817" s="2">
        <v>218.06</v>
      </c>
      <c r="G1817" s="2">
        <v>58.48</v>
      </c>
      <c r="H1817" s="2" t="s">
        <v>19</v>
      </c>
      <c r="I1817" s="2" t="s">
        <v>14</v>
      </c>
    </row>
    <row r="1818" spans="1:9" x14ac:dyDescent="0.35">
      <c r="A1818" s="2" t="s">
        <v>1855</v>
      </c>
      <c r="B1818" s="3">
        <v>44740</v>
      </c>
      <c r="C1818" s="2" t="s">
        <v>25</v>
      </c>
      <c r="D1818" s="2" t="s">
        <v>57</v>
      </c>
      <c r="E1818" s="2" t="s">
        <v>27</v>
      </c>
      <c r="F1818" s="2">
        <v>1388.22</v>
      </c>
      <c r="G1818" s="2">
        <v>237.42</v>
      </c>
      <c r="H1818" s="2" t="s">
        <v>19</v>
      </c>
      <c r="I1818" s="2" t="s">
        <v>34</v>
      </c>
    </row>
    <row r="1819" spans="1:9" x14ac:dyDescent="0.35">
      <c r="A1819" s="2" t="s">
        <v>1856</v>
      </c>
      <c r="B1819" s="3">
        <v>45380</v>
      </c>
      <c r="C1819" s="2" t="s">
        <v>16</v>
      </c>
      <c r="D1819" s="2" t="s">
        <v>62</v>
      </c>
      <c r="E1819" s="2" t="s">
        <v>27</v>
      </c>
      <c r="F1819" s="2">
        <v>113.21</v>
      </c>
      <c r="G1819" s="2">
        <v>12.97</v>
      </c>
      <c r="H1819" s="2" t="s">
        <v>28</v>
      </c>
      <c r="I1819" s="2" t="s">
        <v>29</v>
      </c>
    </row>
    <row r="1820" spans="1:9" x14ac:dyDescent="0.35">
      <c r="A1820" s="2" t="s">
        <v>1857</v>
      </c>
      <c r="B1820" s="3">
        <v>45530</v>
      </c>
      <c r="C1820" s="2" t="s">
        <v>25</v>
      </c>
      <c r="D1820" s="2" t="s">
        <v>38</v>
      </c>
      <c r="E1820" s="2" t="s">
        <v>12</v>
      </c>
      <c r="F1820" s="2">
        <v>1671.54</v>
      </c>
      <c r="G1820" s="2">
        <v>306.20999999999998</v>
      </c>
      <c r="H1820" s="2" t="s">
        <v>28</v>
      </c>
      <c r="I1820" s="2" t="s">
        <v>29</v>
      </c>
    </row>
    <row r="1821" spans="1:9" x14ac:dyDescent="0.35">
      <c r="A1821" s="2" t="s">
        <v>1858</v>
      </c>
      <c r="B1821" s="3">
        <v>45219</v>
      </c>
      <c r="C1821" s="2" t="s">
        <v>25</v>
      </c>
      <c r="D1821" s="2" t="s">
        <v>95</v>
      </c>
      <c r="E1821" s="2" t="s">
        <v>18</v>
      </c>
      <c r="F1821" s="2">
        <v>1987.83</v>
      </c>
      <c r="G1821" s="2">
        <v>305.89999999999998</v>
      </c>
      <c r="H1821" s="2" t="s">
        <v>19</v>
      </c>
      <c r="I1821" s="2" t="s">
        <v>20</v>
      </c>
    </row>
    <row r="1822" spans="1:9" x14ac:dyDescent="0.35">
      <c r="A1822" s="2" t="s">
        <v>1859</v>
      </c>
      <c r="B1822" s="3">
        <v>44609</v>
      </c>
      <c r="C1822" s="2" t="s">
        <v>22</v>
      </c>
      <c r="D1822" s="2" t="s">
        <v>11</v>
      </c>
      <c r="E1822" s="2" t="s">
        <v>12</v>
      </c>
      <c r="F1822" s="2">
        <v>1101.05</v>
      </c>
      <c r="G1822" s="2">
        <v>189.05</v>
      </c>
      <c r="H1822" s="2" t="s">
        <v>19</v>
      </c>
      <c r="I1822" s="2" t="s">
        <v>14</v>
      </c>
    </row>
    <row r="1823" spans="1:9" x14ac:dyDescent="0.35">
      <c r="A1823" s="2" t="s">
        <v>1860</v>
      </c>
      <c r="B1823" s="3">
        <v>45026</v>
      </c>
      <c r="C1823" s="2" t="s">
        <v>16</v>
      </c>
      <c r="D1823" s="2" t="s">
        <v>62</v>
      </c>
      <c r="E1823" s="2" t="s">
        <v>27</v>
      </c>
      <c r="F1823" s="2">
        <v>830.9</v>
      </c>
      <c r="G1823" s="2">
        <v>220.12</v>
      </c>
      <c r="H1823" s="2" t="s">
        <v>28</v>
      </c>
      <c r="I1823" s="2" t="s">
        <v>20</v>
      </c>
    </row>
    <row r="1824" spans="1:9" x14ac:dyDescent="0.35">
      <c r="A1824" s="2" t="s">
        <v>1861</v>
      </c>
      <c r="B1824" s="3">
        <v>44717</v>
      </c>
      <c r="C1824" s="2" t="s">
        <v>22</v>
      </c>
      <c r="D1824" s="2" t="s">
        <v>26</v>
      </c>
      <c r="E1824" s="2" t="s">
        <v>27</v>
      </c>
      <c r="F1824" s="2">
        <v>1923.75</v>
      </c>
      <c r="G1824" s="2">
        <v>341.78</v>
      </c>
      <c r="H1824" s="2" t="s">
        <v>28</v>
      </c>
      <c r="I1824" s="2" t="s">
        <v>34</v>
      </c>
    </row>
    <row r="1825" spans="1:9" x14ac:dyDescent="0.35">
      <c r="A1825" s="2" t="s">
        <v>1862</v>
      </c>
      <c r="B1825" s="3">
        <v>45027</v>
      </c>
      <c r="C1825" s="2" t="s">
        <v>16</v>
      </c>
      <c r="D1825" s="2" t="s">
        <v>50</v>
      </c>
      <c r="E1825" s="2" t="s">
        <v>12</v>
      </c>
      <c r="F1825" s="2">
        <v>1834.09</v>
      </c>
      <c r="G1825" s="2">
        <v>102.73</v>
      </c>
      <c r="H1825" s="2" t="s">
        <v>28</v>
      </c>
      <c r="I1825" s="2" t="s">
        <v>14</v>
      </c>
    </row>
    <row r="1826" spans="1:9" x14ac:dyDescent="0.35">
      <c r="A1826" s="2" t="s">
        <v>1863</v>
      </c>
      <c r="B1826" s="3">
        <v>45018</v>
      </c>
      <c r="C1826" s="2" t="s">
        <v>10</v>
      </c>
      <c r="D1826" s="2" t="s">
        <v>73</v>
      </c>
      <c r="E1826" s="2" t="s">
        <v>27</v>
      </c>
      <c r="F1826" s="2">
        <v>1958.12</v>
      </c>
      <c r="G1826" s="2">
        <v>406.3</v>
      </c>
      <c r="H1826" s="2" t="s">
        <v>13</v>
      </c>
      <c r="I1826" s="2" t="s">
        <v>14</v>
      </c>
    </row>
    <row r="1827" spans="1:9" x14ac:dyDescent="0.35">
      <c r="A1827" s="2" t="s">
        <v>1864</v>
      </c>
      <c r="B1827" s="3">
        <v>45200</v>
      </c>
      <c r="C1827" s="2" t="s">
        <v>16</v>
      </c>
      <c r="D1827" s="2" t="s">
        <v>95</v>
      </c>
      <c r="E1827" s="2" t="s">
        <v>18</v>
      </c>
      <c r="F1827" s="2">
        <v>443.63</v>
      </c>
      <c r="G1827" s="2">
        <v>94.32</v>
      </c>
      <c r="H1827" s="2" t="s">
        <v>19</v>
      </c>
      <c r="I1827" s="2" t="s">
        <v>14</v>
      </c>
    </row>
    <row r="1828" spans="1:9" x14ac:dyDescent="0.35">
      <c r="A1828" s="2" t="s">
        <v>1865</v>
      </c>
      <c r="B1828" s="3">
        <v>45370</v>
      </c>
      <c r="C1828" s="2" t="s">
        <v>16</v>
      </c>
      <c r="D1828" s="2" t="s">
        <v>97</v>
      </c>
      <c r="E1828" s="2" t="s">
        <v>27</v>
      </c>
      <c r="F1828" s="2">
        <v>1459.44</v>
      </c>
      <c r="G1828" s="2">
        <v>155.11000000000001</v>
      </c>
      <c r="H1828" s="2" t="s">
        <v>28</v>
      </c>
      <c r="I1828" s="2" t="s">
        <v>29</v>
      </c>
    </row>
    <row r="1829" spans="1:9" x14ac:dyDescent="0.35">
      <c r="A1829" s="2" t="s">
        <v>1866</v>
      </c>
      <c r="B1829" s="3">
        <v>45584</v>
      </c>
      <c r="C1829" s="2" t="s">
        <v>25</v>
      </c>
      <c r="D1829" s="2" t="s">
        <v>38</v>
      </c>
      <c r="E1829" s="2" t="s">
        <v>12</v>
      </c>
      <c r="F1829" s="2">
        <v>1486.8</v>
      </c>
      <c r="G1829" s="2">
        <v>371.04</v>
      </c>
      <c r="H1829" s="2" t="s">
        <v>28</v>
      </c>
      <c r="I1829" s="2" t="s">
        <v>14</v>
      </c>
    </row>
    <row r="1830" spans="1:9" x14ac:dyDescent="0.35">
      <c r="A1830" s="2" t="s">
        <v>1867</v>
      </c>
      <c r="B1830" s="3">
        <v>44869</v>
      </c>
      <c r="C1830" s="2" t="s">
        <v>16</v>
      </c>
      <c r="D1830" s="2" t="s">
        <v>62</v>
      </c>
      <c r="E1830" s="2" t="s">
        <v>27</v>
      </c>
      <c r="F1830" s="2">
        <v>288.39999999999998</v>
      </c>
      <c r="G1830" s="2">
        <v>58.56</v>
      </c>
      <c r="H1830" s="2" t="s">
        <v>28</v>
      </c>
      <c r="I1830" s="2" t="s">
        <v>14</v>
      </c>
    </row>
    <row r="1831" spans="1:9" x14ac:dyDescent="0.35">
      <c r="A1831" s="2" t="s">
        <v>1868</v>
      </c>
      <c r="B1831" s="3">
        <v>45441</v>
      </c>
      <c r="C1831" s="2" t="s">
        <v>10</v>
      </c>
      <c r="D1831" s="2" t="s">
        <v>97</v>
      </c>
      <c r="E1831" s="2" t="s">
        <v>27</v>
      </c>
      <c r="F1831" s="2">
        <v>105.48</v>
      </c>
      <c r="G1831" s="2">
        <v>28.91</v>
      </c>
      <c r="H1831" s="2" t="s">
        <v>13</v>
      </c>
      <c r="I1831" s="2" t="s">
        <v>29</v>
      </c>
    </row>
    <row r="1832" spans="1:9" x14ac:dyDescent="0.35">
      <c r="A1832" s="2" t="s">
        <v>1869</v>
      </c>
      <c r="B1832" s="3">
        <v>44611</v>
      </c>
      <c r="C1832" s="2" t="s">
        <v>22</v>
      </c>
      <c r="D1832" s="2" t="s">
        <v>33</v>
      </c>
      <c r="E1832" s="2" t="s">
        <v>18</v>
      </c>
      <c r="F1832" s="2">
        <v>1918.65</v>
      </c>
      <c r="G1832" s="2">
        <v>453.28</v>
      </c>
      <c r="H1832" s="2" t="s">
        <v>28</v>
      </c>
      <c r="I1832" s="2" t="s">
        <v>20</v>
      </c>
    </row>
    <row r="1833" spans="1:9" x14ac:dyDescent="0.35">
      <c r="A1833" s="2" t="s">
        <v>1870</v>
      </c>
      <c r="B1833" s="3">
        <v>45138</v>
      </c>
      <c r="C1833" s="2" t="s">
        <v>25</v>
      </c>
      <c r="D1833" s="2" t="s">
        <v>97</v>
      </c>
      <c r="E1833" s="2" t="s">
        <v>27</v>
      </c>
      <c r="F1833" s="2">
        <v>363.3</v>
      </c>
      <c r="G1833" s="2">
        <v>72.260000000000005</v>
      </c>
      <c r="H1833" s="2" t="s">
        <v>28</v>
      </c>
      <c r="I1833" s="2" t="s">
        <v>34</v>
      </c>
    </row>
    <row r="1834" spans="1:9" x14ac:dyDescent="0.35">
      <c r="A1834" s="2" t="s">
        <v>1871</v>
      </c>
      <c r="B1834" s="3">
        <v>44955</v>
      </c>
      <c r="C1834" s="2" t="s">
        <v>25</v>
      </c>
      <c r="D1834" s="2" t="s">
        <v>62</v>
      </c>
      <c r="E1834" s="2" t="s">
        <v>27</v>
      </c>
      <c r="F1834" s="2">
        <v>1670.91</v>
      </c>
      <c r="G1834" s="2">
        <v>175.2</v>
      </c>
      <c r="H1834" s="2" t="s">
        <v>28</v>
      </c>
      <c r="I1834" s="2" t="s">
        <v>29</v>
      </c>
    </row>
    <row r="1835" spans="1:9" x14ac:dyDescent="0.35">
      <c r="A1835" s="2" t="s">
        <v>1872</v>
      </c>
      <c r="B1835" s="3">
        <v>44765</v>
      </c>
      <c r="C1835" s="2" t="s">
        <v>25</v>
      </c>
      <c r="D1835" s="2" t="s">
        <v>97</v>
      </c>
      <c r="E1835" s="2" t="s">
        <v>27</v>
      </c>
      <c r="F1835" s="2">
        <v>407.31</v>
      </c>
      <c r="G1835" s="2">
        <v>120.67</v>
      </c>
      <c r="H1835" s="2" t="s">
        <v>19</v>
      </c>
      <c r="I1835" s="2" t="s">
        <v>14</v>
      </c>
    </row>
    <row r="1836" spans="1:9" x14ac:dyDescent="0.35">
      <c r="A1836" s="2" t="s">
        <v>1873</v>
      </c>
      <c r="B1836" s="3">
        <v>45106</v>
      </c>
      <c r="C1836" s="2" t="s">
        <v>22</v>
      </c>
      <c r="D1836" s="2" t="s">
        <v>46</v>
      </c>
      <c r="E1836" s="2" t="s">
        <v>18</v>
      </c>
      <c r="F1836" s="2">
        <v>1197.52</v>
      </c>
      <c r="G1836" s="2">
        <v>189.6</v>
      </c>
      <c r="H1836" s="2" t="s">
        <v>13</v>
      </c>
      <c r="I1836" s="2" t="s">
        <v>14</v>
      </c>
    </row>
    <row r="1837" spans="1:9" x14ac:dyDescent="0.35">
      <c r="A1837" s="2" t="s">
        <v>1874</v>
      </c>
      <c r="B1837" s="3">
        <v>45427</v>
      </c>
      <c r="C1837" s="2" t="s">
        <v>16</v>
      </c>
      <c r="D1837" s="2" t="s">
        <v>17</v>
      </c>
      <c r="E1837" s="2" t="s">
        <v>18</v>
      </c>
      <c r="F1837" s="2">
        <v>1491.91</v>
      </c>
      <c r="G1837" s="2">
        <v>96.66</v>
      </c>
      <c r="H1837" s="2" t="s">
        <v>19</v>
      </c>
      <c r="I1837" s="2" t="s">
        <v>14</v>
      </c>
    </row>
    <row r="1838" spans="1:9" x14ac:dyDescent="0.35">
      <c r="A1838" s="2" t="s">
        <v>1875</v>
      </c>
      <c r="B1838" s="3">
        <v>45126</v>
      </c>
      <c r="C1838" s="2" t="s">
        <v>16</v>
      </c>
      <c r="D1838" s="2" t="s">
        <v>38</v>
      </c>
      <c r="E1838" s="2" t="s">
        <v>12</v>
      </c>
      <c r="F1838" s="2">
        <v>1930.3</v>
      </c>
      <c r="G1838" s="2">
        <v>445.67</v>
      </c>
      <c r="H1838" s="2" t="s">
        <v>28</v>
      </c>
      <c r="I1838" s="2" t="s">
        <v>29</v>
      </c>
    </row>
    <row r="1839" spans="1:9" x14ac:dyDescent="0.35">
      <c r="A1839" s="2" t="s">
        <v>1876</v>
      </c>
      <c r="B1839" s="3">
        <v>44739</v>
      </c>
      <c r="C1839" s="2" t="s">
        <v>22</v>
      </c>
      <c r="D1839" s="2" t="s">
        <v>95</v>
      </c>
      <c r="E1839" s="2" t="s">
        <v>18</v>
      </c>
      <c r="F1839" s="2">
        <v>655.24</v>
      </c>
      <c r="G1839" s="2">
        <v>136.68</v>
      </c>
      <c r="H1839" s="2" t="s">
        <v>13</v>
      </c>
      <c r="I1839" s="2" t="s">
        <v>14</v>
      </c>
    </row>
    <row r="1840" spans="1:9" x14ac:dyDescent="0.35">
      <c r="A1840" s="2" t="s">
        <v>1877</v>
      </c>
      <c r="B1840" s="3">
        <v>44991</v>
      </c>
      <c r="C1840" s="2" t="s">
        <v>10</v>
      </c>
      <c r="D1840" s="2" t="s">
        <v>46</v>
      </c>
      <c r="E1840" s="2" t="s">
        <v>18</v>
      </c>
      <c r="F1840" s="2">
        <v>982.18</v>
      </c>
      <c r="G1840" s="2">
        <v>84.07</v>
      </c>
      <c r="H1840" s="2" t="s">
        <v>13</v>
      </c>
      <c r="I1840" s="2" t="s">
        <v>20</v>
      </c>
    </row>
    <row r="1841" spans="1:9" x14ac:dyDescent="0.35">
      <c r="A1841" s="2" t="s">
        <v>1878</v>
      </c>
      <c r="B1841" s="3">
        <v>45182</v>
      </c>
      <c r="C1841" s="2" t="s">
        <v>16</v>
      </c>
      <c r="D1841" s="2" t="s">
        <v>11</v>
      </c>
      <c r="E1841" s="2" t="s">
        <v>12</v>
      </c>
      <c r="F1841" s="2">
        <v>1459.61</v>
      </c>
      <c r="G1841" s="2">
        <v>422.89</v>
      </c>
      <c r="H1841" s="2" t="s">
        <v>19</v>
      </c>
      <c r="I1841" s="2" t="s">
        <v>34</v>
      </c>
    </row>
    <row r="1842" spans="1:9" x14ac:dyDescent="0.35">
      <c r="A1842" s="2" t="s">
        <v>1879</v>
      </c>
      <c r="B1842" s="3">
        <v>44640</v>
      </c>
      <c r="C1842" s="2" t="s">
        <v>10</v>
      </c>
      <c r="D1842" s="2" t="s">
        <v>95</v>
      </c>
      <c r="E1842" s="2" t="s">
        <v>18</v>
      </c>
      <c r="F1842" s="2">
        <v>1200.3499999999999</v>
      </c>
      <c r="G1842" s="2">
        <v>216.48</v>
      </c>
      <c r="H1842" s="2" t="s">
        <v>28</v>
      </c>
      <c r="I1842" s="2" t="s">
        <v>14</v>
      </c>
    </row>
    <row r="1843" spans="1:9" x14ac:dyDescent="0.35">
      <c r="A1843" s="2" t="s">
        <v>1880</v>
      </c>
      <c r="B1843" s="3">
        <v>45043</v>
      </c>
      <c r="C1843" s="2" t="s">
        <v>22</v>
      </c>
      <c r="D1843" s="2" t="s">
        <v>62</v>
      </c>
      <c r="E1843" s="2" t="s">
        <v>27</v>
      </c>
      <c r="F1843" s="2">
        <v>406.86</v>
      </c>
      <c r="G1843" s="2">
        <v>115.98</v>
      </c>
      <c r="H1843" s="2" t="s">
        <v>19</v>
      </c>
      <c r="I1843" s="2" t="s">
        <v>34</v>
      </c>
    </row>
    <row r="1844" spans="1:9" x14ac:dyDescent="0.35">
      <c r="A1844" s="2" t="s">
        <v>1881</v>
      </c>
      <c r="B1844" s="3">
        <v>44694</v>
      </c>
      <c r="C1844" s="2" t="s">
        <v>25</v>
      </c>
      <c r="D1844" s="2" t="s">
        <v>50</v>
      </c>
      <c r="E1844" s="2" t="s">
        <v>12</v>
      </c>
      <c r="F1844" s="2">
        <v>1440.09</v>
      </c>
      <c r="G1844" s="2">
        <v>89.76</v>
      </c>
      <c r="H1844" s="2" t="s">
        <v>13</v>
      </c>
      <c r="I1844" s="2" t="s">
        <v>14</v>
      </c>
    </row>
    <row r="1845" spans="1:9" x14ac:dyDescent="0.35">
      <c r="A1845" s="2" t="s">
        <v>1882</v>
      </c>
      <c r="B1845" s="3">
        <v>45180</v>
      </c>
      <c r="C1845" s="2" t="s">
        <v>10</v>
      </c>
      <c r="D1845" s="2" t="s">
        <v>62</v>
      </c>
      <c r="E1845" s="2" t="s">
        <v>27</v>
      </c>
      <c r="F1845" s="2">
        <v>449.41</v>
      </c>
      <c r="G1845" s="2">
        <v>120.43</v>
      </c>
      <c r="H1845" s="2" t="s">
        <v>13</v>
      </c>
      <c r="I1845" s="2" t="s">
        <v>20</v>
      </c>
    </row>
    <row r="1846" spans="1:9" x14ac:dyDescent="0.35">
      <c r="A1846" s="2" t="s">
        <v>1883</v>
      </c>
      <c r="B1846" s="3">
        <v>45303</v>
      </c>
      <c r="C1846" s="2" t="s">
        <v>25</v>
      </c>
      <c r="D1846" s="2" t="s">
        <v>31</v>
      </c>
      <c r="E1846" s="2" t="s">
        <v>12</v>
      </c>
      <c r="F1846" s="2">
        <v>1468.36</v>
      </c>
      <c r="G1846" s="2">
        <v>345.71</v>
      </c>
      <c r="H1846" s="2" t="s">
        <v>19</v>
      </c>
      <c r="I1846" s="2" t="s">
        <v>14</v>
      </c>
    </row>
    <row r="1847" spans="1:9" x14ac:dyDescent="0.35">
      <c r="A1847" s="2" t="s">
        <v>1884</v>
      </c>
      <c r="B1847" s="3">
        <v>44956</v>
      </c>
      <c r="C1847" s="2" t="s">
        <v>22</v>
      </c>
      <c r="D1847" s="2" t="s">
        <v>11</v>
      </c>
      <c r="E1847" s="2" t="s">
        <v>12</v>
      </c>
      <c r="F1847" s="2">
        <v>184.19</v>
      </c>
      <c r="G1847" s="2">
        <v>22.26</v>
      </c>
      <c r="H1847" s="2" t="s">
        <v>19</v>
      </c>
      <c r="I1847" s="2" t="s">
        <v>14</v>
      </c>
    </row>
    <row r="1848" spans="1:9" x14ac:dyDescent="0.35">
      <c r="A1848" s="2" t="s">
        <v>1885</v>
      </c>
      <c r="B1848" s="3">
        <v>45069</v>
      </c>
      <c r="C1848" s="2" t="s">
        <v>25</v>
      </c>
      <c r="D1848" s="2" t="s">
        <v>11</v>
      </c>
      <c r="E1848" s="2" t="s">
        <v>12</v>
      </c>
      <c r="F1848" s="2">
        <v>1069.01</v>
      </c>
      <c r="G1848" s="2">
        <v>95.27</v>
      </c>
      <c r="H1848" s="2" t="s">
        <v>13</v>
      </c>
      <c r="I1848" s="2" t="s">
        <v>34</v>
      </c>
    </row>
    <row r="1849" spans="1:9" x14ac:dyDescent="0.35">
      <c r="A1849" s="2" t="s">
        <v>1886</v>
      </c>
      <c r="B1849" s="3">
        <v>44707</v>
      </c>
      <c r="C1849" s="2" t="s">
        <v>16</v>
      </c>
      <c r="D1849" s="2" t="s">
        <v>33</v>
      </c>
      <c r="E1849" s="2" t="s">
        <v>18</v>
      </c>
      <c r="F1849" s="2">
        <v>1357.44</v>
      </c>
      <c r="G1849" s="2">
        <v>283.97000000000003</v>
      </c>
      <c r="H1849" s="2" t="s">
        <v>19</v>
      </c>
      <c r="I1849" s="2" t="s">
        <v>29</v>
      </c>
    </row>
    <row r="1850" spans="1:9" x14ac:dyDescent="0.35">
      <c r="A1850" s="2" t="s">
        <v>1887</v>
      </c>
      <c r="B1850" s="3">
        <v>44844</v>
      </c>
      <c r="C1850" s="2" t="s">
        <v>25</v>
      </c>
      <c r="D1850" s="2" t="s">
        <v>73</v>
      </c>
      <c r="E1850" s="2" t="s">
        <v>27</v>
      </c>
      <c r="F1850" s="2">
        <v>720.48</v>
      </c>
      <c r="G1850" s="2">
        <v>44.03</v>
      </c>
      <c r="H1850" s="2" t="s">
        <v>28</v>
      </c>
      <c r="I1850" s="2" t="s">
        <v>14</v>
      </c>
    </row>
    <row r="1851" spans="1:9" x14ac:dyDescent="0.35">
      <c r="A1851" s="2" t="s">
        <v>1888</v>
      </c>
      <c r="B1851" s="3">
        <v>45410</v>
      </c>
      <c r="C1851" s="2" t="s">
        <v>16</v>
      </c>
      <c r="D1851" s="2" t="s">
        <v>31</v>
      </c>
      <c r="E1851" s="2" t="s">
        <v>12</v>
      </c>
      <c r="F1851" s="2">
        <v>1429.86</v>
      </c>
      <c r="G1851" s="2">
        <v>177.73</v>
      </c>
      <c r="H1851" s="2" t="s">
        <v>13</v>
      </c>
      <c r="I1851" s="2" t="s">
        <v>34</v>
      </c>
    </row>
    <row r="1852" spans="1:9" x14ac:dyDescent="0.35">
      <c r="A1852" s="2" t="s">
        <v>1889</v>
      </c>
      <c r="B1852" s="3">
        <v>45554</v>
      </c>
      <c r="C1852" s="2" t="s">
        <v>10</v>
      </c>
      <c r="D1852" s="2" t="s">
        <v>31</v>
      </c>
      <c r="E1852" s="2" t="s">
        <v>12</v>
      </c>
      <c r="F1852" s="2">
        <v>1209.83</v>
      </c>
      <c r="G1852" s="2">
        <v>64.22</v>
      </c>
      <c r="H1852" s="2" t="s">
        <v>28</v>
      </c>
      <c r="I1852" s="2" t="s">
        <v>29</v>
      </c>
    </row>
    <row r="1853" spans="1:9" x14ac:dyDescent="0.35">
      <c r="A1853" s="2" t="s">
        <v>1890</v>
      </c>
      <c r="B1853" s="3">
        <v>45194</v>
      </c>
      <c r="C1853" s="2" t="s">
        <v>16</v>
      </c>
      <c r="D1853" s="2" t="s">
        <v>31</v>
      </c>
      <c r="E1853" s="2" t="s">
        <v>12</v>
      </c>
      <c r="F1853" s="2">
        <v>1551.47</v>
      </c>
      <c r="G1853" s="2">
        <v>263.77999999999997</v>
      </c>
      <c r="H1853" s="2" t="s">
        <v>13</v>
      </c>
      <c r="I1853" s="2" t="s">
        <v>20</v>
      </c>
    </row>
    <row r="1854" spans="1:9" x14ac:dyDescent="0.35">
      <c r="A1854" s="2" t="s">
        <v>1891</v>
      </c>
      <c r="B1854" s="3">
        <v>45383</v>
      </c>
      <c r="C1854" s="2" t="s">
        <v>16</v>
      </c>
      <c r="D1854" s="2" t="s">
        <v>41</v>
      </c>
      <c r="E1854" s="2" t="s">
        <v>12</v>
      </c>
      <c r="F1854" s="2">
        <v>200.6</v>
      </c>
      <c r="G1854" s="2">
        <v>34.11</v>
      </c>
      <c r="H1854" s="2" t="s">
        <v>28</v>
      </c>
      <c r="I1854" s="2" t="s">
        <v>20</v>
      </c>
    </row>
    <row r="1855" spans="1:9" x14ac:dyDescent="0.35">
      <c r="A1855" s="2" t="s">
        <v>1892</v>
      </c>
      <c r="B1855" s="3">
        <v>45042</v>
      </c>
      <c r="C1855" s="2" t="s">
        <v>10</v>
      </c>
      <c r="D1855" s="2" t="s">
        <v>97</v>
      </c>
      <c r="E1855" s="2" t="s">
        <v>27</v>
      </c>
      <c r="F1855" s="2">
        <v>978.31</v>
      </c>
      <c r="G1855" s="2">
        <v>189.8</v>
      </c>
      <c r="H1855" s="2" t="s">
        <v>28</v>
      </c>
      <c r="I1855" s="2" t="s">
        <v>20</v>
      </c>
    </row>
    <row r="1856" spans="1:9" x14ac:dyDescent="0.35">
      <c r="A1856" s="2" t="s">
        <v>1893</v>
      </c>
      <c r="B1856" s="3">
        <v>45456</v>
      </c>
      <c r="C1856" s="2" t="s">
        <v>16</v>
      </c>
      <c r="D1856" s="2" t="s">
        <v>41</v>
      </c>
      <c r="E1856" s="2" t="s">
        <v>12</v>
      </c>
      <c r="F1856" s="2">
        <v>660.85</v>
      </c>
      <c r="G1856" s="2">
        <v>107.51</v>
      </c>
      <c r="H1856" s="2" t="s">
        <v>13</v>
      </c>
      <c r="I1856" s="2" t="s">
        <v>29</v>
      </c>
    </row>
    <row r="1857" spans="1:9" x14ac:dyDescent="0.35">
      <c r="A1857" s="2" t="s">
        <v>1894</v>
      </c>
      <c r="B1857" s="3">
        <v>44956</v>
      </c>
      <c r="C1857" s="2" t="s">
        <v>25</v>
      </c>
      <c r="D1857" s="2" t="s">
        <v>26</v>
      </c>
      <c r="E1857" s="2" t="s">
        <v>27</v>
      </c>
      <c r="F1857" s="2">
        <v>312.05</v>
      </c>
      <c r="G1857" s="2">
        <v>78.05</v>
      </c>
      <c r="H1857" s="2" t="s">
        <v>19</v>
      </c>
      <c r="I1857" s="2" t="s">
        <v>29</v>
      </c>
    </row>
    <row r="1858" spans="1:9" x14ac:dyDescent="0.35">
      <c r="A1858" s="2" t="s">
        <v>1895</v>
      </c>
      <c r="B1858" s="3">
        <v>45104</v>
      </c>
      <c r="C1858" s="2" t="s">
        <v>16</v>
      </c>
      <c r="D1858" s="2" t="s">
        <v>50</v>
      </c>
      <c r="E1858" s="2" t="s">
        <v>12</v>
      </c>
      <c r="F1858" s="2">
        <v>1883.48</v>
      </c>
      <c r="G1858" s="2">
        <v>262.60000000000002</v>
      </c>
      <c r="H1858" s="2" t="s">
        <v>19</v>
      </c>
      <c r="I1858" s="2" t="s">
        <v>34</v>
      </c>
    </row>
    <row r="1859" spans="1:9" x14ac:dyDescent="0.35">
      <c r="A1859" s="2" t="s">
        <v>1896</v>
      </c>
      <c r="B1859" s="3">
        <v>45403</v>
      </c>
      <c r="C1859" s="2" t="s">
        <v>22</v>
      </c>
      <c r="D1859" s="2" t="s">
        <v>57</v>
      </c>
      <c r="E1859" s="2" t="s">
        <v>27</v>
      </c>
      <c r="F1859" s="2">
        <v>1179.43</v>
      </c>
      <c r="G1859" s="2">
        <v>332.39</v>
      </c>
      <c r="H1859" s="2" t="s">
        <v>19</v>
      </c>
      <c r="I1859" s="2" t="s">
        <v>20</v>
      </c>
    </row>
    <row r="1860" spans="1:9" x14ac:dyDescent="0.35">
      <c r="A1860" s="2" t="s">
        <v>1897</v>
      </c>
      <c r="B1860" s="3">
        <v>45117</v>
      </c>
      <c r="C1860" s="2" t="s">
        <v>10</v>
      </c>
      <c r="D1860" s="2" t="s">
        <v>11</v>
      </c>
      <c r="E1860" s="2" t="s">
        <v>12</v>
      </c>
      <c r="F1860" s="2">
        <v>1387.67</v>
      </c>
      <c r="G1860" s="2">
        <v>288.99</v>
      </c>
      <c r="H1860" s="2" t="s">
        <v>19</v>
      </c>
      <c r="I1860" s="2" t="s">
        <v>34</v>
      </c>
    </row>
    <row r="1861" spans="1:9" x14ac:dyDescent="0.35">
      <c r="A1861" s="2" t="s">
        <v>1898</v>
      </c>
      <c r="B1861" s="3">
        <v>45616</v>
      </c>
      <c r="C1861" s="2" t="s">
        <v>10</v>
      </c>
      <c r="D1861" s="2" t="s">
        <v>31</v>
      </c>
      <c r="E1861" s="2" t="s">
        <v>12</v>
      </c>
      <c r="F1861" s="2">
        <v>341.73</v>
      </c>
      <c r="G1861" s="2">
        <v>17.37</v>
      </c>
      <c r="H1861" s="2" t="s">
        <v>28</v>
      </c>
      <c r="I1861" s="2" t="s">
        <v>20</v>
      </c>
    </row>
    <row r="1862" spans="1:9" x14ac:dyDescent="0.35">
      <c r="A1862" s="2" t="s">
        <v>1899</v>
      </c>
      <c r="B1862" s="3">
        <v>45162</v>
      </c>
      <c r="C1862" s="2" t="s">
        <v>10</v>
      </c>
      <c r="D1862" s="2" t="s">
        <v>62</v>
      </c>
      <c r="E1862" s="2" t="s">
        <v>27</v>
      </c>
      <c r="F1862" s="2">
        <v>410.87</v>
      </c>
      <c r="G1862" s="2">
        <v>80.819999999999993</v>
      </c>
      <c r="H1862" s="2" t="s">
        <v>19</v>
      </c>
      <c r="I1862" s="2" t="s">
        <v>34</v>
      </c>
    </row>
    <row r="1863" spans="1:9" x14ac:dyDescent="0.35">
      <c r="A1863" s="2" t="s">
        <v>1900</v>
      </c>
      <c r="B1863" s="3">
        <v>44967</v>
      </c>
      <c r="C1863" s="2" t="s">
        <v>16</v>
      </c>
      <c r="D1863" s="2" t="s">
        <v>95</v>
      </c>
      <c r="E1863" s="2" t="s">
        <v>18</v>
      </c>
      <c r="F1863" s="2">
        <v>564.09</v>
      </c>
      <c r="G1863" s="2">
        <v>89.1</v>
      </c>
      <c r="H1863" s="2" t="s">
        <v>19</v>
      </c>
      <c r="I1863" s="2" t="s">
        <v>14</v>
      </c>
    </row>
    <row r="1864" spans="1:9" x14ac:dyDescent="0.35">
      <c r="A1864" s="2" t="s">
        <v>1901</v>
      </c>
      <c r="B1864" s="3">
        <v>44849</v>
      </c>
      <c r="C1864" s="2" t="s">
        <v>10</v>
      </c>
      <c r="D1864" s="2" t="s">
        <v>62</v>
      </c>
      <c r="E1864" s="2" t="s">
        <v>27</v>
      </c>
      <c r="F1864" s="2">
        <v>1301.78</v>
      </c>
      <c r="G1864" s="2">
        <v>67.88</v>
      </c>
      <c r="H1864" s="2" t="s">
        <v>13</v>
      </c>
      <c r="I1864" s="2" t="s">
        <v>14</v>
      </c>
    </row>
    <row r="1865" spans="1:9" x14ac:dyDescent="0.35">
      <c r="A1865" s="2" t="s">
        <v>1902</v>
      </c>
      <c r="B1865" s="3">
        <v>44743</v>
      </c>
      <c r="C1865" s="2" t="s">
        <v>16</v>
      </c>
      <c r="D1865" s="2" t="s">
        <v>46</v>
      </c>
      <c r="E1865" s="2" t="s">
        <v>18</v>
      </c>
      <c r="F1865" s="2">
        <v>1285.68</v>
      </c>
      <c r="G1865" s="2">
        <v>270.95999999999998</v>
      </c>
      <c r="H1865" s="2" t="s">
        <v>13</v>
      </c>
      <c r="I1865" s="2" t="s">
        <v>20</v>
      </c>
    </row>
    <row r="1866" spans="1:9" x14ac:dyDescent="0.35">
      <c r="A1866" s="2" t="s">
        <v>1903</v>
      </c>
      <c r="B1866" s="3">
        <v>44573</v>
      </c>
      <c r="C1866" s="2" t="s">
        <v>10</v>
      </c>
      <c r="D1866" s="2" t="s">
        <v>17</v>
      </c>
      <c r="E1866" s="2" t="s">
        <v>18</v>
      </c>
      <c r="F1866" s="2">
        <v>1112.49</v>
      </c>
      <c r="G1866" s="2">
        <v>239.36</v>
      </c>
      <c r="H1866" s="2" t="s">
        <v>13</v>
      </c>
      <c r="I1866" s="2" t="s">
        <v>34</v>
      </c>
    </row>
    <row r="1867" spans="1:9" x14ac:dyDescent="0.35">
      <c r="A1867" s="2" t="s">
        <v>1904</v>
      </c>
      <c r="B1867" s="3">
        <v>44605</v>
      </c>
      <c r="C1867" s="2" t="s">
        <v>25</v>
      </c>
      <c r="D1867" s="2" t="s">
        <v>17</v>
      </c>
      <c r="E1867" s="2" t="s">
        <v>18</v>
      </c>
      <c r="F1867" s="2">
        <v>726.01</v>
      </c>
      <c r="G1867" s="2">
        <v>74.569999999999993</v>
      </c>
      <c r="H1867" s="2" t="s">
        <v>28</v>
      </c>
      <c r="I1867" s="2" t="s">
        <v>20</v>
      </c>
    </row>
    <row r="1868" spans="1:9" x14ac:dyDescent="0.35">
      <c r="A1868" s="2" t="s">
        <v>1905</v>
      </c>
      <c r="B1868" s="3">
        <v>45590</v>
      </c>
      <c r="C1868" s="2" t="s">
        <v>22</v>
      </c>
      <c r="D1868" s="2" t="s">
        <v>97</v>
      </c>
      <c r="E1868" s="2" t="s">
        <v>27</v>
      </c>
      <c r="F1868" s="2">
        <v>344.59</v>
      </c>
      <c r="G1868" s="2">
        <v>94.35</v>
      </c>
      <c r="H1868" s="2" t="s">
        <v>28</v>
      </c>
      <c r="I1868" s="2" t="s">
        <v>20</v>
      </c>
    </row>
    <row r="1869" spans="1:9" x14ac:dyDescent="0.35">
      <c r="A1869" s="2" t="s">
        <v>1906</v>
      </c>
      <c r="B1869" s="3">
        <v>44804</v>
      </c>
      <c r="C1869" s="2" t="s">
        <v>16</v>
      </c>
      <c r="D1869" s="2" t="s">
        <v>26</v>
      </c>
      <c r="E1869" s="2" t="s">
        <v>27</v>
      </c>
      <c r="F1869" s="2">
        <v>1476.51</v>
      </c>
      <c r="G1869" s="2">
        <v>366.21</v>
      </c>
      <c r="H1869" s="2" t="s">
        <v>19</v>
      </c>
      <c r="I1869" s="2" t="s">
        <v>34</v>
      </c>
    </row>
    <row r="1870" spans="1:9" x14ac:dyDescent="0.35">
      <c r="A1870" s="2" t="s">
        <v>1907</v>
      </c>
      <c r="B1870" s="3">
        <v>45396</v>
      </c>
      <c r="C1870" s="2" t="s">
        <v>10</v>
      </c>
      <c r="D1870" s="2" t="s">
        <v>31</v>
      </c>
      <c r="E1870" s="2" t="s">
        <v>12</v>
      </c>
      <c r="F1870" s="2">
        <v>901.48</v>
      </c>
      <c r="G1870" s="2">
        <v>231.85</v>
      </c>
      <c r="H1870" s="2" t="s">
        <v>28</v>
      </c>
      <c r="I1870" s="2" t="s">
        <v>14</v>
      </c>
    </row>
    <row r="1871" spans="1:9" x14ac:dyDescent="0.35">
      <c r="A1871" s="2" t="s">
        <v>1908</v>
      </c>
      <c r="B1871" s="3">
        <v>44658</v>
      </c>
      <c r="C1871" s="2" t="s">
        <v>16</v>
      </c>
      <c r="D1871" s="2" t="s">
        <v>95</v>
      </c>
      <c r="E1871" s="2" t="s">
        <v>18</v>
      </c>
      <c r="F1871" s="2">
        <v>245.98</v>
      </c>
      <c r="G1871" s="2">
        <v>66.95</v>
      </c>
      <c r="H1871" s="2" t="s">
        <v>19</v>
      </c>
      <c r="I1871" s="2" t="s">
        <v>14</v>
      </c>
    </row>
    <row r="1872" spans="1:9" x14ac:dyDescent="0.35">
      <c r="A1872" s="2" t="s">
        <v>1909</v>
      </c>
      <c r="B1872" s="3">
        <v>45375</v>
      </c>
      <c r="C1872" s="2" t="s">
        <v>22</v>
      </c>
      <c r="D1872" s="2" t="s">
        <v>26</v>
      </c>
      <c r="E1872" s="2" t="s">
        <v>27</v>
      </c>
      <c r="F1872" s="2">
        <v>922.68</v>
      </c>
      <c r="G1872" s="2">
        <v>65.38</v>
      </c>
      <c r="H1872" s="2" t="s">
        <v>13</v>
      </c>
      <c r="I1872" s="2" t="s">
        <v>14</v>
      </c>
    </row>
    <row r="1873" spans="1:9" x14ac:dyDescent="0.35">
      <c r="A1873" s="2" t="s">
        <v>1910</v>
      </c>
      <c r="B1873" s="3">
        <v>45206</v>
      </c>
      <c r="C1873" s="2" t="s">
        <v>25</v>
      </c>
      <c r="D1873" s="2" t="s">
        <v>11</v>
      </c>
      <c r="E1873" s="2" t="s">
        <v>12</v>
      </c>
      <c r="F1873" s="2">
        <v>814.75</v>
      </c>
      <c r="G1873" s="2">
        <v>220.94</v>
      </c>
      <c r="H1873" s="2" t="s">
        <v>28</v>
      </c>
      <c r="I1873" s="2" t="s">
        <v>34</v>
      </c>
    </row>
    <row r="1874" spans="1:9" x14ac:dyDescent="0.35">
      <c r="A1874" s="2" t="s">
        <v>1911</v>
      </c>
      <c r="B1874" s="3">
        <v>45162</v>
      </c>
      <c r="C1874" s="2" t="s">
        <v>16</v>
      </c>
      <c r="D1874" s="2" t="s">
        <v>31</v>
      </c>
      <c r="E1874" s="2" t="s">
        <v>12</v>
      </c>
      <c r="F1874" s="2">
        <v>230.13</v>
      </c>
      <c r="G1874" s="2">
        <v>12.74</v>
      </c>
      <c r="H1874" s="2" t="s">
        <v>19</v>
      </c>
      <c r="I1874" s="2" t="s">
        <v>34</v>
      </c>
    </row>
    <row r="1875" spans="1:9" x14ac:dyDescent="0.35">
      <c r="A1875" s="2" t="s">
        <v>1912</v>
      </c>
      <c r="B1875" s="3">
        <v>45111</v>
      </c>
      <c r="C1875" s="2" t="s">
        <v>25</v>
      </c>
      <c r="D1875" s="2" t="s">
        <v>33</v>
      </c>
      <c r="E1875" s="2" t="s">
        <v>18</v>
      </c>
      <c r="F1875" s="2">
        <v>905.22</v>
      </c>
      <c r="G1875" s="2">
        <v>71.17</v>
      </c>
      <c r="H1875" s="2" t="s">
        <v>28</v>
      </c>
      <c r="I1875" s="2" t="s">
        <v>29</v>
      </c>
    </row>
    <row r="1876" spans="1:9" x14ac:dyDescent="0.35">
      <c r="A1876" s="2" t="s">
        <v>1913</v>
      </c>
      <c r="B1876" s="3">
        <v>44911</v>
      </c>
      <c r="C1876" s="2" t="s">
        <v>16</v>
      </c>
      <c r="D1876" s="2" t="s">
        <v>26</v>
      </c>
      <c r="E1876" s="2" t="s">
        <v>27</v>
      </c>
      <c r="F1876" s="2">
        <v>396.51</v>
      </c>
      <c r="G1876" s="2">
        <v>52.34</v>
      </c>
      <c r="H1876" s="2" t="s">
        <v>13</v>
      </c>
      <c r="I1876" s="2" t="s">
        <v>34</v>
      </c>
    </row>
    <row r="1877" spans="1:9" x14ac:dyDescent="0.35">
      <c r="A1877" s="2" t="s">
        <v>1914</v>
      </c>
      <c r="B1877" s="3">
        <v>45570</v>
      </c>
      <c r="C1877" s="2" t="s">
        <v>10</v>
      </c>
      <c r="D1877" s="2" t="s">
        <v>26</v>
      </c>
      <c r="E1877" s="2" t="s">
        <v>27</v>
      </c>
      <c r="F1877" s="2">
        <v>695.86</v>
      </c>
      <c r="G1877" s="2">
        <v>62.61</v>
      </c>
      <c r="H1877" s="2" t="s">
        <v>13</v>
      </c>
      <c r="I1877" s="2" t="s">
        <v>14</v>
      </c>
    </row>
    <row r="1878" spans="1:9" x14ac:dyDescent="0.35">
      <c r="A1878" s="2" t="s">
        <v>1915</v>
      </c>
      <c r="B1878" s="3">
        <v>44690</v>
      </c>
      <c r="C1878" s="2" t="s">
        <v>16</v>
      </c>
      <c r="D1878" s="2" t="s">
        <v>41</v>
      </c>
      <c r="E1878" s="2" t="s">
        <v>12</v>
      </c>
      <c r="F1878" s="2">
        <v>1687.43</v>
      </c>
      <c r="G1878" s="2">
        <v>393.48</v>
      </c>
      <c r="H1878" s="2" t="s">
        <v>28</v>
      </c>
      <c r="I1878" s="2" t="s">
        <v>34</v>
      </c>
    </row>
    <row r="1879" spans="1:9" x14ac:dyDescent="0.35">
      <c r="A1879" s="2" t="s">
        <v>1916</v>
      </c>
      <c r="B1879" s="3">
        <v>44590</v>
      </c>
      <c r="C1879" s="2" t="s">
        <v>10</v>
      </c>
      <c r="D1879" s="2" t="s">
        <v>31</v>
      </c>
      <c r="E1879" s="2" t="s">
        <v>12</v>
      </c>
      <c r="F1879" s="2">
        <v>138.77000000000001</v>
      </c>
      <c r="G1879" s="2">
        <v>37.58</v>
      </c>
      <c r="H1879" s="2" t="s">
        <v>19</v>
      </c>
      <c r="I1879" s="2" t="s">
        <v>34</v>
      </c>
    </row>
    <row r="1880" spans="1:9" x14ac:dyDescent="0.35">
      <c r="A1880" s="2" t="s">
        <v>1917</v>
      </c>
      <c r="B1880" s="3">
        <v>44602</v>
      </c>
      <c r="C1880" s="2" t="s">
        <v>22</v>
      </c>
      <c r="D1880" s="2" t="s">
        <v>17</v>
      </c>
      <c r="E1880" s="2" t="s">
        <v>18</v>
      </c>
      <c r="F1880" s="2">
        <v>1991.76</v>
      </c>
      <c r="G1880" s="2">
        <v>389.53</v>
      </c>
      <c r="H1880" s="2" t="s">
        <v>19</v>
      </c>
      <c r="I1880" s="2" t="s">
        <v>29</v>
      </c>
    </row>
    <row r="1881" spans="1:9" x14ac:dyDescent="0.35">
      <c r="A1881" s="2" t="s">
        <v>1918</v>
      </c>
      <c r="B1881" s="3">
        <v>44772</v>
      </c>
      <c r="C1881" s="2" t="s">
        <v>10</v>
      </c>
      <c r="D1881" s="2" t="s">
        <v>41</v>
      </c>
      <c r="E1881" s="2" t="s">
        <v>12</v>
      </c>
      <c r="F1881" s="2">
        <v>917.67</v>
      </c>
      <c r="G1881" s="2">
        <v>191.66</v>
      </c>
      <c r="H1881" s="2" t="s">
        <v>13</v>
      </c>
      <c r="I1881" s="2" t="s">
        <v>14</v>
      </c>
    </row>
    <row r="1882" spans="1:9" x14ac:dyDescent="0.35">
      <c r="A1882" s="2" t="s">
        <v>1919</v>
      </c>
      <c r="B1882" s="3">
        <v>45033</v>
      </c>
      <c r="C1882" s="2" t="s">
        <v>10</v>
      </c>
      <c r="D1882" s="2" t="s">
        <v>95</v>
      </c>
      <c r="E1882" s="2" t="s">
        <v>18</v>
      </c>
      <c r="F1882" s="2">
        <v>942.11</v>
      </c>
      <c r="G1882" s="2">
        <v>138.97999999999999</v>
      </c>
      <c r="H1882" s="2" t="s">
        <v>19</v>
      </c>
      <c r="I1882" s="2" t="s">
        <v>20</v>
      </c>
    </row>
    <row r="1883" spans="1:9" x14ac:dyDescent="0.35">
      <c r="A1883" s="2" t="s">
        <v>1920</v>
      </c>
      <c r="B1883" s="3">
        <v>44771</v>
      </c>
      <c r="C1883" s="2" t="s">
        <v>16</v>
      </c>
      <c r="D1883" s="2" t="s">
        <v>73</v>
      </c>
      <c r="E1883" s="2" t="s">
        <v>27</v>
      </c>
      <c r="F1883" s="2">
        <v>558.86</v>
      </c>
      <c r="G1883" s="2">
        <v>121.29</v>
      </c>
      <c r="H1883" s="2" t="s">
        <v>19</v>
      </c>
      <c r="I1883" s="2" t="s">
        <v>34</v>
      </c>
    </row>
    <row r="1884" spans="1:9" x14ac:dyDescent="0.35">
      <c r="A1884" s="2" t="s">
        <v>1921</v>
      </c>
      <c r="B1884" s="3">
        <v>45331</v>
      </c>
      <c r="C1884" s="2" t="s">
        <v>22</v>
      </c>
      <c r="D1884" s="2" t="s">
        <v>50</v>
      </c>
      <c r="E1884" s="2" t="s">
        <v>12</v>
      </c>
      <c r="F1884" s="2">
        <v>1863.47</v>
      </c>
      <c r="G1884" s="2">
        <v>476.73</v>
      </c>
      <c r="H1884" s="2" t="s">
        <v>19</v>
      </c>
      <c r="I1884" s="2" t="s">
        <v>34</v>
      </c>
    </row>
    <row r="1885" spans="1:9" x14ac:dyDescent="0.35">
      <c r="A1885" s="2" t="s">
        <v>1922</v>
      </c>
      <c r="B1885" s="3">
        <v>45617</v>
      </c>
      <c r="C1885" s="2" t="s">
        <v>22</v>
      </c>
      <c r="D1885" s="2" t="s">
        <v>46</v>
      </c>
      <c r="E1885" s="2" t="s">
        <v>18</v>
      </c>
      <c r="F1885" s="2">
        <v>207.75</v>
      </c>
      <c r="G1885" s="2">
        <v>58.58</v>
      </c>
      <c r="H1885" s="2" t="s">
        <v>28</v>
      </c>
      <c r="I1885" s="2" t="s">
        <v>34</v>
      </c>
    </row>
    <row r="1886" spans="1:9" x14ac:dyDescent="0.35">
      <c r="A1886" s="2" t="s">
        <v>1923</v>
      </c>
      <c r="B1886" s="3">
        <v>45212</v>
      </c>
      <c r="C1886" s="2" t="s">
        <v>16</v>
      </c>
      <c r="D1886" s="2" t="s">
        <v>57</v>
      </c>
      <c r="E1886" s="2" t="s">
        <v>27</v>
      </c>
      <c r="F1886" s="2">
        <v>1329.02</v>
      </c>
      <c r="G1886" s="2">
        <v>160.06</v>
      </c>
      <c r="H1886" s="2" t="s">
        <v>19</v>
      </c>
      <c r="I1886" s="2" t="s">
        <v>14</v>
      </c>
    </row>
    <row r="1887" spans="1:9" x14ac:dyDescent="0.35">
      <c r="A1887" s="2" t="s">
        <v>1924</v>
      </c>
      <c r="B1887" s="3">
        <v>44900</v>
      </c>
      <c r="C1887" s="2" t="s">
        <v>22</v>
      </c>
      <c r="D1887" s="2" t="s">
        <v>38</v>
      </c>
      <c r="E1887" s="2" t="s">
        <v>12</v>
      </c>
      <c r="F1887" s="2">
        <v>116.94</v>
      </c>
      <c r="G1887" s="2">
        <v>9.23</v>
      </c>
      <c r="H1887" s="2" t="s">
        <v>19</v>
      </c>
      <c r="I1887" s="2" t="s">
        <v>20</v>
      </c>
    </row>
    <row r="1888" spans="1:9" x14ac:dyDescent="0.35">
      <c r="A1888" s="2" t="s">
        <v>1925</v>
      </c>
      <c r="B1888" s="3">
        <v>45278</v>
      </c>
      <c r="C1888" s="2" t="s">
        <v>22</v>
      </c>
      <c r="D1888" s="2" t="s">
        <v>57</v>
      </c>
      <c r="E1888" s="2" t="s">
        <v>27</v>
      </c>
      <c r="F1888" s="2">
        <v>1595.6</v>
      </c>
      <c r="G1888" s="2">
        <v>371.15</v>
      </c>
      <c r="H1888" s="2" t="s">
        <v>13</v>
      </c>
      <c r="I1888" s="2" t="s">
        <v>14</v>
      </c>
    </row>
    <row r="1889" spans="1:9" x14ac:dyDescent="0.35">
      <c r="A1889" s="2" t="s">
        <v>1926</v>
      </c>
      <c r="B1889" s="3">
        <v>45111</v>
      </c>
      <c r="C1889" s="2" t="s">
        <v>22</v>
      </c>
      <c r="D1889" s="2" t="s">
        <v>17</v>
      </c>
      <c r="E1889" s="2" t="s">
        <v>18</v>
      </c>
      <c r="F1889" s="2">
        <v>1591.25</v>
      </c>
      <c r="G1889" s="2">
        <v>311.67</v>
      </c>
      <c r="H1889" s="2" t="s">
        <v>28</v>
      </c>
      <c r="I1889" s="2" t="s">
        <v>29</v>
      </c>
    </row>
    <row r="1890" spans="1:9" x14ac:dyDescent="0.35">
      <c r="A1890" s="2" t="s">
        <v>1927</v>
      </c>
      <c r="B1890" s="3">
        <v>45438</v>
      </c>
      <c r="C1890" s="2" t="s">
        <v>22</v>
      </c>
      <c r="D1890" s="2" t="s">
        <v>73</v>
      </c>
      <c r="E1890" s="2" t="s">
        <v>27</v>
      </c>
      <c r="F1890" s="2">
        <v>1280.22</v>
      </c>
      <c r="G1890" s="2">
        <v>315.25</v>
      </c>
      <c r="H1890" s="2" t="s">
        <v>28</v>
      </c>
      <c r="I1890" s="2" t="s">
        <v>34</v>
      </c>
    </row>
    <row r="1891" spans="1:9" x14ac:dyDescent="0.35">
      <c r="A1891" s="2" t="s">
        <v>1928</v>
      </c>
      <c r="B1891" s="3">
        <v>44617</v>
      </c>
      <c r="C1891" s="2" t="s">
        <v>25</v>
      </c>
      <c r="D1891" s="2" t="s">
        <v>38</v>
      </c>
      <c r="E1891" s="2" t="s">
        <v>12</v>
      </c>
      <c r="F1891" s="2">
        <v>374.45</v>
      </c>
      <c r="G1891" s="2">
        <v>72.63</v>
      </c>
      <c r="H1891" s="2" t="s">
        <v>28</v>
      </c>
      <c r="I1891" s="2" t="s">
        <v>29</v>
      </c>
    </row>
    <row r="1892" spans="1:9" x14ac:dyDescent="0.35">
      <c r="A1892" s="2" t="s">
        <v>1929</v>
      </c>
      <c r="B1892" s="3">
        <v>45360</v>
      </c>
      <c r="C1892" s="2" t="s">
        <v>22</v>
      </c>
      <c r="D1892" s="2" t="s">
        <v>97</v>
      </c>
      <c r="E1892" s="2" t="s">
        <v>27</v>
      </c>
      <c r="F1892" s="2">
        <v>872.69</v>
      </c>
      <c r="G1892" s="2">
        <v>60.24</v>
      </c>
      <c r="H1892" s="2" t="s">
        <v>13</v>
      </c>
      <c r="I1892" s="2" t="s">
        <v>34</v>
      </c>
    </row>
    <row r="1893" spans="1:9" x14ac:dyDescent="0.35">
      <c r="A1893" s="2" t="s">
        <v>1930</v>
      </c>
      <c r="B1893" s="3">
        <v>45248</v>
      </c>
      <c r="C1893" s="2" t="s">
        <v>16</v>
      </c>
      <c r="D1893" s="2" t="s">
        <v>73</v>
      </c>
      <c r="E1893" s="2" t="s">
        <v>27</v>
      </c>
      <c r="F1893" s="2">
        <v>405.35</v>
      </c>
      <c r="G1893" s="2">
        <v>103.85</v>
      </c>
      <c r="H1893" s="2" t="s">
        <v>28</v>
      </c>
      <c r="I1893" s="2" t="s">
        <v>29</v>
      </c>
    </row>
    <row r="1894" spans="1:9" x14ac:dyDescent="0.35">
      <c r="A1894" s="2" t="s">
        <v>1931</v>
      </c>
      <c r="B1894" s="3">
        <v>45089</v>
      </c>
      <c r="C1894" s="2" t="s">
        <v>25</v>
      </c>
      <c r="D1894" s="2" t="s">
        <v>23</v>
      </c>
      <c r="E1894" s="2" t="s">
        <v>18</v>
      </c>
      <c r="F1894" s="2">
        <v>1320.91</v>
      </c>
      <c r="G1894" s="2">
        <v>105.68</v>
      </c>
      <c r="H1894" s="2" t="s">
        <v>13</v>
      </c>
      <c r="I1894" s="2" t="s">
        <v>20</v>
      </c>
    </row>
    <row r="1895" spans="1:9" x14ac:dyDescent="0.35">
      <c r="A1895" s="2" t="s">
        <v>1932</v>
      </c>
      <c r="B1895" s="3">
        <v>45268</v>
      </c>
      <c r="C1895" s="2" t="s">
        <v>16</v>
      </c>
      <c r="D1895" s="2" t="s">
        <v>50</v>
      </c>
      <c r="E1895" s="2" t="s">
        <v>12</v>
      </c>
      <c r="F1895" s="2">
        <v>1555.94</v>
      </c>
      <c r="G1895" s="2">
        <v>460.61</v>
      </c>
      <c r="H1895" s="2" t="s">
        <v>19</v>
      </c>
      <c r="I1895" s="2" t="s">
        <v>14</v>
      </c>
    </row>
    <row r="1896" spans="1:9" x14ac:dyDescent="0.35">
      <c r="A1896" s="2" t="s">
        <v>1933</v>
      </c>
      <c r="B1896" s="3">
        <v>45625</v>
      </c>
      <c r="C1896" s="2" t="s">
        <v>16</v>
      </c>
      <c r="D1896" s="2" t="s">
        <v>50</v>
      </c>
      <c r="E1896" s="2" t="s">
        <v>12</v>
      </c>
      <c r="F1896" s="2">
        <v>86.77</v>
      </c>
      <c r="G1896" s="2">
        <v>7.27</v>
      </c>
      <c r="H1896" s="2" t="s">
        <v>19</v>
      </c>
      <c r="I1896" s="2" t="s">
        <v>14</v>
      </c>
    </row>
    <row r="1897" spans="1:9" x14ac:dyDescent="0.35">
      <c r="A1897" s="2" t="s">
        <v>1934</v>
      </c>
      <c r="B1897" s="3">
        <v>45034</v>
      </c>
      <c r="C1897" s="2" t="s">
        <v>10</v>
      </c>
      <c r="D1897" s="2" t="s">
        <v>17</v>
      </c>
      <c r="E1897" s="2" t="s">
        <v>18</v>
      </c>
      <c r="F1897" s="2">
        <v>1911.06</v>
      </c>
      <c r="G1897" s="2">
        <v>429.16</v>
      </c>
      <c r="H1897" s="2" t="s">
        <v>19</v>
      </c>
      <c r="I1897" s="2" t="s">
        <v>14</v>
      </c>
    </row>
    <row r="1898" spans="1:9" x14ac:dyDescent="0.35">
      <c r="A1898" s="2" t="s">
        <v>1935</v>
      </c>
      <c r="B1898" s="3">
        <v>45261</v>
      </c>
      <c r="C1898" s="2" t="s">
        <v>25</v>
      </c>
      <c r="D1898" s="2" t="s">
        <v>95</v>
      </c>
      <c r="E1898" s="2" t="s">
        <v>18</v>
      </c>
      <c r="F1898" s="2">
        <v>173.17</v>
      </c>
      <c r="G1898" s="2">
        <v>15.4</v>
      </c>
      <c r="H1898" s="2" t="s">
        <v>13</v>
      </c>
      <c r="I1898" s="2" t="s">
        <v>34</v>
      </c>
    </row>
    <row r="1899" spans="1:9" x14ac:dyDescent="0.35">
      <c r="A1899" s="2" t="s">
        <v>1936</v>
      </c>
      <c r="B1899" s="3">
        <v>45164</v>
      </c>
      <c r="C1899" s="2" t="s">
        <v>16</v>
      </c>
      <c r="D1899" s="2" t="s">
        <v>95</v>
      </c>
      <c r="E1899" s="2" t="s">
        <v>18</v>
      </c>
      <c r="F1899" s="2">
        <v>1736.87</v>
      </c>
      <c r="G1899" s="2">
        <v>435.23</v>
      </c>
      <c r="H1899" s="2" t="s">
        <v>28</v>
      </c>
      <c r="I1899" s="2" t="s">
        <v>14</v>
      </c>
    </row>
    <row r="1900" spans="1:9" x14ac:dyDescent="0.35">
      <c r="A1900" s="2" t="s">
        <v>1937</v>
      </c>
      <c r="B1900" s="3">
        <v>44667</v>
      </c>
      <c r="C1900" s="2" t="s">
        <v>16</v>
      </c>
      <c r="D1900" s="2" t="s">
        <v>46</v>
      </c>
      <c r="E1900" s="2" t="s">
        <v>18</v>
      </c>
      <c r="F1900" s="2">
        <v>1172.3699999999999</v>
      </c>
      <c r="G1900" s="2">
        <v>175.19</v>
      </c>
      <c r="H1900" s="2" t="s">
        <v>28</v>
      </c>
      <c r="I1900" s="2" t="s">
        <v>20</v>
      </c>
    </row>
    <row r="1901" spans="1:9" x14ac:dyDescent="0.35">
      <c r="A1901" s="2" t="s">
        <v>1938</v>
      </c>
      <c r="B1901" s="3">
        <v>44800</v>
      </c>
      <c r="C1901" s="2" t="s">
        <v>22</v>
      </c>
      <c r="D1901" s="2" t="s">
        <v>17</v>
      </c>
      <c r="E1901" s="2" t="s">
        <v>18</v>
      </c>
      <c r="F1901" s="2">
        <v>83.02</v>
      </c>
      <c r="G1901" s="2">
        <v>16.52</v>
      </c>
      <c r="H1901" s="2" t="s">
        <v>28</v>
      </c>
      <c r="I1901" s="2" t="s">
        <v>20</v>
      </c>
    </row>
    <row r="1902" spans="1:9" x14ac:dyDescent="0.35">
      <c r="A1902" s="2" t="s">
        <v>1939</v>
      </c>
      <c r="B1902" s="3">
        <v>44624</v>
      </c>
      <c r="C1902" s="2" t="s">
        <v>10</v>
      </c>
      <c r="D1902" s="2" t="s">
        <v>73</v>
      </c>
      <c r="E1902" s="2" t="s">
        <v>27</v>
      </c>
      <c r="F1902" s="2">
        <v>1754.53</v>
      </c>
      <c r="G1902" s="2">
        <v>204.66</v>
      </c>
      <c r="H1902" s="2" t="s">
        <v>28</v>
      </c>
      <c r="I1902" s="2" t="s">
        <v>34</v>
      </c>
    </row>
    <row r="1903" spans="1:9" x14ac:dyDescent="0.35">
      <c r="A1903" s="2" t="s">
        <v>1940</v>
      </c>
      <c r="B1903" s="3">
        <v>45520</v>
      </c>
      <c r="C1903" s="2" t="s">
        <v>22</v>
      </c>
      <c r="D1903" s="2" t="s">
        <v>33</v>
      </c>
      <c r="E1903" s="2" t="s">
        <v>18</v>
      </c>
      <c r="F1903" s="2">
        <v>945.51</v>
      </c>
      <c r="G1903" s="2">
        <v>195.32</v>
      </c>
      <c r="H1903" s="2" t="s">
        <v>28</v>
      </c>
      <c r="I1903" s="2" t="s">
        <v>34</v>
      </c>
    </row>
    <row r="1904" spans="1:9" x14ac:dyDescent="0.35">
      <c r="A1904" s="2" t="s">
        <v>1941</v>
      </c>
      <c r="B1904" s="3">
        <v>44875</v>
      </c>
      <c r="C1904" s="2" t="s">
        <v>16</v>
      </c>
      <c r="D1904" s="2" t="s">
        <v>62</v>
      </c>
      <c r="E1904" s="2" t="s">
        <v>27</v>
      </c>
      <c r="F1904" s="2">
        <v>768.31</v>
      </c>
      <c r="G1904" s="2">
        <v>127.65</v>
      </c>
      <c r="H1904" s="2" t="s">
        <v>19</v>
      </c>
      <c r="I1904" s="2" t="s">
        <v>14</v>
      </c>
    </row>
    <row r="1905" spans="1:9" x14ac:dyDescent="0.35">
      <c r="A1905" s="2" t="s">
        <v>1942</v>
      </c>
      <c r="B1905" s="3">
        <v>44681</v>
      </c>
      <c r="C1905" s="2" t="s">
        <v>10</v>
      </c>
      <c r="D1905" s="2" t="s">
        <v>17</v>
      </c>
      <c r="E1905" s="2" t="s">
        <v>18</v>
      </c>
      <c r="F1905" s="2">
        <v>833.98</v>
      </c>
      <c r="G1905" s="2">
        <v>71.48</v>
      </c>
      <c r="H1905" s="2" t="s">
        <v>19</v>
      </c>
      <c r="I1905" s="2" t="s">
        <v>29</v>
      </c>
    </row>
    <row r="1906" spans="1:9" x14ac:dyDescent="0.35">
      <c r="A1906" s="2" t="s">
        <v>1943</v>
      </c>
      <c r="B1906" s="3">
        <v>45185</v>
      </c>
      <c r="C1906" s="2" t="s">
        <v>25</v>
      </c>
      <c r="D1906" s="2" t="s">
        <v>46</v>
      </c>
      <c r="E1906" s="2" t="s">
        <v>18</v>
      </c>
      <c r="F1906" s="2">
        <v>342.61</v>
      </c>
      <c r="G1906" s="2">
        <v>30.72</v>
      </c>
      <c r="H1906" s="2" t="s">
        <v>28</v>
      </c>
      <c r="I1906" s="2" t="s">
        <v>29</v>
      </c>
    </row>
    <row r="1907" spans="1:9" x14ac:dyDescent="0.35">
      <c r="A1907" s="2" t="s">
        <v>1944</v>
      </c>
      <c r="B1907" s="3">
        <v>44698</v>
      </c>
      <c r="C1907" s="2" t="s">
        <v>10</v>
      </c>
      <c r="D1907" s="2" t="s">
        <v>41</v>
      </c>
      <c r="E1907" s="2" t="s">
        <v>12</v>
      </c>
      <c r="F1907" s="2">
        <v>1902.54</v>
      </c>
      <c r="G1907" s="2">
        <v>319.69</v>
      </c>
      <c r="H1907" s="2" t="s">
        <v>13</v>
      </c>
      <c r="I1907" s="2" t="s">
        <v>20</v>
      </c>
    </row>
    <row r="1908" spans="1:9" x14ac:dyDescent="0.35">
      <c r="A1908" s="2" t="s">
        <v>1945</v>
      </c>
      <c r="B1908" s="3">
        <v>45505</v>
      </c>
      <c r="C1908" s="2" t="s">
        <v>25</v>
      </c>
      <c r="D1908" s="2" t="s">
        <v>17</v>
      </c>
      <c r="E1908" s="2" t="s">
        <v>18</v>
      </c>
      <c r="F1908" s="2">
        <v>716.78</v>
      </c>
      <c r="G1908" s="2">
        <v>44.64</v>
      </c>
      <c r="H1908" s="2" t="s">
        <v>13</v>
      </c>
      <c r="I1908" s="2" t="s">
        <v>14</v>
      </c>
    </row>
    <row r="1909" spans="1:9" x14ac:dyDescent="0.35">
      <c r="A1909" s="2" t="s">
        <v>1946</v>
      </c>
      <c r="B1909" s="3">
        <v>44906</v>
      </c>
      <c r="C1909" s="2" t="s">
        <v>16</v>
      </c>
      <c r="D1909" s="2" t="s">
        <v>17</v>
      </c>
      <c r="E1909" s="2" t="s">
        <v>18</v>
      </c>
      <c r="F1909" s="2">
        <v>1635.45</v>
      </c>
      <c r="G1909" s="2">
        <v>129.49</v>
      </c>
      <c r="H1909" s="2" t="s">
        <v>19</v>
      </c>
      <c r="I1909" s="2" t="s">
        <v>20</v>
      </c>
    </row>
    <row r="1910" spans="1:9" x14ac:dyDescent="0.35">
      <c r="A1910" s="2" t="s">
        <v>1947</v>
      </c>
      <c r="B1910" s="3">
        <v>45034</v>
      </c>
      <c r="C1910" s="2" t="s">
        <v>25</v>
      </c>
      <c r="D1910" s="2" t="s">
        <v>31</v>
      </c>
      <c r="E1910" s="2" t="s">
        <v>12</v>
      </c>
      <c r="F1910" s="2">
        <v>1549.38</v>
      </c>
      <c r="G1910" s="2">
        <v>119.14</v>
      </c>
      <c r="H1910" s="2" t="s">
        <v>13</v>
      </c>
      <c r="I1910" s="2" t="s">
        <v>29</v>
      </c>
    </row>
    <row r="1911" spans="1:9" x14ac:dyDescent="0.35">
      <c r="A1911" s="2" t="s">
        <v>1948</v>
      </c>
      <c r="B1911" s="3">
        <v>44785</v>
      </c>
      <c r="C1911" s="2" t="s">
        <v>22</v>
      </c>
      <c r="D1911" s="2" t="s">
        <v>33</v>
      </c>
      <c r="E1911" s="2" t="s">
        <v>18</v>
      </c>
      <c r="F1911" s="2">
        <v>888.76</v>
      </c>
      <c r="G1911" s="2">
        <v>246.99</v>
      </c>
      <c r="H1911" s="2" t="s">
        <v>28</v>
      </c>
      <c r="I1911" s="2" t="s">
        <v>14</v>
      </c>
    </row>
    <row r="1912" spans="1:9" x14ac:dyDescent="0.35">
      <c r="A1912" s="2" t="s">
        <v>1949</v>
      </c>
      <c r="B1912" s="3">
        <v>45614</v>
      </c>
      <c r="C1912" s="2" t="s">
        <v>25</v>
      </c>
      <c r="D1912" s="2" t="s">
        <v>23</v>
      </c>
      <c r="E1912" s="2" t="s">
        <v>18</v>
      </c>
      <c r="F1912" s="2">
        <v>1437.55</v>
      </c>
      <c r="G1912" s="2">
        <v>286.41000000000003</v>
      </c>
      <c r="H1912" s="2" t="s">
        <v>28</v>
      </c>
      <c r="I1912" s="2" t="s">
        <v>14</v>
      </c>
    </row>
    <row r="1913" spans="1:9" x14ac:dyDescent="0.35">
      <c r="A1913" s="2" t="s">
        <v>1950</v>
      </c>
      <c r="B1913" s="3">
        <v>45084</v>
      </c>
      <c r="C1913" s="2" t="s">
        <v>25</v>
      </c>
      <c r="D1913" s="2" t="s">
        <v>62</v>
      </c>
      <c r="E1913" s="2" t="s">
        <v>27</v>
      </c>
      <c r="F1913" s="2">
        <v>705.53</v>
      </c>
      <c r="G1913" s="2">
        <v>86.54</v>
      </c>
      <c r="H1913" s="2" t="s">
        <v>19</v>
      </c>
      <c r="I1913" s="2" t="s">
        <v>14</v>
      </c>
    </row>
    <row r="1914" spans="1:9" x14ac:dyDescent="0.35">
      <c r="A1914" s="2" t="s">
        <v>1951</v>
      </c>
      <c r="B1914" s="3">
        <v>45315</v>
      </c>
      <c r="C1914" s="2" t="s">
        <v>10</v>
      </c>
      <c r="D1914" s="2" t="s">
        <v>46</v>
      </c>
      <c r="E1914" s="2" t="s">
        <v>18</v>
      </c>
      <c r="F1914" s="2">
        <v>1317.09</v>
      </c>
      <c r="G1914" s="2">
        <v>320.60000000000002</v>
      </c>
      <c r="H1914" s="2" t="s">
        <v>19</v>
      </c>
      <c r="I1914" s="2" t="s">
        <v>29</v>
      </c>
    </row>
    <row r="1915" spans="1:9" x14ac:dyDescent="0.35">
      <c r="A1915" s="2" t="s">
        <v>1952</v>
      </c>
      <c r="B1915" s="3">
        <v>45063</v>
      </c>
      <c r="C1915" s="2" t="s">
        <v>22</v>
      </c>
      <c r="D1915" s="2" t="s">
        <v>38</v>
      </c>
      <c r="E1915" s="2" t="s">
        <v>12</v>
      </c>
      <c r="F1915" s="2">
        <v>615.16</v>
      </c>
      <c r="G1915" s="2">
        <v>86.54</v>
      </c>
      <c r="H1915" s="2" t="s">
        <v>19</v>
      </c>
      <c r="I1915" s="2" t="s">
        <v>29</v>
      </c>
    </row>
    <row r="1916" spans="1:9" x14ac:dyDescent="0.35">
      <c r="A1916" s="2" t="s">
        <v>1953</v>
      </c>
      <c r="B1916" s="3">
        <v>45581</v>
      </c>
      <c r="C1916" s="2" t="s">
        <v>16</v>
      </c>
      <c r="D1916" s="2" t="s">
        <v>26</v>
      </c>
      <c r="E1916" s="2" t="s">
        <v>27</v>
      </c>
      <c r="F1916" s="2">
        <v>754.84</v>
      </c>
      <c r="G1916" s="2">
        <v>98.15</v>
      </c>
      <c r="H1916" s="2" t="s">
        <v>28</v>
      </c>
      <c r="I1916" s="2" t="s">
        <v>14</v>
      </c>
    </row>
    <row r="1917" spans="1:9" x14ac:dyDescent="0.35">
      <c r="A1917" s="2" t="s">
        <v>1954</v>
      </c>
      <c r="B1917" s="3">
        <v>45491</v>
      </c>
      <c r="C1917" s="2" t="s">
        <v>16</v>
      </c>
      <c r="D1917" s="2" t="s">
        <v>38</v>
      </c>
      <c r="E1917" s="2" t="s">
        <v>12</v>
      </c>
      <c r="F1917" s="2">
        <v>1656.83</v>
      </c>
      <c r="G1917" s="2">
        <v>110.1</v>
      </c>
      <c r="H1917" s="2" t="s">
        <v>28</v>
      </c>
      <c r="I1917" s="2" t="s">
        <v>14</v>
      </c>
    </row>
    <row r="1918" spans="1:9" x14ac:dyDescent="0.35">
      <c r="A1918" s="2" t="s">
        <v>1955</v>
      </c>
      <c r="B1918" s="3">
        <v>45169</v>
      </c>
      <c r="C1918" s="2" t="s">
        <v>16</v>
      </c>
      <c r="D1918" s="2" t="s">
        <v>31</v>
      </c>
      <c r="E1918" s="2" t="s">
        <v>12</v>
      </c>
      <c r="F1918" s="2">
        <v>532.4</v>
      </c>
      <c r="G1918" s="2">
        <v>36.44</v>
      </c>
      <c r="H1918" s="2" t="s">
        <v>28</v>
      </c>
      <c r="I1918" s="2" t="s">
        <v>14</v>
      </c>
    </row>
    <row r="1919" spans="1:9" x14ac:dyDescent="0.35">
      <c r="A1919" s="2" t="s">
        <v>1956</v>
      </c>
      <c r="B1919" s="3">
        <v>45241</v>
      </c>
      <c r="C1919" s="2" t="s">
        <v>25</v>
      </c>
      <c r="D1919" s="2" t="s">
        <v>11</v>
      </c>
      <c r="E1919" s="2" t="s">
        <v>12</v>
      </c>
      <c r="F1919" s="2">
        <v>1469</v>
      </c>
      <c r="G1919" s="2">
        <v>105.2</v>
      </c>
      <c r="H1919" s="2" t="s">
        <v>19</v>
      </c>
      <c r="I1919" s="2" t="s">
        <v>34</v>
      </c>
    </row>
    <row r="1920" spans="1:9" x14ac:dyDescent="0.35">
      <c r="A1920" s="2" t="s">
        <v>1957</v>
      </c>
      <c r="B1920" s="3">
        <v>45003</v>
      </c>
      <c r="C1920" s="2" t="s">
        <v>22</v>
      </c>
      <c r="D1920" s="2" t="s">
        <v>38</v>
      </c>
      <c r="E1920" s="2" t="s">
        <v>12</v>
      </c>
      <c r="F1920" s="2">
        <v>719.63</v>
      </c>
      <c r="G1920" s="2">
        <v>169.28</v>
      </c>
      <c r="H1920" s="2" t="s">
        <v>28</v>
      </c>
      <c r="I1920" s="2" t="s">
        <v>20</v>
      </c>
    </row>
    <row r="1921" spans="1:9" x14ac:dyDescent="0.35">
      <c r="A1921" s="2" t="s">
        <v>1958</v>
      </c>
      <c r="B1921" s="3">
        <v>44814</v>
      </c>
      <c r="C1921" s="2" t="s">
        <v>16</v>
      </c>
      <c r="D1921" s="2" t="s">
        <v>50</v>
      </c>
      <c r="E1921" s="2" t="s">
        <v>12</v>
      </c>
      <c r="F1921" s="2">
        <v>1592.44</v>
      </c>
      <c r="G1921" s="2">
        <v>428.78</v>
      </c>
      <c r="H1921" s="2" t="s">
        <v>13</v>
      </c>
      <c r="I1921" s="2" t="s">
        <v>14</v>
      </c>
    </row>
    <row r="1922" spans="1:9" x14ac:dyDescent="0.35">
      <c r="A1922" s="2" t="s">
        <v>1959</v>
      </c>
      <c r="B1922" s="3">
        <v>45149</v>
      </c>
      <c r="C1922" s="2" t="s">
        <v>25</v>
      </c>
      <c r="D1922" s="2" t="s">
        <v>38</v>
      </c>
      <c r="E1922" s="2" t="s">
        <v>12</v>
      </c>
      <c r="F1922" s="2">
        <v>780.37</v>
      </c>
      <c r="G1922" s="2">
        <v>144.33000000000001</v>
      </c>
      <c r="H1922" s="2" t="s">
        <v>28</v>
      </c>
      <c r="I1922" s="2" t="s">
        <v>20</v>
      </c>
    </row>
    <row r="1923" spans="1:9" x14ac:dyDescent="0.35">
      <c r="A1923" s="2" t="s">
        <v>1960</v>
      </c>
      <c r="B1923" s="3">
        <v>45366</v>
      </c>
      <c r="C1923" s="2" t="s">
        <v>22</v>
      </c>
      <c r="D1923" s="2" t="s">
        <v>38</v>
      </c>
      <c r="E1923" s="2" t="s">
        <v>12</v>
      </c>
      <c r="F1923" s="2">
        <v>1897.93</v>
      </c>
      <c r="G1923" s="2">
        <v>470.31</v>
      </c>
      <c r="H1923" s="2" t="s">
        <v>19</v>
      </c>
      <c r="I1923" s="2" t="s">
        <v>20</v>
      </c>
    </row>
    <row r="1924" spans="1:9" x14ac:dyDescent="0.35">
      <c r="A1924" s="2" t="s">
        <v>1961</v>
      </c>
      <c r="B1924" s="3">
        <v>45444</v>
      </c>
      <c r="C1924" s="2" t="s">
        <v>25</v>
      </c>
      <c r="D1924" s="2" t="s">
        <v>97</v>
      </c>
      <c r="E1924" s="2" t="s">
        <v>27</v>
      </c>
      <c r="F1924" s="2">
        <v>1566.93</v>
      </c>
      <c r="G1924" s="2">
        <v>455.46</v>
      </c>
      <c r="H1924" s="2" t="s">
        <v>13</v>
      </c>
      <c r="I1924" s="2" t="s">
        <v>29</v>
      </c>
    </row>
    <row r="1925" spans="1:9" x14ac:dyDescent="0.35">
      <c r="A1925" s="2" t="s">
        <v>1962</v>
      </c>
      <c r="B1925" s="3">
        <v>45047</v>
      </c>
      <c r="C1925" s="2" t="s">
        <v>10</v>
      </c>
      <c r="D1925" s="2" t="s">
        <v>57</v>
      </c>
      <c r="E1925" s="2" t="s">
        <v>27</v>
      </c>
      <c r="F1925" s="2">
        <v>546.15</v>
      </c>
      <c r="G1925" s="2">
        <v>162.36000000000001</v>
      </c>
      <c r="H1925" s="2" t="s">
        <v>13</v>
      </c>
      <c r="I1925" s="2" t="s">
        <v>29</v>
      </c>
    </row>
    <row r="1926" spans="1:9" x14ac:dyDescent="0.35">
      <c r="A1926" s="2" t="s">
        <v>1963</v>
      </c>
      <c r="B1926" s="3">
        <v>45069</v>
      </c>
      <c r="C1926" s="2" t="s">
        <v>10</v>
      </c>
      <c r="D1926" s="2" t="s">
        <v>50</v>
      </c>
      <c r="E1926" s="2" t="s">
        <v>12</v>
      </c>
      <c r="F1926" s="2">
        <v>1306.52</v>
      </c>
      <c r="G1926" s="2">
        <v>156.97999999999999</v>
      </c>
      <c r="H1926" s="2" t="s">
        <v>28</v>
      </c>
      <c r="I1926" s="2" t="s">
        <v>34</v>
      </c>
    </row>
    <row r="1927" spans="1:9" x14ac:dyDescent="0.35">
      <c r="A1927" s="2" t="s">
        <v>1964</v>
      </c>
      <c r="B1927" s="3">
        <v>44911</v>
      </c>
      <c r="C1927" s="2" t="s">
        <v>25</v>
      </c>
      <c r="D1927" s="2" t="s">
        <v>26</v>
      </c>
      <c r="E1927" s="2" t="s">
        <v>27</v>
      </c>
      <c r="F1927" s="2">
        <v>196.81</v>
      </c>
      <c r="G1927" s="2">
        <v>12.83</v>
      </c>
      <c r="H1927" s="2" t="s">
        <v>28</v>
      </c>
      <c r="I1927" s="2" t="s">
        <v>29</v>
      </c>
    </row>
    <row r="1928" spans="1:9" x14ac:dyDescent="0.35">
      <c r="A1928" s="2" t="s">
        <v>1965</v>
      </c>
      <c r="B1928" s="3">
        <v>45301</v>
      </c>
      <c r="C1928" s="2" t="s">
        <v>22</v>
      </c>
      <c r="D1928" s="2" t="s">
        <v>62</v>
      </c>
      <c r="E1928" s="2" t="s">
        <v>27</v>
      </c>
      <c r="F1928" s="2">
        <v>1100.5999999999999</v>
      </c>
      <c r="G1928" s="2">
        <v>328.95</v>
      </c>
      <c r="H1928" s="2" t="s">
        <v>13</v>
      </c>
      <c r="I1928" s="2" t="s">
        <v>29</v>
      </c>
    </row>
    <row r="1929" spans="1:9" x14ac:dyDescent="0.35">
      <c r="A1929" s="2" t="s">
        <v>1966</v>
      </c>
      <c r="B1929" s="3">
        <v>45265</v>
      </c>
      <c r="C1929" s="2" t="s">
        <v>10</v>
      </c>
      <c r="D1929" s="2" t="s">
        <v>31</v>
      </c>
      <c r="E1929" s="2" t="s">
        <v>12</v>
      </c>
      <c r="F1929" s="2">
        <v>784.39</v>
      </c>
      <c r="G1929" s="2">
        <v>104.52</v>
      </c>
      <c r="H1929" s="2" t="s">
        <v>28</v>
      </c>
      <c r="I1929" s="2" t="s">
        <v>20</v>
      </c>
    </row>
    <row r="1930" spans="1:9" x14ac:dyDescent="0.35">
      <c r="A1930" s="2" t="s">
        <v>1967</v>
      </c>
      <c r="B1930" s="3">
        <v>45036</v>
      </c>
      <c r="C1930" s="2" t="s">
        <v>22</v>
      </c>
      <c r="D1930" s="2" t="s">
        <v>11</v>
      </c>
      <c r="E1930" s="2" t="s">
        <v>12</v>
      </c>
      <c r="F1930" s="2">
        <v>1591.01</v>
      </c>
      <c r="G1930" s="2">
        <v>443.98</v>
      </c>
      <c r="H1930" s="2" t="s">
        <v>13</v>
      </c>
      <c r="I1930" s="2" t="s">
        <v>29</v>
      </c>
    </row>
    <row r="1931" spans="1:9" x14ac:dyDescent="0.35">
      <c r="A1931" s="2" t="s">
        <v>1968</v>
      </c>
      <c r="B1931" s="3">
        <v>45041</v>
      </c>
      <c r="C1931" s="2" t="s">
        <v>25</v>
      </c>
      <c r="D1931" s="2" t="s">
        <v>46</v>
      </c>
      <c r="E1931" s="2" t="s">
        <v>18</v>
      </c>
      <c r="F1931" s="2">
        <v>745.17</v>
      </c>
      <c r="G1931" s="2">
        <v>187.66</v>
      </c>
      <c r="H1931" s="2" t="s">
        <v>13</v>
      </c>
      <c r="I1931" s="2" t="s">
        <v>14</v>
      </c>
    </row>
    <row r="1932" spans="1:9" x14ac:dyDescent="0.35">
      <c r="A1932" s="2" t="s">
        <v>1969</v>
      </c>
      <c r="B1932" s="3">
        <v>44847</v>
      </c>
      <c r="C1932" s="2" t="s">
        <v>25</v>
      </c>
      <c r="D1932" s="2" t="s">
        <v>57</v>
      </c>
      <c r="E1932" s="2" t="s">
        <v>27</v>
      </c>
      <c r="F1932" s="2">
        <v>1780.69</v>
      </c>
      <c r="G1932" s="2">
        <v>498.39</v>
      </c>
      <c r="H1932" s="2" t="s">
        <v>28</v>
      </c>
      <c r="I1932" s="2" t="s">
        <v>34</v>
      </c>
    </row>
    <row r="1933" spans="1:9" x14ac:dyDescent="0.35">
      <c r="A1933" s="2" t="s">
        <v>1970</v>
      </c>
      <c r="B1933" s="3">
        <v>45287</v>
      </c>
      <c r="C1933" s="2" t="s">
        <v>16</v>
      </c>
      <c r="D1933" s="2" t="s">
        <v>38</v>
      </c>
      <c r="E1933" s="2" t="s">
        <v>12</v>
      </c>
      <c r="F1933" s="2">
        <v>539.78</v>
      </c>
      <c r="G1933" s="2">
        <v>81.13</v>
      </c>
      <c r="H1933" s="2" t="s">
        <v>28</v>
      </c>
      <c r="I1933" s="2" t="s">
        <v>14</v>
      </c>
    </row>
    <row r="1934" spans="1:9" x14ac:dyDescent="0.35">
      <c r="A1934" s="2" t="s">
        <v>1971</v>
      </c>
      <c r="B1934" s="3">
        <v>45563</v>
      </c>
      <c r="C1934" s="2" t="s">
        <v>10</v>
      </c>
      <c r="D1934" s="2" t="s">
        <v>33</v>
      </c>
      <c r="E1934" s="2" t="s">
        <v>18</v>
      </c>
      <c r="F1934" s="2">
        <v>1962.67</v>
      </c>
      <c r="G1934" s="2">
        <v>462.39</v>
      </c>
      <c r="H1934" s="2" t="s">
        <v>28</v>
      </c>
      <c r="I1934" s="2" t="s">
        <v>29</v>
      </c>
    </row>
    <row r="1935" spans="1:9" x14ac:dyDescent="0.35">
      <c r="A1935" s="2" t="s">
        <v>1972</v>
      </c>
      <c r="B1935" s="3">
        <v>45469</v>
      </c>
      <c r="C1935" s="2" t="s">
        <v>22</v>
      </c>
      <c r="D1935" s="2" t="s">
        <v>57</v>
      </c>
      <c r="E1935" s="2" t="s">
        <v>27</v>
      </c>
      <c r="F1935" s="2">
        <v>1015.91</v>
      </c>
      <c r="G1935" s="2">
        <v>145.55000000000001</v>
      </c>
      <c r="H1935" s="2" t="s">
        <v>19</v>
      </c>
      <c r="I1935" s="2" t="s">
        <v>34</v>
      </c>
    </row>
    <row r="1936" spans="1:9" x14ac:dyDescent="0.35">
      <c r="A1936" s="2" t="s">
        <v>1973</v>
      </c>
      <c r="B1936" s="3">
        <v>44771</v>
      </c>
      <c r="C1936" s="2" t="s">
        <v>22</v>
      </c>
      <c r="D1936" s="2" t="s">
        <v>33</v>
      </c>
      <c r="E1936" s="2" t="s">
        <v>18</v>
      </c>
      <c r="F1936" s="2">
        <v>633.12</v>
      </c>
      <c r="G1936" s="2">
        <v>141.47</v>
      </c>
      <c r="H1936" s="2" t="s">
        <v>13</v>
      </c>
      <c r="I1936" s="2" t="s">
        <v>14</v>
      </c>
    </row>
    <row r="1937" spans="1:9" x14ac:dyDescent="0.35">
      <c r="A1937" s="2" t="s">
        <v>1974</v>
      </c>
      <c r="B1937" s="3">
        <v>45395</v>
      </c>
      <c r="C1937" s="2" t="s">
        <v>10</v>
      </c>
      <c r="D1937" s="2" t="s">
        <v>95</v>
      </c>
      <c r="E1937" s="2" t="s">
        <v>18</v>
      </c>
      <c r="F1937" s="2">
        <v>951.15</v>
      </c>
      <c r="G1937" s="2">
        <v>279.52</v>
      </c>
      <c r="H1937" s="2" t="s">
        <v>19</v>
      </c>
      <c r="I1937" s="2" t="s">
        <v>29</v>
      </c>
    </row>
    <row r="1938" spans="1:9" x14ac:dyDescent="0.35">
      <c r="A1938" s="2" t="s">
        <v>1975</v>
      </c>
      <c r="B1938" s="3">
        <v>44615</v>
      </c>
      <c r="C1938" s="2" t="s">
        <v>10</v>
      </c>
      <c r="D1938" s="2" t="s">
        <v>57</v>
      </c>
      <c r="E1938" s="2" t="s">
        <v>27</v>
      </c>
      <c r="F1938" s="2">
        <v>962.58</v>
      </c>
      <c r="G1938" s="2">
        <v>201.36</v>
      </c>
      <c r="H1938" s="2" t="s">
        <v>13</v>
      </c>
      <c r="I1938" s="2" t="s">
        <v>34</v>
      </c>
    </row>
    <row r="1939" spans="1:9" x14ac:dyDescent="0.35">
      <c r="A1939" s="2" t="s">
        <v>1976</v>
      </c>
      <c r="B1939" s="3">
        <v>45409</v>
      </c>
      <c r="C1939" s="2" t="s">
        <v>10</v>
      </c>
      <c r="D1939" s="2" t="s">
        <v>73</v>
      </c>
      <c r="E1939" s="2" t="s">
        <v>27</v>
      </c>
      <c r="F1939" s="2">
        <v>742.74</v>
      </c>
      <c r="G1939" s="2">
        <v>190.7</v>
      </c>
      <c r="H1939" s="2" t="s">
        <v>28</v>
      </c>
      <c r="I1939" s="2" t="s">
        <v>34</v>
      </c>
    </row>
    <row r="1940" spans="1:9" x14ac:dyDescent="0.35">
      <c r="A1940" s="2" t="s">
        <v>1977</v>
      </c>
      <c r="B1940" s="3">
        <v>44787</v>
      </c>
      <c r="C1940" s="2" t="s">
        <v>10</v>
      </c>
      <c r="D1940" s="2" t="s">
        <v>23</v>
      </c>
      <c r="E1940" s="2" t="s">
        <v>18</v>
      </c>
      <c r="F1940" s="2">
        <v>1947.55</v>
      </c>
      <c r="G1940" s="2">
        <v>505.7</v>
      </c>
      <c r="H1940" s="2" t="s">
        <v>19</v>
      </c>
      <c r="I1940" s="2" t="s">
        <v>14</v>
      </c>
    </row>
    <row r="1941" spans="1:9" x14ac:dyDescent="0.35">
      <c r="A1941" s="2" t="s">
        <v>1978</v>
      </c>
      <c r="B1941" s="3">
        <v>44610</v>
      </c>
      <c r="C1941" s="2" t="s">
        <v>10</v>
      </c>
      <c r="D1941" s="2" t="s">
        <v>23</v>
      </c>
      <c r="E1941" s="2" t="s">
        <v>18</v>
      </c>
      <c r="F1941" s="2">
        <v>1109.98</v>
      </c>
      <c r="G1941" s="2">
        <v>202.19</v>
      </c>
      <c r="H1941" s="2" t="s">
        <v>19</v>
      </c>
      <c r="I1941" s="2" t="s">
        <v>20</v>
      </c>
    </row>
    <row r="1942" spans="1:9" x14ac:dyDescent="0.35">
      <c r="A1942" s="2" t="s">
        <v>1979</v>
      </c>
      <c r="B1942" s="3">
        <v>45392</v>
      </c>
      <c r="C1942" s="2" t="s">
        <v>10</v>
      </c>
      <c r="D1942" s="2" t="s">
        <v>33</v>
      </c>
      <c r="E1942" s="2" t="s">
        <v>18</v>
      </c>
      <c r="F1942" s="2">
        <v>1800.24</v>
      </c>
      <c r="G1942" s="2">
        <v>276.7</v>
      </c>
      <c r="H1942" s="2" t="s">
        <v>19</v>
      </c>
      <c r="I1942" s="2" t="s">
        <v>14</v>
      </c>
    </row>
    <row r="1943" spans="1:9" x14ac:dyDescent="0.35">
      <c r="A1943" s="2" t="s">
        <v>1980</v>
      </c>
      <c r="B1943" s="3">
        <v>45102</v>
      </c>
      <c r="C1943" s="2" t="s">
        <v>22</v>
      </c>
      <c r="D1943" s="2" t="s">
        <v>23</v>
      </c>
      <c r="E1943" s="2" t="s">
        <v>18</v>
      </c>
      <c r="F1943" s="2">
        <v>1069.82</v>
      </c>
      <c r="G1943" s="2">
        <v>82.2</v>
      </c>
      <c r="H1943" s="2" t="s">
        <v>19</v>
      </c>
      <c r="I1943" s="2" t="s">
        <v>20</v>
      </c>
    </row>
    <row r="1944" spans="1:9" x14ac:dyDescent="0.35">
      <c r="A1944" s="2" t="s">
        <v>1981</v>
      </c>
      <c r="B1944" s="3">
        <v>44656</v>
      </c>
      <c r="C1944" s="2" t="s">
        <v>10</v>
      </c>
      <c r="D1944" s="2" t="s">
        <v>46</v>
      </c>
      <c r="E1944" s="2" t="s">
        <v>18</v>
      </c>
      <c r="F1944" s="2">
        <v>1863.91</v>
      </c>
      <c r="G1944" s="2">
        <v>339.06</v>
      </c>
      <c r="H1944" s="2" t="s">
        <v>19</v>
      </c>
      <c r="I1944" s="2" t="s">
        <v>20</v>
      </c>
    </row>
    <row r="1945" spans="1:9" x14ac:dyDescent="0.35">
      <c r="A1945" s="2" t="s">
        <v>1982</v>
      </c>
      <c r="B1945" s="3">
        <v>45602</v>
      </c>
      <c r="C1945" s="2" t="s">
        <v>22</v>
      </c>
      <c r="D1945" s="2" t="s">
        <v>50</v>
      </c>
      <c r="E1945" s="2" t="s">
        <v>12</v>
      </c>
      <c r="F1945" s="2">
        <v>1742.23</v>
      </c>
      <c r="G1945" s="2">
        <v>383.76</v>
      </c>
      <c r="H1945" s="2" t="s">
        <v>19</v>
      </c>
      <c r="I1945" s="2" t="s">
        <v>20</v>
      </c>
    </row>
    <row r="1946" spans="1:9" x14ac:dyDescent="0.35">
      <c r="A1946" s="2" t="s">
        <v>1983</v>
      </c>
      <c r="B1946" s="3">
        <v>45135</v>
      </c>
      <c r="C1946" s="2" t="s">
        <v>10</v>
      </c>
      <c r="D1946" s="2" t="s">
        <v>50</v>
      </c>
      <c r="E1946" s="2" t="s">
        <v>12</v>
      </c>
      <c r="F1946" s="2">
        <v>714.2</v>
      </c>
      <c r="G1946" s="2">
        <v>209.31</v>
      </c>
      <c r="H1946" s="2" t="s">
        <v>28</v>
      </c>
      <c r="I1946" s="2" t="s">
        <v>34</v>
      </c>
    </row>
    <row r="1947" spans="1:9" x14ac:dyDescent="0.35">
      <c r="A1947" s="2" t="s">
        <v>1984</v>
      </c>
      <c r="B1947" s="3">
        <v>45131</v>
      </c>
      <c r="C1947" s="2" t="s">
        <v>22</v>
      </c>
      <c r="D1947" s="2" t="s">
        <v>26</v>
      </c>
      <c r="E1947" s="2" t="s">
        <v>27</v>
      </c>
      <c r="F1947" s="2">
        <v>636.52</v>
      </c>
      <c r="G1947" s="2">
        <v>47.23</v>
      </c>
      <c r="H1947" s="2" t="s">
        <v>13</v>
      </c>
      <c r="I1947" s="2" t="s">
        <v>20</v>
      </c>
    </row>
    <row r="1948" spans="1:9" x14ac:dyDescent="0.35">
      <c r="A1948" s="2" t="s">
        <v>1985</v>
      </c>
      <c r="B1948" s="3">
        <v>45338</v>
      </c>
      <c r="C1948" s="2" t="s">
        <v>22</v>
      </c>
      <c r="D1948" s="2" t="s">
        <v>38</v>
      </c>
      <c r="E1948" s="2" t="s">
        <v>12</v>
      </c>
      <c r="F1948" s="2">
        <v>222.36</v>
      </c>
      <c r="G1948" s="2">
        <v>34.18</v>
      </c>
      <c r="H1948" s="2" t="s">
        <v>28</v>
      </c>
      <c r="I1948" s="2" t="s">
        <v>20</v>
      </c>
    </row>
    <row r="1949" spans="1:9" x14ac:dyDescent="0.35">
      <c r="A1949" s="2" t="s">
        <v>1986</v>
      </c>
      <c r="B1949" s="3">
        <v>44819</v>
      </c>
      <c r="C1949" s="2" t="s">
        <v>10</v>
      </c>
      <c r="D1949" s="2" t="s">
        <v>95</v>
      </c>
      <c r="E1949" s="2" t="s">
        <v>18</v>
      </c>
      <c r="F1949" s="2">
        <v>292.07</v>
      </c>
      <c r="G1949" s="2">
        <v>78.819999999999993</v>
      </c>
      <c r="H1949" s="2" t="s">
        <v>28</v>
      </c>
      <c r="I1949" s="2" t="s">
        <v>14</v>
      </c>
    </row>
    <row r="1950" spans="1:9" x14ac:dyDescent="0.35">
      <c r="A1950" s="2" t="s">
        <v>1987</v>
      </c>
      <c r="B1950" s="3">
        <v>45267</v>
      </c>
      <c r="C1950" s="2" t="s">
        <v>22</v>
      </c>
      <c r="D1950" s="2" t="s">
        <v>31</v>
      </c>
      <c r="E1950" s="2" t="s">
        <v>12</v>
      </c>
      <c r="F1950" s="2">
        <v>1507.39</v>
      </c>
      <c r="G1950" s="2">
        <v>105.37</v>
      </c>
      <c r="H1950" s="2" t="s">
        <v>19</v>
      </c>
      <c r="I1950" s="2" t="s">
        <v>34</v>
      </c>
    </row>
    <row r="1951" spans="1:9" x14ac:dyDescent="0.35">
      <c r="A1951" s="2" t="s">
        <v>1988</v>
      </c>
      <c r="B1951" s="3">
        <v>45473</v>
      </c>
      <c r="C1951" s="2" t="s">
        <v>16</v>
      </c>
      <c r="D1951" s="2" t="s">
        <v>57</v>
      </c>
      <c r="E1951" s="2" t="s">
        <v>27</v>
      </c>
      <c r="F1951" s="2">
        <v>326.07</v>
      </c>
      <c r="G1951" s="2">
        <v>70.430000000000007</v>
      </c>
      <c r="H1951" s="2" t="s">
        <v>13</v>
      </c>
      <c r="I1951" s="2" t="s">
        <v>14</v>
      </c>
    </row>
    <row r="1952" spans="1:9" x14ac:dyDescent="0.35">
      <c r="A1952" s="2" t="s">
        <v>1989</v>
      </c>
      <c r="B1952" s="3">
        <v>44642</v>
      </c>
      <c r="C1952" s="2" t="s">
        <v>10</v>
      </c>
      <c r="D1952" s="2" t="s">
        <v>97</v>
      </c>
      <c r="E1952" s="2" t="s">
        <v>27</v>
      </c>
      <c r="F1952" s="2">
        <v>1285.8699999999999</v>
      </c>
      <c r="G1952" s="2">
        <v>204.15</v>
      </c>
      <c r="H1952" s="2" t="s">
        <v>19</v>
      </c>
      <c r="I1952" s="2" t="s">
        <v>20</v>
      </c>
    </row>
    <row r="1953" spans="1:9" x14ac:dyDescent="0.35">
      <c r="A1953" s="2" t="s">
        <v>1990</v>
      </c>
      <c r="B1953" s="3">
        <v>45056</v>
      </c>
      <c r="C1953" s="2" t="s">
        <v>16</v>
      </c>
      <c r="D1953" s="2" t="s">
        <v>41</v>
      </c>
      <c r="E1953" s="2" t="s">
        <v>12</v>
      </c>
      <c r="F1953" s="2">
        <v>1779.54</v>
      </c>
      <c r="G1953" s="2">
        <v>270.74</v>
      </c>
      <c r="H1953" s="2" t="s">
        <v>13</v>
      </c>
      <c r="I1953" s="2" t="s">
        <v>20</v>
      </c>
    </row>
    <row r="1954" spans="1:9" x14ac:dyDescent="0.35">
      <c r="A1954" s="2" t="s">
        <v>1991</v>
      </c>
      <c r="B1954" s="3">
        <v>45382</v>
      </c>
      <c r="C1954" s="2" t="s">
        <v>25</v>
      </c>
      <c r="D1954" s="2" t="s">
        <v>50</v>
      </c>
      <c r="E1954" s="2" t="s">
        <v>12</v>
      </c>
      <c r="F1954" s="2">
        <v>1193.32</v>
      </c>
      <c r="G1954" s="2">
        <v>158.85</v>
      </c>
      <c r="H1954" s="2" t="s">
        <v>28</v>
      </c>
      <c r="I1954" s="2" t="s">
        <v>29</v>
      </c>
    </row>
    <row r="1955" spans="1:9" x14ac:dyDescent="0.35">
      <c r="A1955" s="2" t="s">
        <v>1992</v>
      </c>
      <c r="B1955" s="3">
        <v>45600</v>
      </c>
      <c r="C1955" s="2" t="s">
        <v>16</v>
      </c>
      <c r="D1955" s="2" t="s">
        <v>23</v>
      </c>
      <c r="E1955" s="2" t="s">
        <v>18</v>
      </c>
      <c r="F1955" s="2">
        <v>1668.14</v>
      </c>
      <c r="G1955" s="2">
        <v>172.12</v>
      </c>
      <c r="H1955" s="2" t="s">
        <v>19</v>
      </c>
      <c r="I1955" s="2" t="s">
        <v>34</v>
      </c>
    </row>
    <row r="1956" spans="1:9" x14ac:dyDescent="0.35">
      <c r="A1956" s="2" t="s">
        <v>1993</v>
      </c>
      <c r="B1956" s="3">
        <v>44625</v>
      </c>
      <c r="C1956" s="2" t="s">
        <v>25</v>
      </c>
      <c r="D1956" s="2" t="s">
        <v>31</v>
      </c>
      <c r="E1956" s="2" t="s">
        <v>12</v>
      </c>
      <c r="F1956" s="2">
        <v>1713.71</v>
      </c>
      <c r="G1956" s="2">
        <v>142.15</v>
      </c>
      <c r="H1956" s="2" t="s">
        <v>28</v>
      </c>
      <c r="I1956" s="2" t="s">
        <v>14</v>
      </c>
    </row>
    <row r="1957" spans="1:9" x14ac:dyDescent="0.35">
      <c r="A1957" s="2" t="s">
        <v>1994</v>
      </c>
      <c r="B1957" s="3">
        <v>45287</v>
      </c>
      <c r="C1957" s="2" t="s">
        <v>25</v>
      </c>
      <c r="D1957" s="2" t="s">
        <v>62</v>
      </c>
      <c r="E1957" s="2" t="s">
        <v>27</v>
      </c>
      <c r="F1957" s="2">
        <v>500.34</v>
      </c>
      <c r="G1957" s="2">
        <v>132.21</v>
      </c>
      <c r="H1957" s="2" t="s">
        <v>28</v>
      </c>
      <c r="I1957" s="2" t="s">
        <v>34</v>
      </c>
    </row>
    <row r="1958" spans="1:9" x14ac:dyDescent="0.35">
      <c r="A1958" s="2" t="s">
        <v>1995</v>
      </c>
      <c r="B1958" s="3">
        <v>45649</v>
      </c>
      <c r="C1958" s="2" t="s">
        <v>10</v>
      </c>
      <c r="D1958" s="2" t="s">
        <v>73</v>
      </c>
      <c r="E1958" s="2" t="s">
        <v>27</v>
      </c>
      <c r="F1958" s="2">
        <v>1232.79</v>
      </c>
      <c r="G1958" s="2">
        <v>98.23</v>
      </c>
      <c r="H1958" s="2" t="s">
        <v>28</v>
      </c>
      <c r="I1958" s="2" t="s">
        <v>20</v>
      </c>
    </row>
    <row r="1959" spans="1:9" x14ac:dyDescent="0.35">
      <c r="A1959" s="2" t="s">
        <v>1996</v>
      </c>
      <c r="B1959" s="3">
        <v>45042</v>
      </c>
      <c r="C1959" s="2" t="s">
        <v>10</v>
      </c>
      <c r="D1959" s="2" t="s">
        <v>31</v>
      </c>
      <c r="E1959" s="2" t="s">
        <v>12</v>
      </c>
      <c r="F1959" s="2">
        <v>111.64</v>
      </c>
      <c r="G1959" s="2">
        <v>28.56</v>
      </c>
      <c r="H1959" s="2" t="s">
        <v>19</v>
      </c>
      <c r="I1959" s="2" t="s">
        <v>29</v>
      </c>
    </row>
    <row r="1960" spans="1:9" x14ac:dyDescent="0.35">
      <c r="A1960" s="2" t="s">
        <v>1997</v>
      </c>
      <c r="B1960" s="3">
        <v>45090</v>
      </c>
      <c r="C1960" s="2" t="s">
        <v>16</v>
      </c>
      <c r="D1960" s="2" t="s">
        <v>46</v>
      </c>
      <c r="E1960" s="2" t="s">
        <v>18</v>
      </c>
      <c r="F1960" s="2">
        <v>140.25</v>
      </c>
      <c r="G1960" s="2">
        <v>29.93</v>
      </c>
      <c r="H1960" s="2" t="s">
        <v>13</v>
      </c>
      <c r="I1960" s="2" t="s">
        <v>29</v>
      </c>
    </row>
    <row r="1961" spans="1:9" x14ac:dyDescent="0.35">
      <c r="A1961" s="2" t="s">
        <v>1998</v>
      </c>
      <c r="B1961" s="3">
        <v>45412</v>
      </c>
      <c r="C1961" s="2" t="s">
        <v>10</v>
      </c>
      <c r="D1961" s="2" t="s">
        <v>17</v>
      </c>
      <c r="E1961" s="2" t="s">
        <v>18</v>
      </c>
      <c r="F1961" s="2">
        <v>1414.6</v>
      </c>
      <c r="G1961" s="2">
        <v>348.64</v>
      </c>
      <c r="H1961" s="2" t="s">
        <v>28</v>
      </c>
      <c r="I1961" s="2" t="s">
        <v>14</v>
      </c>
    </row>
    <row r="1962" spans="1:9" x14ac:dyDescent="0.35">
      <c r="A1962" s="2" t="s">
        <v>1999</v>
      </c>
      <c r="B1962" s="3">
        <v>45575</v>
      </c>
      <c r="C1962" s="2" t="s">
        <v>10</v>
      </c>
      <c r="D1962" s="2" t="s">
        <v>26</v>
      </c>
      <c r="E1962" s="2" t="s">
        <v>27</v>
      </c>
      <c r="F1962" s="2">
        <v>298.05</v>
      </c>
      <c r="G1962" s="2">
        <v>58.16</v>
      </c>
      <c r="H1962" s="2" t="s">
        <v>28</v>
      </c>
      <c r="I1962" s="2" t="s">
        <v>14</v>
      </c>
    </row>
    <row r="1963" spans="1:9" x14ac:dyDescent="0.35">
      <c r="A1963" s="2" t="s">
        <v>2000</v>
      </c>
      <c r="B1963" s="3">
        <v>45155</v>
      </c>
      <c r="C1963" s="2" t="s">
        <v>25</v>
      </c>
      <c r="D1963" s="2" t="s">
        <v>73</v>
      </c>
      <c r="E1963" s="2" t="s">
        <v>27</v>
      </c>
      <c r="F1963" s="2">
        <v>1034.3399999999999</v>
      </c>
      <c r="G1963" s="2">
        <v>286.83</v>
      </c>
      <c r="H1963" s="2" t="s">
        <v>19</v>
      </c>
      <c r="I1963" s="2" t="s">
        <v>34</v>
      </c>
    </row>
    <row r="1964" spans="1:9" x14ac:dyDescent="0.35">
      <c r="A1964" s="2" t="s">
        <v>2001</v>
      </c>
      <c r="B1964" s="3">
        <v>45492</v>
      </c>
      <c r="C1964" s="2" t="s">
        <v>22</v>
      </c>
      <c r="D1964" s="2" t="s">
        <v>97</v>
      </c>
      <c r="E1964" s="2" t="s">
        <v>27</v>
      </c>
      <c r="F1964" s="2">
        <v>1964.28</v>
      </c>
      <c r="G1964" s="2">
        <v>197.6</v>
      </c>
      <c r="H1964" s="2" t="s">
        <v>13</v>
      </c>
      <c r="I1964" s="2" t="s">
        <v>34</v>
      </c>
    </row>
    <row r="1965" spans="1:9" x14ac:dyDescent="0.35">
      <c r="A1965" s="2" t="s">
        <v>2002</v>
      </c>
      <c r="B1965" s="3">
        <v>44727</v>
      </c>
      <c r="C1965" s="2" t="s">
        <v>16</v>
      </c>
      <c r="D1965" s="2" t="s">
        <v>97</v>
      </c>
      <c r="E1965" s="2" t="s">
        <v>27</v>
      </c>
      <c r="F1965" s="2">
        <v>60.17</v>
      </c>
      <c r="G1965" s="2">
        <v>8.93</v>
      </c>
      <c r="H1965" s="2" t="s">
        <v>13</v>
      </c>
      <c r="I1965" s="2" t="s">
        <v>29</v>
      </c>
    </row>
    <row r="1966" spans="1:9" x14ac:dyDescent="0.35">
      <c r="A1966" s="2" t="s">
        <v>2003</v>
      </c>
      <c r="B1966" s="3">
        <v>45404</v>
      </c>
      <c r="C1966" s="2" t="s">
        <v>22</v>
      </c>
      <c r="D1966" s="2" t="s">
        <v>73</v>
      </c>
      <c r="E1966" s="2" t="s">
        <v>27</v>
      </c>
      <c r="F1966" s="2">
        <v>1114.1600000000001</v>
      </c>
      <c r="G1966" s="2">
        <v>100.06</v>
      </c>
      <c r="H1966" s="2" t="s">
        <v>28</v>
      </c>
      <c r="I1966" s="2" t="s">
        <v>14</v>
      </c>
    </row>
    <row r="1967" spans="1:9" x14ac:dyDescent="0.35">
      <c r="A1967" s="2" t="s">
        <v>2004</v>
      </c>
      <c r="B1967" s="3">
        <v>45498</v>
      </c>
      <c r="C1967" s="2" t="s">
        <v>22</v>
      </c>
      <c r="D1967" s="2" t="s">
        <v>97</v>
      </c>
      <c r="E1967" s="2" t="s">
        <v>27</v>
      </c>
      <c r="F1967" s="2">
        <v>674.16</v>
      </c>
      <c r="G1967" s="2">
        <v>133.47999999999999</v>
      </c>
      <c r="H1967" s="2" t="s">
        <v>13</v>
      </c>
      <c r="I1967" s="2" t="s">
        <v>29</v>
      </c>
    </row>
    <row r="1968" spans="1:9" x14ac:dyDescent="0.35">
      <c r="A1968" s="2" t="s">
        <v>2005</v>
      </c>
      <c r="B1968" s="3">
        <v>45508</v>
      </c>
      <c r="C1968" s="2" t="s">
        <v>25</v>
      </c>
      <c r="D1968" s="2" t="s">
        <v>62</v>
      </c>
      <c r="E1968" s="2" t="s">
        <v>27</v>
      </c>
      <c r="F1968" s="2">
        <v>334.73</v>
      </c>
      <c r="G1968" s="2">
        <v>16.829999999999998</v>
      </c>
      <c r="H1968" s="2" t="s">
        <v>19</v>
      </c>
      <c r="I1968" s="2" t="s">
        <v>29</v>
      </c>
    </row>
    <row r="1969" spans="1:9" x14ac:dyDescent="0.35">
      <c r="A1969" s="2" t="s">
        <v>2006</v>
      </c>
      <c r="B1969" s="3">
        <v>45415</v>
      </c>
      <c r="C1969" s="2" t="s">
        <v>16</v>
      </c>
      <c r="D1969" s="2" t="s">
        <v>23</v>
      </c>
      <c r="E1969" s="2" t="s">
        <v>18</v>
      </c>
      <c r="F1969" s="2">
        <v>1858.21</v>
      </c>
      <c r="G1969" s="2">
        <v>376.83</v>
      </c>
      <c r="H1969" s="2" t="s">
        <v>19</v>
      </c>
      <c r="I1969" s="2" t="s">
        <v>20</v>
      </c>
    </row>
    <row r="1970" spans="1:9" x14ac:dyDescent="0.35">
      <c r="A1970" s="2" t="s">
        <v>2007</v>
      </c>
      <c r="B1970" s="3">
        <v>44898</v>
      </c>
      <c r="C1970" s="2" t="s">
        <v>10</v>
      </c>
      <c r="D1970" s="2" t="s">
        <v>97</v>
      </c>
      <c r="E1970" s="2" t="s">
        <v>27</v>
      </c>
      <c r="F1970" s="2">
        <v>1113.99</v>
      </c>
      <c r="G1970" s="2">
        <v>278.36</v>
      </c>
      <c r="H1970" s="2" t="s">
        <v>19</v>
      </c>
      <c r="I1970" s="2" t="s">
        <v>34</v>
      </c>
    </row>
    <row r="1971" spans="1:9" x14ac:dyDescent="0.35">
      <c r="A1971" s="2" t="s">
        <v>2008</v>
      </c>
      <c r="B1971" s="3">
        <v>45268</v>
      </c>
      <c r="C1971" s="2" t="s">
        <v>16</v>
      </c>
      <c r="D1971" s="2" t="s">
        <v>57</v>
      </c>
      <c r="E1971" s="2" t="s">
        <v>27</v>
      </c>
      <c r="F1971" s="2">
        <v>1621.6</v>
      </c>
      <c r="G1971" s="2">
        <v>355.61</v>
      </c>
      <c r="H1971" s="2" t="s">
        <v>13</v>
      </c>
      <c r="I1971" s="2" t="s">
        <v>14</v>
      </c>
    </row>
    <row r="1972" spans="1:9" x14ac:dyDescent="0.35">
      <c r="A1972" s="2" t="s">
        <v>2009</v>
      </c>
      <c r="B1972" s="3">
        <v>45103</v>
      </c>
      <c r="C1972" s="2" t="s">
        <v>22</v>
      </c>
      <c r="D1972" s="2" t="s">
        <v>46</v>
      </c>
      <c r="E1972" s="2" t="s">
        <v>18</v>
      </c>
      <c r="F1972" s="2">
        <v>344.6</v>
      </c>
      <c r="G1972" s="2">
        <v>22.39</v>
      </c>
      <c r="H1972" s="2" t="s">
        <v>13</v>
      </c>
      <c r="I1972" s="2" t="s">
        <v>29</v>
      </c>
    </row>
    <row r="1973" spans="1:9" x14ac:dyDescent="0.35">
      <c r="A1973" s="2" t="s">
        <v>2010</v>
      </c>
      <c r="B1973" s="3">
        <v>45625</v>
      </c>
      <c r="C1973" s="2" t="s">
        <v>22</v>
      </c>
      <c r="D1973" s="2" t="s">
        <v>46</v>
      </c>
      <c r="E1973" s="2" t="s">
        <v>18</v>
      </c>
      <c r="F1973" s="2">
        <v>903.33</v>
      </c>
      <c r="G1973" s="2">
        <v>75.239999999999995</v>
      </c>
      <c r="H1973" s="2" t="s">
        <v>28</v>
      </c>
      <c r="I1973" s="2" t="s">
        <v>34</v>
      </c>
    </row>
    <row r="1974" spans="1:9" x14ac:dyDescent="0.35">
      <c r="A1974" s="2" t="s">
        <v>2011</v>
      </c>
      <c r="B1974" s="3">
        <v>45460</v>
      </c>
      <c r="C1974" s="2" t="s">
        <v>16</v>
      </c>
      <c r="D1974" s="2" t="s">
        <v>26</v>
      </c>
      <c r="E1974" s="2" t="s">
        <v>27</v>
      </c>
      <c r="F1974" s="2">
        <v>998.17</v>
      </c>
      <c r="G1974" s="2">
        <v>275.89</v>
      </c>
      <c r="H1974" s="2" t="s">
        <v>19</v>
      </c>
      <c r="I1974" s="2" t="s">
        <v>29</v>
      </c>
    </row>
    <row r="1975" spans="1:9" x14ac:dyDescent="0.35">
      <c r="A1975" s="2" t="s">
        <v>2012</v>
      </c>
      <c r="B1975" s="3">
        <v>44924</v>
      </c>
      <c r="C1975" s="2" t="s">
        <v>22</v>
      </c>
      <c r="D1975" s="2" t="s">
        <v>11</v>
      </c>
      <c r="E1975" s="2" t="s">
        <v>12</v>
      </c>
      <c r="F1975" s="2">
        <v>1084.1199999999999</v>
      </c>
      <c r="G1975" s="2">
        <v>286.85000000000002</v>
      </c>
      <c r="H1975" s="2" t="s">
        <v>28</v>
      </c>
      <c r="I1975" s="2" t="s">
        <v>14</v>
      </c>
    </row>
    <row r="1976" spans="1:9" x14ac:dyDescent="0.35">
      <c r="A1976" s="2" t="s">
        <v>2013</v>
      </c>
      <c r="B1976" s="3">
        <v>44610</v>
      </c>
      <c r="C1976" s="2" t="s">
        <v>16</v>
      </c>
      <c r="D1976" s="2" t="s">
        <v>73</v>
      </c>
      <c r="E1976" s="2" t="s">
        <v>27</v>
      </c>
      <c r="F1976" s="2">
        <v>363.47</v>
      </c>
      <c r="G1976" s="2">
        <v>37.590000000000003</v>
      </c>
      <c r="H1976" s="2" t="s">
        <v>28</v>
      </c>
      <c r="I1976" s="2" t="s">
        <v>20</v>
      </c>
    </row>
    <row r="1977" spans="1:9" x14ac:dyDescent="0.35">
      <c r="A1977" s="2" t="s">
        <v>2014</v>
      </c>
      <c r="B1977" s="3">
        <v>45635</v>
      </c>
      <c r="C1977" s="2" t="s">
        <v>25</v>
      </c>
      <c r="D1977" s="2" t="s">
        <v>11</v>
      </c>
      <c r="E1977" s="2" t="s">
        <v>12</v>
      </c>
      <c r="F1977" s="2">
        <v>991.1</v>
      </c>
      <c r="G1977" s="2">
        <v>274.13</v>
      </c>
      <c r="H1977" s="2" t="s">
        <v>13</v>
      </c>
      <c r="I1977" s="2" t="s">
        <v>29</v>
      </c>
    </row>
    <row r="1978" spans="1:9" x14ac:dyDescent="0.35">
      <c r="A1978" s="2" t="s">
        <v>2015</v>
      </c>
      <c r="B1978" s="3">
        <v>45257</v>
      </c>
      <c r="C1978" s="2" t="s">
        <v>16</v>
      </c>
      <c r="D1978" s="2" t="s">
        <v>33</v>
      </c>
      <c r="E1978" s="2" t="s">
        <v>18</v>
      </c>
      <c r="F1978" s="2">
        <v>532.74</v>
      </c>
      <c r="G1978" s="2">
        <v>50.54</v>
      </c>
      <c r="H1978" s="2" t="s">
        <v>19</v>
      </c>
      <c r="I1978" s="2" t="s">
        <v>29</v>
      </c>
    </row>
    <row r="1979" spans="1:9" x14ac:dyDescent="0.35">
      <c r="A1979" s="2" t="s">
        <v>2016</v>
      </c>
      <c r="B1979" s="3">
        <v>44958</v>
      </c>
      <c r="C1979" s="2" t="s">
        <v>16</v>
      </c>
      <c r="D1979" s="2" t="s">
        <v>23</v>
      </c>
      <c r="E1979" s="2" t="s">
        <v>18</v>
      </c>
      <c r="F1979" s="2">
        <v>1300.02</v>
      </c>
      <c r="G1979" s="2">
        <v>125.38</v>
      </c>
      <c r="H1979" s="2" t="s">
        <v>28</v>
      </c>
      <c r="I1979" s="2" t="s">
        <v>20</v>
      </c>
    </row>
    <row r="1980" spans="1:9" x14ac:dyDescent="0.35">
      <c r="A1980" s="2" t="s">
        <v>2017</v>
      </c>
      <c r="B1980" s="3">
        <v>45025</v>
      </c>
      <c r="C1980" s="2" t="s">
        <v>22</v>
      </c>
      <c r="D1980" s="2" t="s">
        <v>95</v>
      </c>
      <c r="E1980" s="2" t="s">
        <v>18</v>
      </c>
      <c r="F1980" s="2">
        <v>524.63</v>
      </c>
      <c r="G1980" s="2">
        <v>40.869999999999997</v>
      </c>
      <c r="H1980" s="2" t="s">
        <v>19</v>
      </c>
      <c r="I1980" s="2" t="s">
        <v>20</v>
      </c>
    </row>
    <row r="1981" spans="1:9" x14ac:dyDescent="0.35">
      <c r="A1981" s="2" t="s">
        <v>2018</v>
      </c>
      <c r="B1981" s="3">
        <v>44774</v>
      </c>
      <c r="C1981" s="2" t="s">
        <v>25</v>
      </c>
      <c r="D1981" s="2" t="s">
        <v>57</v>
      </c>
      <c r="E1981" s="2" t="s">
        <v>27</v>
      </c>
      <c r="F1981" s="2">
        <v>564.39</v>
      </c>
      <c r="G1981" s="2">
        <v>83.87</v>
      </c>
      <c r="H1981" s="2" t="s">
        <v>28</v>
      </c>
      <c r="I1981" s="2" t="s">
        <v>20</v>
      </c>
    </row>
    <row r="1982" spans="1:9" x14ac:dyDescent="0.35">
      <c r="A1982" s="2" t="s">
        <v>2019</v>
      </c>
      <c r="B1982" s="3">
        <v>45503</v>
      </c>
      <c r="C1982" s="2" t="s">
        <v>25</v>
      </c>
      <c r="D1982" s="2" t="s">
        <v>62</v>
      </c>
      <c r="E1982" s="2" t="s">
        <v>27</v>
      </c>
      <c r="F1982" s="2">
        <v>1815.24</v>
      </c>
      <c r="G1982" s="2">
        <v>353.08</v>
      </c>
      <c r="H1982" s="2" t="s">
        <v>19</v>
      </c>
      <c r="I1982" s="2" t="s">
        <v>20</v>
      </c>
    </row>
    <row r="1983" spans="1:9" x14ac:dyDescent="0.35">
      <c r="A1983" s="2" t="s">
        <v>2020</v>
      </c>
      <c r="B1983" s="3">
        <v>44705</v>
      </c>
      <c r="C1983" s="2" t="s">
        <v>22</v>
      </c>
      <c r="D1983" s="2" t="s">
        <v>97</v>
      </c>
      <c r="E1983" s="2" t="s">
        <v>27</v>
      </c>
      <c r="F1983" s="2">
        <v>1047.1600000000001</v>
      </c>
      <c r="G1983" s="2">
        <v>187.21</v>
      </c>
      <c r="H1983" s="2" t="s">
        <v>19</v>
      </c>
      <c r="I1983" s="2" t="s">
        <v>34</v>
      </c>
    </row>
    <row r="1984" spans="1:9" x14ac:dyDescent="0.35">
      <c r="A1984" s="2" t="s">
        <v>2021</v>
      </c>
      <c r="B1984" s="3">
        <v>45240</v>
      </c>
      <c r="C1984" s="2" t="s">
        <v>10</v>
      </c>
      <c r="D1984" s="2" t="s">
        <v>11</v>
      </c>
      <c r="E1984" s="2" t="s">
        <v>12</v>
      </c>
      <c r="F1984" s="2">
        <v>451.3</v>
      </c>
      <c r="G1984" s="2">
        <v>43.45</v>
      </c>
      <c r="H1984" s="2" t="s">
        <v>13</v>
      </c>
      <c r="I1984" s="2" t="s">
        <v>20</v>
      </c>
    </row>
    <row r="1985" spans="1:9" x14ac:dyDescent="0.35">
      <c r="A1985" s="2" t="s">
        <v>2022</v>
      </c>
      <c r="B1985" s="3">
        <v>44944</v>
      </c>
      <c r="C1985" s="2" t="s">
        <v>16</v>
      </c>
      <c r="D1985" s="2" t="s">
        <v>50</v>
      </c>
      <c r="E1985" s="2" t="s">
        <v>12</v>
      </c>
      <c r="F1985" s="2">
        <v>1576.46</v>
      </c>
      <c r="G1985" s="2">
        <v>428.27</v>
      </c>
      <c r="H1985" s="2" t="s">
        <v>28</v>
      </c>
      <c r="I1985" s="2" t="s">
        <v>14</v>
      </c>
    </row>
    <row r="1986" spans="1:9" x14ac:dyDescent="0.35">
      <c r="A1986" s="2" t="s">
        <v>2023</v>
      </c>
      <c r="B1986" s="3">
        <v>45454</v>
      </c>
      <c r="C1986" s="2" t="s">
        <v>16</v>
      </c>
      <c r="D1986" s="2" t="s">
        <v>23</v>
      </c>
      <c r="E1986" s="2" t="s">
        <v>18</v>
      </c>
      <c r="F1986" s="2">
        <v>1549.16</v>
      </c>
      <c r="G1986" s="2">
        <v>158.91</v>
      </c>
      <c r="H1986" s="2" t="s">
        <v>19</v>
      </c>
      <c r="I1986" s="2" t="s">
        <v>14</v>
      </c>
    </row>
    <row r="1987" spans="1:9" x14ac:dyDescent="0.35">
      <c r="A1987" s="2" t="s">
        <v>2024</v>
      </c>
      <c r="B1987" s="3">
        <v>44787</v>
      </c>
      <c r="C1987" s="2" t="s">
        <v>25</v>
      </c>
      <c r="D1987" s="2" t="s">
        <v>95</v>
      </c>
      <c r="E1987" s="2" t="s">
        <v>18</v>
      </c>
      <c r="F1987" s="2">
        <v>1739.3</v>
      </c>
      <c r="G1987" s="2">
        <v>420.46</v>
      </c>
      <c r="H1987" s="2" t="s">
        <v>28</v>
      </c>
      <c r="I1987" s="2" t="s">
        <v>34</v>
      </c>
    </row>
    <row r="1988" spans="1:9" x14ac:dyDescent="0.35">
      <c r="A1988" s="2" t="s">
        <v>2025</v>
      </c>
      <c r="B1988" s="3">
        <v>44894</v>
      </c>
      <c r="C1988" s="2" t="s">
        <v>22</v>
      </c>
      <c r="D1988" s="2" t="s">
        <v>73</v>
      </c>
      <c r="E1988" s="2" t="s">
        <v>27</v>
      </c>
      <c r="F1988" s="2">
        <v>1364.6</v>
      </c>
      <c r="G1988" s="2">
        <v>194.56</v>
      </c>
      <c r="H1988" s="2" t="s">
        <v>13</v>
      </c>
      <c r="I1988" s="2" t="s">
        <v>29</v>
      </c>
    </row>
    <row r="1989" spans="1:9" x14ac:dyDescent="0.35">
      <c r="A1989" s="2" t="s">
        <v>2026</v>
      </c>
      <c r="B1989" s="3">
        <v>45469</v>
      </c>
      <c r="C1989" s="2" t="s">
        <v>22</v>
      </c>
      <c r="D1989" s="2" t="s">
        <v>26</v>
      </c>
      <c r="E1989" s="2" t="s">
        <v>27</v>
      </c>
      <c r="F1989" s="2">
        <v>1387.5</v>
      </c>
      <c r="G1989" s="2">
        <v>337.47</v>
      </c>
      <c r="H1989" s="2" t="s">
        <v>19</v>
      </c>
      <c r="I1989" s="2" t="s">
        <v>34</v>
      </c>
    </row>
    <row r="1990" spans="1:9" x14ac:dyDescent="0.35">
      <c r="A1990" s="2" t="s">
        <v>2027</v>
      </c>
      <c r="B1990" s="3">
        <v>45562</v>
      </c>
      <c r="C1990" s="2" t="s">
        <v>25</v>
      </c>
      <c r="D1990" s="2" t="s">
        <v>11</v>
      </c>
      <c r="E1990" s="2" t="s">
        <v>12</v>
      </c>
      <c r="F1990" s="2">
        <v>1545.46</v>
      </c>
      <c r="G1990" s="2">
        <v>463.62</v>
      </c>
      <c r="H1990" s="2" t="s">
        <v>28</v>
      </c>
      <c r="I1990" s="2" t="s">
        <v>29</v>
      </c>
    </row>
    <row r="1991" spans="1:9" x14ac:dyDescent="0.35">
      <c r="A1991" s="2" t="s">
        <v>2028</v>
      </c>
      <c r="B1991" s="3">
        <v>45328</v>
      </c>
      <c r="C1991" s="2" t="s">
        <v>25</v>
      </c>
      <c r="D1991" s="2" t="s">
        <v>46</v>
      </c>
      <c r="E1991" s="2" t="s">
        <v>18</v>
      </c>
      <c r="F1991" s="2">
        <v>962.35</v>
      </c>
      <c r="G1991" s="2">
        <v>262.73</v>
      </c>
      <c r="H1991" s="2" t="s">
        <v>13</v>
      </c>
      <c r="I1991" s="2" t="s">
        <v>20</v>
      </c>
    </row>
    <row r="1992" spans="1:9" x14ac:dyDescent="0.35">
      <c r="A1992" s="2" t="s">
        <v>2029</v>
      </c>
      <c r="B1992" s="3">
        <v>45001</v>
      </c>
      <c r="C1992" s="2" t="s">
        <v>22</v>
      </c>
      <c r="D1992" s="2" t="s">
        <v>46</v>
      </c>
      <c r="E1992" s="2" t="s">
        <v>18</v>
      </c>
      <c r="F1992" s="2">
        <v>1538.98</v>
      </c>
      <c r="G1992" s="2">
        <v>298.49</v>
      </c>
      <c r="H1992" s="2" t="s">
        <v>13</v>
      </c>
      <c r="I1992" s="2" t="s">
        <v>14</v>
      </c>
    </row>
    <row r="1993" spans="1:9" x14ac:dyDescent="0.35">
      <c r="A1993" s="2" t="s">
        <v>2030</v>
      </c>
      <c r="B1993" s="3">
        <v>44763</v>
      </c>
      <c r="C1993" s="2" t="s">
        <v>22</v>
      </c>
      <c r="D1993" s="2" t="s">
        <v>11</v>
      </c>
      <c r="E1993" s="2" t="s">
        <v>12</v>
      </c>
      <c r="F1993" s="2">
        <v>655.49</v>
      </c>
      <c r="G1993" s="2">
        <v>158.83000000000001</v>
      </c>
      <c r="H1993" s="2" t="s">
        <v>13</v>
      </c>
      <c r="I1993" s="2" t="s">
        <v>14</v>
      </c>
    </row>
    <row r="1994" spans="1:9" x14ac:dyDescent="0.35">
      <c r="A1994" s="2" t="s">
        <v>2031</v>
      </c>
      <c r="B1994" s="3">
        <v>44580</v>
      </c>
      <c r="C1994" s="2" t="s">
        <v>16</v>
      </c>
      <c r="D1994" s="2" t="s">
        <v>62</v>
      </c>
      <c r="E1994" s="2" t="s">
        <v>27</v>
      </c>
      <c r="F1994" s="2">
        <v>1141.31</v>
      </c>
      <c r="G1994" s="2">
        <v>264.77999999999997</v>
      </c>
      <c r="H1994" s="2" t="s">
        <v>19</v>
      </c>
      <c r="I1994" s="2" t="s">
        <v>29</v>
      </c>
    </row>
    <row r="1995" spans="1:9" x14ac:dyDescent="0.35">
      <c r="A1995" s="2" t="s">
        <v>2032</v>
      </c>
      <c r="B1995" s="3">
        <v>44741</v>
      </c>
      <c r="C1995" s="2" t="s">
        <v>25</v>
      </c>
      <c r="D1995" s="2" t="s">
        <v>46</v>
      </c>
      <c r="E1995" s="2" t="s">
        <v>18</v>
      </c>
      <c r="F1995" s="2">
        <v>175.1</v>
      </c>
      <c r="G1995" s="2">
        <v>19.559999999999999</v>
      </c>
      <c r="H1995" s="2" t="s">
        <v>28</v>
      </c>
      <c r="I1995" s="2" t="s">
        <v>29</v>
      </c>
    </row>
    <row r="1996" spans="1:9" x14ac:dyDescent="0.35">
      <c r="A1996" s="2" t="s">
        <v>2033</v>
      </c>
      <c r="B1996" s="3">
        <v>45408</v>
      </c>
      <c r="C1996" s="2" t="s">
        <v>10</v>
      </c>
      <c r="D1996" s="2" t="s">
        <v>62</v>
      </c>
      <c r="E1996" s="2" t="s">
        <v>27</v>
      </c>
      <c r="F1996" s="2">
        <v>1974.86</v>
      </c>
      <c r="G1996" s="2">
        <v>227.64</v>
      </c>
      <c r="H1996" s="2" t="s">
        <v>19</v>
      </c>
      <c r="I1996" s="2" t="s">
        <v>29</v>
      </c>
    </row>
    <row r="1997" spans="1:9" x14ac:dyDescent="0.35">
      <c r="A1997" s="2" t="s">
        <v>2034</v>
      </c>
      <c r="B1997" s="3">
        <v>45366</v>
      </c>
      <c r="C1997" s="2" t="s">
        <v>16</v>
      </c>
      <c r="D1997" s="2" t="s">
        <v>95</v>
      </c>
      <c r="E1997" s="2" t="s">
        <v>18</v>
      </c>
      <c r="F1997" s="2">
        <v>923.53</v>
      </c>
      <c r="G1997" s="2">
        <v>149.83000000000001</v>
      </c>
      <c r="H1997" s="2" t="s">
        <v>13</v>
      </c>
      <c r="I1997" s="2" t="s">
        <v>14</v>
      </c>
    </row>
    <row r="1998" spans="1:9" x14ac:dyDescent="0.35">
      <c r="A1998" s="2" t="s">
        <v>2035</v>
      </c>
      <c r="B1998" s="3">
        <v>45047</v>
      </c>
      <c r="C1998" s="2" t="s">
        <v>10</v>
      </c>
      <c r="D1998" s="2" t="s">
        <v>33</v>
      </c>
      <c r="E1998" s="2" t="s">
        <v>18</v>
      </c>
      <c r="F1998" s="2">
        <v>903.63</v>
      </c>
      <c r="G1998" s="2">
        <v>255.8</v>
      </c>
      <c r="H1998" s="2" t="s">
        <v>13</v>
      </c>
      <c r="I1998" s="2" t="s">
        <v>20</v>
      </c>
    </row>
    <row r="1999" spans="1:9" x14ac:dyDescent="0.35">
      <c r="A1999" s="2" t="s">
        <v>2036</v>
      </c>
      <c r="B1999" s="3">
        <v>45389</v>
      </c>
      <c r="C1999" s="2" t="s">
        <v>25</v>
      </c>
      <c r="D1999" s="2" t="s">
        <v>62</v>
      </c>
      <c r="E1999" s="2" t="s">
        <v>27</v>
      </c>
      <c r="F1999" s="2">
        <v>1497.4</v>
      </c>
      <c r="G1999" s="2">
        <v>153.57</v>
      </c>
      <c r="H1999" s="2" t="s">
        <v>13</v>
      </c>
      <c r="I1999" s="2" t="s">
        <v>14</v>
      </c>
    </row>
    <row r="2000" spans="1:9" x14ac:dyDescent="0.35">
      <c r="A2000" s="2" t="s">
        <v>2037</v>
      </c>
      <c r="B2000" s="3">
        <v>45458</v>
      </c>
      <c r="C2000" s="2" t="s">
        <v>16</v>
      </c>
      <c r="D2000" s="2" t="s">
        <v>41</v>
      </c>
      <c r="E2000" s="2" t="s">
        <v>12</v>
      </c>
      <c r="F2000" s="2">
        <v>310.52</v>
      </c>
      <c r="G2000" s="2">
        <v>17.07</v>
      </c>
      <c r="H2000" s="2" t="s">
        <v>28</v>
      </c>
      <c r="I2000" s="2" t="s">
        <v>29</v>
      </c>
    </row>
    <row r="2001" spans="1:9" x14ac:dyDescent="0.35">
      <c r="A2001" s="2" t="s">
        <v>2038</v>
      </c>
      <c r="B2001" s="3">
        <v>44688</v>
      </c>
      <c r="C2001" s="2" t="s">
        <v>22</v>
      </c>
      <c r="D2001" s="2" t="s">
        <v>95</v>
      </c>
      <c r="E2001" s="2" t="s">
        <v>18</v>
      </c>
      <c r="F2001" s="2">
        <v>1759.18</v>
      </c>
      <c r="G2001" s="2">
        <v>174.2</v>
      </c>
      <c r="H2001" s="2" t="s">
        <v>19</v>
      </c>
      <c r="I2001" s="2" t="s">
        <v>14</v>
      </c>
    </row>
    <row r="2002" spans="1:9" x14ac:dyDescent="0.35">
      <c r="A2002" s="2" t="s">
        <v>2039</v>
      </c>
      <c r="B2002" s="3">
        <v>44709</v>
      </c>
      <c r="C2002" s="2" t="s">
        <v>22</v>
      </c>
      <c r="D2002" s="2" t="s">
        <v>31</v>
      </c>
      <c r="E2002" s="2" t="s">
        <v>12</v>
      </c>
      <c r="F2002" s="2">
        <v>1214.8499999999999</v>
      </c>
      <c r="G2002" s="2">
        <v>332.58</v>
      </c>
      <c r="H2002" s="2" t="s">
        <v>13</v>
      </c>
      <c r="I2002" s="2" t="s">
        <v>14</v>
      </c>
    </row>
    <row r="2003" spans="1:9" x14ac:dyDescent="0.35">
      <c r="A2003" s="2" t="s">
        <v>2040</v>
      </c>
      <c r="B2003" s="3">
        <v>45069</v>
      </c>
      <c r="C2003" s="2" t="s">
        <v>25</v>
      </c>
      <c r="D2003" s="2" t="s">
        <v>17</v>
      </c>
      <c r="E2003" s="2" t="s">
        <v>18</v>
      </c>
      <c r="F2003" s="2">
        <v>1182.9000000000001</v>
      </c>
      <c r="G2003" s="2">
        <v>268.33999999999997</v>
      </c>
      <c r="H2003" s="2" t="s">
        <v>19</v>
      </c>
      <c r="I2003" s="2" t="s">
        <v>34</v>
      </c>
    </row>
    <row r="2004" spans="1:9" x14ac:dyDescent="0.35">
      <c r="A2004" s="2" t="s">
        <v>2041</v>
      </c>
      <c r="B2004" s="3">
        <v>45595</v>
      </c>
      <c r="C2004" s="2" t="s">
        <v>25</v>
      </c>
      <c r="D2004" s="2" t="s">
        <v>23</v>
      </c>
      <c r="E2004" s="2" t="s">
        <v>18</v>
      </c>
      <c r="F2004" s="2">
        <v>1355.53</v>
      </c>
      <c r="G2004" s="2">
        <v>324.61</v>
      </c>
      <c r="H2004" s="2" t="s">
        <v>19</v>
      </c>
      <c r="I2004" s="2" t="s">
        <v>29</v>
      </c>
    </row>
    <row r="2005" spans="1:9" x14ac:dyDescent="0.35">
      <c r="A2005" s="2" t="s">
        <v>2042</v>
      </c>
      <c r="B2005" s="3">
        <v>45574</v>
      </c>
      <c r="C2005" s="2" t="s">
        <v>16</v>
      </c>
      <c r="D2005" s="2" t="s">
        <v>11</v>
      </c>
      <c r="E2005" s="2" t="s">
        <v>12</v>
      </c>
      <c r="F2005" s="2">
        <v>594.09</v>
      </c>
      <c r="G2005" s="2">
        <v>78.38</v>
      </c>
      <c r="H2005" s="2" t="s">
        <v>19</v>
      </c>
      <c r="I2005" s="2" t="s">
        <v>20</v>
      </c>
    </row>
    <row r="2006" spans="1:9" x14ac:dyDescent="0.35">
      <c r="A2006" s="2" t="s">
        <v>2043</v>
      </c>
      <c r="B2006" s="3">
        <v>45426</v>
      </c>
      <c r="C2006" s="2" t="s">
        <v>25</v>
      </c>
      <c r="D2006" s="2" t="s">
        <v>11</v>
      </c>
      <c r="E2006" s="2" t="s">
        <v>12</v>
      </c>
      <c r="F2006" s="2">
        <v>1754.86</v>
      </c>
      <c r="G2006" s="2">
        <v>365.05</v>
      </c>
      <c r="H2006" s="2" t="s">
        <v>28</v>
      </c>
      <c r="I2006" s="2" t="s">
        <v>20</v>
      </c>
    </row>
    <row r="2007" spans="1:9" x14ac:dyDescent="0.35">
      <c r="A2007" s="2" t="s">
        <v>2044</v>
      </c>
      <c r="B2007" s="3">
        <v>44700</v>
      </c>
      <c r="C2007" s="2" t="s">
        <v>22</v>
      </c>
      <c r="D2007" s="2" t="s">
        <v>97</v>
      </c>
      <c r="E2007" s="2" t="s">
        <v>27</v>
      </c>
      <c r="F2007" s="2">
        <v>1937.21</v>
      </c>
      <c r="G2007" s="2">
        <v>295.86</v>
      </c>
      <c r="H2007" s="2" t="s">
        <v>13</v>
      </c>
      <c r="I2007" s="2" t="s">
        <v>20</v>
      </c>
    </row>
    <row r="2008" spans="1:9" x14ac:dyDescent="0.35">
      <c r="A2008" s="2" t="s">
        <v>2045</v>
      </c>
      <c r="B2008" s="3">
        <v>44707</v>
      </c>
      <c r="C2008" s="2" t="s">
        <v>16</v>
      </c>
      <c r="D2008" s="2" t="s">
        <v>50</v>
      </c>
      <c r="E2008" s="2" t="s">
        <v>12</v>
      </c>
      <c r="F2008" s="2">
        <v>1559.15</v>
      </c>
      <c r="G2008" s="2">
        <v>118.45</v>
      </c>
      <c r="H2008" s="2" t="s">
        <v>28</v>
      </c>
      <c r="I2008" s="2" t="s">
        <v>29</v>
      </c>
    </row>
    <row r="2009" spans="1:9" x14ac:dyDescent="0.35">
      <c r="A2009" s="2" t="s">
        <v>2046</v>
      </c>
      <c r="B2009" s="3">
        <v>45395</v>
      </c>
      <c r="C2009" s="2" t="s">
        <v>16</v>
      </c>
      <c r="D2009" s="2" t="s">
        <v>41</v>
      </c>
      <c r="E2009" s="2" t="s">
        <v>12</v>
      </c>
      <c r="F2009" s="2">
        <v>338.25</v>
      </c>
      <c r="G2009" s="2">
        <v>45.12</v>
      </c>
      <c r="H2009" s="2" t="s">
        <v>19</v>
      </c>
      <c r="I2009" s="2" t="s">
        <v>34</v>
      </c>
    </row>
    <row r="2010" spans="1:9" x14ac:dyDescent="0.35">
      <c r="A2010" s="2" t="s">
        <v>2047</v>
      </c>
      <c r="B2010" s="3">
        <v>44820</v>
      </c>
      <c r="C2010" s="2" t="s">
        <v>10</v>
      </c>
      <c r="D2010" s="2" t="s">
        <v>26</v>
      </c>
      <c r="E2010" s="2" t="s">
        <v>27</v>
      </c>
      <c r="F2010" s="2">
        <v>545.89</v>
      </c>
      <c r="G2010" s="2">
        <v>74.709999999999994</v>
      </c>
      <c r="H2010" s="2" t="s">
        <v>28</v>
      </c>
      <c r="I2010" s="2" t="s">
        <v>14</v>
      </c>
    </row>
    <row r="2011" spans="1:9" x14ac:dyDescent="0.35">
      <c r="A2011" s="2" t="s">
        <v>2048</v>
      </c>
      <c r="B2011" s="3">
        <v>45589</v>
      </c>
      <c r="C2011" s="2" t="s">
        <v>16</v>
      </c>
      <c r="D2011" s="2" t="s">
        <v>33</v>
      </c>
      <c r="E2011" s="2" t="s">
        <v>18</v>
      </c>
      <c r="F2011" s="2">
        <v>51.14</v>
      </c>
      <c r="G2011" s="2">
        <v>5.24</v>
      </c>
      <c r="H2011" s="2" t="s">
        <v>19</v>
      </c>
      <c r="I2011" s="2" t="s">
        <v>34</v>
      </c>
    </row>
    <row r="2012" spans="1:9" x14ac:dyDescent="0.35">
      <c r="A2012" s="2" t="s">
        <v>2049</v>
      </c>
      <c r="B2012" s="3">
        <v>45420</v>
      </c>
      <c r="C2012" s="2" t="s">
        <v>16</v>
      </c>
      <c r="D2012" s="2" t="s">
        <v>38</v>
      </c>
      <c r="E2012" s="2" t="s">
        <v>12</v>
      </c>
      <c r="F2012" s="2">
        <v>1347.79</v>
      </c>
      <c r="G2012" s="2">
        <v>255.21</v>
      </c>
      <c r="H2012" s="2" t="s">
        <v>19</v>
      </c>
      <c r="I2012" s="2" t="s">
        <v>29</v>
      </c>
    </row>
    <row r="2013" spans="1:9" x14ac:dyDescent="0.35">
      <c r="A2013" s="2" t="s">
        <v>2050</v>
      </c>
      <c r="B2013" s="3">
        <v>45370</v>
      </c>
      <c r="C2013" s="2" t="s">
        <v>22</v>
      </c>
      <c r="D2013" s="2" t="s">
        <v>41</v>
      </c>
      <c r="E2013" s="2" t="s">
        <v>12</v>
      </c>
      <c r="F2013" s="2">
        <v>1901.48</v>
      </c>
      <c r="G2013" s="2">
        <v>567.21</v>
      </c>
      <c r="H2013" s="2" t="s">
        <v>13</v>
      </c>
      <c r="I2013" s="2" t="s">
        <v>14</v>
      </c>
    </row>
    <row r="2014" spans="1:9" x14ac:dyDescent="0.35">
      <c r="A2014" s="2" t="s">
        <v>2051</v>
      </c>
      <c r="B2014" s="3">
        <v>45222</v>
      </c>
      <c r="C2014" s="2" t="s">
        <v>16</v>
      </c>
      <c r="D2014" s="2" t="s">
        <v>23</v>
      </c>
      <c r="E2014" s="2" t="s">
        <v>18</v>
      </c>
      <c r="F2014" s="2">
        <v>337.89</v>
      </c>
      <c r="G2014" s="2">
        <v>49.69</v>
      </c>
      <c r="H2014" s="2" t="s">
        <v>19</v>
      </c>
      <c r="I2014" s="2" t="s">
        <v>29</v>
      </c>
    </row>
    <row r="2015" spans="1:9" x14ac:dyDescent="0.35">
      <c r="A2015" s="2" t="s">
        <v>2052</v>
      </c>
      <c r="B2015" s="3">
        <v>45270</v>
      </c>
      <c r="C2015" s="2" t="s">
        <v>16</v>
      </c>
      <c r="D2015" s="2" t="s">
        <v>17</v>
      </c>
      <c r="E2015" s="2" t="s">
        <v>18</v>
      </c>
      <c r="F2015" s="2">
        <v>426.21</v>
      </c>
      <c r="G2015" s="2">
        <v>72.680000000000007</v>
      </c>
      <c r="H2015" s="2" t="s">
        <v>19</v>
      </c>
      <c r="I2015" s="2" t="s">
        <v>34</v>
      </c>
    </row>
    <row r="2016" spans="1:9" x14ac:dyDescent="0.35">
      <c r="A2016" s="2" t="s">
        <v>2053</v>
      </c>
      <c r="B2016" s="3">
        <v>45357</v>
      </c>
      <c r="C2016" s="2" t="s">
        <v>25</v>
      </c>
      <c r="D2016" s="2" t="s">
        <v>95</v>
      </c>
      <c r="E2016" s="2" t="s">
        <v>18</v>
      </c>
      <c r="F2016" s="2">
        <v>1512.47</v>
      </c>
      <c r="G2016" s="2">
        <v>363.63</v>
      </c>
      <c r="H2016" s="2" t="s">
        <v>13</v>
      </c>
      <c r="I2016" s="2" t="s">
        <v>14</v>
      </c>
    </row>
    <row r="2017" spans="1:9" x14ac:dyDescent="0.35">
      <c r="A2017" s="2" t="s">
        <v>2054</v>
      </c>
      <c r="B2017" s="3">
        <v>44579</v>
      </c>
      <c r="C2017" s="2" t="s">
        <v>10</v>
      </c>
      <c r="D2017" s="2" t="s">
        <v>95</v>
      </c>
      <c r="E2017" s="2" t="s">
        <v>18</v>
      </c>
      <c r="F2017" s="2">
        <v>336.21</v>
      </c>
      <c r="G2017" s="2">
        <v>75.290000000000006</v>
      </c>
      <c r="H2017" s="2" t="s">
        <v>19</v>
      </c>
      <c r="I2017" s="2" t="s">
        <v>34</v>
      </c>
    </row>
    <row r="2018" spans="1:9" x14ac:dyDescent="0.35">
      <c r="A2018" s="2" t="s">
        <v>2055</v>
      </c>
      <c r="B2018" s="3">
        <v>45602</v>
      </c>
      <c r="C2018" s="2" t="s">
        <v>25</v>
      </c>
      <c r="D2018" s="2" t="s">
        <v>73</v>
      </c>
      <c r="E2018" s="2" t="s">
        <v>27</v>
      </c>
      <c r="F2018" s="2">
        <v>733.12</v>
      </c>
      <c r="G2018" s="2">
        <v>56.37</v>
      </c>
      <c r="H2018" s="2" t="s">
        <v>13</v>
      </c>
      <c r="I2018" s="2" t="s">
        <v>14</v>
      </c>
    </row>
    <row r="2019" spans="1:9" x14ac:dyDescent="0.35">
      <c r="A2019" s="2" t="s">
        <v>2056</v>
      </c>
      <c r="B2019" s="3">
        <v>45451</v>
      </c>
      <c r="C2019" s="2" t="s">
        <v>25</v>
      </c>
      <c r="D2019" s="2" t="s">
        <v>95</v>
      </c>
      <c r="E2019" s="2" t="s">
        <v>18</v>
      </c>
      <c r="F2019" s="2">
        <v>294.05</v>
      </c>
      <c r="G2019" s="2">
        <v>61.06</v>
      </c>
      <c r="H2019" s="2" t="s">
        <v>13</v>
      </c>
      <c r="I2019" s="2" t="s">
        <v>20</v>
      </c>
    </row>
    <row r="2020" spans="1:9" x14ac:dyDescent="0.35">
      <c r="A2020" s="2" t="s">
        <v>2057</v>
      </c>
      <c r="B2020" s="3">
        <v>45291</v>
      </c>
      <c r="C2020" s="2" t="s">
        <v>10</v>
      </c>
      <c r="D2020" s="2" t="s">
        <v>11</v>
      </c>
      <c r="E2020" s="2" t="s">
        <v>12</v>
      </c>
      <c r="F2020" s="2">
        <v>1367.54</v>
      </c>
      <c r="G2020" s="2">
        <v>71.180000000000007</v>
      </c>
      <c r="H2020" s="2" t="s">
        <v>28</v>
      </c>
      <c r="I2020" s="2" t="s">
        <v>20</v>
      </c>
    </row>
    <row r="2021" spans="1:9" x14ac:dyDescent="0.35">
      <c r="A2021" s="2" t="s">
        <v>2058</v>
      </c>
      <c r="B2021" s="3">
        <v>45312</v>
      </c>
      <c r="C2021" s="2" t="s">
        <v>16</v>
      </c>
      <c r="D2021" s="2" t="s">
        <v>46</v>
      </c>
      <c r="E2021" s="2" t="s">
        <v>18</v>
      </c>
      <c r="F2021" s="2">
        <v>1911.04</v>
      </c>
      <c r="G2021" s="2">
        <v>422.08</v>
      </c>
      <c r="H2021" s="2" t="s">
        <v>13</v>
      </c>
      <c r="I2021" s="2" t="s">
        <v>14</v>
      </c>
    </row>
    <row r="2022" spans="1:9" x14ac:dyDescent="0.35">
      <c r="A2022" s="2" t="s">
        <v>2059</v>
      </c>
      <c r="B2022" s="3">
        <v>44742</v>
      </c>
      <c r="C2022" s="2" t="s">
        <v>25</v>
      </c>
      <c r="D2022" s="2" t="s">
        <v>73</v>
      </c>
      <c r="E2022" s="2" t="s">
        <v>27</v>
      </c>
      <c r="F2022" s="2">
        <v>1216.8499999999999</v>
      </c>
      <c r="G2022" s="2">
        <v>86.5</v>
      </c>
      <c r="H2022" s="2" t="s">
        <v>28</v>
      </c>
      <c r="I2022" s="2" t="s">
        <v>20</v>
      </c>
    </row>
    <row r="2023" spans="1:9" x14ac:dyDescent="0.35">
      <c r="A2023" s="2" t="s">
        <v>2060</v>
      </c>
      <c r="B2023" s="3">
        <v>45104</v>
      </c>
      <c r="C2023" s="2" t="s">
        <v>16</v>
      </c>
      <c r="D2023" s="2" t="s">
        <v>62</v>
      </c>
      <c r="E2023" s="2" t="s">
        <v>27</v>
      </c>
      <c r="F2023" s="2">
        <v>1409.91</v>
      </c>
      <c r="G2023" s="2">
        <v>362.42</v>
      </c>
      <c r="H2023" s="2" t="s">
        <v>13</v>
      </c>
      <c r="I2023" s="2" t="s">
        <v>20</v>
      </c>
    </row>
    <row r="2024" spans="1:9" x14ac:dyDescent="0.35">
      <c r="A2024" s="2" t="s">
        <v>2061</v>
      </c>
      <c r="B2024" s="3">
        <v>44858</v>
      </c>
      <c r="C2024" s="2" t="s">
        <v>22</v>
      </c>
      <c r="D2024" s="2" t="s">
        <v>46</v>
      </c>
      <c r="E2024" s="2" t="s">
        <v>18</v>
      </c>
      <c r="F2024" s="2">
        <v>657.29</v>
      </c>
      <c r="G2024" s="2">
        <v>147.94</v>
      </c>
      <c r="H2024" s="2" t="s">
        <v>19</v>
      </c>
      <c r="I2024" s="2" t="s">
        <v>20</v>
      </c>
    </row>
    <row r="2025" spans="1:9" x14ac:dyDescent="0.35">
      <c r="A2025" s="2" t="s">
        <v>2062</v>
      </c>
      <c r="B2025" s="3">
        <v>44766</v>
      </c>
      <c r="C2025" s="2" t="s">
        <v>22</v>
      </c>
      <c r="D2025" s="2" t="s">
        <v>41</v>
      </c>
      <c r="E2025" s="2" t="s">
        <v>12</v>
      </c>
      <c r="F2025" s="2">
        <v>521.05999999999995</v>
      </c>
      <c r="G2025" s="2">
        <v>45.05</v>
      </c>
      <c r="H2025" s="2" t="s">
        <v>13</v>
      </c>
      <c r="I2025" s="2" t="s">
        <v>14</v>
      </c>
    </row>
    <row r="2026" spans="1:9" x14ac:dyDescent="0.35">
      <c r="A2026" s="2" t="s">
        <v>2063</v>
      </c>
      <c r="B2026" s="3">
        <v>45281</v>
      </c>
      <c r="C2026" s="2" t="s">
        <v>25</v>
      </c>
      <c r="D2026" s="2" t="s">
        <v>62</v>
      </c>
      <c r="E2026" s="2" t="s">
        <v>27</v>
      </c>
      <c r="F2026" s="2">
        <v>1696.93</v>
      </c>
      <c r="G2026" s="2">
        <v>287.95</v>
      </c>
      <c r="H2026" s="2" t="s">
        <v>13</v>
      </c>
      <c r="I2026" s="2" t="s">
        <v>14</v>
      </c>
    </row>
    <row r="2027" spans="1:9" x14ac:dyDescent="0.35">
      <c r="A2027" s="2" t="s">
        <v>2064</v>
      </c>
      <c r="B2027" s="3">
        <v>45643</v>
      </c>
      <c r="C2027" s="2" t="s">
        <v>16</v>
      </c>
      <c r="D2027" s="2" t="s">
        <v>62</v>
      </c>
      <c r="E2027" s="2" t="s">
        <v>27</v>
      </c>
      <c r="F2027" s="2">
        <v>1245.27</v>
      </c>
      <c r="G2027" s="2">
        <v>331.44</v>
      </c>
      <c r="H2027" s="2" t="s">
        <v>19</v>
      </c>
      <c r="I2027" s="2" t="s">
        <v>20</v>
      </c>
    </row>
    <row r="2028" spans="1:9" x14ac:dyDescent="0.35">
      <c r="A2028" s="2" t="s">
        <v>2065</v>
      </c>
      <c r="B2028" s="3">
        <v>44843</v>
      </c>
      <c r="C2028" s="2" t="s">
        <v>25</v>
      </c>
      <c r="D2028" s="2" t="s">
        <v>38</v>
      </c>
      <c r="E2028" s="2" t="s">
        <v>12</v>
      </c>
      <c r="F2028" s="2">
        <v>339.35</v>
      </c>
      <c r="G2028" s="2">
        <v>60.01</v>
      </c>
      <c r="H2028" s="2" t="s">
        <v>13</v>
      </c>
      <c r="I2028" s="2" t="s">
        <v>29</v>
      </c>
    </row>
    <row r="2029" spans="1:9" x14ac:dyDescent="0.35">
      <c r="A2029" s="2" t="s">
        <v>2066</v>
      </c>
      <c r="B2029" s="3">
        <v>45567</v>
      </c>
      <c r="C2029" s="2" t="s">
        <v>16</v>
      </c>
      <c r="D2029" s="2" t="s">
        <v>95</v>
      </c>
      <c r="E2029" s="2" t="s">
        <v>18</v>
      </c>
      <c r="F2029" s="2">
        <v>535.64</v>
      </c>
      <c r="G2029" s="2">
        <v>33.99</v>
      </c>
      <c r="H2029" s="2" t="s">
        <v>28</v>
      </c>
      <c r="I2029" s="2" t="s">
        <v>14</v>
      </c>
    </row>
    <row r="2030" spans="1:9" x14ac:dyDescent="0.35">
      <c r="A2030" s="2" t="s">
        <v>2067</v>
      </c>
      <c r="B2030" s="3">
        <v>45587</v>
      </c>
      <c r="C2030" s="2" t="s">
        <v>22</v>
      </c>
      <c r="D2030" s="2" t="s">
        <v>17</v>
      </c>
      <c r="E2030" s="2" t="s">
        <v>18</v>
      </c>
      <c r="F2030" s="2">
        <v>904.81</v>
      </c>
      <c r="G2030" s="2">
        <v>200.18</v>
      </c>
      <c r="H2030" s="2" t="s">
        <v>28</v>
      </c>
      <c r="I2030" s="2" t="s">
        <v>29</v>
      </c>
    </row>
    <row r="2031" spans="1:9" x14ac:dyDescent="0.35">
      <c r="A2031" s="2" t="s">
        <v>2068</v>
      </c>
      <c r="B2031" s="3">
        <v>44722</v>
      </c>
      <c r="C2031" s="2" t="s">
        <v>10</v>
      </c>
      <c r="D2031" s="2" t="s">
        <v>31</v>
      </c>
      <c r="E2031" s="2" t="s">
        <v>12</v>
      </c>
      <c r="F2031" s="2">
        <v>69.849999999999994</v>
      </c>
      <c r="G2031" s="2">
        <v>13.9</v>
      </c>
      <c r="H2031" s="2" t="s">
        <v>28</v>
      </c>
      <c r="I2031" s="2" t="s">
        <v>29</v>
      </c>
    </row>
    <row r="2032" spans="1:9" x14ac:dyDescent="0.35">
      <c r="A2032" s="2" t="s">
        <v>2069</v>
      </c>
      <c r="B2032" s="3">
        <v>45282</v>
      </c>
      <c r="C2032" s="2" t="s">
        <v>22</v>
      </c>
      <c r="D2032" s="2" t="s">
        <v>95</v>
      </c>
      <c r="E2032" s="2" t="s">
        <v>18</v>
      </c>
      <c r="F2032" s="2">
        <v>844.94</v>
      </c>
      <c r="G2032" s="2">
        <v>152.93</v>
      </c>
      <c r="H2032" s="2" t="s">
        <v>19</v>
      </c>
      <c r="I2032" s="2" t="s">
        <v>34</v>
      </c>
    </row>
    <row r="2033" spans="1:9" x14ac:dyDescent="0.35">
      <c r="A2033" s="2" t="s">
        <v>2070</v>
      </c>
      <c r="B2033" s="3">
        <v>45084</v>
      </c>
      <c r="C2033" s="2" t="s">
        <v>25</v>
      </c>
      <c r="D2033" s="2" t="s">
        <v>73</v>
      </c>
      <c r="E2033" s="2" t="s">
        <v>27</v>
      </c>
      <c r="F2033" s="2">
        <v>1488.85</v>
      </c>
      <c r="G2033" s="2">
        <v>214.25</v>
      </c>
      <c r="H2033" s="2" t="s">
        <v>28</v>
      </c>
      <c r="I2033" s="2" t="s">
        <v>34</v>
      </c>
    </row>
    <row r="2034" spans="1:9" x14ac:dyDescent="0.35">
      <c r="A2034" s="2" t="s">
        <v>2071</v>
      </c>
      <c r="B2034" s="3">
        <v>44607</v>
      </c>
      <c r="C2034" s="2" t="s">
        <v>16</v>
      </c>
      <c r="D2034" s="2" t="s">
        <v>31</v>
      </c>
      <c r="E2034" s="2" t="s">
        <v>12</v>
      </c>
      <c r="F2034" s="2">
        <v>451.71</v>
      </c>
      <c r="G2034" s="2">
        <v>56.03</v>
      </c>
      <c r="H2034" s="2" t="s">
        <v>13</v>
      </c>
      <c r="I2034" s="2" t="s">
        <v>14</v>
      </c>
    </row>
    <row r="2035" spans="1:9" x14ac:dyDescent="0.35">
      <c r="A2035" s="2" t="s">
        <v>2072</v>
      </c>
      <c r="B2035" s="3">
        <v>45303</v>
      </c>
      <c r="C2035" s="2" t="s">
        <v>16</v>
      </c>
      <c r="D2035" s="2" t="s">
        <v>97</v>
      </c>
      <c r="E2035" s="2" t="s">
        <v>27</v>
      </c>
      <c r="F2035" s="2">
        <v>1834.93</v>
      </c>
      <c r="G2035" s="2">
        <v>500.31</v>
      </c>
      <c r="H2035" s="2" t="s">
        <v>28</v>
      </c>
      <c r="I2035" s="2" t="s">
        <v>29</v>
      </c>
    </row>
    <row r="2036" spans="1:9" x14ac:dyDescent="0.35">
      <c r="A2036" s="2" t="s">
        <v>2073</v>
      </c>
      <c r="B2036" s="3">
        <v>45394</v>
      </c>
      <c r="C2036" s="2" t="s">
        <v>16</v>
      </c>
      <c r="D2036" s="2" t="s">
        <v>26</v>
      </c>
      <c r="E2036" s="2" t="s">
        <v>27</v>
      </c>
      <c r="F2036" s="2">
        <v>342.58</v>
      </c>
      <c r="G2036" s="2">
        <v>33.36</v>
      </c>
      <c r="H2036" s="2" t="s">
        <v>28</v>
      </c>
      <c r="I2036" s="2" t="s">
        <v>20</v>
      </c>
    </row>
    <row r="2037" spans="1:9" x14ac:dyDescent="0.35">
      <c r="A2037" s="2" t="s">
        <v>2074</v>
      </c>
      <c r="B2037" s="3">
        <v>45410</v>
      </c>
      <c r="C2037" s="2" t="s">
        <v>25</v>
      </c>
      <c r="D2037" s="2" t="s">
        <v>41</v>
      </c>
      <c r="E2037" s="2" t="s">
        <v>12</v>
      </c>
      <c r="F2037" s="2">
        <v>403.31</v>
      </c>
      <c r="G2037" s="2">
        <v>93.47</v>
      </c>
      <c r="H2037" s="2" t="s">
        <v>28</v>
      </c>
      <c r="I2037" s="2" t="s">
        <v>14</v>
      </c>
    </row>
    <row r="2038" spans="1:9" x14ac:dyDescent="0.35">
      <c r="A2038" s="2" t="s">
        <v>2075</v>
      </c>
      <c r="B2038" s="3">
        <v>44708</v>
      </c>
      <c r="C2038" s="2" t="s">
        <v>25</v>
      </c>
      <c r="D2038" s="2" t="s">
        <v>50</v>
      </c>
      <c r="E2038" s="2" t="s">
        <v>12</v>
      </c>
      <c r="F2038" s="2">
        <v>364.64</v>
      </c>
      <c r="G2038" s="2">
        <v>105.08</v>
      </c>
      <c r="H2038" s="2" t="s">
        <v>13</v>
      </c>
      <c r="I2038" s="2" t="s">
        <v>14</v>
      </c>
    </row>
    <row r="2039" spans="1:9" x14ac:dyDescent="0.35">
      <c r="A2039" s="2" t="s">
        <v>2076</v>
      </c>
      <c r="B2039" s="3">
        <v>45446</v>
      </c>
      <c r="C2039" s="2" t="s">
        <v>16</v>
      </c>
      <c r="D2039" s="2" t="s">
        <v>95</v>
      </c>
      <c r="E2039" s="2" t="s">
        <v>18</v>
      </c>
      <c r="F2039" s="2">
        <v>862.99</v>
      </c>
      <c r="G2039" s="2">
        <v>63.88</v>
      </c>
      <c r="H2039" s="2" t="s">
        <v>13</v>
      </c>
      <c r="I2039" s="2" t="s">
        <v>14</v>
      </c>
    </row>
    <row r="2040" spans="1:9" x14ac:dyDescent="0.35">
      <c r="A2040" s="2" t="s">
        <v>2077</v>
      </c>
      <c r="B2040" s="3">
        <v>45254</v>
      </c>
      <c r="C2040" s="2" t="s">
        <v>22</v>
      </c>
      <c r="D2040" s="2" t="s">
        <v>11</v>
      </c>
      <c r="E2040" s="2" t="s">
        <v>12</v>
      </c>
      <c r="F2040" s="2">
        <v>1489.67</v>
      </c>
      <c r="G2040" s="2">
        <v>414.11</v>
      </c>
      <c r="H2040" s="2" t="s">
        <v>13</v>
      </c>
      <c r="I2040" s="2" t="s">
        <v>14</v>
      </c>
    </row>
    <row r="2041" spans="1:9" x14ac:dyDescent="0.35">
      <c r="A2041" s="2" t="s">
        <v>2078</v>
      </c>
      <c r="B2041" s="3">
        <v>45182</v>
      </c>
      <c r="C2041" s="2" t="s">
        <v>25</v>
      </c>
      <c r="D2041" s="2" t="s">
        <v>33</v>
      </c>
      <c r="E2041" s="2" t="s">
        <v>18</v>
      </c>
      <c r="F2041" s="2">
        <v>715.74</v>
      </c>
      <c r="G2041" s="2">
        <v>102.46</v>
      </c>
      <c r="H2041" s="2" t="s">
        <v>28</v>
      </c>
      <c r="I2041" s="2" t="s">
        <v>14</v>
      </c>
    </row>
    <row r="2042" spans="1:9" x14ac:dyDescent="0.35">
      <c r="A2042" s="2" t="s">
        <v>2079</v>
      </c>
      <c r="B2042" s="3">
        <v>44934</v>
      </c>
      <c r="C2042" s="2" t="s">
        <v>25</v>
      </c>
      <c r="D2042" s="2" t="s">
        <v>73</v>
      </c>
      <c r="E2042" s="2" t="s">
        <v>27</v>
      </c>
      <c r="F2042" s="2">
        <v>1895.24</v>
      </c>
      <c r="G2042" s="2">
        <v>476.97</v>
      </c>
      <c r="H2042" s="2" t="s">
        <v>28</v>
      </c>
      <c r="I2042" s="2" t="s">
        <v>29</v>
      </c>
    </row>
    <row r="2043" spans="1:9" x14ac:dyDescent="0.35">
      <c r="A2043" s="2" t="s">
        <v>2080</v>
      </c>
      <c r="B2043" s="3">
        <v>45364</v>
      </c>
      <c r="C2043" s="2" t="s">
        <v>22</v>
      </c>
      <c r="D2043" s="2" t="s">
        <v>73</v>
      </c>
      <c r="E2043" s="2" t="s">
        <v>27</v>
      </c>
      <c r="F2043" s="2">
        <v>1894.44</v>
      </c>
      <c r="G2043" s="2">
        <v>437.86</v>
      </c>
      <c r="H2043" s="2" t="s">
        <v>19</v>
      </c>
      <c r="I2043" s="2" t="s">
        <v>20</v>
      </c>
    </row>
    <row r="2044" spans="1:9" x14ac:dyDescent="0.35">
      <c r="A2044" s="2" t="s">
        <v>2081</v>
      </c>
      <c r="B2044" s="3">
        <v>45531</v>
      </c>
      <c r="C2044" s="2" t="s">
        <v>25</v>
      </c>
      <c r="D2044" s="2" t="s">
        <v>31</v>
      </c>
      <c r="E2044" s="2" t="s">
        <v>12</v>
      </c>
      <c r="F2044" s="2">
        <v>1385.24</v>
      </c>
      <c r="G2044" s="2">
        <v>269.36</v>
      </c>
      <c r="H2044" s="2" t="s">
        <v>19</v>
      </c>
      <c r="I2044" s="2" t="s">
        <v>14</v>
      </c>
    </row>
    <row r="2045" spans="1:9" x14ac:dyDescent="0.35">
      <c r="A2045" s="2" t="s">
        <v>2082</v>
      </c>
      <c r="B2045" s="3">
        <v>44912</v>
      </c>
      <c r="C2045" s="2" t="s">
        <v>22</v>
      </c>
      <c r="D2045" s="2" t="s">
        <v>57</v>
      </c>
      <c r="E2045" s="2" t="s">
        <v>27</v>
      </c>
      <c r="F2045" s="2">
        <v>168.15</v>
      </c>
      <c r="G2045" s="2">
        <v>9</v>
      </c>
      <c r="H2045" s="2" t="s">
        <v>28</v>
      </c>
      <c r="I2045" s="2" t="s">
        <v>20</v>
      </c>
    </row>
    <row r="2046" spans="1:9" x14ac:dyDescent="0.35">
      <c r="A2046" s="2" t="s">
        <v>2083</v>
      </c>
      <c r="B2046" s="3">
        <v>45118</v>
      </c>
      <c r="C2046" s="2" t="s">
        <v>22</v>
      </c>
      <c r="D2046" s="2" t="s">
        <v>73</v>
      </c>
      <c r="E2046" s="2" t="s">
        <v>27</v>
      </c>
      <c r="F2046" s="2">
        <v>1153.42</v>
      </c>
      <c r="G2046" s="2">
        <v>338.15</v>
      </c>
      <c r="H2046" s="2" t="s">
        <v>19</v>
      </c>
      <c r="I2046" s="2" t="s">
        <v>14</v>
      </c>
    </row>
    <row r="2047" spans="1:9" x14ac:dyDescent="0.35">
      <c r="A2047" s="2" t="s">
        <v>2084</v>
      </c>
      <c r="B2047" s="3">
        <v>45142</v>
      </c>
      <c r="C2047" s="2" t="s">
        <v>10</v>
      </c>
      <c r="D2047" s="2" t="s">
        <v>50</v>
      </c>
      <c r="E2047" s="2" t="s">
        <v>12</v>
      </c>
      <c r="F2047" s="2">
        <v>1377.91</v>
      </c>
      <c r="G2047" s="2">
        <v>220.78</v>
      </c>
      <c r="H2047" s="2" t="s">
        <v>19</v>
      </c>
      <c r="I2047" s="2" t="s">
        <v>14</v>
      </c>
    </row>
    <row r="2048" spans="1:9" x14ac:dyDescent="0.35">
      <c r="A2048" s="2" t="s">
        <v>2085</v>
      </c>
      <c r="B2048" s="3">
        <v>44677</v>
      </c>
      <c r="C2048" s="2" t="s">
        <v>25</v>
      </c>
      <c r="D2048" s="2" t="s">
        <v>23</v>
      </c>
      <c r="E2048" s="2" t="s">
        <v>18</v>
      </c>
      <c r="F2048" s="2">
        <v>446.78</v>
      </c>
      <c r="G2048" s="2">
        <v>63.71</v>
      </c>
      <c r="H2048" s="2" t="s">
        <v>19</v>
      </c>
      <c r="I2048" s="2" t="s">
        <v>14</v>
      </c>
    </row>
    <row r="2049" spans="1:9" x14ac:dyDescent="0.35">
      <c r="A2049" s="2" t="s">
        <v>2086</v>
      </c>
      <c r="B2049" s="3">
        <v>45030</v>
      </c>
      <c r="C2049" s="2" t="s">
        <v>10</v>
      </c>
      <c r="D2049" s="2" t="s">
        <v>46</v>
      </c>
      <c r="E2049" s="2" t="s">
        <v>18</v>
      </c>
      <c r="F2049" s="2">
        <v>1016.96</v>
      </c>
      <c r="G2049" s="2">
        <v>65.7</v>
      </c>
      <c r="H2049" s="2" t="s">
        <v>13</v>
      </c>
      <c r="I2049" s="2" t="s">
        <v>14</v>
      </c>
    </row>
    <row r="2050" spans="1:9" x14ac:dyDescent="0.35">
      <c r="A2050" s="2" t="s">
        <v>2087</v>
      </c>
      <c r="B2050" s="3">
        <v>45474</v>
      </c>
      <c r="C2050" s="2" t="s">
        <v>16</v>
      </c>
      <c r="D2050" s="2" t="s">
        <v>11</v>
      </c>
      <c r="E2050" s="2" t="s">
        <v>12</v>
      </c>
      <c r="F2050" s="2">
        <v>567.95000000000005</v>
      </c>
      <c r="G2050" s="2">
        <v>74.75</v>
      </c>
      <c r="H2050" s="2" t="s">
        <v>28</v>
      </c>
      <c r="I2050" s="2" t="s">
        <v>29</v>
      </c>
    </row>
    <row r="2051" spans="1:9" x14ac:dyDescent="0.35">
      <c r="A2051" s="2" t="s">
        <v>2088</v>
      </c>
      <c r="B2051" s="3">
        <v>45396</v>
      </c>
      <c r="C2051" s="2" t="s">
        <v>16</v>
      </c>
      <c r="D2051" s="2" t="s">
        <v>41</v>
      </c>
      <c r="E2051" s="2" t="s">
        <v>12</v>
      </c>
      <c r="F2051" s="2">
        <v>72.489999999999995</v>
      </c>
      <c r="G2051" s="2">
        <v>6.87</v>
      </c>
      <c r="H2051" s="2" t="s">
        <v>28</v>
      </c>
      <c r="I2051" s="2" t="s">
        <v>34</v>
      </c>
    </row>
    <row r="2052" spans="1:9" x14ac:dyDescent="0.35">
      <c r="A2052" s="2" t="s">
        <v>2089</v>
      </c>
      <c r="B2052" s="3">
        <v>44971</v>
      </c>
      <c r="C2052" s="2" t="s">
        <v>16</v>
      </c>
      <c r="D2052" s="2" t="s">
        <v>41</v>
      </c>
      <c r="E2052" s="2" t="s">
        <v>12</v>
      </c>
      <c r="F2052" s="2">
        <v>631.53</v>
      </c>
      <c r="G2052" s="2">
        <v>110.17</v>
      </c>
      <c r="H2052" s="2" t="s">
        <v>19</v>
      </c>
      <c r="I2052" s="2" t="s">
        <v>20</v>
      </c>
    </row>
    <row r="2053" spans="1:9" x14ac:dyDescent="0.35">
      <c r="A2053" s="2" t="s">
        <v>2090</v>
      </c>
      <c r="B2053" s="3">
        <v>44787</v>
      </c>
      <c r="C2053" s="2" t="s">
        <v>22</v>
      </c>
      <c r="D2053" s="2" t="s">
        <v>73</v>
      </c>
      <c r="E2053" s="2" t="s">
        <v>27</v>
      </c>
      <c r="F2053" s="2">
        <v>155.80000000000001</v>
      </c>
      <c r="G2053" s="2">
        <v>44.17</v>
      </c>
      <c r="H2053" s="2" t="s">
        <v>19</v>
      </c>
      <c r="I2053" s="2" t="s">
        <v>34</v>
      </c>
    </row>
    <row r="2054" spans="1:9" x14ac:dyDescent="0.35">
      <c r="A2054" s="2" t="s">
        <v>2091</v>
      </c>
      <c r="B2054" s="3">
        <v>44944</v>
      </c>
      <c r="C2054" s="2" t="s">
        <v>16</v>
      </c>
      <c r="D2054" s="2" t="s">
        <v>41</v>
      </c>
      <c r="E2054" s="2" t="s">
        <v>12</v>
      </c>
      <c r="F2054" s="2">
        <v>1799.4</v>
      </c>
      <c r="G2054" s="2">
        <v>439.33</v>
      </c>
      <c r="H2054" s="2" t="s">
        <v>28</v>
      </c>
      <c r="I2054" s="2" t="s">
        <v>14</v>
      </c>
    </row>
    <row r="2055" spans="1:9" x14ac:dyDescent="0.35">
      <c r="A2055" s="2" t="s">
        <v>2092</v>
      </c>
      <c r="B2055" s="3">
        <v>45523</v>
      </c>
      <c r="C2055" s="2" t="s">
        <v>10</v>
      </c>
      <c r="D2055" s="2" t="s">
        <v>23</v>
      </c>
      <c r="E2055" s="2" t="s">
        <v>18</v>
      </c>
      <c r="F2055" s="2">
        <v>956</v>
      </c>
      <c r="G2055" s="2">
        <v>270.29000000000002</v>
      </c>
      <c r="H2055" s="2" t="s">
        <v>19</v>
      </c>
      <c r="I2055" s="2" t="s">
        <v>20</v>
      </c>
    </row>
    <row r="2056" spans="1:9" x14ac:dyDescent="0.35">
      <c r="A2056" s="2" t="s">
        <v>2093</v>
      </c>
      <c r="B2056" s="3">
        <v>45327</v>
      </c>
      <c r="C2056" s="2" t="s">
        <v>16</v>
      </c>
      <c r="D2056" s="2" t="s">
        <v>31</v>
      </c>
      <c r="E2056" s="2" t="s">
        <v>12</v>
      </c>
      <c r="F2056" s="2">
        <v>1695.44</v>
      </c>
      <c r="G2056" s="2">
        <v>434.17</v>
      </c>
      <c r="H2056" s="2" t="s">
        <v>19</v>
      </c>
      <c r="I2056" s="2" t="s">
        <v>20</v>
      </c>
    </row>
    <row r="2057" spans="1:9" x14ac:dyDescent="0.35">
      <c r="A2057" s="2" t="s">
        <v>2094</v>
      </c>
      <c r="B2057" s="3">
        <v>45395</v>
      </c>
      <c r="C2057" s="2" t="s">
        <v>22</v>
      </c>
      <c r="D2057" s="2" t="s">
        <v>97</v>
      </c>
      <c r="E2057" s="2" t="s">
        <v>27</v>
      </c>
      <c r="F2057" s="2">
        <v>1160.56</v>
      </c>
      <c r="G2057" s="2">
        <v>86.55</v>
      </c>
      <c r="H2057" s="2" t="s">
        <v>13</v>
      </c>
      <c r="I2057" s="2" t="s">
        <v>29</v>
      </c>
    </row>
    <row r="2058" spans="1:9" x14ac:dyDescent="0.35">
      <c r="A2058" s="2" t="s">
        <v>2095</v>
      </c>
      <c r="B2058" s="3">
        <v>45501</v>
      </c>
      <c r="C2058" s="2" t="s">
        <v>10</v>
      </c>
      <c r="D2058" s="2" t="s">
        <v>26</v>
      </c>
      <c r="E2058" s="2" t="s">
        <v>27</v>
      </c>
      <c r="F2058" s="2">
        <v>1312.78</v>
      </c>
      <c r="G2058" s="2">
        <v>120.95</v>
      </c>
      <c r="H2058" s="2" t="s">
        <v>19</v>
      </c>
      <c r="I2058" s="2" t="s">
        <v>14</v>
      </c>
    </row>
    <row r="2059" spans="1:9" x14ac:dyDescent="0.35">
      <c r="A2059" s="2" t="s">
        <v>2096</v>
      </c>
      <c r="B2059" s="3">
        <v>45499</v>
      </c>
      <c r="C2059" s="2" t="s">
        <v>22</v>
      </c>
      <c r="D2059" s="2" t="s">
        <v>26</v>
      </c>
      <c r="E2059" s="2" t="s">
        <v>27</v>
      </c>
      <c r="F2059" s="2">
        <v>194.1</v>
      </c>
      <c r="G2059" s="2">
        <v>32.6</v>
      </c>
      <c r="H2059" s="2" t="s">
        <v>19</v>
      </c>
      <c r="I2059" s="2" t="s">
        <v>34</v>
      </c>
    </row>
    <row r="2060" spans="1:9" x14ac:dyDescent="0.35">
      <c r="A2060" s="2" t="s">
        <v>2097</v>
      </c>
      <c r="B2060" s="3">
        <v>44824</v>
      </c>
      <c r="C2060" s="2" t="s">
        <v>25</v>
      </c>
      <c r="D2060" s="2" t="s">
        <v>97</v>
      </c>
      <c r="E2060" s="2" t="s">
        <v>27</v>
      </c>
      <c r="F2060" s="2">
        <v>1665.24</v>
      </c>
      <c r="G2060" s="2">
        <v>360.92</v>
      </c>
      <c r="H2060" s="2" t="s">
        <v>13</v>
      </c>
      <c r="I2060" s="2" t="s">
        <v>14</v>
      </c>
    </row>
    <row r="2061" spans="1:9" x14ac:dyDescent="0.35">
      <c r="A2061" s="2" t="s">
        <v>2098</v>
      </c>
      <c r="B2061" s="3">
        <v>45258</v>
      </c>
      <c r="C2061" s="2" t="s">
        <v>25</v>
      </c>
      <c r="D2061" s="2" t="s">
        <v>57</v>
      </c>
      <c r="E2061" s="2" t="s">
        <v>27</v>
      </c>
      <c r="F2061" s="2">
        <v>943.16</v>
      </c>
      <c r="G2061" s="2">
        <v>228.04</v>
      </c>
      <c r="H2061" s="2" t="s">
        <v>19</v>
      </c>
      <c r="I2061" s="2" t="s">
        <v>14</v>
      </c>
    </row>
    <row r="2062" spans="1:9" x14ac:dyDescent="0.35">
      <c r="A2062" s="2" t="s">
        <v>2099</v>
      </c>
      <c r="B2062" s="3">
        <v>45148</v>
      </c>
      <c r="C2062" s="2" t="s">
        <v>16</v>
      </c>
      <c r="D2062" s="2" t="s">
        <v>57</v>
      </c>
      <c r="E2062" s="2" t="s">
        <v>27</v>
      </c>
      <c r="F2062" s="2">
        <v>1661.06</v>
      </c>
      <c r="G2062" s="2">
        <v>293.37</v>
      </c>
      <c r="H2062" s="2" t="s">
        <v>19</v>
      </c>
      <c r="I2062" s="2" t="s">
        <v>20</v>
      </c>
    </row>
    <row r="2063" spans="1:9" x14ac:dyDescent="0.35">
      <c r="A2063" s="2" t="s">
        <v>2100</v>
      </c>
      <c r="B2063" s="3">
        <v>44818</v>
      </c>
      <c r="C2063" s="2" t="s">
        <v>22</v>
      </c>
      <c r="D2063" s="2" t="s">
        <v>23</v>
      </c>
      <c r="E2063" s="2" t="s">
        <v>18</v>
      </c>
      <c r="F2063" s="2">
        <v>621.23</v>
      </c>
      <c r="G2063" s="2">
        <v>56.26</v>
      </c>
      <c r="H2063" s="2" t="s">
        <v>19</v>
      </c>
      <c r="I2063" s="2" t="s">
        <v>20</v>
      </c>
    </row>
    <row r="2064" spans="1:9" x14ac:dyDescent="0.35">
      <c r="A2064" s="2" t="s">
        <v>2101</v>
      </c>
      <c r="B2064" s="3">
        <v>45031</v>
      </c>
      <c r="C2064" s="2" t="s">
        <v>25</v>
      </c>
      <c r="D2064" s="2" t="s">
        <v>50</v>
      </c>
      <c r="E2064" s="2" t="s">
        <v>12</v>
      </c>
      <c r="F2064" s="2">
        <v>1697.74</v>
      </c>
      <c r="G2064" s="2">
        <v>331.32</v>
      </c>
      <c r="H2064" s="2" t="s">
        <v>19</v>
      </c>
      <c r="I2064" s="2" t="s">
        <v>14</v>
      </c>
    </row>
    <row r="2065" spans="1:9" x14ac:dyDescent="0.35">
      <c r="A2065" s="2" t="s">
        <v>2102</v>
      </c>
      <c r="B2065" s="3">
        <v>44948</v>
      </c>
      <c r="C2065" s="2" t="s">
        <v>16</v>
      </c>
      <c r="D2065" s="2" t="s">
        <v>11</v>
      </c>
      <c r="E2065" s="2" t="s">
        <v>12</v>
      </c>
      <c r="F2065" s="2">
        <v>1198.51</v>
      </c>
      <c r="G2065" s="2">
        <v>224.99</v>
      </c>
      <c r="H2065" s="2" t="s">
        <v>19</v>
      </c>
      <c r="I2065" s="2" t="s">
        <v>20</v>
      </c>
    </row>
    <row r="2066" spans="1:9" x14ac:dyDescent="0.35">
      <c r="A2066" s="2" t="s">
        <v>2103</v>
      </c>
      <c r="B2066" s="3">
        <v>45444</v>
      </c>
      <c r="C2066" s="2" t="s">
        <v>25</v>
      </c>
      <c r="D2066" s="2" t="s">
        <v>73</v>
      </c>
      <c r="E2066" s="2" t="s">
        <v>27</v>
      </c>
      <c r="F2066" s="2">
        <v>138.33000000000001</v>
      </c>
      <c r="G2066" s="2">
        <v>14.46</v>
      </c>
      <c r="H2066" s="2" t="s">
        <v>28</v>
      </c>
      <c r="I2066" s="2" t="s">
        <v>20</v>
      </c>
    </row>
    <row r="2067" spans="1:9" x14ac:dyDescent="0.35">
      <c r="A2067" s="2" t="s">
        <v>2104</v>
      </c>
      <c r="B2067" s="3">
        <v>45129</v>
      </c>
      <c r="C2067" s="2" t="s">
        <v>22</v>
      </c>
      <c r="D2067" s="2" t="s">
        <v>11</v>
      </c>
      <c r="E2067" s="2" t="s">
        <v>12</v>
      </c>
      <c r="F2067" s="2">
        <v>215.35</v>
      </c>
      <c r="G2067" s="2">
        <v>29.73</v>
      </c>
      <c r="H2067" s="2" t="s">
        <v>13</v>
      </c>
      <c r="I2067" s="2" t="s">
        <v>34</v>
      </c>
    </row>
    <row r="2068" spans="1:9" x14ac:dyDescent="0.35">
      <c r="A2068" s="2" t="s">
        <v>2105</v>
      </c>
      <c r="B2068" s="3">
        <v>44738</v>
      </c>
      <c r="C2068" s="2" t="s">
        <v>16</v>
      </c>
      <c r="D2068" s="2" t="s">
        <v>95</v>
      </c>
      <c r="E2068" s="2" t="s">
        <v>18</v>
      </c>
      <c r="F2068" s="2">
        <v>1988.08</v>
      </c>
      <c r="G2068" s="2">
        <v>184.32</v>
      </c>
      <c r="H2068" s="2" t="s">
        <v>28</v>
      </c>
      <c r="I2068" s="2" t="s">
        <v>14</v>
      </c>
    </row>
    <row r="2069" spans="1:9" x14ac:dyDescent="0.35">
      <c r="A2069" s="2" t="s">
        <v>2106</v>
      </c>
      <c r="B2069" s="3">
        <v>44763</v>
      </c>
      <c r="C2069" s="2" t="s">
        <v>16</v>
      </c>
      <c r="D2069" s="2" t="s">
        <v>73</v>
      </c>
      <c r="E2069" s="2" t="s">
        <v>27</v>
      </c>
      <c r="F2069" s="2">
        <v>394.8</v>
      </c>
      <c r="G2069" s="2">
        <v>89.48</v>
      </c>
      <c r="H2069" s="2" t="s">
        <v>19</v>
      </c>
      <c r="I2069" s="2" t="s">
        <v>14</v>
      </c>
    </row>
    <row r="2070" spans="1:9" x14ac:dyDescent="0.35">
      <c r="A2070" s="2" t="s">
        <v>2107</v>
      </c>
      <c r="B2070" s="3">
        <v>44779</v>
      </c>
      <c r="C2070" s="2" t="s">
        <v>10</v>
      </c>
      <c r="D2070" s="2" t="s">
        <v>50</v>
      </c>
      <c r="E2070" s="2" t="s">
        <v>12</v>
      </c>
      <c r="F2070" s="2">
        <v>65.290000000000006</v>
      </c>
      <c r="G2070" s="2">
        <v>17.7</v>
      </c>
      <c r="H2070" s="2" t="s">
        <v>13</v>
      </c>
      <c r="I2070" s="2" t="s">
        <v>20</v>
      </c>
    </row>
    <row r="2071" spans="1:9" x14ac:dyDescent="0.35">
      <c r="A2071" s="2" t="s">
        <v>2108</v>
      </c>
      <c r="B2071" s="3">
        <v>44992</v>
      </c>
      <c r="C2071" s="2" t="s">
        <v>10</v>
      </c>
      <c r="D2071" s="2" t="s">
        <v>50</v>
      </c>
      <c r="E2071" s="2" t="s">
        <v>12</v>
      </c>
      <c r="F2071" s="2">
        <v>808.04</v>
      </c>
      <c r="G2071" s="2">
        <v>170.23</v>
      </c>
      <c r="H2071" s="2" t="s">
        <v>13</v>
      </c>
      <c r="I2071" s="2" t="s">
        <v>34</v>
      </c>
    </row>
    <row r="2072" spans="1:9" x14ac:dyDescent="0.35">
      <c r="A2072" s="2" t="s">
        <v>2109</v>
      </c>
      <c r="B2072" s="3">
        <v>45529</v>
      </c>
      <c r="C2072" s="2" t="s">
        <v>10</v>
      </c>
      <c r="D2072" s="2" t="s">
        <v>38</v>
      </c>
      <c r="E2072" s="2" t="s">
        <v>12</v>
      </c>
      <c r="F2072" s="2">
        <v>1814.32</v>
      </c>
      <c r="G2072" s="2">
        <v>423.59</v>
      </c>
      <c r="H2072" s="2" t="s">
        <v>19</v>
      </c>
      <c r="I2072" s="2" t="s">
        <v>29</v>
      </c>
    </row>
    <row r="2073" spans="1:9" x14ac:dyDescent="0.35">
      <c r="A2073" s="2" t="s">
        <v>2110</v>
      </c>
      <c r="B2073" s="3">
        <v>45487</v>
      </c>
      <c r="C2073" s="2" t="s">
        <v>22</v>
      </c>
      <c r="D2073" s="2" t="s">
        <v>26</v>
      </c>
      <c r="E2073" s="2" t="s">
        <v>27</v>
      </c>
      <c r="F2073" s="2">
        <v>1735.86</v>
      </c>
      <c r="G2073" s="2">
        <v>365.83</v>
      </c>
      <c r="H2073" s="2" t="s">
        <v>13</v>
      </c>
      <c r="I2073" s="2" t="s">
        <v>14</v>
      </c>
    </row>
    <row r="2074" spans="1:9" x14ac:dyDescent="0.35">
      <c r="A2074" s="2" t="s">
        <v>2111</v>
      </c>
      <c r="B2074" s="3">
        <v>45647</v>
      </c>
      <c r="C2074" s="2" t="s">
        <v>10</v>
      </c>
      <c r="D2074" s="2" t="s">
        <v>26</v>
      </c>
      <c r="E2074" s="2" t="s">
        <v>27</v>
      </c>
      <c r="F2074" s="2">
        <v>1828.68</v>
      </c>
      <c r="G2074" s="2">
        <v>316.85000000000002</v>
      </c>
      <c r="H2074" s="2" t="s">
        <v>19</v>
      </c>
      <c r="I2074" s="2" t="s">
        <v>29</v>
      </c>
    </row>
    <row r="2075" spans="1:9" x14ac:dyDescent="0.35">
      <c r="A2075" s="2" t="s">
        <v>2112</v>
      </c>
      <c r="B2075" s="3">
        <v>44684</v>
      </c>
      <c r="C2075" s="2" t="s">
        <v>25</v>
      </c>
      <c r="D2075" s="2" t="s">
        <v>11</v>
      </c>
      <c r="E2075" s="2" t="s">
        <v>12</v>
      </c>
      <c r="F2075" s="2">
        <v>635.86</v>
      </c>
      <c r="G2075" s="2">
        <v>190.48</v>
      </c>
      <c r="H2075" s="2" t="s">
        <v>13</v>
      </c>
      <c r="I2075" s="2" t="s">
        <v>20</v>
      </c>
    </row>
    <row r="2076" spans="1:9" x14ac:dyDescent="0.35">
      <c r="A2076" s="2" t="s">
        <v>2113</v>
      </c>
      <c r="B2076" s="3">
        <v>44672</v>
      </c>
      <c r="C2076" s="2" t="s">
        <v>10</v>
      </c>
      <c r="D2076" s="2" t="s">
        <v>38</v>
      </c>
      <c r="E2076" s="2" t="s">
        <v>12</v>
      </c>
      <c r="F2076" s="2">
        <v>684.6</v>
      </c>
      <c r="G2076" s="2">
        <v>45.35</v>
      </c>
      <c r="H2076" s="2" t="s">
        <v>13</v>
      </c>
      <c r="I2076" s="2" t="s">
        <v>20</v>
      </c>
    </row>
    <row r="2077" spans="1:9" x14ac:dyDescent="0.35">
      <c r="A2077" s="2" t="s">
        <v>2114</v>
      </c>
      <c r="B2077" s="3">
        <v>44601</v>
      </c>
      <c r="C2077" s="2" t="s">
        <v>10</v>
      </c>
      <c r="D2077" s="2" t="s">
        <v>57</v>
      </c>
      <c r="E2077" s="2" t="s">
        <v>27</v>
      </c>
      <c r="F2077" s="2">
        <v>1076.96</v>
      </c>
      <c r="G2077" s="2">
        <v>302.06</v>
      </c>
      <c r="H2077" s="2" t="s">
        <v>19</v>
      </c>
      <c r="I2077" s="2" t="s">
        <v>14</v>
      </c>
    </row>
    <row r="2078" spans="1:9" x14ac:dyDescent="0.35">
      <c r="A2078" s="2" t="s">
        <v>2115</v>
      </c>
      <c r="B2078" s="3">
        <v>44659</v>
      </c>
      <c r="C2078" s="2" t="s">
        <v>22</v>
      </c>
      <c r="D2078" s="2" t="s">
        <v>95</v>
      </c>
      <c r="E2078" s="2" t="s">
        <v>18</v>
      </c>
      <c r="F2078" s="2">
        <v>1714.81</v>
      </c>
      <c r="G2078" s="2">
        <v>290.51</v>
      </c>
      <c r="H2078" s="2" t="s">
        <v>13</v>
      </c>
      <c r="I2078" s="2" t="s">
        <v>29</v>
      </c>
    </row>
    <row r="2079" spans="1:9" x14ac:dyDescent="0.35">
      <c r="A2079" s="2" t="s">
        <v>2116</v>
      </c>
      <c r="B2079" s="3">
        <v>45502</v>
      </c>
      <c r="C2079" s="2" t="s">
        <v>25</v>
      </c>
      <c r="D2079" s="2" t="s">
        <v>23</v>
      </c>
      <c r="E2079" s="2" t="s">
        <v>18</v>
      </c>
      <c r="F2079" s="2">
        <v>626.24</v>
      </c>
      <c r="G2079" s="2">
        <v>111.3</v>
      </c>
      <c r="H2079" s="2" t="s">
        <v>28</v>
      </c>
      <c r="I2079" s="2" t="s">
        <v>34</v>
      </c>
    </row>
    <row r="2080" spans="1:9" x14ac:dyDescent="0.35">
      <c r="A2080" s="2" t="s">
        <v>2117</v>
      </c>
      <c r="B2080" s="3">
        <v>44660</v>
      </c>
      <c r="C2080" s="2" t="s">
        <v>16</v>
      </c>
      <c r="D2080" s="2" t="s">
        <v>97</v>
      </c>
      <c r="E2080" s="2" t="s">
        <v>27</v>
      </c>
      <c r="F2080" s="2">
        <v>893.57</v>
      </c>
      <c r="G2080" s="2">
        <v>171.36</v>
      </c>
      <c r="H2080" s="2" t="s">
        <v>28</v>
      </c>
      <c r="I2080" s="2" t="s">
        <v>20</v>
      </c>
    </row>
    <row r="2081" spans="1:9" x14ac:dyDescent="0.35">
      <c r="A2081" s="2" t="s">
        <v>2118</v>
      </c>
      <c r="B2081" s="3">
        <v>44587</v>
      </c>
      <c r="C2081" s="2" t="s">
        <v>25</v>
      </c>
      <c r="D2081" s="2" t="s">
        <v>50</v>
      </c>
      <c r="E2081" s="2" t="s">
        <v>12</v>
      </c>
      <c r="F2081" s="2">
        <v>1635.8</v>
      </c>
      <c r="G2081" s="2">
        <v>254.21</v>
      </c>
      <c r="H2081" s="2" t="s">
        <v>19</v>
      </c>
      <c r="I2081" s="2" t="s">
        <v>14</v>
      </c>
    </row>
    <row r="2082" spans="1:9" x14ac:dyDescent="0.35">
      <c r="A2082" s="2" t="s">
        <v>2119</v>
      </c>
      <c r="B2082" s="3">
        <v>45358</v>
      </c>
      <c r="C2082" s="2" t="s">
        <v>25</v>
      </c>
      <c r="D2082" s="2" t="s">
        <v>50</v>
      </c>
      <c r="E2082" s="2" t="s">
        <v>12</v>
      </c>
      <c r="F2082" s="2">
        <v>404.79</v>
      </c>
      <c r="G2082" s="2">
        <v>40.22</v>
      </c>
      <c r="H2082" s="2" t="s">
        <v>28</v>
      </c>
      <c r="I2082" s="2" t="s">
        <v>29</v>
      </c>
    </row>
    <row r="2083" spans="1:9" x14ac:dyDescent="0.35">
      <c r="A2083" s="2" t="s">
        <v>2120</v>
      </c>
      <c r="B2083" s="3">
        <v>44950</v>
      </c>
      <c r="C2083" s="2" t="s">
        <v>16</v>
      </c>
      <c r="D2083" s="2" t="s">
        <v>50</v>
      </c>
      <c r="E2083" s="2" t="s">
        <v>12</v>
      </c>
      <c r="F2083" s="2">
        <v>1526.22</v>
      </c>
      <c r="G2083" s="2">
        <v>134.65</v>
      </c>
      <c r="H2083" s="2" t="s">
        <v>19</v>
      </c>
      <c r="I2083" s="2" t="s">
        <v>14</v>
      </c>
    </row>
    <row r="2084" spans="1:9" x14ac:dyDescent="0.35">
      <c r="A2084" s="2" t="s">
        <v>2121</v>
      </c>
      <c r="B2084" s="3">
        <v>45030</v>
      </c>
      <c r="C2084" s="2" t="s">
        <v>16</v>
      </c>
      <c r="D2084" s="2" t="s">
        <v>31</v>
      </c>
      <c r="E2084" s="2" t="s">
        <v>12</v>
      </c>
      <c r="F2084" s="2">
        <v>146.35</v>
      </c>
      <c r="G2084" s="2">
        <v>17.329999999999998</v>
      </c>
      <c r="H2084" s="2" t="s">
        <v>28</v>
      </c>
      <c r="I2084" s="2" t="s">
        <v>20</v>
      </c>
    </row>
    <row r="2085" spans="1:9" x14ac:dyDescent="0.35">
      <c r="A2085" s="2" t="s">
        <v>2122</v>
      </c>
      <c r="B2085" s="3">
        <v>45206</v>
      </c>
      <c r="C2085" s="2" t="s">
        <v>22</v>
      </c>
      <c r="D2085" s="2" t="s">
        <v>50</v>
      </c>
      <c r="E2085" s="2" t="s">
        <v>12</v>
      </c>
      <c r="F2085" s="2">
        <v>1701.02</v>
      </c>
      <c r="G2085" s="2">
        <v>228.06</v>
      </c>
      <c r="H2085" s="2" t="s">
        <v>28</v>
      </c>
      <c r="I2085" s="2" t="s">
        <v>29</v>
      </c>
    </row>
    <row r="2086" spans="1:9" x14ac:dyDescent="0.35">
      <c r="A2086" s="2" t="s">
        <v>2123</v>
      </c>
      <c r="B2086" s="3">
        <v>45214</v>
      </c>
      <c r="C2086" s="2" t="s">
        <v>25</v>
      </c>
      <c r="D2086" s="2" t="s">
        <v>73</v>
      </c>
      <c r="E2086" s="2" t="s">
        <v>27</v>
      </c>
      <c r="F2086" s="2">
        <v>1362.88</v>
      </c>
      <c r="G2086" s="2">
        <v>136.97</v>
      </c>
      <c r="H2086" s="2" t="s">
        <v>13</v>
      </c>
      <c r="I2086" s="2" t="s">
        <v>20</v>
      </c>
    </row>
    <row r="2087" spans="1:9" x14ac:dyDescent="0.35">
      <c r="A2087" s="2" t="s">
        <v>2124</v>
      </c>
      <c r="B2087" s="3">
        <v>45076</v>
      </c>
      <c r="C2087" s="2" t="s">
        <v>25</v>
      </c>
      <c r="D2087" s="2" t="s">
        <v>33</v>
      </c>
      <c r="E2087" s="2" t="s">
        <v>18</v>
      </c>
      <c r="F2087" s="2">
        <v>1982.23</v>
      </c>
      <c r="G2087" s="2">
        <v>361.65</v>
      </c>
      <c r="H2087" s="2" t="s">
        <v>28</v>
      </c>
      <c r="I2087" s="2" t="s">
        <v>34</v>
      </c>
    </row>
    <row r="2088" spans="1:9" x14ac:dyDescent="0.35">
      <c r="A2088" s="2" t="s">
        <v>2125</v>
      </c>
      <c r="B2088" s="3">
        <v>44917</v>
      </c>
      <c r="C2088" s="2" t="s">
        <v>22</v>
      </c>
      <c r="D2088" s="2" t="s">
        <v>95</v>
      </c>
      <c r="E2088" s="2" t="s">
        <v>18</v>
      </c>
      <c r="F2088" s="2">
        <v>1979.91</v>
      </c>
      <c r="G2088" s="2">
        <v>347.24</v>
      </c>
      <c r="H2088" s="2" t="s">
        <v>28</v>
      </c>
      <c r="I2088" s="2" t="s">
        <v>14</v>
      </c>
    </row>
    <row r="2089" spans="1:9" x14ac:dyDescent="0.35">
      <c r="A2089" s="2" t="s">
        <v>2126</v>
      </c>
      <c r="B2089" s="3">
        <v>45462</v>
      </c>
      <c r="C2089" s="2" t="s">
        <v>22</v>
      </c>
      <c r="D2089" s="2" t="s">
        <v>33</v>
      </c>
      <c r="E2089" s="2" t="s">
        <v>18</v>
      </c>
      <c r="F2089" s="2">
        <v>954.5</v>
      </c>
      <c r="G2089" s="2">
        <v>131.66999999999999</v>
      </c>
      <c r="H2089" s="2" t="s">
        <v>19</v>
      </c>
      <c r="I2089" s="2" t="s">
        <v>29</v>
      </c>
    </row>
    <row r="2090" spans="1:9" x14ac:dyDescent="0.35">
      <c r="A2090" s="2" t="s">
        <v>2127</v>
      </c>
      <c r="B2090" s="3">
        <v>44993</v>
      </c>
      <c r="C2090" s="2" t="s">
        <v>22</v>
      </c>
      <c r="D2090" s="2" t="s">
        <v>46</v>
      </c>
      <c r="E2090" s="2" t="s">
        <v>18</v>
      </c>
      <c r="F2090" s="2">
        <v>1901.49</v>
      </c>
      <c r="G2090" s="2">
        <v>483.53</v>
      </c>
      <c r="H2090" s="2" t="s">
        <v>13</v>
      </c>
      <c r="I2090" s="2" t="s">
        <v>14</v>
      </c>
    </row>
    <row r="2091" spans="1:9" x14ac:dyDescent="0.35">
      <c r="A2091" s="2" t="s">
        <v>2128</v>
      </c>
      <c r="B2091" s="3">
        <v>45049</v>
      </c>
      <c r="C2091" s="2" t="s">
        <v>16</v>
      </c>
      <c r="D2091" s="2" t="s">
        <v>41</v>
      </c>
      <c r="E2091" s="2" t="s">
        <v>12</v>
      </c>
      <c r="F2091" s="2">
        <v>957.3</v>
      </c>
      <c r="G2091" s="2">
        <v>111.17</v>
      </c>
      <c r="H2091" s="2" t="s">
        <v>28</v>
      </c>
      <c r="I2091" s="2" t="s">
        <v>34</v>
      </c>
    </row>
    <row r="2092" spans="1:9" x14ac:dyDescent="0.35">
      <c r="A2092" s="2" t="s">
        <v>2129</v>
      </c>
      <c r="B2092" s="3">
        <v>45613</v>
      </c>
      <c r="C2092" s="2" t="s">
        <v>25</v>
      </c>
      <c r="D2092" s="2" t="s">
        <v>26</v>
      </c>
      <c r="E2092" s="2" t="s">
        <v>27</v>
      </c>
      <c r="F2092" s="2">
        <v>1349.55</v>
      </c>
      <c r="G2092" s="2">
        <v>112.44</v>
      </c>
      <c r="H2092" s="2" t="s">
        <v>19</v>
      </c>
      <c r="I2092" s="2" t="s">
        <v>34</v>
      </c>
    </row>
    <row r="2093" spans="1:9" x14ac:dyDescent="0.35">
      <c r="A2093" s="2" t="s">
        <v>2130</v>
      </c>
      <c r="B2093" s="3">
        <v>45622</v>
      </c>
      <c r="C2093" s="2" t="s">
        <v>25</v>
      </c>
      <c r="D2093" s="2" t="s">
        <v>31</v>
      </c>
      <c r="E2093" s="2" t="s">
        <v>12</v>
      </c>
      <c r="F2093" s="2">
        <v>1803.88</v>
      </c>
      <c r="G2093" s="2">
        <v>281.27999999999997</v>
      </c>
      <c r="H2093" s="2" t="s">
        <v>28</v>
      </c>
      <c r="I2093" s="2" t="s">
        <v>34</v>
      </c>
    </row>
    <row r="2094" spans="1:9" x14ac:dyDescent="0.35">
      <c r="A2094" s="2" t="s">
        <v>2131</v>
      </c>
      <c r="B2094" s="3">
        <v>44619</v>
      </c>
      <c r="C2094" s="2" t="s">
        <v>22</v>
      </c>
      <c r="D2094" s="2" t="s">
        <v>41</v>
      </c>
      <c r="E2094" s="2" t="s">
        <v>12</v>
      </c>
      <c r="F2094" s="2">
        <v>927.48</v>
      </c>
      <c r="G2094" s="2">
        <v>53.25</v>
      </c>
      <c r="H2094" s="2" t="s">
        <v>19</v>
      </c>
      <c r="I2094" s="2" t="s">
        <v>14</v>
      </c>
    </row>
    <row r="2095" spans="1:9" x14ac:dyDescent="0.35">
      <c r="A2095" s="2" t="s">
        <v>2132</v>
      </c>
      <c r="B2095" s="3">
        <v>45572</v>
      </c>
      <c r="C2095" s="2" t="s">
        <v>22</v>
      </c>
      <c r="D2095" s="2" t="s">
        <v>62</v>
      </c>
      <c r="E2095" s="2" t="s">
        <v>27</v>
      </c>
      <c r="F2095" s="2">
        <v>187.68</v>
      </c>
      <c r="G2095" s="2">
        <v>42.87</v>
      </c>
      <c r="H2095" s="2" t="s">
        <v>13</v>
      </c>
      <c r="I2095" s="2" t="s">
        <v>34</v>
      </c>
    </row>
    <row r="2096" spans="1:9" x14ac:dyDescent="0.35">
      <c r="A2096" s="2" t="s">
        <v>2133</v>
      </c>
      <c r="B2096" s="3">
        <v>45575</v>
      </c>
      <c r="C2096" s="2" t="s">
        <v>16</v>
      </c>
      <c r="D2096" s="2" t="s">
        <v>23</v>
      </c>
      <c r="E2096" s="2" t="s">
        <v>18</v>
      </c>
      <c r="F2096" s="2">
        <v>1153.28</v>
      </c>
      <c r="G2096" s="2">
        <v>197.14</v>
      </c>
      <c r="H2096" s="2" t="s">
        <v>13</v>
      </c>
      <c r="I2096" s="2" t="s">
        <v>29</v>
      </c>
    </row>
    <row r="2097" spans="1:9" x14ac:dyDescent="0.35">
      <c r="A2097" s="2" t="s">
        <v>2134</v>
      </c>
      <c r="B2097" s="3">
        <v>44694</v>
      </c>
      <c r="C2097" s="2" t="s">
        <v>25</v>
      </c>
      <c r="D2097" s="2" t="s">
        <v>38</v>
      </c>
      <c r="E2097" s="2" t="s">
        <v>12</v>
      </c>
      <c r="F2097" s="2">
        <v>1702.35</v>
      </c>
      <c r="G2097" s="2">
        <v>136.51</v>
      </c>
      <c r="H2097" s="2" t="s">
        <v>19</v>
      </c>
      <c r="I2097" s="2" t="s">
        <v>20</v>
      </c>
    </row>
    <row r="2098" spans="1:9" x14ac:dyDescent="0.35">
      <c r="A2098" s="2" t="s">
        <v>2135</v>
      </c>
      <c r="B2098" s="3">
        <v>44839</v>
      </c>
      <c r="C2098" s="2" t="s">
        <v>16</v>
      </c>
      <c r="D2098" s="2" t="s">
        <v>97</v>
      </c>
      <c r="E2098" s="2" t="s">
        <v>27</v>
      </c>
      <c r="F2098" s="2">
        <v>1758.82</v>
      </c>
      <c r="G2098" s="2">
        <v>134.58000000000001</v>
      </c>
      <c r="H2098" s="2" t="s">
        <v>28</v>
      </c>
      <c r="I2098" s="2" t="s">
        <v>14</v>
      </c>
    </row>
    <row r="2099" spans="1:9" x14ac:dyDescent="0.35">
      <c r="A2099" s="2" t="s">
        <v>2136</v>
      </c>
      <c r="B2099" s="3">
        <v>44984</v>
      </c>
      <c r="C2099" s="2" t="s">
        <v>16</v>
      </c>
      <c r="D2099" s="2" t="s">
        <v>57</v>
      </c>
      <c r="E2099" s="2" t="s">
        <v>27</v>
      </c>
      <c r="F2099" s="2">
        <v>592.15</v>
      </c>
      <c r="G2099" s="2">
        <v>80.86</v>
      </c>
      <c r="H2099" s="2" t="s">
        <v>19</v>
      </c>
      <c r="I2099" s="2" t="s">
        <v>34</v>
      </c>
    </row>
    <row r="2100" spans="1:9" x14ac:dyDescent="0.35">
      <c r="A2100" s="2" t="s">
        <v>2137</v>
      </c>
      <c r="B2100" s="3">
        <v>45352</v>
      </c>
      <c r="C2100" s="2" t="s">
        <v>10</v>
      </c>
      <c r="D2100" s="2" t="s">
        <v>33</v>
      </c>
      <c r="E2100" s="2" t="s">
        <v>18</v>
      </c>
      <c r="F2100" s="2">
        <v>678.96</v>
      </c>
      <c r="G2100" s="2">
        <v>183.92</v>
      </c>
      <c r="H2100" s="2" t="s">
        <v>13</v>
      </c>
      <c r="I2100" s="2" t="s">
        <v>20</v>
      </c>
    </row>
    <row r="2101" spans="1:9" x14ac:dyDescent="0.35">
      <c r="A2101" s="2" t="s">
        <v>2138</v>
      </c>
      <c r="B2101" s="3">
        <v>44762</v>
      </c>
      <c r="C2101" s="2" t="s">
        <v>10</v>
      </c>
      <c r="D2101" s="2" t="s">
        <v>17</v>
      </c>
      <c r="E2101" s="2" t="s">
        <v>18</v>
      </c>
      <c r="F2101" s="2">
        <v>216.95</v>
      </c>
      <c r="G2101" s="2">
        <v>62.23</v>
      </c>
      <c r="H2101" s="2" t="s">
        <v>13</v>
      </c>
      <c r="I2101" s="2" t="s">
        <v>34</v>
      </c>
    </row>
    <row r="2102" spans="1:9" x14ac:dyDescent="0.35">
      <c r="A2102" s="2" t="s">
        <v>2139</v>
      </c>
      <c r="B2102" s="3">
        <v>44896</v>
      </c>
      <c r="C2102" s="2" t="s">
        <v>25</v>
      </c>
      <c r="D2102" s="2" t="s">
        <v>50</v>
      </c>
      <c r="E2102" s="2" t="s">
        <v>12</v>
      </c>
      <c r="F2102" s="2">
        <v>840.7</v>
      </c>
      <c r="G2102" s="2">
        <v>187.33</v>
      </c>
      <c r="H2102" s="2" t="s">
        <v>19</v>
      </c>
      <c r="I2102" s="2" t="s">
        <v>14</v>
      </c>
    </row>
    <row r="2103" spans="1:9" x14ac:dyDescent="0.35">
      <c r="A2103" s="2" t="s">
        <v>2140</v>
      </c>
      <c r="B2103" s="3">
        <v>45550</v>
      </c>
      <c r="C2103" s="2" t="s">
        <v>10</v>
      </c>
      <c r="D2103" s="2" t="s">
        <v>57</v>
      </c>
      <c r="E2103" s="2" t="s">
        <v>27</v>
      </c>
      <c r="F2103" s="2">
        <v>1733.89</v>
      </c>
      <c r="G2103" s="2">
        <v>184.65</v>
      </c>
      <c r="H2103" s="2" t="s">
        <v>13</v>
      </c>
      <c r="I2103" s="2" t="s">
        <v>34</v>
      </c>
    </row>
    <row r="2104" spans="1:9" x14ac:dyDescent="0.35">
      <c r="A2104" s="2" t="s">
        <v>2141</v>
      </c>
      <c r="B2104" s="3">
        <v>45124</v>
      </c>
      <c r="C2104" s="2" t="s">
        <v>10</v>
      </c>
      <c r="D2104" s="2" t="s">
        <v>23</v>
      </c>
      <c r="E2104" s="2" t="s">
        <v>18</v>
      </c>
      <c r="F2104" s="2">
        <v>1312.8</v>
      </c>
      <c r="G2104" s="2">
        <v>337.94</v>
      </c>
      <c r="H2104" s="2" t="s">
        <v>13</v>
      </c>
      <c r="I2104" s="2" t="s">
        <v>29</v>
      </c>
    </row>
    <row r="2105" spans="1:9" x14ac:dyDescent="0.35">
      <c r="A2105" s="2" t="s">
        <v>2142</v>
      </c>
      <c r="B2105" s="3">
        <v>45143</v>
      </c>
      <c r="C2105" s="2" t="s">
        <v>16</v>
      </c>
      <c r="D2105" s="2" t="s">
        <v>57</v>
      </c>
      <c r="E2105" s="2" t="s">
        <v>27</v>
      </c>
      <c r="F2105" s="2">
        <v>108.81</v>
      </c>
      <c r="G2105" s="2">
        <v>20.9</v>
      </c>
      <c r="H2105" s="2" t="s">
        <v>13</v>
      </c>
      <c r="I2105" s="2" t="s">
        <v>14</v>
      </c>
    </row>
    <row r="2106" spans="1:9" x14ac:dyDescent="0.35">
      <c r="A2106" s="2" t="s">
        <v>2143</v>
      </c>
      <c r="B2106" s="3">
        <v>44592</v>
      </c>
      <c r="C2106" s="2" t="s">
        <v>16</v>
      </c>
      <c r="D2106" s="2" t="s">
        <v>62</v>
      </c>
      <c r="E2106" s="2" t="s">
        <v>27</v>
      </c>
      <c r="F2106" s="2">
        <v>1724.06</v>
      </c>
      <c r="G2106" s="2">
        <v>402.49</v>
      </c>
      <c r="H2106" s="2" t="s">
        <v>28</v>
      </c>
      <c r="I2106" s="2" t="s">
        <v>29</v>
      </c>
    </row>
    <row r="2107" spans="1:9" x14ac:dyDescent="0.35">
      <c r="A2107" s="2" t="s">
        <v>2144</v>
      </c>
      <c r="B2107" s="3">
        <v>45097</v>
      </c>
      <c r="C2107" s="2" t="s">
        <v>10</v>
      </c>
      <c r="D2107" s="2" t="s">
        <v>41</v>
      </c>
      <c r="E2107" s="2" t="s">
        <v>12</v>
      </c>
      <c r="F2107" s="2">
        <v>510.6</v>
      </c>
      <c r="G2107" s="2">
        <v>56.19</v>
      </c>
      <c r="H2107" s="2" t="s">
        <v>13</v>
      </c>
      <c r="I2107" s="2" t="s">
        <v>20</v>
      </c>
    </row>
    <row r="2108" spans="1:9" x14ac:dyDescent="0.35">
      <c r="A2108" s="2" t="s">
        <v>2145</v>
      </c>
      <c r="B2108" s="3">
        <v>45339</v>
      </c>
      <c r="C2108" s="2" t="s">
        <v>10</v>
      </c>
      <c r="D2108" s="2" t="s">
        <v>97</v>
      </c>
      <c r="E2108" s="2" t="s">
        <v>27</v>
      </c>
      <c r="F2108" s="2">
        <v>589.58000000000004</v>
      </c>
      <c r="G2108" s="2">
        <v>160.56</v>
      </c>
      <c r="H2108" s="2" t="s">
        <v>28</v>
      </c>
      <c r="I2108" s="2" t="s">
        <v>14</v>
      </c>
    </row>
    <row r="2109" spans="1:9" x14ac:dyDescent="0.35">
      <c r="A2109" s="2" t="s">
        <v>2146</v>
      </c>
      <c r="B2109" s="3">
        <v>45261</v>
      </c>
      <c r="C2109" s="2" t="s">
        <v>25</v>
      </c>
      <c r="D2109" s="2" t="s">
        <v>33</v>
      </c>
      <c r="E2109" s="2" t="s">
        <v>18</v>
      </c>
      <c r="F2109" s="2">
        <v>1772.99</v>
      </c>
      <c r="G2109" s="2">
        <v>277.74</v>
      </c>
      <c r="H2109" s="2" t="s">
        <v>28</v>
      </c>
      <c r="I2109" s="2" t="s">
        <v>34</v>
      </c>
    </row>
    <row r="2110" spans="1:9" x14ac:dyDescent="0.35">
      <c r="A2110" s="2" t="s">
        <v>2147</v>
      </c>
      <c r="B2110" s="3">
        <v>44805</v>
      </c>
      <c r="C2110" s="2" t="s">
        <v>22</v>
      </c>
      <c r="D2110" s="2" t="s">
        <v>46</v>
      </c>
      <c r="E2110" s="2" t="s">
        <v>18</v>
      </c>
      <c r="F2110" s="2">
        <v>597.27</v>
      </c>
      <c r="G2110" s="2">
        <v>157.59</v>
      </c>
      <c r="H2110" s="2" t="s">
        <v>19</v>
      </c>
      <c r="I2110" s="2" t="s">
        <v>20</v>
      </c>
    </row>
    <row r="2111" spans="1:9" x14ac:dyDescent="0.35">
      <c r="A2111" s="2" t="s">
        <v>2148</v>
      </c>
      <c r="B2111" s="3">
        <v>44844</v>
      </c>
      <c r="C2111" s="2" t="s">
        <v>22</v>
      </c>
      <c r="D2111" s="2" t="s">
        <v>62</v>
      </c>
      <c r="E2111" s="2" t="s">
        <v>27</v>
      </c>
      <c r="F2111" s="2">
        <v>1646.27</v>
      </c>
      <c r="G2111" s="2">
        <v>461.34</v>
      </c>
      <c r="H2111" s="2" t="s">
        <v>13</v>
      </c>
      <c r="I2111" s="2" t="s">
        <v>20</v>
      </c>
    </row>
    <row r="2112" spans="1:9" x14ac:dyDescent="0.35">
      <c r="A2112" s="2" t="s">
        <v>2149</v>
      </c>
      <c r="B2112" s="3">
        <v>44816</v>
      </c>
      <c r="C2112" s="2" t="s">
        <v>10</v>
      </c>
      <c r="D2112" s="2" t="s">
        <v>33</v>
      </c>
      <c r="E2112" s="2" t="s">
        <v>18</v>
      </c>
      <c r="F2112" s="2">
        <v>569.11</v>
      </c>
      <c r="G2112" s="2">
        <v>147.21</v>
      </c>
      <c r="H2112" s="2" t="s">
        <v>28</v>
      </c>
      <c r="I2112" s="2" t="s">
        <v>14</v>
      </c>
    </row>
    <row r="2113" spans="1:9" x14ac:dyDescent="0.35">
      <c r="A2113" s="2" t="s">
        <v>2150</v>
      </c>
      <c r="B2113" s="3">
        <v>44750</v>
      </c>
      <c r="C2113" s="2" t="s">
        <v>22</v>
      </c>
      <c r="D2113" s="2" t="s">
        <v>62</v>
      </c>
      <c r="E2113" s="2" t="s">
        <v>27</v>
      </c>
      <c r="F2113" s="2">
        <v>1405.16</v>
      </c>
      <c r="G2113" s="2">
        <v>384.74</v>
      </c>
      <c r="H2113" s="2" t="s">
        <v>13</v>
      </c>
      <c r="I2113" s="2" t="s">
        <v>20</v>
      </c>
    </row>
    <row r="2114" spans="1:9" x14ac:dyDescent="0.35">
      <c r="A2114" s="2" t="s">
        <v>2151</v>
      </c>
      <c r="B2114" s="3">
        <v>45346</v>
      </c>
      <c r="C2114" s="2" t="s">
        <v>25</v>
      </c>
      <c r="D2114" s="2" t="s">
        <v>33</v>
      </c>
      <c r="E2114" s="2" t="s">
        <v>18</v>
      </c>
      <c r="F2114" s="2">
        <v>1414.12</v>
      </c>
      <c r="G2114" s="2">
        <v>358.63</v>
      </c>
      <c r="H2114" s="2" t="s">
        <v>13</v>
      </c>
      <c r="I2114" s="2" t="s">
        <v>20</v>
      </c>
    </row>
    <row r="2115" spans="1:9" x14ac:dyDescent="0.35">
      <c r="A2115" s="2" t="s">
        <v>2152</v>
      </c>
      <c r="B2115" s="3">
        <v>44982</v>
      </c>
      <c r="C2115" s="2" t="s">
        <v>16</v>
      </c>
      <c r="D2115" s="2" t="s">
        <v>26</v>
      </c>
      <c r="E2115" s="2" t="s">
        <v>27</v>
      </c>
      <c r="F2115" s="2">
        <v>344.17</v>
      </c>
      <c r="G2115" s="2">
        <v>51.11</v>
      </c>
      <c r="H2115" s="2" t="s">
        <v>28</v>
      </c>
      <c r="I2115" s="2" t="s">
        <v>14</v>
      </c>
    </row>
    <row r="2116" spans="1:9" x14ac:dyDescent="0.35">
      <c r="A2116" s="2" t="s">
        <v>2153</v>
      </c>
      <c r="B2116" s="3">
        <v>44779</v>
      </c>
      <c r="C2116" s="2" t="s">
        <v>25</v>
      </c>
      <c r="D2116" s="2" t="s">
        <v>17</v>
      </c>
      <c r="E2116" s="2" t="s">
        <v>18</v>
      </c>
      <c r="F2116" s="2">
        <v>1016.25</v>
      </c>
      <c r="G2116" s="2">
        <v>82.85</v>
      </c>
      <c r="H2116" s="2" t="s">
        <v>13</v>
      </c>
      <c r="I2116" s="2" t="s">
        <v>14</v>
      </c>
    </row>
    <row r="2117" spans="1:9" x14ac:dyDescent="0.35">
      <c r="A2117" s="2" t="s">
        <v>2154</v>
      </c>
      <c r="B2117" s="3">
        <v>44775</v>
      </c>
      <c r="C2117" s="2" t="s">
        <v>25</v>
      </c>
      <c r="D2117" s="2" t="s">
        <v>11</v>
      </c>
      <c r="E2117" s="2" t="s">
        <v>12</v>
      </c>
      <c r="F2117" s="2">
        <v>514.66</v>
      </c>
      <c r="G2117" s="2">
        <v>34.299999999999997</v>
      </c>
      <c r="H2117" s="2" t="s">
        <v>13</v>
      </c>
      <c r="I2117" s="2" t="s">
        <v>29</v>
      </c>
    </row>
    <row r="2118" spans="1:9" x14ac:dyDescent="0.35">
      <c r="A2118" s="2" t="s">
        <v>2155</v>
      </c>
      <c r="B2118" s="3">
        <v>45114</v>
      </c>
      <c r="C2118" s="2" t="s">
        <v>22</v>
      </c>
      <c r="D2118" s="2" t="s">
        <v>95</v>
      </c>
      <c r="E2118" s="2" t="s">
        <v>18</v>
      </c>
      <c r="F2118" s="2">
        <v>714.36</v>
      </c>
      <c r="G2118" s="2">
        <v>142.27000000000001</v>
      </c>
      <c r="H2118" s="2" t="s">
        <v>19</v>
      </c>
      <c r="I2118" s="2" t="s">
        <v>29</v>
      </c>
    </row>
    <row r="2119" spans="1:9" x14ac:dyDescent="0.35">
      <c r="A2119" s="2" t="s">
        <v>2156</v>
      </c>
      <c r="B2119" s="3">
        <v>45412</v>
      </c>
      <c r="C2119" s="2" t="s">
        <v>25</v>
      </c>
      <c r="D2119" s="2" t="s">
        <v>33</v>
      </c>
      <c r="E2119" s="2" t="s">
        <v>18</v>
      </c>
      <c r="F2119" s="2">
        <v>1709</v>
      </c>
      <c r="G2119" s="2">
        <v>384.94</v>
      </c>
      <c r="H2119" s="2" t="s">
        <v>13</v>
      </c>
      <c r="I2119" s="2" t="s">
        <v>20</v>
      </c>
    </row>
    <row r="2120" spans="1:9" x14ac:dyDescent="0.35">
      <c r="A2120" s="2" t="s">
        <v>2157</v>
      </c>
      <c r="B2120" s="3">
        <v>45391</v>
      </c>
      <c r="C2120" s="2" t="s">
        <v>10</v>
      </c>
      <c r="D2120" s="2" t="s">
        <v>33</v>
      </c>
      <c r="E2120" s="2" t="s">
        <v>18</v>
      </c>
      <c r="F2120" s="2">
        <v>794.68</v>
      </c>
      <c r="G2120" s="2">
        <v>238.23</v>
      </c>
      <c r="H2120" s="2" t="s">
        <v>13</v>
      </c>
      <c r="I2120" s="2" t="s">
        <v>20</v>
      </c>
    </row>
    <row r="2121" spans="1:9" x14ac:dyDescent="0.35">
      <c r="A2121" s="2" t="s">
        <v>2158</v>
      </c>
      <c r="B2121" s="3">
        <v>45178</v>
      </c>
      <c r="C2121" s="2" t="s">
        <v>22</v>
      </c>
      <c r="D2121" s="2" t="s">
        <v>95</v>
      </c>
      <c r="E2121" s="2" t="s">
        <v>18</v>
      </c>
      <c r="F2121" s="2">
        <v>1336.03</v>
      </c>
      <c r="G2121" s="2">
        <v>253.15</v>
      </c>
      <c r="H2121" s="2" t="s">
        <v>13</v>
      </c>
      <c r="I2121" s="2" t="s">
        <v>34</v>
      </c>
    </row>
    <row r="2122" spans="1:9" x14ac:dyDescent="0.35">
      <c r="A2122" s="2" t="s">
        <v>2159</v>
      </c>
      <c r="B2122" s="3">
        <v>44657</v>
      </c>
      <c r="C2122" s="2" t="s">
        <v>25</v>
      </c>
      <c r="D2122" s="2" t="s">
        <v>95</v>
      </c>
      <c r="E2122" s="2" t="s">
        <v>18</v>
      </c>
      <c r="F2122" s="2">
        <v>1787</v>
      </c>
      <c r="G2122" s="2">
        <v>162.87</v>
      </c>
      <c r="H2122" s="2" t="s">
        <v>13</v>
      </c>
      <c r="I2122" s="2" t="s">
        <v>34</v>
      </c>
    </row>
    <row r="2123" spans="1:9" x14ac:dyDescent="0.35">
      <c r="A2123" s="2" t="s">
        <v>2160</v>
      </c>
      <c r="B2123" s="3">
        <v>45372</v>
      </c>
      <c r="C2123" s="2" t="s">
        <v>10</v>
      </c>
      <c r="D2123" s="2" t="s">
        <v>62</v>
      </c>
      <c r="E2123" s="2" t="s">
        <v>27</v>
      </c>
      <c r="F2123" s="2">
        <v>97.44</v>
      </c>
      <c r="G2123" s="2">
        <v>5.68</v>
      </c>
      <c r="H2123" s="2" t="s">
        <v>28</v>
      </c>
      <c r="I2123" s="2" t="s">
        <v>14</v>
      </c>
    </row>
    <row r="2124" spans="1:9" x14ac:dyDescent="0.35">
      <c r="A2124" s="2" t="s">
        <v>2161</v>
      </c>
      <c r="B2124" s="3">
        <v>45625</v>
      </c>
      <c r="C2124" s="2" t="s">
        <v>16</v>
      </c>
      <c r="D2124" s="2" t="s">
        <v>33</v>
      </c>
      <c r="E2124" s="2" t="s">
        <v>18</v>
      </c>
      <c r="F2124" s="2">
        <v>1217.93</v>
      </c>
      <c r="G2124" s="2">
        <v>298.3</v>
      </c>
      <c r="H2124" s="2" t="s">
        <v>19</v>
      </c>
      <c r="I2124" s="2" t="s">
        <v>20</v>
      </c>
    </row>
    <row r="2125" spans="1:9" x14ac:dyDescent="0.35">
      <c r="A2125" s="2" t="s">
        <v>2162</v>
      </c>
      <c r="B2125" s="3">
        <v>45096</v>
      </c>
      <c r="C2125" s="2" t="s">
        <v>16</v>
      </c>
      <c r="D2125" s="2" t="s">
        <v>62</v>
      </c>
      <c r="E2125" s="2" t="s">
        <v>27</v>
      </c>
      <c r="F2125" s="2">
        <v>422.11</v>
      </c>
      <c r="G2125" s="2">
        <v>88.81</v>
      </c>
      <c r="H2125" s="2" t="s">
        <v>28</v>
      </c>
      <c r="I2125" s="2" t="s">
        <v>34</v>
      </c>
    </row>
    <row r="2126" spans="1:9" x14ac:dyDescent="0.35">
      <c r="A2126" s="2" t="s">
        <v>2163</v>
      </c>
      <c r="B2126" s="3">
        <v>45250</v>
      </c>
      <c r="C2126" s="2" t="s">
        <v>22</v>
      </c>
      <c r="D2126" s="2" t="s">
        <v>17</v>
      </c>
      <c r="E2126" s="2" t="s">
        <v>18</v>
      </c>
      <c r="F2126" s="2">
        <v>1553.89</v>
      </c>
      <c r="G2126" s="2">
        <v>93.98</v>
      </c>
      <c r="H2126" s="2" t="s">
        <v>13</v>
      </c>
      <c r="I2126" s="2" t="s">
        <v>14</v>
      </c>
    </row>
    <row r="2127" spans="1:9" x14ac:dyDescent="0.35">
      <c r="A2127" s="2" t="s">
        <v>2164</v>
      </c>
      <c r="B2127" s="3">
        <v>44564</v>
      </c>
      <c r="C2127" s="2" t="s">
        <v>16</v>
      </c>
      <c r="D2127" s="2" t="s">
        <v>46</v>
      </c>
      <c r="E2127" s="2" t="s">
        <v>18</v>
      </c>
      <c r="F2127" s="2">
        <v>377.93</v>
      </c>
      <c r="G2127" s="2">
        <v>107.27</v>
      </c>
      <c r="H2127" s="2" t="s">
        <v>19</v>
      </c>
      <c r="I2127" s="2" t="s">
        <v>20</v>
      </c>
    </row>
    <row r="2128" spans="1:9" x14ac:dyDescent="0.35">
      <c r="A2128" s="2" t="s">
        <v>2165</v>
      </c>
      <c r="B2128" s="3">
        <v>44800</v>
      </c>
      <c r="C2128" s="2" t="s">
        <v>25</v>
      </c>
      <c r="D2128" s="2" t="s">
        <v>26</v>
      </c>
      <c r="E2128" s="2" t="s">
        <v>27</v>
      </c>
      <c r="F2128" s="2">
        <v>160.78</v>
      </c>
      <c r="G2128" s="2">
        <v>39.5</v>
      </c>
      <c r="H2128" s="2" t="s">
        <v>19</v>
      </c>
      <c r="I2128" s="2" t="s">
        <v>34</v>
      </c>
    </row>
    <row r="2129" spans="1:9" x14ac:dyDescent="0.35">
      <c r="A2129" s="2" t="s">
        <v>2166</v>
      </c>
      <c r="B2129" s="3">
        <v>45548</v>
      </c>
      <c r="C2129" s="2" t="s">
        <v>16</v>
      </c>
      <c r="D2129" s="2" t="s">
        <v>31</v>
      </c>
      <c r="E2129" s="2" t="s">
        <v>12</v>
      </c>
      <c r="F2129" s="2">
        <v>645.76</v>
      </c>
      <c r="G2129" s="2">
        <v>119.15</v>
      </c>
      <c r="H2129" s="2" t="s">
        <v>19</v>
      </c>
      <c r="I2129" s="2" t="s">
        <v>29</v>
      </c>
    </row>
    <row r="2130" spans="1:9" x14ac:dyDescent="0.35">
      <c r="A2130" s="2" t="s">
        <v>2167</v>
      </c>
      <c r="B2130" s="3">
        <v>44990</v>
      </c>
      <c r="C2130" s="2" t="s">
        <v>10</v>
      </c>
      <c r="D2130" s="2" t="s">
        <v>50</v>
      </c>
      <c r="E2130" s="2" t="s">
        <v>12</v>
      </c>
      <c r="F2130" s="2">
        <v>333.65</v>
      </c>
      <c r="G2130" s="2">
        <v>31</v>
      </c>
      <c r="H2130" s="2" t="s">
        <v>28</v>
      </c>
      <c r="I2130" s="2" t="s">
        <v>34</v>
      </c>
    </row>
    <row r="2131" spans="1:9" x14ac:dyDescent="0.35">
      <c r="A2131" s="2" t="s">
        <v>2168</v>
      </c>
      <c r="B2131" s="3">
        <v>44590</v>
      </c>
      <c r="C2131" s="2" t="s">
        <v>10</v>
      </c>
      <c r="D2131" s="2" t="s">
        <v>23</v>
      </c>
      <c r="E2131" s="2" t="s">
        <v>18</v>
      </c>
      <c r="F2131" s="2">
        <v>282.18</v>
      </c>
      <c r="G2131" s="2">
        <v>63.45</v>
      </c>
      <c r="H2131" s="2" t="s">
        <v>19</v>
      </c>
      <c r="I2131" s="2" t="s">
        <v>34</v>
      </c>
    </row>
    <row r="2132" spans="1:9" x14ac:dyDescent="0.35">
      <c r="A2132" s="2" t="s">
        <v>2169</v>
      </c>
      <c r="B2132" s="3">
        <v>44998</v>
      </c>
      <c r="C2132" s="2" t="s">
        <v>22</v>
      </c>
      <c r="D2132" s="2" t="s">
        <v>11</v>
      </c>
      <c r="E2132" s="2" t="s">
        <v>12</v>
      </c>
      <c r="F2132" s="2">
        <v>558.65</v>
      </c>
      <c r="G2132" s="2">
        <v>67.22</v>
      </c>
      <c r="H2132" s="2" t="s">
        <v>28</v>
      </c>
      <c r="I2132" s="2" t="s">
        <v>29</v>
      </c>
    </row>
    <row r="2133" spans="1:9" x14ac:dyDescent="0.35">
      <c r="A2133" s="2" t="s">
        <v>2170</v>
      </c>
      <c r="B2133" s="3">
        <v>44863</v>
      </c>
      <c r="C2133" s="2" t="s">
        <v>10</v>
      </c>
      <c r="D2133" s="2" t="s">
        <v>26</v>
      </c>
      <c r="E2133" s="2" t="s">
        <v>27</v>
      </c>
      <c r="F2133" s="2">
        <v>1479.41</v>
      </c>
      <c r="G2133" s="2">
        <v>100.97</v>
      </c>
      <c r="H2133" s="2" t="s">
        <v>13</v>
      </c>
      <c r="I2133" s="2" t="s">
        <v>20</v>
      </c>
    </row>
    <row r="2134" spans="1:9" x14ac:dyDescent="0.35">
      <c r="A2134" s="2" t="s">
        <v>2171</v>
      </c>
      <c r="B2134" s="3">
        <v>45649</v>
      </c>
      <c r="C2134" s="2" t="s">
        <v>25</v>
      </c>
      <c r="D2134" s="2" t="s">
        <v>38</v>
      </c>
      <c r="E2134" s="2" t="s">
        <v>12</v>
      </c>
      <c r="F2134" s="2">
        <v>1268.5899999999999</v>
      </c>
      <c r="G2134" s="2">
        <v>360.39</v>
      </c>
      <c r="H2134" s="2" t="s">
        <v>28</v>
      </c>
      <c r="I2134" s="2" t="s">
        <v>14</v>
      </c>
    </row>
    <row r="2135" spans="1:9" x14ac:dyDescent="0.35">
      <c r="A2135" s="2" t="s">
        <v>2172</v>
      </c>
      <c r="B2135" s="3">
        <v>44670</v>
      </c>
      <c r="C2135" s="2" t="s">
        <v>25</v>
      </c>
      <c r="D2135" s="2" t="s">
        <v>62</v>
      </c>
      <c r="E2135" s="2" t="s">
        <v>27</v>
      </c>
      <c r="F2135" s="2">
        <v>1411.53</v>
      </c>
      <c r="G2135" s="2">
        <v>392.84</v>
      </c>
      <c r="H2135" s="2" t="s">
        <v>13</v>
      </c>
      <c r="I2135" s="2" t="s">
        <v>20</v>
      </c>
    </row>
    <row r="2136" spans="1:9" x14ac:dyDescent="0.35">
      <c r="A2136" s="2" t="s">
        <v>2173</v>
      </c>
      <c r="B2136" s="3">
        <v>44859</v>
      </c>
      <c r="C2136" s="2" t="s">
        <v>16</v>
      </c>
      <c r="D2136" s="2" t="s">
        <v>50</v>
      </c>
      <c r="E2136" s="2" t="s">
        <v>12</v>
      </c>
      <c r="F2136" s="2">
        <v>1790.74</v>
      </c>
      <c r="G2136" s="2">
        <v>140.29</v>
      </c>
      <c r="H2136" s="2" t="s">
        <v>28</v>
      </c>
      <c r="I2136" s="2" t="s">
        <v>20</v>
      </c>
    </row>
    <row r="2137" spans="1:9" x14ac:dyDescent="0.35">
      <c r="A2137" s="2" t="s">
        <v>2174</v>
      </c>
      <c r="B2137" s="3">
        <v>45094</v>
      </c>
      <c r="C2137" s="2" t="s">
        <v>25</v>
      </c>
      <c r="D2137" s="2" t="s">
        <v>46</v>
      </c>
      <c r="E2137" s="2" t="s">
        <v>18</v>
      </c>
      <c r="F2137" s="2">
        <v>966.56</v>
      </c>
      <c r="G2137" s="2">
        <v>76.39</v>
      </c>
      <c r="H2137" s="2" t="s">
        <v>19</v>
      </c>
      <c r="I2137" s="2" t="s">
        <v>34</v>
      </c>
    </row>
    <row r="2138" spans="1:9" x14ac:dyDescent="0.35">
      <c r="A2138" s="2" t="s">
        <v>2175</v>
      </c>
      <c r="B2138" s="3">
        <v>45459</v>
      </c>
      <c r="C2138" s="2" t="s">
        <v>25</v>
      </c>
      <c r="D2138" s="2" t="s">
        <v>33</v>
      </c>
      <c r="E2138" s="2" t="s">
        <v>18</v>
      </c>
      <c r="F2138" s="2">
        <v>1997.5</v>
      </c>
      <c r="G2138" s="2">
        <v>522.79</v>
      </c>
      <c r="H2138" s="2" t="s">
        <v>28</v>
      </c>
      <c r="I2138" s="2" t="s">
        <v>14</v>
      </c>
    </row>
    <row r="2139" spans="1:9" x14ac:dyDescent="0.35">
      <c r="A2139" s="2" t="s">
        <v>2176</v>
      </c>
      <c r="B2139" s="3">
        <v>45411</v>
      </c>
      <c r="C2139" s="2" t="s">
        <v>16</v>
      </c>
      <c r="D2139" s="2" t="s">
        <v>62</v>
      </c>
      <c r="E2139" s="2" t="s">
        <v>27</v>
      </c>
      <c r="F2139" s="2">
        <v>344.6</v>
      </c>
      <c r="G2139" s="2">
        <v>66</v>
      </c>
      <c r="H2139" s="2" t="s">
        <v>19</v>
      </c>
      <c r="I2139" s="2" t="s">
        <v>14</v>
      </c>
    </row>
    <row r="2140" spans="1:9" x14ac:dyDescent="0.35">
      <c r="A2140" s="2" t="s">
        <v>2177</v>
      </c>
      <c r="B2140" s="3">
        <v>45042</v>
      </c>
      <c r="C2140" s="2" t="s">
        <v>16</v>
      </c>
      <c r="D2140" s="2" t="s">
        <v>46</v>
      </c>
      <c r="E2140" s="2" t="s">
        <v>18</v>
      </c>
      <c r="F2140" s="2">
        <v>64.540000000000006</v>
      </c>
      <c r="G2140" s="2">
        <v>18.72</v>
      </c>
      <c r="H2140" s="2" t="s">
        <v>28</v>
      </c>
      <c r="I2140" s="2" t="s">
        <v>14</v>
      </c>
    </row>
    <row r="2141" spans="1:9" x14ac:dyDescent="0.35">
      <c r="A2141" s="2" t="s">
        <v>2178</v>
      </c>
      <c r="B2141" s="3">
        <v>44766</v>
      </c>
      <c r="C2141" s="2" t="s">
        <v>25</v>
      </c>
      <c r="D2141" s="2" t="s">
        <v>26</v>
      </c>
      <c r="E2141" s="2" t="s">
        <v>27</v>
      </c>
      <c r="F2141" s="2">
        <v>916.81</v>
      </c>
      <c r="G2141" s="2">
        <v>76.010000000000005</v>
      </c>
      <c r="H2141" s="2" t="s">
        <v>13</v>
      </c>
      <c r="I2141" s="2" t="s">
        <v>34</v>
      </c>
    </row>
    <row r="2142" spans="1:9" x14ac:dyDescent="0.35">
      <c r="A2142" s="2" t="s">
        <v>2179</v>
      </c>
      <c r="B2142" s="3">
        <v>45070</v>
      </c>
      <c r="C2142" s="2" t="s">
        <v>10</v>
      </c>
      <c r="D2142" s="2" t="s">
        <v>33</v>
      </c>
      <c r="E2142" s="2" t="s">
        <v>18</v>
      </c>
      <c r="F2142" s="2">
        <v>244.57</v>
      </c>
      <c r="G2142" s="2">
        <v>62.7</v>
      </c>
      <c r="H2142" s="2" t="s">
        <v>28</v>
      </c>
      <c r="I2142" s="2" t="s">
        <v>29</v>
      </c>
    </row>
    <row r="2143" spans="1:9" x14ac:dyDescent="0.35">
      <c r="A2143" s="2" t="s">
        <v>2180</v>
      </c>
      <c r="B2143" s="3">
        <v>44972</v>
      </c>
      <c r="C2143" s="2" t="s">
        <v>16</v>
      </c>
      <c r="D2143" s="2" t="s">
        <v>23</v>
      </c>
      <c r="E2143" s="2" t="s">
        <v>18</v>
      </c>
      <c r="F2143" s="2">
        <v>570.39</v>
      </c>
      <c r="G2143" s="2">
        <v>170.81</v>
      </c>
      <c r="H2143" s="2" t="s">
        <v>19</v>
      </c>
      <c r="I2143" s="2" t="s">
        <v>14</v>
      </c>
    </row>
    <row r="2144" spans="1:9" x14ac:dyDescent="0.35">
      <c r="A2144" s="2" t="s">
        <v>2181</v>
      </c>
      <c r="B2144" s="3">
        <v>44924</v>
      </c>
      <c r="C2144" s="2" t="s">
        <v>10</v>
      </c>
      <c r="D2144" s="2" t="s">
        <v>95</v>
      </c>
      <c r="E2144" s="2" t="s">
        <v>18</v>
      </c>
      <c r="F2144" s="2">
        <v>1052.6099999999999</v>
      </c>
      <c r="G2144" s="2">
        <v>202.59</v>
      </c>
      <c r="H2144" s="2" t="s">
        <v>28</v>
      </c>
      <c r="I2144" s="2" t="s">
        <v>20</v>
      </c>
    </row>
    <row r="2145" spans="1:9" x14ac:dyDescent="0.35">
      <c r="A2145" s="2" t="s">
        <v>2182</v>
      </c>
      <c r="B2145" s="3">
        <v>44827</v>
      </c>
      <c r="C2145" s="2" t="s">
        <v>25</v>
      </c>
      <c r="D2145" s="2" t="s">
        <v>23</v>
      </c>
      <c r="E2145" s="2" t="s">
        <v>18</v>
      </c>
      <c r="F2145" s="2">
        <v>1022.09</v>
      </c>
      <c r="G2145" s="2">
        <v>263.77</v>
      </c>
      <c r="H2145" s="2" t="s">
        <v>13</v>
      </c>
      <c r="I2145" s="2" t="s">
        <v>20</v>
      </c>
    </row>
    <row r="2146" spans="1:9" x14ac:dyDescent="0.35">
      <c r="A2146" s="2" t="s">
        <v>2183</v>
      </c>
      <c r="B2146" s="3">
        <v>45237</v>
      </c>
      <c r="C2146" s="2" t="s">
        <v>22</v>
      </c>
      <c r="D2146" s="2" t="s">
        <v>50</v>
      </c>
      <c r="E2146" s="2" t="s">
        <v>12</v>
      </c>
      <c r="F2146" s="2">
        <v>196.29</v>
      </c>
      <c r="G2146" s="2">
        <v>38.229999999999997</v>
      </c>
      <c r="H2146" s="2" t="s">
        <v>19</v>
      </c>
      <c r="I2146" s="2" t="s">
        <v>29</v>
      </c>
    </row>
    <row r="2147" spans="1:9" x14ac:dyDescent="0.35">
      <c r="A2147" s="2" t="s">
        <v>2184</v>
      </c>
      <c r="B2147" s="3">
        <v>44796</v>
      </c>
      <c r="C2147" s="2" t="s">
        <v>25</v>
      </c>
      <c r="D2147" s="2" t="s">
        <v>33</v>
      </c>
      <c r="E2147" s="2" t="s">
        <v>18</v>
      </c>
      <c r="F2147" s="2">
        <v>850.34</v>
      </c>
      <c r="G2147" s="2">
        <v>233.76</v>
      </c>
      <c r="H2147" s="2" t="s">
        <v>28</v>
      </c>
      <c r="I2147" s="2" t="s">
        <v>14</v>
      </c>
    </row>
    <row r="2148" spans="1:9" x14ac:dyDescent="0.35">
      <c r="A2148" s="2" t="s">
        <v>2185</v>
      </c>
      <c r="B2148" s="3">
        <v>45316</v>
      </c>
      <c r="C2148" s="2" t="s">
        <v>10</v>
      </c>
      <c r="D2148" s="2" t="s">
        <v>62</v>
      </c>
      <c r="E2148" s="2" t="s">
        <v>27</v>
      </c>
      <c r="F2148" s="2">
        <v>1221.02</v>
      </c>
      <c r="G2148" s="2">
        <v>216.96</v>
      </c>
      <c r="H2148" s="2" t="s">
        <v>13</v>
      </c>
      <c r="I2148" s="2" t="s">
        <v>14</v>
      </c>
    </row>
    <row r="2149" spans="1:9" x14ac:dyDescent="0.35">
      <c r="A2149" s="2" t="s">
        <v>2186</v>
      </c>
      <c r="B2149" s="3">
        <v>45032</v>
      </c>
      <c r="C2149" s="2" t="s">
        <v>16</v>
      </c>
      <c r="D2149" s="2" t="s">
        <v>26</v>
      </c>
      <c r="E2149" s="2" t="s">
        <v>27</v>
      </c>
      <c r="F2149" s="2">
        <v>1302.75</v>
      </c>
      <c r="G2149" s="2">
        <v>139.97</v>
      </c>
      <c r="H2149" s="2" t="s">
        <v>13</v>
      </c>
      <c r="I2149" s="2" t="s">
        <v>34</v>
      </c>
    </row>
    <row r="2150" spans="1:9" x14ac:dyDescent="0.35">
      <c r="A2150" s="2" t="s">
        <v>2187</v>
      </c>
      <c r="B2150" s="3">
        <v>45306</v>
      </c>
      <c r="C2150" s="2" t="s">
        <v>22</v>
      </c>
      <c r="D2150" s="2" t="s">
        <v>62</v>
      </c>
      <c r="E2150" s="2" t="s">
        <v>27</v>
      </c>
      <c r="F2150" s="2">
        <v>518.05999999999995</v>
      </c>
      <c r="G2150" s="2">
        <v>119.15</v>
      </c>
      <c r="H2150" s="2" t="s">
        <v>19</v>
      </c>
      <c r="I2150" s="2" t="s">
        <v>29</v>
      </c>
    </row>
    <row r="2151" spans="1:9" x14ac:dyDescent="0.35">
      <c r="A2151" s="2" t="s">
        <v>2188</v>
      </c>
      <c r="B2151" s="3">
        <v>44797</v>
      </c>
      <c r="C2151" s="2" t="s">
        <v>16</v>
      </c>
      <c r="D2151" s="2" t="s">
        <v>46</v>
      </c>
      <c r="E2151" s="2" t="s">
        <v>18</v>
      </c>
      <c r="F2151" s="2">
        <v>1601.78</v>
      </c>
      <c r="G2151" s="2">
        <v>410.94</v>
      </c>
      <c r="H2151" s="2" t="s">
        <v>28</v>
      </c>
      <c r="I2151" s="2" t="s">
        <v>20</v>
      </c>
    </row>
    <row r="2152" spans="1:9" x14ac:dyDescent="0.35">
      <c r="A2152" s="2" t="s">
        <v>2189</v>
      </c>
      <c r="B2152" s="3">
        <v>45517</v>
      </c>
      <c r="C2152" s="2" t="s">
        <v>10</v>
      </c>
      <c r="D2152" s="2" t="s">
        <v>41</v>
      </c>
      <c r="E2152" s="2" t="s">
        <v>12</v>
      </c>
      <c r="F2152" s="2">
        <v>1021.8</v>
      </c>
      <c r="G2152" s="2">
        <v>124.97</v>
      </c>
      <c r="H2152" s="2" t="s">
        <v>13</v>
      </c>
      <c r="I2152" s="2" t="s">
        <v>29</v>
      </c>
    </row>
    <row r="2153" spans="1:9" x14ac:dyDescent="0.35">
      <c r="A2153" s="2" t="s">
        <v>2190</v>
      </c>
      <c r="B2153" s="3">
        <v>44922</v>
      </c>
      <c r="C2153" s="2" t="s">
        <v>10</v>
      </c>
      <c r="D2153" s="2" t="s">
        <v>73</v>
      </c>
      <c r="E2153" s="2" t="s">
        <v>27</v>
      </c>
      <c r="F2153" s="2">
        <v>199.59</v>
      </c>
      <c r="G2153" s="2">
        <v>27.09</v>
      </c>
      <c r="H2153" s="2" t="s">
        <v>13</v>
      </c>
      <c r="I2153" s="2" t="s">
        <v>29</v>
      </c>
    </row>
    <row r="2154" spans="1:9" x14ac:dyDescent="0.35">
      <c r="A2154" s="2" t="s">
        <v>2191</v>
      </c>
      <c r="B2154" s="3">
        <v>45092</v>
      </c>
      <c r="C2154" s="2" t="s">
        <v>22</v>
      </c>
      <c r="D2154" s="2" t="s">
        <v>62</v>
      </c>
      <c r="E2154" s="2" t="s">
        <v>27</v>
      </c>
      <c r="F2154" s="2">
        <v>219.09</v>
      </c>
      <c r="G2154" s="2">
        <v>48.64</v>
      </c>
      <c r="H2154" s="2" t="s">
        <v>13</v>
      </c>
      <c r="I2154" s="2" t="s">
        <v>34</v>
      </c>
    </row>
    <row r="2155" spans="1:9" x14ac:dyDescent="0.35">
      <c r="A2155" s="2" t="s">
        <v>2192</v>
      </c>
      <c r="B2155" s="3">
        <v>45455</v>
      </c>
      <c r="C2155" s="2" t="s">
        <v>10</v>
      </c>
      <c r="D2155" s="2" t="s">
        <v>31</v>
      </c>
      <c r="E2155" s="2" t="s">
        <v>12</v>
      </c>
      <c r="F2155" s="2">
        <v>1144.72</v>
      </c>
      <c r="G2155" s="2">
        <v>267.14999999999998</v>
      </c>
      <c r="H2155" s="2" t="s">
        <v>13</v>
      </c>
      <c r="I2155" s="2" t="s">
        <v>20</v>
      </c>
    </row>
    <row r="2156" spans="1:9" x14ac:dyDescent="0.35">
      <c r="A2156" s="2" t="s">
        <v>2193</v>
      </c>
      <c r="B2156" s="3">
        <v>44733</v>
      </c>
      <c r="C2156" s="2" t="s">
        <v>22</v>
      </c>
      <c r="D2156" s="2" t="s">
        <v>11</v>
      </c>
      <c r="E2156" s="2" t="s">
        <v>12</v>
      </c>
      <c r="F2156" s="2">
        <v>1263.8</v>
      </c>
      <c r="G2156" s="2">
        <v>345.46</v>
      </c>
      <c r="H2156" s="2" t="s">
        <v>19</v>
      </c>
      <c r="I2156" s="2" t="s">
        <v>14</v>
      </c>
    </row>
    <row r="2157" spans="1:9" x14ac:dyDescent="0.35">
      <c r="A2157" s="2" t="s">
        <v>2194</v>
      </c>
      <c r="B2157" s="3">
        <v>45052</v>
      </c>
      <c r="C2157" s="2" t="s">
        <v>16</v>
      </c>
      <c r="D2157" s="2" t="s">
        <v>38</v>
      </c>
      <c r="E2157" s="2" t="s">
        <v>12</v>
      </c>
      <c r="F2157" s="2">
        <v>1561.43</v>
      </c>
      <c r="G2157" s="2">
        <v>311.63</v>
      </c>
      <c r="H2157" s="2" t="s">
        <v>28</v>
      </c>
      <c r="I2157" s="2" t="s">
        <v>14</v>
      </c>
    </row>
    <row r="2158" spans="1:9" x14ac:dyDescent="0.35">
      <c r="A2158" s="2" t="s">
        <v>2195</v>
      </c>
      <c r="B2158" s="3">
        <v>44786</v>
      </c>
      <c r="C2158" s="2" t="s">
        <v>25</v>
      </c>
      <c r="D2158" s="2" t="s">
        <v>46</v>
      </c>
      <c r="E2158" s="2" t="s">
        <v>18</v>
      </c>
      <c r="F2158" s="2">
        <v>121.86</v>
      </c>
      <c r="G2158" s="2">
        <v>9.34</v>
      </c>
      <c r="H2158" s="2" t="s">
        <v>13</v>
      </c>
      <c r="I2158" s="2" t="s">
        <v>34</v>
      </c>
    </row>
    <row r="2159" spans="1:9" x14ac:dyDescent="0.35">
      <c r="A2159" s="2" t="s">
        <v>2196</v>
      </c>
      <c r="B2159" s="3">
        <v>45487</v>
      </c>
      <c r="C2159" s="2" t="s">
        <v>16</v>
      </c>
      <c r="D2159" s="2" t="s">
        <v>95</v>
      </c>
      <c r="E2159" s="2" t="s">
        <v>18</v>
      </c>
      <c r="F2159" s="2">
        <v>1427.78</v>
      </c>
      <c r="G2159" s="2">
        <v>217.03</v>
      </c>
      <c r="H2159" s="2" t="s">
        <v>28</v>
      </c>
      <c r="I2159" s="2" t="s">
        <v>29</v>
      </c>
    </row>
    <row r="2160" spans="1:9" x14ac:dyDescent="0.35">
      <c r="A2160" s="2" t="s">
        <v>2197</v>
      </c>
      <c r="B2160" s="3">
        <v>45640</v>
      </c>
      <c r="C2160" s="2" t="s">
        <v>16</v>
      </c>
      <c r="D2160" s="2" t="s">
        <v>50</v>
      </c>
      <c r="E2160" s="2" t="s">
        <v>12</v>
      </c>
      <c r="F2160" s="2">
        <v>1103.07</v>
      </c>
      <c r="G2160" s="2">
        <v>278.62</v>
      </c>
      <c r="H2160" s="2" t="s">
        <v>13</v>
      </c>
      <c r="I2160" s="2" t="s">
        <v>14</v>
      </c>
    </row>
    <row r="2161" spans="1:9" x14ac:dyDescent="0.35">
      <c r="A2161" s="2" t="s">
        <v>2198</v>
      </c>
      <c r="B2161" s="3">
        <v>44920</v>
      </c>
      <c r="C2161" s="2" t="s">
        <v>10</v>
      </c>
      <c r="D2161" s="2" t="s">
        <v>33</v>
      </c>
      <c r="E2161" s="2" t="s">
        <v>18</v>
      </c>
      <c r="F2161" s="2">
        <v>1191.3699999999999</v>
      </c>
      <c r="G2161" s="2">
        <v>279.64</v>
      </c>
      <c r="H2161" s="2" t="s">
        <v>13</v>
      </c>
      <c r="I2161" s="2" t="s">
        <v>34</v>
      </c>
    </row>
    <row r="2162" spans="1:9" x14ac:dyDescent="0.35">
      <c r="A2162" s="2" t="s">
        <v>2199</v>
      </c>
      <c r="B2162" s="3">
        <v>44778</v>
      </c>
      <c r="C2162" s="2" t="s">
        <v>22</v>
      </c>
      <c r="D2162" s="2" t="s">
        <v>50</v>
      </c>
      <c r="E2162" s="2" t="s">
        <v>12</v>
      </c>
      <c r="F2162" s="2">
        <v>1254.5899999999999</v>
      </c>
      <c r="G2162" s="2">
        <v>117.9</v>
      </c>
      <c r="H2162" s="2" t="s">
        <v>19</v>
      </c>
      <c r="I2162" s="2" t="s">
        <v>14</v>
      </c>
    </row>
    <row r="2163" spans="1:9" x14ac:dyDescent="0.35">
      <c r="A2163" s="2" t="s">
        <v>2200</v>
      </c>
      <c r="B2163" s="3">
        <v>45485</v>
      </c>
      <c r="C2163" s="2" t="s">
        <v>22</v>
      </c>
      <c r="D2163" s="2" t="s">
        <v>23</v>
      </c>
      <c r="E2163" s="2" t="s">
        <v>18</v>
      </c>
      <c r="F2163" s="2">
        <v>887.65</v>
      </c>
      <c r="G2163" s="2">
        <v>128.37</v>
      </c>
      <c r="H2163" s="2" t="s">
        <v>19</v>
      </c>
      <c r="I2163" s="2" t="s">
        <v>29</v>
      </c>
    </row>
    <row r="2164" spans="1:9" x14ac:dyDescent="0.35">
      <c r="A2164" s="2" t="s">
        <v>2201</v>
      </c>
      <c r="B2164" s="3">
        <v>44709</v>
      </c>
      <c r="C2164" s="2" t="s">
        <v>22</v>
      </c>
      <c r="D2164" s="2" t="s">
        <v>62</v>
      </c>
      <c r="E2164" s="2" t="s">
        <v>27</v>
      </c>
      <c r="F2164" s="2">
        <v>468.5</v>
      </c>
      <c r="G2164" s="2">
        <v>125.41</v>
      </c>
      <c r="H2164" s="2" t="s">
        <v>13</v>
      </c>
      <c r="I2164" s="2" t="s">
        <v>14</v>
      </c>
    </row>
    <row r="2165" spans="1:9" x14ac:dyDescent="0.35">
      <c r="A2165" s="2" t="s">
        <v>2202</v>
      </c>
      <c r="B2165" s="3">
        <v>44876</v>
      </c>
      <c r="C2165" s="2" t="s">
        <v>25</v>
      </c>
      <c r="D2165" s="2" t="s">
        <v>41</v>
      </c>
      <c r="E2165" s="2" t="s">
        <v>12</v>
      </c>
      <c r="F2165" s="2">
        <v>1499.54</v>
      </c>
      <c r="G2165" s="2">
        <v>230.32</v>
      </c>
      <c r="H2165" s="2" t="s">
        <v>19</v>
      </c>
      <c r="I2165" s="2" t="s">
        <v>20</v>
      </c>
    </row>
    <row r="2166" spans="1:9" x14ac:dyDescent="0.35">
      <c r="A2166" s="2" t="s">
        <v>2203</v>
      </c>
      <c r="B2166" s="3">
        <v>45510</v>
      </c>
      <c r="C2166" s="2" t="s">
        <v>25</v>
      </c>
      <c r="D2166" s="2" t="s">
        <v>95</v>
      </c>
      <c r="E2166" s="2" t="s">
        <v>18</v>
      </c>
      <c r="F2166" s="2">
        <v>492.43</v>
      </c>
      <c r="G2166" s="2">
        <v>116.05</v>
      </c>
      <c r="H2166" s="2" t="s">
        <v>13</v>
      </c>
      <c r="I2166" s="2" t="s">
        <v>20</v>
      </c>
    </row>
    <row r="2167" spans="1:9" x14ac:dyDescent="0.35">
      <c r="A2167" s="2" t="s">
        <v>2204</v>
      </c>
      <c r="B2167" s="3">
        <v>44605</v>
      </c>
      <c r="C2167" s="2" t="s">
        <v>10</v>
      </c>
      <c r="D2167" s="2" t="s">
        <v>33</v>
      </c>
      <c r="E2167" s="2" t="s">
        <v>18</v>
      </c>
      <c r="F2167" s="2">
        <v>1732.77</v>
      </c>
      <c r="G2167" s="2">
        <v>488.24</v>
      </c>
      <c r="H2167" s="2" t="s">
        <v>28</v>
      </c>
      <c r="I2167" s="2" t="s">
        <v>29</v>
      </c>
    </row>
    <row r="2168" spans="1:9" x14ac:dyDescent="0.35">
      <c r="A2168" s="2" t="s">
        <v>2205</v>
      </c>
      <c r="B2168" s="3">
        <v>45199</v>
      </c>
      <c r="C2168" s="2" t="s">
        <v>16</v>
      </c>
      <c r="D2168" s="2" t="s">
        <v>97</v>
      </c>
      <c r="E2168" s="2" t="s">
        <v>27</v>
      </c>
      <c r="F2168" s="2">
        <v>1441.25</v>
      </c>
      <c r="G2168" s="2">
        <v>102.91</v>
      </c>
      <c r="H2168" s="2" t="s">
        <v>13</v>
      </c>
      <c r="I2168" s="2" t="s">
        <v>34</v>
      </c>
    </row>
    <row r="2169" spans="1:9" x14ac:dyDescent="0.35">
      <c r="A2169" s="2" t="s">
        <v>2206</v>
      </c>
      <c r="B2169" s="3">
        <v>45190</v>
      </c>
      <c r="C2169" s="2" t="s">
        <v>25</v>
      </c>
      <c r="D2169" s="2" t="s">
        <v>11</v>
      </c>
      <c r="E2169" s="2" t="s">
        <v>12</v>
      </c>
      <c r="F2169" s="2">
        <v>1956.34</v>
      </c>
      <c r="G2169" s="2">
        <v>424.5</v>
      </c>
      <c r="H2169" s="2" t="s">
        <v>19</v>
      </c>
      <c r="I2169" s="2" t="s">
        <v>29</v>
      </c>
    </row>
    <row r="2170" spans="1:9" x14ac:dyDescent="0.35">
      <c r="A2170" s="2" t="s">
        <v>2207</v>
      </c>
      <c r="B2170" s="3">
        <v>44987</v>
      </c>
      <c r="C2170" s="2" t="s">
        <v>16</v>
      </c>
      <c r="D2170" s="2" t="s">
        <v>97</v>
      </c>
      <c r="E2170" s="2" t="s">
        <v>27</v>
      </c>
      <c r="F2170" s="2">
        <v>1582.89</v>
      </c>
      <c r="G2170" s="2">
        <v>367.67</v>
      </c>
      <c r="H2170" s="2" t="s">
        <v>19</v>
      </c>
      <c r="I2170" s="2" t="s">
        <v>29</v>
      </c>
    </row>
    <row r="2171" spans="1:9" x14ac:dyDescent="0.35">
      <c r="A2171" s="2" t="s">
        <v>2208</v>
      </c>
      <c r="B2171" s="3">
        <v>45590</v>
      </c>
      <c r="C2171" s="2" t="s">
        <v>25</v>
      </c>
      <c r="D2171" s="2" t="s">
        <v>31</v>
      </c>
      <c r="E2171" s="2" t="s">
        <v>12</v>
      </c>
      <c r="F2171" s="2">
        <v>1093.33</v>
      </c>
      <c r="G2171" s="2">
        <v>277.97000000000003</v>
      </c>
      <c r="H2171" s="2" t="s">
        <v>28</v>
      </c>
      <c r="I2171" s="2" t="s">
        <v>20</v>
      </c>
    </row>
    <row r="2172" spans="1:9" x14ac:dyDescent="0.35">
      <c r="A2172" s="2" t="s">
        <v>2209</v>
      </c>
      <c r="B2172" s="3">
        <v>45553</v>
      </c>
      <c r="C2172" s="2" t="s">
        <v>16</v>
      </c>
      <c r="D2172" s="2" t="s">
        <v>95</v>
      </c>
      <c r="E2172" s="2" t="s">
        <v>18</v>
      </c>
      <c r="F2172" s="2">
        <v>1376.89</v>
      </c>
      <c r="G2172" s="2">
        <v>303.05</v>
      </c>
      <c r="H2172" s="2" t="s">
        <v>28</v>
      </c>
      <c r="I2172" s="2" t="s">
        <v>29</v>
      </c>
    </row>
    <row r="2173" spans="1:9" x14ac:dyDescent="0.35">
      <c r="A2173" s="2" t="s">
        <v>2210</v>
      </c>
      <c r="B2173" s="3">
        <v>45609</v>
      </c>
      <c r="C2173" s="2" t="s">
        <v>16</v>
      </c>
      <c r="D2173" s="2" t="s">
        <v>41</v>
      </c>
      <c r="E2173" s="2" t="s">
        <v>12</v>
      </c>
      <c r="F2173" s="2">
        <v>1826.06</v>
      </c>
      <c r="G2173" s="2">
        <v>311.73</v>
      </c>
      <c r="H2173" s="2" t="s">
        <v>13</v>
      </c>
      <c r="I2173" s="2" t="s">
        <v>20</v>
      </c>
    </row>
    <row r="2174" spans="1:9" x14ac:dyDescent="0.35">
      <c r="A2174" s="2" t="s">
        <v>2211</v>
      </c>
      <c r="B2174" s="3">
        <v>45575</v>
      </c>
      <c r="C2174" s="2" t="s">
        <v>16</v>
      </c>
      <c r="D2174" s="2" t="s">
        <v>62</v>
      </c>
      <c r="E2174" s="2" t="s">
        <v>27</v>
      </c>
      <c r="F2174" s="2">
        <v>1620.16</v>
      </c>
      <c r="G2174" s="2">
        <v>297.57</v>
      </c>
      <c r="H2174" s="2" t="s">
        <v>13</v>
      </c>
      <c r="I2174" s="2" t="s">
        <v>14</v>
      </c>
    </row>
    <row r="2175" spans="1:9" x14ac:dyDescent="0.35">
      <c r="A2175" s="2" t="s">
        <v>2212</v>
      </c>
      <c r="B2175" s="3">
        <v>45490</v>
      </c>
      <c r="C2175" s="2" t="s">
        <v>10</v>
      </c>
      <c r="D2175" s="2" t="s">
        <v>95</v>
      </c>
      <c r="E2175" s="2" t="s">
        <v>18</v>
      </c>
      <c r="F2175" s="2">
        <v>602.89</v>
      </c>
      <c r="G2175" s="2">
        <v>106.56</v>
      </c>
      <c r="H2175" s="2" t="s">
        <v>13</v>
      </c>
      <c r="I2175" s="2" t="s">
        <v>14</v>
      </c>
    </row>
    <row r="2176" spans="1:9" x14ac:dyDescent="0.35">
      <c r="A2176" s="2" t="s">
        <v>2213</v>
      </c>
      <c r="B2176" s="3">
        <v>45086</v>
      </c>
      <c r="C2176" s="2" t="s">
        <v>16</v>
      </c>
      <c r="D2176" s="2" t="s">
        <v>95</v>
      </c>
      <c r="E2176" s="2" t="s">
        <v>18</v>
      </c>
      <c r="F2176" s="2">
        <v>1130.47</v>
      </c>
      <c r="G2176" s="2">
        <v>298.14999999999998</v>
      </c>
      <c r="H2176" s="2" t="s">
        <v>28</v>
      </c>
      <c r="I2176" s="2" t="s">
        <v>20</v>
      </c>
    </row>
    <row r="2177" spans="1:9" x14ac:dyDescent="0.35">
      <c r="A2177" s="2" t="s">
        <v>2214</v>
      </c>
      <c r="B2177" s="3">
        <v>44751</v>
      </c>
      <c r="C2177" s="2" t="s">
        <v>16</v>
      </c>
      <c r="D2177" s="2" t="s">
        <v>62</v>
      </c>
      <c r="E2177" s="2" t="s">
        <v>27</v>
      </c>
      <c r="F2177" s="2">
        <v>715.49</v>
      </c>
      <c r="G2177" s="2">
        <v>68.73</v>
      </c>
      <c r="H2177" s="2" t="s">
        <v>19</v>
      </c>
      <c r="I2177" s="2" t="s">
        <v>29</v>
      </c>
    </row>
    <row r="2178" spans="1:9" x14ac:dyDescent="0.35">
      <c r="A2178" s="2" t="s">
        <v>2215</v>
      </c>
      <c r="B2178" s="3">
        <v>45094</v>
      </c>
      <c r="C2178" s="2" t="s">
        <v>22</v>
      </c>
      <c r="D2178" s="2" t="s">
        <v>62</v>
      </c>
      <c r="E2178" s="2" t="s">
        <v>27</v>
      </c>
      <c r="F2178" s="2">
        <v>1292.0999999999999</v>
      </c>
      <c r="G2178" s="2">
        <v>345.3</v>
      </c>
      <c r="H2178" s="2" t="s">
        <v>19</v>
      </c>
      <c r="I2178" s="2" t="s">
        <v>34</v>
      </c>
    </row>
    <row r="2179" spans="1:9" x14ac:dyDescent="0.35">
      <c r="A2179" s="2" t="s">
        <v>2216</v>
      </c>
      <c r="B2179" s="3">
        <v>45258</v>
      </c>
      <c r="C2179" s="2" t="s">
        <v>10</v>
      </c>
      <c r="D2179" s="2" t="s">
        <v>73</v>
      </c>
      <c r="E2179" s="2" t="s">
        <v>27</v>
      </c>
      <c r="F2179" s="2">
        <v>1583.05</v>
      </c>
      <c r="G2179" s="2">
        <v>203.3</v>
      </c>
      <c r="H2179" s="2" t="s">
        <v>13</v>
      </c>
      <c r="I2179" s="2" t="s">
        <v>29</v>
      </c>
    </row>
    <row r="2180" spans="1:9" x14ac:dyDescent="0.35">
      <c r="A2180" s="2" t="s">
        <v>2217</v>
      </c>
      <c r="B2180" s="3">
        <v>45192</v>
      </c>
      <c r="C2180" s="2" t="s">
        <v>10</v>
      </c>
      <c r="D2180" s="2" t="s">
        <v>46</v>
      </c>
      <c r="E2180" s="2" t="s">
        <v>18</v>
      </c>
      <c r="F2180" s="2">
        <v>771.75</v>
      </c>
      <c r="G2180" s="2">
        <v>202.05</v>
      </c>
      <c r="H2180" s="2" t="s">
        <v>13</v>
      </c>
      <c r="I2180" s="2" t="s">
        <v>14</v>
      </c>
    </row>
    <row r="2181" spans="1:9" x14ac:dyDescent="0.35">
      <c r="A2181" s="2" t="s">
        <v>2218</v>
      </c>
      <c r="B2181" s="3">
        <v>44775</v>
      </c>
      <c r="C2181" s="2" t="s">
        <v>25</v>
      </c>
      <c r="D2181" s="2" t="s">
        <v>57</v>
      </c>
      <c r="E2181" s="2" t="s">
        <v>27</v>
      </c>
      <c r="F2181" s="2">
        <v>682.3</v>
      </c>
      <c r="G2181" s="2">
        <v>134.57</v>
      </c>
      <c r="H2181" s="2" t="s">
        <v>28</v>
      </c>
      <c r="I2181" s="2" t="s">
        <v>29</v>
      </c>
    </row>
    <row r="2182" spans="1:9" x14ac:dyDescent="0.35">
      <c r="A2182" s="2" t="s">
        <v>2219</v>
      </c>
      <c r="B2182" s="3">
        <v>45006</v>
      </c>
      <c r="C2182" s="2" t="s">
        <v>25</v>
      </c>
      <c r="D2182" s="2" t="s">
        <v>17</v>
      </c>
      <c r="E2182" s="2" t="s">
        <v>18</v>
      </c>
      <c r="F2182" s="2">
        <v>717.46</v>
      </c>
      <c r="G2182" s="2">
        <v>194.33</v>
      </c>
      <c r="H2182" s="2" t="s">
        <v>19</v>
      </c>
      <c r="I2182" s="2" t="s">
        <v>29</v>
      </c>
    </row>
    <row r="2183" spans="1:9" x14ac:dyDescent="0.35">
      <c r="A2183" s="2" t="s">
        <v>2220</v>
      </c>
      <c r="B2183" s="3">
        <v>44847</v>
      </c>
      <c r="C2183" s="2" t="s">
        <v>10</v>
      </c>
      <c r="D2183" s="2" t="s">
        <v>50</v>
      </c>
      <c r="E2183" s="2" t="s">
        <v>12</v>
      </c>
      <c r="F2183" s="2">
        <v>536.63</v>
      </c>
      <c r="G2183" s="2">
        <v>120.1</v>
      </c>
      <c r="H2183" s="2" t="s">
        <v>28</v>
      </c>
      <c r="I2183" s="2" t="s">
        <v>20</v>
      </c>
    </row>
    <row r="2184" spans="1:9" x14ac:dyDescent="0.35">
      <c r="A2184" s="2" t="s">
        <v>2221</v>
      </c>
      <c r="B2184" s="3">
        <v>45280</v>
      </c>
      <c r="C2184" s="2" t="s">
        <v>16</v>
      </c>
      <c r="D2184" s="2" t="s">
        <v>57</v>
      </c>
      <c r="E2184" s="2" t="s">
        <v>27</v>
      </c>
      <c r="F2184" s="2">
        <v>123.74</v>
      </c>
      <c r="G2184" s="2">
        <v>12.3</v>
      </c>
      <c r="H2184" s="2" t="s">
        <v>13</v>
      </c>
      <c r="I2184" s="2" t="s">
        <v>20</v>
      </c>
    </row>
    <row r="2185" spans="1:9" x14ac:dyDescent="0.35">
      <c r="A2185" s="2" t="s">
        <v>2222</v>
      </c>
      <c r="B2185" s="3">
        <v>45006</v>
      </c>
      <c r="C2185" s="2" t="s">
        <v>10</v>
      </c>
      <c r="D2185" s="2" t="s">
        <v>11</v>
      </c>
      <c r="E2185" s="2" t="s">
        <v>12</v>
      </c>
      <c r="F2185" s="2">
        <v>204.3</v>
      </c>
      <c r="G2185" s="2">
        <v>12.51</v>
      </c>
      <c r="H2185" s="2" t="s">
        <v>28</v>
      </c>
      <c r="I2185" s="2" t="s">
        <v>14</v>
      </c>
    </row>
    <row r="2186" spans="1:9" x14ac:dyDescent="0.35">
      <c r="A2186" s="2" t="s">
        <v>2223</v>
      </c>
      <c r="B2186" s="3">
        <v>45510</v>
      </c>
      <c r="C2186" s="2" t="s">
        <v>16</v>
      </c>
      <c r="D2186" s="2" t="s">
        <v>46</v>
      </c>
      <c r="E2186" s="2" t="s">
        <v>18</v>
      </c>
      <c r="F2186" s="2">
        <v>1007.53</v>
      </c>
      <c r="G2186" s="2">
        <v>122.27</v>
      </c>
      <c r="H2186" s="2" t="s">
        <v>19</v>
      </c>
      <c r="I2186" s="2" t="s">
        <v>14</v>
      </c>
    </row>
    <row r="2187" spans="1:9" x14ac:dyDescent="0.35">
      <c r="A2187" s="2" t="s">
        <v>2224</v>
      </c>
      <c r="B2187" s="3">
        <v>44824</v>
      </c>
      <c r="C2187" s="2" t="s">
        <v>22</v>
      </c>
      <c r="D2187" s="2" t="s">
        <v>95</v>
      </c>
      <c r="E2187" s="2" t="s">
        <v>18</v>
      </c>
      <c r="F2187" s="2">
        <v>1239.21</v>
      </c>
      <c r="G2187" s="2">
        <v>111.85</v>
      </c>
      <c r="H2187" s="2" t="s">
        <v>19</v>
      </c>
      <c r="I2187" s="2" t="s">
        <v>34</v>
      </c>
    </row>
    <row r="2188" spans="1:9" x14ac:dyDescent="0.35">
      <c r="A2188" s="2" t="s">
        <v>2225</v>
      </c>
      <c r="B2188" s="3">
        <v>45476</v>
      </c>
      <c r="C2188" s="2" t="s">
        <v>25</v>
      </c>
      <c r="D2188" s="2" t="s">
        <v>38</v>
      </c>
      <c r="E2188" s="2" t="s">
        <v>12</v>
      </c>
      <c r="F2188" s="2">
        <v>1669.41</v>
      </c>
      <c r="G2188" s="2">
        <v>135.35</v>
      </c>
      <c r="H2188" s="2" t="s">
        <v>28</v>
      </c>
      <c r="I2188" s="2" t="s">
        <v>34</v>
      </c>
    </row>
    <row r="2189" spans="1:9" x14ac:dyDescent="0.35">
      <c r="A2189" s="2" t="s">
        <v>2226</v>
      </c>
      <c r="B2189" s="3">
        <v>45475</v>
      </c>
      <c r="C2189" s="2" t="s">
        <v>16</v>
      </c>
      <c r="D2189" s="2" t="s">
        <v>95</v>
      </c>
      <c r="E2189" s="2" t="s">
        <v>18</v>
      </c>
      <c r="F2189" s="2">
        <v>324.27</v>
      </c>
      <c r="G2189" s="2">
        <v>77.11</v>
      </c>
      <c r="H2189" s="2" t="s">
        <v>13</v>
      </c>
      <c r="I2189" s="2" t="s">
        <v>14</v>
      </c>
    </row>
    <row r="2190" spans="1:9" x14ac:dyDescent="0.35">
      <c r="A2190" s="2" t="s">
        <v>2227</v>
      </c>
      <c r="B2190" s="3">
        <v>45242</v>
      </c>
      <c r="C2190" s="2" t="s">
        <v>22</v>
      </c>
      <c r="D2190" s="2" t="s">
        <v>95</v>
      </c>
      <c r="E2190" s="2" t="s">
        <v>18</v>
      </c>
      <c r="F2190" s="2">
        <v>1765.88</v>
      </c>
      <c r="G2190" s="2">
        <v>172.46</v>
      </c>
      <c r="H2190" s="2" t="s">
        <v>13</v>
      </c>
      <c r="I2190" s="2" t="s">
        <v>29</v>
      </c>
    </row>
    <row r="2191" spans="1:9" x14ac:dyDescent="0.35">
      <c r="A2191" s="2" t="s">
        <v>2228</v>
      </c>
      <c r="B2191" s="3">
        <v>45278</v>
      </c>
      <c r="C2191" s="2" t="s">
        <v>25</v>
      </c>
      <c r="D2191" s="2" t="s">
        <v>73</v>
      </c>
      <c r="E2191" s="2" t="s">
        <v>27</v>
      </c>
      <c r="F2191" s="2">
        <v>1793.91</v>
      </c>
      <c r="G2191" s="2">
        <v>278.20999999999998</v>
      </c>
      <c r="H2191" s="2" t="s">
        <v>28</v>
      </c>
      <c r="I2191" s="2" t="s">
        <v>29</v>
      </c>
    </row>
    <row r="2192" spans="1:9" x14ac:dyDescent="0.35">
      <c r="A2192" s="2" t="s">
        <v>2229</v>
      </c>
      <c r="B2192" s="3">
        <v>44717</v>
      </c>
      <c r="C2192" s="2" t="s">
        <v>16</v>
      </c>
      <c r="D2192" s="2" t="s">
        <v>31</v>
      </c>
      <c r="E2192" s="2" t="s">
        <v>12</v>
      </c>
      <c r="F2192" s="2">
        <v>1941.05</v>
      </c>
      <c r="G2192" s="2">
        <v>144.34</v>
      </c>
      <c r="H2192" s="2" t="s">
        <v>28</v>
      </c>
      <c r="I2192" s="2" t="s">
        <v>29</v>
      </c>
    </row>
    <row r="2193" spans="1:9" x14ac:dyDescent="0.35">
      <c r="A2193" s="2" t="s">
        <v>2230</v>
      </c>
      <c r="B2193" s="3">
        <v>44597</v>
      </c>
      <c r="C2193" s="2" t="s">
        <v>16</v>
      </c>
      <c r="D2193" s="2" t="s">
        <v>73</v>
      </c>
      <c r="E2193" s="2" t="s">
        <v>27</v>
      </c>
      <c r="F2193" s="2">
        <v>1173.8499999999999</v>
      </c>
      <c r="G2193" s="2">
        <v>180.07</v>
      </c>
      <c r="H2193" s="2" t="s">
        <v>19</v>
      </c>
      <c r="I2193" s="2" t="s">
        <v>29</v>
      </c>
    </row>
    <row r="2194" spans="1:9" x14ac:dyDescent="0.35">
      <c r="A2194" s="2" t="s">
        <v>2231</v>
      </c>
      <c r="B2194" s="3">
        <v>44700</v>
      </c>
      <c r="C2194" s="2" t="s">
        <v>25</v>
      </c>
      <c r="D2194" s="2" t="s">
        <v>62</v>
      </c>
      <c r="E2194" s="2" t="s">
        <v>27</v>
      </c>
      <c r="F2194" s="2">
        <v>524.49</v>
      </c>
      <c r="G2194" s="2">
        <v>100.94</v>
      </c>
      <c r="H2194" s="2" t="s">
        <v>28</v>
      </c>
      <c r="I2194" s="2" t="s">
        <v>20</v>
      </c>
    </row>
    <row r="2195" spans="1:9" x14ac:dyDescent="0.35">
      <c r="A2195" s="2" t="s">
        <v>2232</v>
      </c>
      <c r="B2195" s="3">
        <v>44852</v>
      </c>
      <c r="C2195" s="2" t="s">
        <v>10</v>
      </c>
      <c r="D2195" s="2" t="s">
        <v>23</v>
      </c>
      <c r="E2195" s="2" t="s">
        <v>18</v>
      </c>
      <c r="F2195" s="2">
        <v>354.73</v>
      </c>
      <c r="G2195" s="2">
        <v>24.55</v>
      </c>
      <c r="H2195" s="2" t="s">
        <v>13</v>
      </c>
      <c r="I2195" s="2" t="s">
        <v>34</v>
      </c>
    </row>
    <row r="2196" spans="1:9" x14ac:dyDescent="0.35">
      <c r="A2196" s="2" t="s">
        <v>2233</v>
      </c>
      <c r="B2196" s="3">
        <v>45154</v>
      </c>
      <c r="C2196" s="2" t="s">
        <v>10</v>
      </c>
      <c r="D2196" s="2" t="s">
        <v>11</v>
      </c>
      <c r="E2196" s="2" t="s">
        <v>12</v>
      </c>
      <c r="F2196" s="2">
        <v>963.9</v>
      </c>
      <c r="G2196" s="2">
        <v>144.74</v>
      </c>
      <c r="H2196" s="2" t="s">
        <v>28</v>
      </c>
      <c r="I2196" s="2" t="s">
        <v>29</v>
      </c>
    </row>
    <row r="2197" spans="1:9" x14ac:dyDescent="0.35">
      <c r="A2197" s="2" t="s">
        <v>2234</v>
      </c>
      <c r="B2197" s="3">
        <v>44926</v>
      </c>
      <c r="C2197" s="2" t="s">
        <v>22</v>
      </c>
      <c r="D2197" s="2" t="s">
        <v>31</v>
      </c>
      <c r="E2197" s="2" t="s">
        <v>12</v>
      </c>
      <c r="F2197" s="2">
        <v>891.2</v>
      </c>
      <c r="G2197" s="2">
        <v>234.16</v>
      </c>
      <c r="H2197" s="2" t="s">
        <v>28</v>
      </c>
      <c r="I2197" s="2" t="s">
        <v>34</v>
      </c>
    </row>
    <row r="2198" spans="1:9" x14ac:dyDescent="0.35">
      <c r="A2198" s="2" t="s">
        <v>2235</v>
      </c>
      <c r="B2198" s="3">
        <v>45013</v>
      </c>
      <c r="C2198" s="2" t="s">
        <v>16</v>
      </c>
      <c r="D2198" s="2" t="s">
        <v>41</v>
      </c>
      <c r="E2198" s="2" t="s">
        <v>12</v>
      </c>
      <c r="F2198" s="2">
        <v>863.74</v>
      </c>
      <c r="G2198" s="2">
        <v>159.28</v>
      </c>
      <c r="H2198" s="2" t="s">
        <v>19</v>
      </c>
      <c r="I2198" s="2" t="s">
        <v>34</v>
      </c>
    </row>
    <row r="2199" spans="1:9" x14ac:dyDescent="0.35">
      <c r="A2199" s="2" t="s">
        <v>2236</v>
      </c>
      <c r="B2199" s="3">
        <v>45410</v>
      </c>
      <c r="C2199" s="2" t="s">
        <v>25</v>
      </c>
      <c r="D2199" s="2" t="s">
        <v>57</v>
      </c>
      <c r="E2199" s="2" t="s">
        <v>27</v>
      </c>
      <c r="F2199" s="2">
        <v>1847.41</v>
      </c>
      <c r="G2199" s="2">
        <v>367.82</v>
      </c>
      <c r="H2199" s="2" t="s">
        <v>19</v>
      </c>
      <c r="I2199" s="2" t="s">
        <v>20</v>
      </c>
    </row>
    <row r="2200" spans="1:9" x14ac:dyDescent="0.35">
      <c r="A2200" s="2" t="s">
        <v>2237</v>
      </c>
      <c r="B2200" s="3">
        <v>45612</v>
      </c>
      <c r="C2200" s="2" t="s">
        <v>10</v>
      </c>
      <c r="D2200" s="2" t="s">
        <v>50</v>
      </c>
      <c r="E2200" s="2" t="s">
        <v>12</v>
      </c>
      <c r="F2200" s="2">
        <v>430.98</v>
      </c>
      <c r="G2200" s="2">
        <v>53.13</v>
      </c>
      <c r="H2200" s="2" t="s">
        <v>19</v>
      </c>
      <c r="I2200" s="2" t="s">
        <v>29</v>
      </c>
    </row>
    <row r="2201" spans="1:9" x14ac:dyDescent="0.35">
      <c r="A2201" s="2" t="s">
        <v>2238</v>
      </c>
      <c r="B2201" s="3">
        <v>45646</v>
      </c>
      <c r="C2201" s="2" t="s">
        <v>10</v>
      </c>
      <c r="D2201" s="2" t="s">
        <v>11</v>
      </c>
      <c r="E2201" s="2" t="s">
        <v>12</v>
      </c>
      <c r="F2201" s="2">
        <v>947.39</v>
      </c>
      <c r="G2201" s="2">
        <v>244.69</v>
      </c>
      <c r="H2201" s="2" t="s">
        <v>28</v>
      </c>
      <c r="I2201" s="2" t="s">
        <v>29</v>
      </c>
    </row>
    <row r="2202" spans="1:9" x14ac:dyDescent="0.35">
      <c r="A2202" s="2" t="s">
        <v>2239</v>
      </c>
      <c r="B2202" s="3">
        <v>44586</v>
      </c>
      <c r="C2202" s="2" t="s">
        <v>10</v>
      </c>
      <c r="D2202" s="2" t="s">
        <v>31</v>
      </c>
      <c r="E2202" s="2" t="s">
        <v>12</v>
      </c>
      <c r="F2202" s="2">
        <v>1714.73</v>
      </c>
      <c r="G2202" s="2">
        <v>181.98</v>
      </c>
      <c r="H2202" s="2" t="s">
        <v>13</v>
      </c>
      <c r="I2202" s="2" t="s">
        <v>20</v>
      </c>
    </row>
    <row r="2203" spans="1:9" x14ac:dyDescent="0.35">
      <c r="A2203" s="2" t="s">
        <v>2240</v>
      </c>
      <c r="B2203" s="3">
        <v>45013</v>
      </c>
      <c r="C2203" s="2" t="s">
        <v>25</v>
      </c>
      <c r="D2203" s="2" t="s">
        <v>17</v>
      </c>
      <c r="E2203" s="2" t="s">
        <v>18</v>
      </c>
      <c r="F2203" s="2">
        <v>1100.95</v>
      </c>
      <c r="G2203" s="2">
        <v>296.08</v>
      </c>
      <c r="H2203" s="2" t="s">
        <v>19</v>
      </c>
      <c r="I2203" s="2" t="s">
        <v>14</v>
      </c>
    </row>
    <row r="2204" spans="1:9" x14ac:dyDescent="0.35">
      <c r="A2204" s="2" t="s">
        <v>2241</v>
      </c>
      <c r="B2204" s="3">
        <v>44690</v>
      </c>
      <c r="C2204" s="2" t="s">
        <v>25</v>
      </c>
      <c r="D2204" s="2" t="s">
        <v>31</v>
      </c>
      <c r="E2204" s="2" t="s">
        <v>12</v>
      </c>
      <c r="F2204" s="2">
        <v>1940.64</v>
      </c>
      <c r="G2204" s="2">
        <v>300.82</v>
      </c>
      <c r="H2204" s="2" t="s">
        <v>19</v>
      </c>
      <c r="I2204" s="2" t="s">
        <v>20</v>
      </c>
    </row>
    <row r="2205" spans="1:9" x14ac:dyDescent="0.35">
      <c r="A2205" s="2" t="s">
        <v>2242</v>
      </c>
      <c r="B2205" s="3">
        <v>45188</v>
      </c>
      <c r="C2205" s="2" t="s">
        <v>16</v>
      </c>
      <c r="D2205" s="2" t="s">
        <v>26</v>
      </c>
      <c r="E2205" s="2" t="s">
        <v>27</v>
      </c>
      <c r="F2205" s="2">
        <v>802.2</v>
      </c>
      <c r="G2205" s="2">
        <v>151.62</v>
      </c>
      <c r="H2205" s="2" t="s">
        <v>28</v>
      </c>
      <c r="I2205" s="2" t="s">
        <v>29</v>
      </c>
    </row>
    <row r="2206" spans="1:9" x14ac:dyDescent="0.35">
      <c r="A2206" s="2" t="s">
        <v>2243</v>
      </c>
      <c r="B2206" s="3">
        <v>45352</v>
      </c>
      <c r="C2206" s="2" t="s">
        <v>10</v>
      </c>
      <c r="D2206" s="2" t="s">
        <v>46</v>
      </c>
      <c r="E2206" s="2" t="s">
        <v>18</v>
      </c>
      <c r="F2206" s="2">
        <v>342.02</v>
      </c>
      <c r="G2206" s="2">
        <v>17.52</v>
      </c>
      <c r="H2206" s="2" t="s">
        <v>19</v>
      </c>
      <c r="I2206" s="2" t="s">
        <v>29</v>
      </c>
    </row>
    <row r="2207" spans="1:9" x14ac:dyDescent="0.35">
      <c r="A2207" s="2" t="s">
        <v>2244</v>
      </c>
      <c r="B2207" s="3">
        <v>44885</v>
      </c>
      <c r="C2207" s="2" t="s">
        <v>10</v>
      </c>
      <c r="D2207" s="2" t="s">
        <v>97</v>
      </c>
      <c r="E2207" s="2" t="s">
        <v>27</v>
      </c>
      <c r="F2207" s="2">
        <v>239.55</v>
      </c>
      <c r="G2207" s="2">
        <v>33.130000000000003</v>
      </c>
      <c r="H2207" s="2" t="s">
        <v>28</v>
      </c>
      <c r="I2207" s="2" t="s">
        <v>20</v>
      </c>
    </row>
    <row r="2208" spans="1:9" x14ac:dyDescent="0.35">
      <c r="A2208" s="2" t="s">
        <v>2245</v>
      </c>
      <c r="B2208" s="3">
        <v>45270</v>
      </c>
      <c r="C2208" s="2" t="s">
        <v>25</v>
      </c>
      <c r="D2208" s="2" t="s">
        <v>33</v>
      </c>
      <c r="E2208" s="2" t="s">
        <v>18</v>
      </c>
      <c r="F2208" s="2">
        <v>1180.3900000000001</v>
      </c>
      <c r="G2208" s="2">
        <v>140.47999999999999</v>
      </c>
      <c r="H2208" s="2" t="s">
        <v>13</v>
      </c>
      <c r="I2208" s="2" t="s">
        <v>14</v>
      </c>
    </row>
    <row r="2209" spans="1:9" x14ac:dyDescent="0.35">
      <c r="A2209" s="2" t="s">
        <v>2246</v>
      </c>
      <c r="B2209" s="3">
        <v>45197</v>
      </c>
      <c r="C2209" s="2" t="s">
        <v>16</v>
      </c>
      <c r="D2209" s="2" t="s">
        <v>31</v>
      </c>
      <c r="E2209" s="2" t="s">
        <v>12</v>
      </c>
      <c r="F2209" s="2">
        <v>640.79999999999995</v>
      </c>
      <c r="G2209" s="2">
        <v>65.63</v>
      </c>
      <c r="H2209" s="2" t="s">
        <v>28</v>
      </c>
      <c r="I2209" s="2" t="s">
        <v>20</v>
      </c>
    </row>
    <row r="2210" spans="1:9" x14ac:dyDescent="0.35">
      <c r="A2210" s="2" t="s">
        <v>2247</v>
      </c>
      <c r="B2210" s="3">
        <v>45046</v>
      </c>
      <c r="C2210" s="2" t="s">
        <v>10</v>
      </c>
      <c r="D2210" s="2" t="s">
        <v>11</v>
      </c>
      <c r="E2210" s="2" t="s">
        <v>12</v>
      </c>
      <c r="F2210" s="2">
        <v>830.68</v>
      </c>
      <c r="G2210" s="2">
        <v>212.44</v>
      </c>
      <c r="H2210" s="2" t="s">
        <v>13</v>
      </c>
      <c r="I2210" s="2" t="s">
        <v>34</v>
      </c>
    </row>
    <row r="2211" spans="1:9" x14ac:dyDescent="0.35">
      <c r="A2211" s="2" t="s">
        <v>2248</v>
      </c>
      <c r="B2211" s="3">
        <v>45067</v>
      </c>
      <c r="C2211" s="2" t="s">
        <v>22</v>
      </c>
      <c r="D2211" s="2" t="s">
        <v>97</v>
      </c>
      <c r="E2211" s="2" t="s">
        <v>27</v>
      </c>
      <c r="F2211" s="2">
        <v>959.67</v>
      </c>
      <c r="G2211" s="2">
        <v>79.709999999999994</v>
      </c>
      <c r="H2211" s="2" t="s">
        <v>19</v>
      </c>
      <c r="I2211" s="2" t="s">
        <v>34</v>
      </c>
    </row>
    <row r="2212" spans="1:9" x14ac:dyDescent="0.35">
      <c r="A2212" s="2" t="s">
        <v>2249</v>
      </c>
      <c r="B2212" s="3">
        <v>45357</v>
      </c>
      <c r="C2212" s="2" t="s">
        <v>16</v>
      </c>
      <c r="D2212" s="2" t="s">
        <v>31</v>
      </c>
      <c r="E2212" s="2" t="s">
        <v>12</v>
      </c>
      <c r="F2212" s="2">
        <v>498.72</v>
      </c>
      <c r="G2212" s="2">
        <v>32.9</v>
      </c>
      <c r="H2212" s="2" t="s">
        <v>19</v>
      </c>
      <c r="I2212" s="2" t="s">
        <v>29</v>
      </c>
    </row>
    <row r="2213" spans="1:9" x14ac:dyDescent="0.35">
      <c r="A2213" s="2" t="s">
        <v>2250</v>
      </c>
      <c r="B2213" s="3">
        <v>44861</v>
      </c>
      <c r="C2213" s="2" t="s">
        <v>10</v>
      </c>
      <c r="D2213" s="2" t="s">
        <v>62</v>
      </c>
      <c r="E2213" s="2" t="s">
        <v>27</v>
      </c>
      <c r="F2213" s="2">
        <v>1664.67</v>
      </c>
      <c r="G2213" s="2">
        <v>194.72</v>
      </c>
      <c r="H2213" s="2" t="s">
        <v>13</v>
      </c>
      <c r="I2213" s="2" t="s">
        <v>20</v>
      </c>
    </row>
    <row r="2214" spans="1:9" x14ac:dyDescent="0.35">
      <c r="A2214" s="2" t="s">
        <v>2251</v>
      </c>
      <c r="B2214" s="3">
        <v>44694</v>
      </c>
      <c r="C2214" s="2" t="s">
        <v>22</v>
      </c>
      <c r="D2214" s="2" t="s">
        <v>11</v>
      </c>
      <c r="E2214" s="2" t="s">
        <v>12</v>
      </c>
      <c r="F2214" s="2">
        <v>814.55</v>
      </c>
      <c r="G2214" s="2">
        <v>51.4</v>
      </c>
      <c r="H2214" s="2" t="s">
        <v>28</v>
      </c>
      <c r="I2214" s="2" t="s">
        <v>20</v>
      </c>
    </row>
    <row r="2215" spans="1:9" x14ac:dyDescent="0.35">
      <c r="A2215" s="2" t="s">
        <v>2252</v>
      </c>
      <c r="B2215" s="3">
        <v>45466</v>
      </c>
      <c r="C2215" s="2" t="s">
        <v>16</v>
      </c>
      <c r="D2215" s="2" t="s">
        <v>73</v>
      </c>
      <c r="E2215" s="2" t="s">
        <v>27</v>
      </c>
      <c r="F2215" s="2">
        <v>1884.8</v>
      </c>
      <c r="G2215" s="2">
        <v>260.52999999999997</v>
      </c>
      <c r="H2215" s="2" t="s">
        <v>13</v>
      </c>
      <c r="I2215" s="2" t="s">
        <v>34</v>
      </c>
    </row>
    <row r="2216" spans="1:9" x14ac:dyDescent="0.35">
      <c r="A2216" s="2" t="s">
        <v>2253</v>
      </c>
      <c r="B2216" s="3">
        <v>44656</v>
      </c>
      <c r="C2216" s="2" t="s">
        <v>22</v>
      </c>
      <c r="D2216" s="2" t="s">
        <v>26</v>
      </c>
      <c r="E2216" s="2" t="s">
        <v>27</v>
      </c>
      <c r="F2216" s="2">
        <v>1136.23</v>
      </c>
      <c r="G2216" s="2">
        <v>184.53</v>
      </c>
      <c r="H2216" s="2" t="s">
        <v>28</v>
      </c>
      <c r="I2216" s="2" t="s">
        <v>14</v>
      </c>
    </row>
    <row r="2217" spans="1:9" x14ac:dyDescent="0.35">
      <c r="A2217" s="2" t="s">
        <v>2254</v>
      </c>
      <c r="B2217" s="3">
        <v>44685</v>
      </c>
      <c r="C2217" s="2" t="s">
        <v>16</v>
      </c>
      <c r="D2217" s="2" t="s">
        <v>31</v>
      </c>
      <c r="E2217" s="2" t="s">
        <v>12</v>
      </c>
      <c r="F2217" s="2">
        <v>1474.07</v>
      </c>
      <c r="G2217" s="2">
        <v>381.99</v>
      </c>
      <c r="H2217" s="2" t="s">
        <v>28</v>
      </c>
      <c r="I2217" s="2" t="s">
        <v>14</v>
      </c>
    </row>
    <row r="2218" spans="1:9" x14ac:dyDescent="0.35">
      <c r="A2218" s="2" t="s">
        <v>2255</v>
      </c>
      <c r="B2218" s="3">
        <v>44941</v>
      </c>
      <c r="C2218" s="2" t="s">
        <v>16</v>
      </c>
      <c r="D2218" s="2" t="s">
        <v>38</v>
      </c>
      <c r="E2218" s="2" t="s">
        <v>12</v>
      </c>
      <c r="F2218" s="2">
        <v>1140.99</v>
      </c>
      <c r="G2218" s="2">
        <v>188.53</v>
      </c>
      <c r="H2218" s="2" t="s">
        <v>28</v>
      </c>
      <c r="I2218" s="2" t="s">
        <v>14</v>
      </c>
    </row>
    <row r="2219" spans="1:9" x14ac:dyDescent="0.35">
      <c r="A2219" s="2" t="s">
        <v>2256</v>
      </c>
      <c r="B2219" s="3">
        <v>45115</v>
      </c>
      <c r="C2219" s="2" t="s">
        <v>25</v>
      </c>
      <c r="D2219" s="2" t="s">
        <v>97</v>
      </c>
      <c r="E2219" s="2" t="s">
        <v>27</v>
      </c>
      <c r="F2219" s="2">
        <v>399.16</v>
      </c>
      <c r="G2219" s="2">
        <v>114.14</v>
      </c>
      <c r="H2219" s="2" t="s">
        <v>19</v>
      </c>
      <c r="I2219" s="2" t="s">
        <v>20</v>
      </c>
    </row>
    <row r="2220" spans="1:9" x14ac:dyDescent="0.35">
      <c r="A2220" s="2" t="s">
        <v>2257</v>
      </c>
      <c r="B2220" s="3">
        <v>44584</v>
      </c>
      <c r="C2220" s="2" t="s">
        <v>25</v>
      </c>
      <c r="D2220" s="2" t="s">
        <v>41</v>
      </c>
      <c r="E2220" s="2" t="s">
        <v>12</v>
      </c>
      <c r="F2220" s="2">
        <v>1168.6400000000001</v>
      </c>
      <c r="G2220" s="2">
        <v>72.06</v>
      </c>
      <c r="H2220" s="2" t="s">
        <v>19</v>
      </c>
      <c r="I2220" s="2" t="s">
        <v>29</v>
      </c>
    </row>
    <row r="2221" spans="1:9" x14ac:dyDescent="0.35">
      <c r="A2221" s="2" t="s">
        <v>2258</v>
      </c>
      <c r="B2221" s="3">
        <v>45357</v>
      </c>
      <c r="C2221" s="2" t="s">
        <v>16</v>
      </c>
      <c r="D2221" s="2" t="s">
        <v>50</v>
      </c>
      <c r="E2221" s="2" t="s">
        <v>12</v>
      </c>
      <c r="F2221" s="2">
        <v>211.47</v>
      </c>
      <c r="G2221" s="2">
        <v>42.42</v>
      </c>
      <c r="H2221" s="2" t="s">
        <v>19</v>
      </c>
      <c r="I2221" s="2" t="s">
        <v>29</v>
      </c>
    </row>
    <row r="2222" spans="1:9" x14ac:dyDescent="0.35">
      <c r="A2222" s="2" t="s">
        <v>2259</v>
      </c>
      <c r="B2222" s="3">
        <v>45456</v>
      </c>
      <c r="C2222" s="2" t="s">
        <v>22</v>
      </c>
      <c r="D2222" s="2" t="s">
        <v>17</v>
      </c>
      <c r="E2222" s="2" t="s">
        <v>18</v>
      </c>
      <c r="F2222" s="2">
        <v>1032.23</v>
      </c>
      <c r="G2222" s="2">
        <v>78.13</v>
      </c>
      <c r="H2222" s="2" t="s">
        <v>13</v>
      </c>
      <c r="I2222" s="2" t="s">
        <v>20</v>
      </c>
    </row>
    <row r="2223" spans="1:9" x14ac:dyDescent="0.35">
      <c r="A2223" s="2" t="s">
        <v>2260</v>
      </c>
      <c r="B2223" s="3">
        <v>45642</v>
      </c>
      <c r="C2223" s="2" t="s">
        <v>22</v>
      </c>
      <c r="D2223" s="2" t="s">
        <v>97</v>
      </c>
      <c r="E2223" s="2" t="s">
        <v>27</v>
      </c>
      <c r="F2223" s="2">
        <v>1230.0899999999999</v>
      </c>
      <c r="G2223" s="2">
        <v>222.22</v>
      </c>
      <c r="H2223" s="2" t="s">
        <v>28</v>
      </c>
      <c r="I2223" s="2" t="s">
        <v>34</v>
      </c>
    </row>
    <row r="2224" spans="1:9" x14ac:dyDescent="0.35">
      <c r="A2224" s="2" t="s">
        <v>2261</v>
      </c>
      <c r="B2224" s="3">
        <v>44903</v>
      </c>
      <c r="C2224" s="2" t="s">
        <v>10</v>
      </c>
      <c r="D2224" s="2" t="s">
        <v>33</v>
      </c>
      <c r="E2224" s="2" t="s">
        <v>18</v>
      </c>
      <c r="F2224" s="2">
        <v>961.51</v>
      </c>
      <c r="G2224" s="2">
        <v>252.9</v>
      </c>
      <c r="H2224" s="2" t="s">
        <v>19</v>
      </c>
      <c r="I2224" s="2" t="s">
        <v>34</v>
      </c>
    </row>
    <row r="2225" spans="1:9" x14ac:dyDescent="0.35">
      <c r="A2225" s="2" t="s">
        <v>2262</v>
      </c>
      <c r="B2225" s="3">
        <v>45214</v>
      </c>
      <c r="C2225" s="2" t="s">
        <v>10</v>
      </c>
      <c r="D2225" s="2" t="s">
        <v>57</v>
      </c>
      <c r="E2225" s="2" t="s">
        <v>27</v>
      </c>
      <c r="F2225" s="2">
        <v>1874.97</v>
      </c>
      <c r="G2225" s="2">
        <v>166.6</v>
      </c>
      <c r="H2225" s="2" t="s">
        <v>28</v>
      </c>
      <c r="I2225" s="2" t="s">
        <v>34</v>
      </c>
    </row>
    <row r="2226" spans="1:9" x14ac:dyDescent="0.35">
      <c r="A2226" s="2" t="s">
        <v>2263</v>
      </c>
      <c r="B2226" s="3">
        <v>44620</v>
      </c>
      <c r="C2226" s="2" t="s">
        <v>10</v>
      </c>
      <c r="D2226" s="2" t="s">
        <v>31</v>
      </c>
      <c r="E2226" s="2" t="s">
        <v>12</v>
      </c>
      <c r="F2226" s="2">
        <v>366.43</v>
      </c>
      <c r="G2226" s="2">
        <v>45.7</v>
      </c>
      <c r="H2226" s="2" t="s">
        <v>19</v>
      </c>
      <c r="I2226" s="2" t="s">
        <v>20</v>
      </c>
    </row>
    <row r="2227" spans="1:9" x14ac:dyDescent="0.35">
      <c r="A2227" s="2" t="s">
        <v>2264</v>
      </c>
      <c r="B2227" s="3">
        <v>44629</v>
      </c>
      <c r="C2227" s="2" t="s">
        <v>22</v>
      </c>
      <c r="D2227" s="2" t="s">
        <v>62</v>
      </c>
      <c r="E2227" s="2" t="s">
        <v>27</v>
      </c>
      <c r="F2227" s="2">
        <v>1365.75</v>
      </c>
      <c r="G2227" s="2">
        <v>97.19</v>
      </c>
      <c r="H2227" s="2" t="s">
        <v>13</v>
      </c>
      <c r="I2227" s="2" t="s">
        <v>29</v>
      </c>
    </row>
    <row r="2228" spans="1:9" x14ac:dyDescent="0.35">
      <c r="A2228" s="2" t="s">
        <v>2265</v>
      </c>
      <c r="B2228" s="3">
        <v>45624</v>
      </c>
      <c r="C2228" s="2" t="s">
        <v>25</v>
      </c>
      <c r="D2228" s="2" t="s">
        <v>73</v>
      </c>
      <c r="E2228" s="2" t="s">
        <v>27</v>
      </c>
      <c r="F2228" s="2">
        <v>1949.34</v>
      </c>
      <c r="G2228" s="2">
        <v>439.34</v>
      </c>
      <c r="H2228" s="2" t="s">
        <v>13</v>
      </c>
      <c r="I2228" s="2" t="s">
        <v>14</v>
      </c>
    </row>
    <row r="2229" spans="1:9" x14ac:dyDescent="0.35">
      <c r="A2229" s="2" t="s">
        <v>2266</v>
      </c>
      <c r="B2229" s="3">
        <v>45129</v>
      </c>
      <c r="C2229" s="2" t="s">
        <v>25</v>
      </c>
      <c r="D2229" s="2" t="s">
        <v>26</v>
      </c>
      <c r="E2229" s="2" t="s">
        <v>27</v>
      </c>
      <c r="F2229" s="2">
        <v>1234.01</v>
      </c>
      <c r="G2229" s="2">
        <v>245.88</v>
      </c>
      <c r="H2229" s="2" t="s">
        <v>28</v>
      </c>
      <c r="I2229" s="2" t="s">
        <v>29</v>
      </c>
    </row>
    <row r="2230" spans="1:9" x14ac:dyDescent="0.35">
      <c r="A2230" s="2" t="s">
        <v>2267</v>
      </c>
      <c r="B2230" s="3">
        <v>44907</v>
      </c>
      <c r="C2230" s="2" t="s">
        <v>16</v>
      </c>
      <c r="D2230" s="2" t="s">
        <v>46</v>
      </c>
      <c r="E2230" s="2" t="s">
        <v>18</v>
      </c>
      <c r="F2230" s="2">
        <v>1326.57</v>
      </c>
      <c r="G2230" s="2">
        <v>153.38</v>
      </c>
      <c r="H2230" s="2" t="s">
        <v>19</v>
      </c>
      <c r="I2230" s="2" t="s">
        <v>14</v>
      </c>
    </row>
    <row r="2231" spans="1:9" x14ac:dyDescent="0.35">
      <c r="A2231" s="2" t="s">
        <v>2268</v>
      </c>
      <c r="B2231" s="3">
        <v>45599</v>
      </c>
      <c r="C2231" s="2" t="s">
        <v>25</v>
      </c>
      <c r="D2231" s="2" t="s">
        <v>57</v>
      </c>
      <c r="E2231" s="2" t="s">
        <v>27</v>
      </c>
      <c r="F2231" s="2">
        <v>1210.3599999999999</v>
      </c>
      <c r="G2231" s="2">
        <v>112.29</v>
      </c>
      <c r="H2231" s="2" t="s">
        <v>13</v>
      </c>
      <c r="I2231" s="2" t="s">
        <v>29</v>
      </c>
    </row>
    <row r="2232" spans="1:9" x14ac:dyDescent="0.35">
      <c r="A2232" s="2" t="s">
        <v>2269</v>
      </c>
      <c r="B2232" s="3">
        <v>45597</v>
      </c>
      <c r="C2232" s="2" t="s">
        <v>16</v>
      </c>
      <c r="D2232" s="2" t="s">
        <v>38</v>
      </c>
      <c r="E2232" s="2" t="s">
        <v>12</v>
      </c>
      <c r="F2232" s="2">
        <v>1668.54</v>
      </c>
      <c r="G2232" s="2">
        <v>222.38</v>
      </c>
      <c r="H2232" s="2" t="s">
        <v>13</v>
      </c>
      <c r="I2232" s="2" t="s">
        <v>14</v>
      </c>
    </row>
    <row r="2233" spans="1:9" x14ac:dyDescent="0.35">
      <c r="A2233" s="2" t="s">
        <v>2270</v>
      </c>
      <c r="B2233" s="3">
        <v>45163</v>
      </c>
      <c r="C2233" s="2" t="s">
        <v>22</v>
      </c>
      <c r="D2233" s="2" t="s">
        <v>73</v>
      </c>
      <c r="E2233" s="2" t="s">
        <v>27</v>
      </c>
      <c r="F2233" s="2">
        <v>514.84</v>
      </c>
      <c r="G2233" s="2">
        <v>65.67</v>
      </c>
      <c r="H2233" s="2" t="s">
        <v>19</v>
      </c>
      <c r="I2233" s="2" t="s">
        <v>20</v>
      </c>
    </row>
    <row r="2234" spans="1:9" x14ac:dyDescent="0.35">
      <c r="A2234" s="2" t="s">
        <v>2271</v>
      </c>
      <c r="B2234" s="3">
        <v>45277</v>
      </c>
      <c r="C2234" s="2" t="s">
        <v>25</v>
      </c>
      <c r="D2234" s="2" t="s">
        <v>41</v>
      </c>
      <c r="E2234" s="2" t="s">
        <v>12</v>
      </c>
      <c r="F2234" s="2">
        <v>1682.15</v>
      </c>
      <c r="G2234" s="2">
        <v>354.86</v>
      </c>
      <c r="H2234" s="2" t="s">
        <v>13</v>
      </c>
      <c r="I2234" s="2" t="s">
        <v>29</v>
      </c>
    </row>
    <row r="2235" spans="1:9" x14ac:dyDescent="0.35">
      <c r="A2235" s="2" t="s">
        <v>2272</v>
      </c>
      <c r="B2235" s="3">
        <v>45565</v>
      </c>
      <c r="C2235" s="2" t="s">
        <v>22</v>
      </c>
      <c r="D2235" s="2" t="s">
        <v>50</v>
      </c>
      <c r="E2235" s="2" t="s">
        <v>12</v>
      </c>
      <c r="F2235" s="2">
        <v>338.67</v>
      </c>
      <c r="G2235" s="2">
        <v>26.67</v>
      </c>
      <c r="H2235" s="2" t="s">
        <v>28</v>
      </c>
      <c r="I2235" s="2" t="s">
        <v>29</v>
      </c>
    </row>
    <row r="2236" spans="1:9" x14ac:dyDescent="0.35">
      <c r="A2236" s="2" t="s">
        <v>2273</v>
      </c>
      <c r="B2236" s="3">
        <v>45074</v>
      </c>
      <c r="C2236" s="2" t="s">
        <v>22</v>
      </c>
      <c r="D2236" s="2" t="s">
        <v>38</v>
      </c>
      <c r="E2236" s="2" t="s">
        <v>12</v>
      </c>
      <c r="F2236" s="2">
        <v>976.73</v>
      </c>
      <c r="G2236" s="2">
        <v>192.09</v>
      </c>
      <c r="H2236" s="2" t="s">
        <v>19</v>
      </c>
      <c r="I2236" s="2" t="s">
        <v>20</v>
      </c>
    </row>
    <row r="2237" spans="1:9" x14ac:dyDescent="0.35">
      <c r="A2237" s="2" t="s">
        <v>2274</v>
      </c>
      <c r="B2237" s="3">
        <v>45452</v>
      </c>
      <c r="C2237" s="2" t="s">
        <v>25</v>
      </c>
      <c r="D2237" s="2" t="s">
        <v>57</v>
      </c>
      <c r="E2237" s="2" t="s">
        <v>27</v>
      </c>
      <c r="F2237" s="2">
        <v>1259.93</v>
      </c>
      <c r="G2237" s="2">
        <v>162.94</v>
      </c>
      <c r="H2237" s="2" t="s">
        <v>19</v>
      </c>
      <c r="I2237" s="2" t="s">
        <v>14</v>
      </c>
    </row>
    <row r="2238" spans="1:9" x14ac:dyDescent="0.35">
      <c r="A2238" s="2" t="s">
        <v>2275</v>
      </c>
      <c r="B2238" s="3">
        <v>44770</v>
      </c>
      <c r="C2238" s="2" t="s">
        <v>16</v>
      </c>
      <c r="D2238" s="2" t="s">
        <v>57</v>
      </c>
      <c r="E2238" s="2" t="s">
        <v>27</v>
      </c>
      <c r="F2238" s="2">
        <v>1898.31</v>
      </c>
      <c r="G2238" s="2">
        <v>177.24</v>
      </c>
      <c r="H2238" s="2" t="s">
        <v>28</v>
      </c>
      <c r="I2238" s="2" t="s">
        <v>14</v>
      </c>
    </row>
    <row r="2239" spans="1:9" x14ac:dyDescent="0.35">
      <c r="A2239" s="2" t="s">
        <v>2276</v>
      </c>
      <c r="B2239" s="3">
        <v>45615</v>
      </c>
      <c r="C2239" s="2" t="s">
        <v>16</v>
      </c>
      <c r="D2239" s="2" t="s">
        <v>50</v>
      </c>
      <c r="E2239" s="2" t="s">
        <v>12</v>
      </c>
      <c r="F2239" s="2">
        <v>1071.51</v>
      </c>
      <c r="G2239" s="2">
        <v>269.58999999999997</v>
      </c>
      <c r="H2239" s="2" t="s">
        <v>28</v>
      </c>
      <c r="I2239" s="2" t="s">
        <v>20</v>
      </c>
    </row>
    <row r="2240" spans="1:9" x14ac:dyDescent="0.35">
      <c r="A2240" s="2" t="s">
        <v>2277</v>
      </c>
      <c r="B2240" s="3">
        <v>44902</v>
      </c>
      <c r="C2240" s="2" t="s">
        <v>22</v>
      </c>
      <c r="D2240" s="2" t="s">
        <v>38</v>
      </c>
      <c r="E2240" s="2" t="s">
        <v>12</v>
      </c>
      <c r="F2240" s="2">
        <v>1365.54</v>
      </c>
      <c r="G2240" s="2">
        <v>263.45999999999998</v>
      </c>
      <c r="H2240" s="2" t="s">
        <v>19</v>
      </c>
      <c r="I2240" s="2" t="s">
        <v>29</v>
      </c>
    </row>
    <row r="2241" spans="1:9" x14ac:dyDescent="0.35">
      <c r="A2241" s="2" t="s">
        <v>2278</v>
      </c>
      <c r="B2241" s="3">
        <v>45045</v>
      </c>
      <c r="C2241" s="2" t="s">
        <v>10</v>
      </c>
      <c r="D2241" s="2" t="s">
        <v>17</v>
      </c>
      <c r="E2241" s="2" t="s">
        <v>18</v>
      </c>
      <c r="F2241" s="2">
        <v>137.93</v>
      </c>
      <c r="G2241" s="2">
        <v>29.37</v>
      </c>
      <c r="H2241" s="2" t="s">
        <v>19</v>
      </c>
      <c r="I2241" s="2" t="s">
        <v>34</v>
      </c>
    </row>
    <row r="2242" spans="1:9" x14ac:dyDescent="0.35">
      <c r="A2242" s="2" t="s">
        <v>2279</v>
      </c>
      <c r="B2242" s="3">
        <v>44928</v>
      </c>
      <c r="C2242" s="2" t="s">
        <v>16</v>
      </c>
      <c r="D2242" s="2" t="s">
        <v>46</v>
      </c>
      <c r="E2242" s="2" t="s">
        <v>18</v>
      </c>
      <c r="F2242" s="2">
        <v>1761.52</v>
      </c>
      <c r="G2242" s="2">
        <v>95.55</v>
      </c>
      <c r="H2242" s="2" t="s">
        <v>13</v>
      </c>
      <c r="I2242" s="2" t="s">
        <v>14</v>
      </c>
    </row>
    <row r="2243" spans="1:9" x14ac:dyDescent="0.35">
      <c r="A2243" s="2" t="s">
        <v>2280</v>
      </c>
      <c r="B2243" s="3">
        <v>45378</v>
      </c>
      <c r="C2243" s="2" t="s">
        <v>16</v>
      </c>
      <c r="D2243" s="2" t="s">
        <v>41</v>
      </c>
      <c r="E2243" s="2" t="s">
        <v>12</v>
      </c>
      <c r="F2243" s="2">
        <v>1854.9</v>
      </c>
      <c r="G2243" s="2">
        <v>117.99</v>
      </c>
      <c r="H2243" s="2" t="s">
        <v>28</v>
      </c>
      <c r="I2243" s="2" t="s">
        <v>34</v>
      </c>
    </row>
    <row r="2244" spans="1:9" x14ac:dyDescent="0.35">
      <c r="A2244" s="2" t="s">
        <v>2281</v>
      </c>
      <c r="B2244" s="3">
        <v>44692</v>
      </c>
      <c r="C2244" s="2" t="s">
        <v>16</v>
      </c>
      <c r="D2244" s="2" t="s">
        <v>95</v>
      </c>
      <c r="E2244" s="2" t="s">
        <v>18</v>
      </c>
      <c r="F2244" s="2">
        <v>256.88</v>
      </c>
      <c r="G2244" s="2">
        <v>59.18</v>
      </c>
      <c r="H2244" s="2" t="s">
        <v>28</v>
      </c>
      <c r="I2244" s="2" t="s">
        <v>34</v>
      </c>
    </row>
    <row r="2245" spans="1:9" x14ac:dyDescent="0.35">
      <c r="A2245" s="2" t="s">
        <v>2282</v>
      </c>
      <c r="B2245" s="3">
        <v>45346</v>
      </c>
      <c r="C2245" s="2" t="s">
        <v>16</v>
      </c>
      <c r="D2245" s="2" t="s">
        <v>38</v>
      </c>
      <c r="E2245" s="2" t="s">
        <v>12</v>
      </c>
      <c r="F2245" s="2">
        <v>375.01</v>
      </c>
      <c r="G2245" s="2">
        <v>51.4</v>
      </c>
      <c r="H2245" s="2" t="s">
        <v>19</v>
      </c>
      <c r="I2245" s="2" t="s">
        <v>29</v>
      </c>
    </row>
    <row r="2246" spans="1:9" x14ac:dyDescent="0.35">
      <c r="A2246" s="2" t="s">
        <v>2283</v>
      </c>
      <c r="B2246" s="3">
        <v>44907</v>
      </c>
      <c r="C2246" s="2" t="s">
        <v>22</v>
      </c>
      <c r="D2246" s="2" t="s">
        <v>38</v>
      </c>
      <c r="E2246" s="2" t="s">
        <v>12</v>
      </c>
      <c r="F2246" s="2">
        <v>840.5</v>
      </c>
      <c r="G2246" s="2">
        <v>190.2</v>
      </c>
      <c r="H2246" s="2" t="s">
        <v>19</v>
      </c>
      <c r="I2246" s="2" t="s">
        <v>34</v>
      </c>
    </row>
    <row r="2247" spans="1:9" x14ac:dyDescent="0.35">
      <c r="A2247" s="2" t="s">
        <v>2284</v>
      </c>
      <c r="B2247" s="3">
        <v>44816</v>
      </c>
      <c r="C2247" s="2" t="s">
        <v>16</v>
      </c>
      <c r="D2247" s="2" t="s">
        <v>11</v>
      </c>
      <c r="E2247" s="2" t="s">
        <v>12</v>
      </c>
      <c r="F2247" s="2">
        <v>717.05</v>
      </c>
      <c r="G2247" s="2">
        <v>136.74</v>
      </c>
      <c r="H2247" s="2" t="s">
        <v>28</v>
      </c>
      <c r="I2247" s="2" t="s">
        <v>14</v>
      </c>
    </row>
    <row r="2248" spans="1:9" x14ac:dyDescent="0.35">
      <c r="A2248" s="2" t="s">
        <v>2285</v>
      </c>
      <c r="B2248" s="3">
        <v>45394</v>
      </c>
      <c r="C2248" s="2" t="s">
        <v>10</v>
      </c>
      <c r="D2248" s="2" t="s">
        <v>73</v>
      </c>
      <c r="E2248" s="2" t="s">
        <v>27</v>
      </c>
      <c r="F2248" s="2">
        <v>1567.28</v>
      </c>
      <c r="G2248" s="2">
        <v>308.89999999999998</v>
      </c>
      <c r="H2248" s="2" t="s">
        <v>28</v>
      </c>
      <c r="I2248" s="2" t="s">
        <v>20</v>
      </c>
    </row>
    <row r="2249" spans="1:9" x14ac:dyDescent="0.35">
      <c r="A2249" s="2" t="s">
        <v>2286</v>
      </c>
      <c r="B2249" s="3">
        <v>44708</v>
      </c>
      <c r="C2249" s="2" t="s">
        <v>10</v>
      </c>
      <c r="D2249" s="2" t="s">
        <v>46</v>
      </c>
      <c r="E2249" s="2" t="s">
        <v>18</v>
      </c>
      <c r="F2249" s="2">
        <v>680.82</v>
      </c>
      <c r="G2249" s="2">
        <v>99.31</v>
      </c>
      <c r="H2249" s="2" t="s">
        <v>13</v>
      </c>
      <c r="I2249" s="2" t="s">
        <v>20</v>
      </c>
    </row>
    <row r="2250" spans="1:9" x14ac:dyDescent="0.35">
      <c r="A2250" s="2" t="s">
        <v>2287</v>
      </c>
      <c r="B2250" s="3">
        <v>45310</v>
      </c>
      <c r="C2250" s="2" t="s">
        <v>16</v>
      </c>
      <c r="D2250" s="2" t="s">
        <v>23</v>
      </c>
      <c r="E2250" s="2" t="s">
        <v>18</v>
      </c>
      <c r="F2250" s="2">
        <v>438.5</v>
      </c>
      <c r="G2250" s="2">
        <v>125.04</v>
      </c>
      <c r="H2250" s="2" t="s">
        <v>28</v>
      </c>
      <c r="I2250" s="2" t="s">
        <v>20</v>
      </c>
    </row>
    <row r="2251" spans="1:9" x14ac:dyDescent="0.35">
      <c r="A2251" s="2" t="s">
        <v>2288</v>
      </c>
      <c r="B2251" s="3">
        <v>45476</v>
      </c>
      <c r="C2251" s="2" t="s">
        <v>16</v>
      </c>
      <c r="D2251" s="2" t="s">
        <v>50</v>
      </c>
      <c r="E2251" s="2" t="s">
        <v>12</v>
      </c>
      <c r="F2251" s="2">
        <v>1318.56</v>
      </c>
      <c r="G2251" s="2">
        <v>366.58</v>
      </c>
      <c r="H2251" s="2" t="s">
        <v>19</v>
      </c>
      <c r="I2251" s="2" t="s">
        <v>34</v>
      </c>
    </row>
    <row r="2252" spans="1:9" x14ac:dyDescent="0.35">
      <c r="A2252" s="2" t="s">
        <v>2289</v>
      </c>
      <c r="B2252" s="3">
        <v>45305</v>
      </c>
      <c r="C2252" s="2" t="s">
        <v>10</v>
      </c>
      <c r="D2252" s="2" t="s">
        <v>11</v>
      </c>
      <c r="E2252" s="2" t="s">
        <v>12</v>
      </c>
      <c r="F2252" s="2">
        <v>1733.59</v>
      </c>
      <c r="G2252" s="2">
        <v>119.19</v>
      </c>
      <c r="H2252" s="2" t="s">
        <v>13</v>
      </c>
      <c r="I2252" s="2" t="s">
        <v>29</v>
      </c>
    </row>
    <row r="2253" spans="1:9" x14ac:dyDescent="0.35">
      <c r="A2253" s="2" t="s">
        <v>2290</v>
      </c>
      <c r="B2253" s="3">
        <v>44849</v>
      </c>
      <c r="C2253" s="2" t="s">
        <v>25</v>
      </c>
      <c r="D2253" s="2" t="s">
        <v>95</v>
      </c>
      <c r="E2253" s="2" t="s">
        <v>18</v>
      </c>
      <c r="F2253" s="2">
        <v>1569.58</v>
      </c>
      <c r="G2253" s="2">
        <v>326.3</v>
      </c>
      <c r="H2253" s="2" t="s">
        <v>13</v>
      </c>
      <c r="I2253" s="2" t="s">
        <v>34</v>
      </c>
    </row>
    <row r="2254" spans="1:9" x14ac:dyDescent="0.35">
      <c r="A2254" s="2" t="s">
        <v>2291</v>
      </c>
      <c r="B2254" s="3">
        <v>45382</v>
      </c>
      <c r="C2254" s="2" t="s">
        <v>10</v>
      </c>
      <c r="D2254" s="2" t="s">
        <v>95</v>
      </c>
      <c r="E2254" s="2" t="s">
        <v>18</v>
      </c>
      <c r="F2254" s="2">
        <v>1962.15</v>
      </c>
      <c r="G2254" s="2">
        <v>146.56</v>
      </c>
      <c r="H2254" s="2" t="s">
        <v>13</v>
      </c>
      <c r="I2254" s="2" t="s">
        <v>29</v>
      </c>
    </row>
    <row r="2255" spans="1:9" x14ac:dyDescent="0.35">
      <c r="A2255" s="2" t="s">
        <v>2292</v>
      </c>
      <c r="B2255" s="3">
        <v>44909</v>
      </c>
      <c r="C2255" s="2" t="s">
        <v>10</v>
      </c>
      <c r="D2255" s="2" t="s">
        <v>31</v>
      </c>
      <c r="E2255" s="2" t="s">
        <v>12</v>
      </c>
      <c r="F2255" s="2">
        <v>711.77</v>
      </c>
      <c r="G2255" s="2">
        <v>110.78</v>
      </c>
      <c r="H2255" s="2" t="s">
        <v>13</v>
      </c>
      <c r="I2255" s="2" t="s">
        <v>34</v>
      </c>
    </row>
    <row r="2256" spans="1:9" x14ac:dyDescent="0.35">
      <c r="A2256" s="2" t="s">
        <v>2293</v>
      </c>
      <c r="B2256" s="3">
        <v>45162</v>
      </c>
      <c r="C2256" s="2" t="s">
        <v>16</v>
      </c>
      <c r="D2256" s="2" t="s">
        <v>73</v>
      </c>
      <c r="E2256" s="2" t="s">
        <v>27</v>
      </c>
      <c r="F2256" s="2">
        <v>195.74</v>
      </c>
      <c r="G2256" s="2">
        <v>52.24</v>
      </c>
      <c r="H2256" s="2" t="s">
        <v>19</v>
      </c>
      <c r="I2256" s="2" t="s">
        <v>29</v>
      </c>
    </row>
    <row r="2257" spans="1:9" x14ac:dyDescent="0.35">
      <c r="A2257" s="2" t="s">
        <v>2294</v>
      </c>
      <c r="B2257" s="3">
        <v>44813</v>
      </c>
      <c r="C2257" s="2" t="s">
        <v>22</v>
      </c>
      <c r="D2257" s="2" t="s">
        <v>97</v>
      </c>
      <c r="E2257" s="2" t="s">
        <v>27</v>
      </c>
      <c r="F2257" s="2">
        <v>818.39</v>
      </c>
      <c r="G2257" s="2">
        <v>125.31</v>
      </c>
      <c r="H2257" s="2" t="s">
        <v>28</v>
      </c>
      <c r="I2257" s="2" t="s">
        <v>34</v>
      </c>
    </row>
    <row r="2258" spans="1:9" x14ac:dyDescent="0.35">
      <c r="A2258" s="2" t="s">
        <v>2295</v>
      </c>
      <c r="B2258" s="3">
        <v>44907</v>
      </c>
      <c r="C2258" s="2" t="s">
        <v>22</v>
      </c>
      <c r="D2258" s="2" t="s">
        <v>23</v>
      </c>
      <c r="E2258" s="2" t="s">
        <v>18</v>
      </c>
      <c r="F2258" s="2">
        <v>1638.91</v>
      </c>
      <c r="G2258" s="2">
        <v>274.23</v>
      </c>
      <c r="H2258" s="2" t="s">
        <v>13</v>
      </c>
      <c r="I2258" s="2" t="s">
        <v>14</v>
      </c>
    </row>
    <row r="2259" spans="1:9" x14ac:dyDescent="0.35">
      <c r="A2259" s="2" t="s">
        <v>2296</v>
      </c>
      <c r="B2259" s="3">
        <v>44763</v>
      </c>
      <c r="C2259" s="2" t="s">
        <v>16</v>
      </c>
      <c r="D2259" s="2" t="s">
        <v>73</v>
      </c>
      <c r="E2259" s="2" t="s">
        <v>27</v>
      </c>
      <c r="F2259" s="2">
        <v>1737.18</v>
      </c>
      <c r="G2259" s="2">
        <v>415.29</v>
      </c>
      <c r="H2259" s="2" t="s">
        <v>28</v>
      </c>
      <c r="I2259" s="2" t="s">
        <v>20</v>
      </c>
    </row>
    <row r="2260" spans="1:9" x14ac:dyDescent="0.35">
      <c r="A2260" s="2" t="s">
        <v>2297</v>
      </c>
      <c r="B2260" s="3">
        <v>45003</v>
      </c>
      <c r="C2260" s="2" t="s">
        <v>25</v>
      </c>
      <c r="D2260" s="2" t="s">
        <v>33</v>
      </c>
      <c r="E2260" s="2" t="s">
        <v>18</v>
      </c>
      <c r="F2260" s="2">
        <v>431.5</v>
      </c>
      <c r="G2260" s="2">
        <v>126.02</v>
      </c>
      <c r="H2260" s="2" t="s">
        <v>28</v>
      </c>
      <c r="I2260" s="2" t="s">
        <v>20</v>
      </c>
    </row>
    <row r="2261" spans="1:9" x14ac:dyDescent="0.35">
      <c r="A2261" s="2" t="s">
        <v>2298</v>
      </c>
      <c r="B2261" s="3">
        <v>45349</v>
      </c>
      <c r="C2261" s="2" t="s">
        <v>16</v>
      </c>
      <c r="D2261" s="2" t="s">
        <v>38</v>
      </c>
      <c r="E2261" s="2" t="s">
        <v>12</v>
      </c>
      <c r="F2261" s="2">
        <v>1656.59</v>
      </c>
      <c r="G2261" s="2">
        <v>174.46</v>
      </c>
      <c r="H2261" s="2" t="s">
        <v>13</v>
      </c>
      <c r="I2261" s="2" t="s">
        <v>20</v>
      </c>
    </row>
    <row r="2262" spans="1:9" x14ac:dyDescent="0.35">
      <c r="A2262" s="2" t="s">
        <v>2299</v>
      </c>
      <c r="B2262" s="3">
        <v>44949</v>
      </c>
      <c r="C2262" s="2" t="s">
        <v>25</v>
      </c>
      <c r="D2262" s="2" t="s">
        <v>46</v>
      </c>
      <c r="E2262" s="2" t="s">
        <v>18</v>
      </c>
      <c r="F2262" s="2">
        <v>888.7</v>
      </c>
      <c r="G2262" s="2">
        <v>195.46</v>
      </c>
      <c r="H2262" s="2" t="s">
        <v>28</v>
      </c>
      <c r="I2262" s="2" t="s">
        <v>29</v>
      </c>
    </row>
    <row r="2263" spans="1:9" x14ac:dyDescent="0.35">
      <c r="A2263" s="2" t="s">
        <v>2300</v>
      </c>
      <c r="B2263" s="3">
        <v>45494</v>
      </c>
      <c r="C2263" s="2" t="s">
        <v>10</v>
      </c>
      <c r="D2263" s="2" t="s">
        <v>23</v>
      </c>
      <c r="E2263" s="2" t="s">
        <v>18</v>
      </c>
      <c r="F2263" s="2">
        <v>890.15</v>
      </c>
      <c r="G2263" s="2">
        <v>141.21</v>
      </c>
      <c r="H2263" s="2" t="s">
        <v>13</v>
      </c>
      <c r="I2263" s="2" t="s">
        <v>29</v>
      </c>
    </row>
    <row r="2264" spans="1:9" x14ac:dyDescent="0.35">
      <c r="A2264" s="2" t="s">
        <v>2301</v>
      </c>
      <c r="B2264" s="3">
        <v>45115</v>
      </c>
      <c r="C2264" s="2" t="s">
        <v>10</v>
      </c>
      <c r="D2264" s="2" t="s">
        <v>57</v>
      </c>
      <c r="E2264" s="2" t="s">
        <v>27</v>
      </c>
      <c r="F2264" s="2">
        <v>1298.94</v>
      </c>
      <c r="G2264" s="2">
        <v>331.03</v>
      </c>
      <c r="H2264" s="2" t="s">
        <v>13</v>
      </c>
      <c r="I2264" s="2" t="s">
        <v>29</v>
      </c>
    </row>
    <row r="2265" spans="1:9" x14ac:dyDescent="0.35">
      <c r="A2265" s="2" t="s">
        <v>2302</v>
      </c>
      <c r="B2265" s="3">
        <v>44717</v>
      </c>
      <c r="C2265" s="2" t="s">
        <v>25</v>
      </c>
      <c r="D2265" s="2" t="s">
        <v>33</v>
      </c>
      <c r="E2265" s="2" t="s">
        <v>18</v>
      </c>
      <c r="F2265" s="2">
        <v>64.349999999999994</v>
      </c>
      <c r="G2265" s="2">
        <v>11.04</v>
      </c>
      <c r="H2265" s="2" t="s">
        <v>19</v>
      </c>
      <c r="I2265" s="2" t="s">
        <v>34</v>
      </c>
    </row>
    <row r="2266" spans="1:9" x14ac:dyDescent="0.35">
      <c r="A2266" s="2" t="s">
        <v>2303</v>
      </c>
      <c r="B2266" s="3">
        <v>45009</v>
      </c>
      <c r="C2266" s="2" t="s">
        <v>10</v>
      </c>
      <c r="D2266" s="2" t="s">
        <v>41</v>
      </c>
      <c r="E2266" s="2" t="s">
        <v>12</v>
      </c>
      <c r="F2266" s="2">
        <v>844.54</v>
      </c>
      <c r="G2266" s="2">
        <v>106.29</v>
      </c>
      <c r="H2266" s="2" t="s">
        <v>19</v>
      </c>
      <c r="I2266" s="2" t="s">
        <v>29</v>
      </c>
    </row>
    <row r="2267" spans="1:9" x14ac:dyDescent="0.35">
      <c r="A2267" s="2" t="s">
        <v>2304</v>
      </c>
      <c r="B2267" s="3">
        <v>44984</v>
      </c>
      <c r="C2267" s="2" t="s">
        <v>16</v>
      </c>
      <c r="D2267" s="2" t="s">
        <v>73</v>
      </c>
      <c r="E2267" s="2" t="s">
        <v>27</v>
      </c>
      <c r="F2267" s="2">
        <v>961.29</v>
      </c>
      <c r="G2267" s="2">
        <v>153.63999999999999</v>
      </c>
      <c r="H2267" s="2" t="s">
        <v>28</v>
      </c>
      <c r="I2267" s="2" t="s">
        <v>14</v>
      </c>
    </row>
    <row r="2268" spans="1:9" x14ac:dyDescent="0.35">
      <c r="A2268" s="2" t="s">
        <v>2305</v>
      </c>
      <c r="B2268" s="3">
        <v>44572</v>
      </c>
      <c r="C2268" s="2" t="s">
        <v>10</v>
      </c>
      <c r="D2268" s="2" t="s">
        <v>73</v>
      </c>
      <c r="E2268" s="2" t="s">
        <v>27</v>
      </c>
      <c r="F2268" s="2">
        <v>1188.8800000000001</v>
      </c>
      <c r="G2268" s="2">
        <v>235.69</v>
      </c>
      <c r="H2268" s="2" t="s">
        <v>13</v>
      </c>
      <c r="I2268" s="2" t="s">
        <v>34</v>
      </c>
    </row>
    <row r="2269" spans="1:9" x14ac:dyDescent="0.35">
      <c r="A2269" s="2" t="s">
        <v>2306</v>
      </c>
      <c r="B2269" s="3">
        <v>45316</v>
      </c>
      <c r="C2269" s="2" t="s">
        <v>16</v>
      </c>
      <c r="D2269" s="2" t="s">
        <v>62</v>
      </c>
      <c r="E2269" s="2" t="s">
        <v>27</v>
      </c>
      <c r="F2269" s="2">
        <v>981.09</v>
      </c>
      <c r="G2269" s="2">
        <v>139.18</v>
      </c>
      <c r="H2269" s="2" t="s">
        <v>28</v>
      </c>
      <c r="I2269" s="2" t="s">
        <v>14</v>
      </c>
    </row>
    <row r="2270" spans="1:9" x14ac:dyDescent="0.35">
      <c r="A2270" s="2" t="s">
        <v>2307</v>
      </c>
      <c r="B2270" s="3">
        <v>44785</v>
      </c>
      <c r="C2270" s="2" t="s">
        <v>16</v>
      </c>
      <c r="D2270" s="2" t="s">
        <v>57</v>
      </c>
      <c r="E2270" s="2" t="s">
        <v>27</v>
      </c>
      <c r="F2270" s="2">
        <v>765.83</v>
      </c>
      <c r="G2270" s="2">
        <v>178.83</v>
      </c>
      <c r="H2270" s="2" t="s">
        <v>19</v>
      </c>
      <c r="I2270" s="2" t="s">
        <v>20</v>
      </c>
    </row>
    <row r="2271" spans="1:9" x14ac:dyDescent="0.35">
      <c r="A2271" s="2" t="s">
        <v>2308</v>
      </c>
      <c r="B2271" s="3">
        <v>45274</v>
      </c>
      <c r="C2271" s="2" t="s">
        <v>25</v>
      </c>
      <c r="D2271" s="2" t="s">
        <v>50</v>
      </c>
      <c r="E2271" s="2" t="s">
        <v>12</v>
      </c>
      <c r="F2271" s="2">
        <v>479.29</v>
      </c>
      <c r="G2271" s="2">
        <v>54.47</v>
      </c>
      <c r="H2271" s="2" t="s">
        <v>19</v>
      </c>
      <c r="I2271" s="2" t="s">
        <v>34</v>
      </c>
    </row>
    <row r="2272" spans="1:9" x14ac:dyDescent="0.35">
      <c r="A2272" s="2" t="s">
        <v>2309</v>
      </c>
      <c r="B2272" s="3">
        <v>45480</v>
      </c>
      <c r="C2272" s="2" t="s">
        <v>10</v>
      </c>
      <c r="D2272" s="2" t="s">
        <v>57</v>
      </c>
      <c r="E2272" s="2" t="s">
        <v>27</v>
      </c>
      <c r="F2272" s="2">
        <v>704.09</v>
      </c>
      <c r="G2272" s="2">
        <v>168.26</v>
      </c>
      <c r="H2272" s="2" t="s">
        <v>13</v>
      </c>
      <c r="I2272" s="2" t="s">
        <v>29</v>
      </c>
    </row>
    <row r="2273" spans="1:9" x14ac:dyDescent="0.35">
      <c r="A2273" s="2" t="s">
        <v>2310</v>
      </c>
      <c r="B2273" s="3">
        <v>45388</v>
      </c>
      <c r="C2273" s="2" t="s">
        <v>25</v>
      </c>
      <c r="D2273" s="2" t="s">
        <v>50</v>
      </c>
      <c r="E2273" s="2" t="s">
        <v>12</v>
      </c>
      <c r="F2273" s="2">
        <v>352.82</v>
      </c>
      <c r="G2273" s="2">
        <v>66.86</v>
      </c>
      <c r="H2273" s="2" t="s">
        <v>19</v>
      </c>
      <c r="I2273" s="2" t="s">
        <v>29</v>
      </c>
    </row>
    <row r="2274" spans="1:9" x14ac:dyDescent="0.35">
      <c r="A2274" s="2" t="s">
        <v>2311</v>
      </c>
      <c r="B2274" s="3">
        <v>45281</v>
      </c>
      <c r="C2274" s="2" t="s">
        <v>25</v>
      </c>
      <c r="D2274" s="2" t="s">
        <v>97</v>
      </c>
      <c r="E2274" s="2" t="s">
        <v>27</v>
      </c>
      <c r="F2274" s="2">
        <v>1111.55</v>
      </c>
      <c r="G2274" s="2">
        <v>179.54</v>
      </c>
      <c r="H2274" s="2" t="s">
        <v>28</v>
      </c>
      <c r="I2274" s="2" t="s">
        <v>14</v>
      </c>
    </row>
    <row r="2275" spans="1:9" x14ac:dyDescent="0.35">
      <c r="A2275" s="2" t="s">
        <v>2312</v>
      </c>
      <c r="B2275" s="3">
        <v>45306</v>
      </c>
      <c r="C2275" s="2" t="s">
        <v>22</v>
      </c>
      <c r="D2275" s="2" t="s">
        <v>95</v>
      </c>
      <c r="E2275" s="2" t="s">
        <v>18</v>
      </c>
      <c r="F2275" s="2">
        <v>284.72000000000003</v>
      </c>
      <c r="G2275" s="2">
        <v>65.7</v>
      </c>
      <c r="H2275" s="2" t="s">
        <v>19</v>
      </c>
      <c r="I2275" s="2" t="s">
        <v>20</v>
      </c>
    </row>
    <row r="2276" spans="1:9" x14ac:dyDescent="0.35">
      <c r="A2276" s="2" t="s">
        <v>2313</v>
      </c>
      <c r="B2276" s="3">
        <v>45211</v>
      </c>
      <c r="C2276" s="2" t="s">
        <v>25</v>
      </c>
      <c r="D2276" s="2" t="s">
        <v>73</v>
      </c>
      <c r="E2276" s="2" t="s">
        <v>27</v>
      </c>
      <c r="F2276" s="2">
        <v>601.16</v>
      </c>
      <c r="G2276" s="2">
        <v>139.82</v>
      </c>
      <c r="H2276" s="2" t="s">
        <v>28</v>
      </c>
      <c r="I2276" s="2" t="s">
        <v>34</v>
      </c>
    </row>
    <row r="2277" spans="1:9" x14ac:dyDescent="0.35">
      <c r="A2277" s="2" t="s">
        <v>2314</v>
      </c>
      <c r="B2277" s="3">
        <v>44624</v>
      </c>
      <c r="C2277" s="2" t="s">
        <v>10</v>
      </c>
      <c r="D2277" s="2" t="s">
        <v>97</v>
      </c>
      <c r="E2277" s="2" t="s">
        <v>27</v>
      </c>
      <c r="F2277" s="2">
        <v>1360.5</v>
      </c>
      <c r="G2277" s="2">
        <v>281.02999999999997</v>
      </c>
      <c r="H2277" s="2" t="s">
        <v>13</v>
      </c>
      <c r="I2277" s="2" t="s">
        <v>34</v>
      </c>
    </row>
    <row r="2278" spans="1:9" x14ac:dyDescent="0.35">
      <c r="A2278" s="2" t="s">
        <v>2315</v>
      </c>
      <c r="B2278" s="3">
        <v>44760</v>
      </c>
      <c r="C2278" s="2" t="s">
        <v>22</v>
      </c>
      <c r="D2278" s="2" t="s">
        <v>73</v>
      </c>
      <c r="E2278" s="2" t="s">
        <v>27</v>
      </c>
      <c r="F2278" s="2">
        <v>1584.87</v>
      </c>
      <c r="G2278" s="2">
        <v>448.5</v>
      </c>
      <c r="H2278" s="2" t="s">
        <v>13</v>
      </c>
      <c r="I2278" s="2" t="s">
        <v>34</v>
      </c>
    </row>
    <row r="2279" spans="1:9" x14ac:dyDescent="0.35">
      <c r="A2279" s="2" t="s">
        <v>2316</v>
      </c>
      <c r="B2279" s="3">
        <v>44634</v>
      </c>
      <c r="C2279" s="2" t="s">
        <v>16</v>
      </c>
      <c r="D2279" s="2" t="s">
        <v>46</v>
      </c>
      <c r="E2279" s="2" t="s">
        <v>18</v>
      </c>
      <c r="F2279" s="2">
        <v>1136.5899999999999</v>
      </c>
      <c r="G2279" s="2">
        <v>72.040000000000006</v>
      </c>
      <c r="H2279" s="2" t="s">
        <v>19</v>
      </c>
      <c r="I2279" s="2" t="s">
        <v>20</v>
      </c>
    </row>
    <row r="2280" spans="1:9" x14ac:dyDescent="0.35">
      <c r="A2280" s="2" t="s">
        <v>2317</v>
      </c>
      <c r="B2280" s="3">
        <v>44796</v>
      </c>
      <c r="C2280" s="2" t="s">
        <v>25</v>
      </c>
      <c r="D2280" s="2" t="s">
        <v>33</v>
      </c>
      <c r="E2280" s="2" t="s">
        <v>18</v>
      </c>
      <c r="F2280" s="2">
        <v>1086.03</v>
      </c>
      <c r="G2280" s="2">
        <v>56.87</v>
      </c>
      <c r="H2280" s="2" t="s">
        <v>13</v>
      </c>
      <c r="I2280" s="2" t="s">
        <v>20</v>
      </c>
    </row>
    <row r="2281" spans="1:9" x14ac:dyDescent="0.35">
      <c r="A2281" s="2" t="s">
        <v>2318</v>
      </c>
      <c r="B2281" s="3">
        <v>45427</v>
      </c>
      <c r="C2281" s="2" t="s">
        <v>25</v>
      </c>
      <c r="D2281" s="2" t="s">
        <v>26</v>
      </c>
      <c r="E2281" s="2" t="s">
        <v>27</v>
      </c>
      <c r="F2281" s="2">
        <v>1484.41</v>
      </c>
      <c r="G2281" s="2">
        <v>180.32</v>
      </c>
      <c r="H2281" s="2" t="s">
        <v>19</v>
      </c>
      <c r="I2281" s="2" t="s">
        <v>14</v>
      </c>
    </row>
    <row r="2282" spans="1:9" x14ac:dyDescent="0.35">
      <c r="A2282" s="2" t="s">
        <v>2319</v>
      </c>
      <c r="B2282" s="3">
        <v>44764</v>
      </c>
      <c r="C2282" s="2" t="s">
        <v>16</v>
      </c>
      <c r="D2282" s="2" t="s">
        <v>11</v>
      </c>
      <c r="E2282" s="2" t="s">
        <v>12</v>
      </c>
      <c r="F2282" s="2">
        <v>627.66</v>
      </c>
      <c r="G2282" s="2">
        <v>156.74</v>
      </c>
      <c r="H2282" s="2" t="s">
        <v>13</v>
      </c>
      <c r="I2282" s="2" t="s">
        <v>29</v>
      </c>
    </row>
    <row r="2283" spans="1:9" x14ac:dyDescent="0.35">
      <c r="A2283" s="2" t="s">
        <v>2320</v>
      </c>
      <c r="B2283" s="3">
        <v>44774</v>
      </c>
      <c r="C2283" s="2" t="s">
        <v>22</v>
      </c>
      <c r="D2283" s="2" t="s">
        <v>57</v>
      </c>
      <c r="E2283" s="2" t="s">
        <v>27</v>
      </c>
      <c r="F2283" s="2">
        <v>53.64</v>
      </c>
      <c r="G2283" s="2">
        <v>7.13</v>
      </c>
      <c r="H2283" s="2" t="s">
        <v>28</v>
      </c>
      <c r="I2283" s="2" t="s">
        <v>34</v>
      </c>
    </row>
    <row r="2284" spans="1:9" x14ac:dyDescent="0.35">
      <c r="A2284" s="2" t="s">
        <v>2321</v>
      </c>
      <c r="B2284" s="3">
        <v>44613</v>
      </c>
      <c r="C2284" s="2" t="s">
        <v>25</v>
      </c>
      <c r="D2284" s="2" t="s">
        <v>23</v>
      </c>
      <c r="E2284" s="2" t="s">
        <v>18</v>
      </c>
      <c r="F2284" s="2">
        <v>212.23</v>
      </c>
      <c r="G2284" s="2">
        <v>42.82</v>
      </c>
      <c r="H2284" s="2" t="s">
        <v>13</v>
      </c>
      <c r="I2284" s="2" t="s">
        <v>34</v>
      </c>
    </row>
    <row r="2285" spans="1:9" x14ac:dyDescent="0.35">
      <c r="A2285" s="2" t="s">
        <v>2322</v>
      </c>
      <c r="B2285" s="3">
        <v>44883</v>
      </c>
      <c r="C2285" s="2" t="s">
        <v>16</v>
      </c>
      <c r="D2285" s="2" t="s">
        <v>41</v>
      </c>
      <c r="E2285" s="2" t="s">
        <v>12</v>
      </c>
      <c r="F2285" s="2">
        <v>109.64</v>
      </c>
      <c r="G2285" s="2">
        <v>30.89</v>
      </c>
      <c r="H2285" s="2" t="s">
        <v>28</v>
      </c>
      <c r="I2285" s="2" t="s">
        <v>14</v>
      </c>
    </row>
    <row r="2286" spans="1:9" x14ac:dyDescent="0.35">
      <c r="A2286" s="2" t="s">
        <v>2323</v>
      </c>
      <c r="B2286" s="3">
        <v>45095</v>
      </c>
      <c r="C2286" s="2" t="s">
        <v>22</v>
      </c>
      <c r="D2286" s="2" t="s">
        <v>57</v>
      </c>
      <c r="E2286" s="2" t="s">
        <v>27</v>
      </c>
      <c r="F2286" s="2">
        <v>1558.68</v>
      </c>
      <c r="G2286" s="2">
        <v>128.56</v>
      </c>
      <c r="H2286" s="2" t="s">
        <v>19</v>
      </c>
      <c r="I2286" s="2" t="s">
        <v>34</v>
      </c>
    </row>
    <row r="2287" spans="1:9" x14ac:dyDescent="0.35">
      <c r="A2287" s="2" t="s">
        <v>2324</v>
      </c>
      <c r="B2287" s="3">
        <v>44583</v>
      </c>
      <c r="C2287" s="2" t="s">
        <v>16</v>
      </c>
      <c r="D2287" s="2" t="s">
        <v>31</v>
      </c>
      <c r="E2287" s="2" t="s">
        <v>12</v>
      </c>
      <c r="F2287" s="2">
        <v>1021.46</v>
      </c>
      <c r="G2287" s="2">
        <v>75.86</v>
      </c>
      <c r="H2287" s="2" t="s">
        <v>19</v>
      </c>
      <c r="I2287" s="2" t="s">
        <v>29</v>
      </c>
    </row>
    <row r="2288" spans="1:9" x14ac:dyDescent="0.35">
      <c r="A2288" s="2" t="s">
        <v>2325</v>
      </c>
      <c r="B2288" s="3">
        <v>44707</v>
      </c>
      <c r="C2288" s="2" t="s">
        <v>25</v>
      </c>
      <c r="D2288" s="2" t="s">
        <v>31</v>
      </c>
      <c r="E2288" s="2" t="s">
        <v>12</v>
      </c>
      <c r="F2288" s="2">
        <v>1046.2</v>
      </c>
      <c r="G2288" s="2">
        <v>254.61</v>
      </c>
      <c r="H2288" s="2" t="s">
        <v>19</v>
      </c>
      <c r="I2288" s="2" t="s">
        <v>14</v>
      </c>
    </row>
    <row r="2289" spans="1:9" x14ac:dyDescent="0.35">
      <c r="A2289" s="2" t="s">
        <v>2326</v>
      </c>
      <c r="B2289" s="3">
        <v>45494</v>
      </c>
      <c r="C2289" s="2" t="s">
        <v>25</v>
      </c>
      <c r="D2289" s="2" t="s">
        <v>57</v>
      </c>
      <c r="E2289" s="2" t="s">
        <v>27</v>
      </c>
      <c r="F2289" s="2">
        <v>868.1</v>
      </c>
      <c r="G2289" s="2">
        <v>63.67</v>
      </c>
      <c r="H2289" s="2" t="s">
        <v>19</v>
      </c>
      <c r="I2289" s="2" t="s">
        <v>29</v>
      </c>
    </row>
    <row r="2290" spans="1:9" x14ac:dyDescent="0.35">
      <c r="A2290" s="2" t="s">
        <v>2327</v>
      </c>
      <c r="B2290" s="3">
        <v>45605</v>
      </c>
      <c r="C2290" s="2" t="s">
        <v>22</v>
      </c>
      <c r="D2290" s="2" t="s">
        <v>31</v>
      </c>
      <c r="E2290" s="2" t="s">
        <v>12</v>
      </c>
      <c r="F2290" s="2">
        <v>1988.04</v>
      </c>
      <c r="G2290" s="2">
        <v>311.5</v>
      </c>
      <c r="H2290" s="2" t="s">
        <v>28</v>
      </c>
      <c r="I2290" s="2" t="s">
        <v>29</v>
      </c>
    </row>
    <row r="2291" spans="1:9" x14ac:dyDescent="0.35">
      <c r="A2291" s="2" t="s">
        <v>2328</v>
      </c>
      <c r="B2291" s="3">
        <v>45238</v>
      </c>
      <c r="C2291" s="2" t="s">
        <v>22</v>
      </c>
      <c r="D2291" s="2" t="s">
        <v>31</v>
      </c>
      <c r="E2291" s="2" t="s">
        <v>12</v>
      </c>
      <c r="F2291" s="2">
        <v>1433.5</v>
      </c>
      <c r="G2291" s="2">
        <v>279.16000000000003</v>
      </c>
      <c r="H2291" s="2" t="s">
        <v>13</v>
      </c>
      <c r="I2291" s="2" t="s">
        <v>29</v>
      </c>
    </row>
    <row r="2292" spans="1:9" x14ac:dyDescent="0.35">
      <c r="A2292" s="2" t="s">
        <v>2329</v>
      </c>
      <c r="B2292" s="3">
        <v>45337</v>
      </c>
      <c r="C2292" s="2" t="s">
        <v>16</v>
      </c>
      <c r="D2292" s="2" t="s">
        <v>31</v>
      </c>
      <c r="E2292" s="2" t="s">
        <v>12</v>
      </c>
      <c r="F2292" s="2">
        <v>200.17</v>
      </c>
      <c r="G2292" s="2">
        <v>16.399999999999999</v>
      </c>
      <c r="H2292" s="2" t="s">
        <v>13</v>
      </c>
      <c r="I2292" s="2" t="s">
        <v>29</v>
      </c>
    </row>
    <row r="2293" spans="1:9" x14ac:dyDescent="0.35">
      <c r="A2293" s="2" t="s">
        <v>2330</v>
      </c>
      <c r="B2293" s="3">
        <v>44922</v>
      </c>
      <c r="C2293" s="2" t="s">
        <v>16</v>
      </c>
      <c r="D2293" s="2" t="s">
        <v>11</v>
      </c>
      <c r="E2293" s="2" t="s">
        <v>12</v>
      </c>
      <c r="F2293" s="2">
        <v>1578.92</v>
      </c>
      <c r="G2293" s="2">
        <v>256.60000000000002</v>
      </c>
      <c r="H2293" s="2" t="s">
        <v>28</v>
      </c>
      <c r="I2293" s="2" t="s">
        <v>14</v>
      </c>
    </row>
    <row r="2294" spans="1:9" x14ac:dyDescent="0.35">
      <c r="A2294" s="2" t="s">
        <v>2331</v>
      </c>
      <c r="B2294" s="3">
        <v>44824</v>
      </c>
      <c r="C2294" s="2" t="s">
        <v>10</v>
      </c>
      <c r="D2294" s="2" t="s">
        <v>50</v>
      </c>
      <c r="E2294" s="2" t="s">
        <v>12</v>
      </c>
      <c r="F2294" s="2">
        <v>341.41</v>
      </c>
      <c r="G2294" s="2">
        <v>91.76</v>
      </c>
      <c r="H2294" s="2" t="s">
        <v>28</v>
      </c>
      <c r="I2294" s="2" t="s">
        <v>14</v>
      </c>
    </row>
    <row r="2295" spans="1:9" x14ac:dyDescent="0.35">
      <c r="A2295" s="2" t="s">
        <v>2332</v>
      </c>
      <c r="B2295" s="3">
        <v>44967</v>
      </c>
      <c r="C2295" s="2" t="s">
        <v>22</v>
      </c>
      <c r="D2295" s="2" t="s">
        <v>62</v>
      </c>
      <c r="E2295" s="2" t="s">
        <v>27</v>
      </c>
      <c r="F2295" s="2">
        <v>407.33</v>
      </c>
      <c r="G2295" s="2">
        <v>60.35</v>
      </c>
      <c r="H2295" s="2" t="s">
        <v>19</v>
      </c>
      <c r="I2295" s="2" t="s">
        <v>14</v>
      </c>
    </row>
    <row r="2296" spans="1:9" x14ac:dyDescent="0.35">
      <c r="A2296" s="2" t="s">
        <v>2333</v>
      </c>
      <c r="B2296" s="3">
        <v>44934</v>
      </c>
      <c r="C2296" s="2" t="s">
        <v>22</v>
      </c>
      <c r="D2296" s="2" t="s">
        <v>38</v>
      </c>
      <c r="E2296" s="2" t="s">
        <v>12</v>
      </c>
      <c r="F2296" s="2">
        <v>1802.03</v>
      </c>
      <c r="G2296" s="2">
        <v>494.37</v>
      </c>
      <c r="H2296" s="2" t="s">
        <v>28</v>
      </c>
      <c r="I2296" s="2" t="s">
        <v>29</v>
      </c>
    </row>
    <row r="2297" spans="1:9" x14ac:dyDescent="0.35">
      <c r="A2297" s="2" t="s">
        <v>2334</v>
      </c>
      <c r="B2297" s="3">
        <v>45014</v>
      </c>
      <c r="C2297" s="2" t="s">
        <v>22</v>
      </c>
      <c r="D2297" s="2" t="s">
        <v>95</v>
      </c>
      <c r="E2297" s="2" t="s">
        <v>18</v>
      </c>
      <c r="F2297" s="2">
        <v>621.42999999999995</v>
      </c>
      <c r="G2297" s="2">
        <v>74.56</v>
      </c>
      <c r="H2297" s="2" t="s">
        <v>19</v>
      </c>
      <c r="I2297" s="2" t="s">
        <v>34</v>
      </c>
    </row>
    <row r="2298" spans="1:9" x14ac:dyDescent="0.35">
      <c r="A2298" s="2" t="s">
        <v>2335</v>
      </c>
      <c r="B2298" s="3">
        <v>44638</v>
      </c>
      <c r="C2298" s="2" t="s">
        <v>25</v>
      </c>
      <c r="D2298" s="2" t="s">
        <v>50</v>
      </c>
      <c r="E2298" s="2" t="s">
        <v>12</v>
      </c>
      <c r="F2298" s="2">
        <v>685.27</v>
      </c>
      <c r="G2298" s="2">
        <v>158.12</v>
      </c>
      <c r="H2298" s="2" t="s">
        <v>19</v>
      </c>
      <c r="I2298" s="2" t="s">
        <v>29</v>
      </c>
    </row>
    <row r="2299" spans="1:9" x14ac:dyDescent="0.35">
      <c r="A2299" s="2" t="s">
        <v>2336</v>
      </c>
      <c r="B2299" s="3">
        <v>44964</v>
      </c>
      <c r="C2299" s="2" t="s">
        <v>16</v>
      </c>
      <c r="D2299" s="2" t="s">
        <v>33</v>
      </c>
      <c r="E2299" s="2" t="s">
        <v>18</v>
      </c>
      <c r="F2299" s="2">
        <v>352.25</v>
      </c>
      <c r="G2299" s="2">
        <v>76.209999999999994</v>
      </c>
      <c r="H2299" s="2" t="s">
        <v>13</v>
      </c>
      <c r="I2299" s="2" t="s">
        <v>14</v>
      </c>
    </row>
    <row r="2300" spans="1:9" x14ac:dyDescent="0.35">
      <c r="A2300" s="2" t="s">
        <v>2337</v>
      </c>
      <c r="B2300" s="3">
        <v>45343</v>
      </c>
      <c r="C2300" s="2" t="s">
        <v>22</v>
      </c>
      <c r="D2300" s="2" t="s">
        <v>11</v>
      </c>
      <c r="E2300" s="2" t="s">
        <v>12</v>
      </c>
      <c r="F2300" s="2">
        <v>853.31</v>
      </c>
      <c r="G2300" s="2">
        <v>228.26</v>
      </c>
      <c r="H2300" s="2" t="s">
        <v>19</v>
      </c>
      <c r="I2300" s="2" t="s">
        <v>20</v>
      </c>
    </row>
    <row r="2301" spans="1:9" x14ac:dyDescent="0.35">
      <c r="A2301" s="2" t="s">
        <v>2338</v>
      </c>
      <c r="B2301" s="3">
        <v>44642</v>
      </c>
      <c r="C2301" s="2" t="s">
        <v>16</v>
      </c>
      <c r="D2301" s="2" t="s">
        <v>17</v>
      </c>
      <c r="E2301" s="2" t="s">
        <v>18</v>
      </c>
      <c r="F2301" s="2">
        <v>100.57</v>
      </c>
      <c r="G2301" s="2">
        <v>27.93</v>
      </c>
      <c r="H2301" s="2" t="s">
        <v>28</v>
      </c>
      <c r="I2301" s="2" t="s">
        <v>34</v>
      </c>
    </row>
    <row r="2302" spans="1:9" x14ac:dyDescent="0.35">
      <c r="A2302" s="2" t="s">
        <v>2339</v>
      </c>
      <c r="B2302" s="3">
        <v>45249</v>
      </c>
      <c r="C2302" s="2" t="s">
        <v>16</v>
      </c>
      <c r="D2302" s="2" t="s">
        <v>62</v>
      </c>
      <c r="E2302" s="2" t="s">
        <v>27</v>
      </c>
      <c r="F2302" s="2">
        <v>1170.3699999999999</v>
      </c>
      <c r="G2302" s="2">
        <v>67.05</v>
      </c>
      <c r="H2302" s="2" t="s">
        <v>28</v>
      </c>
      <c r="I2302" s="2" t="s">
        <v>29</v>
      </c>
    </row>
    <row r="2303" spans="1:9" x14ac:dyDescent="0.35">
      <c r="A2303" s="2" t="s">
        <v>2340</v>
      </c>
      <c r="B2303" s="3">
        <v>45005</v>
      </c>
      <c r="C2303" s="2" t="s">
        <v>25</v>
      </c>
      <c r="D2303" s="2" t="s">
        <v>31</v>
      </c>
      <c r="E2303" s="2" t="s">
        <v>12</v>
      </c>
      <c r="F2303" s="2">
        <v>1386.25</v>
      </c>
      <c r="G2303" s="2">
        <v>325.19</v>
      </c>
      <c r="H2303" s="2" t="s">
        <v>13</v>
      </c>
      <c r="I2303" s="2" t="s">
        <v>29</v>
      </c>
    </row>
    <row r="2304" spans="1:9" x14ac:dyDescent="0.35">
      <c r="A2304" s="2" t="s">
        <v>2341</v>
      </c>
      <c r="B2304" s="3">
        <v>45032</v>
      </c>
      <c r="C2304" s="2" t="s">
        <v>25</v>
      </c>
      <c r="D2304" s="2" t="s">
        <v>73</v>
      </c>
      <c r="E2304" s="2" t="s">
        <v>27</v>
      </c>
      <c r="F2304" s="2">
        <v>872.36</v>
      </c>
      <c r="G2304" s="2">
        <v>76.63</v>
      </c>
      <c r="H2304" s="2" t="s">
        <v>28</v>
      </c>
      <c r="I2304" s="2" t="s">
        <v>14</v>
      </c>
    </row>
    <row r="2305" spans="1:9" x14ac:dyDescent="0.35">
      <c r="A2305" s="2" t="s">
        <v>2342</v>
      </c>
      <c r="B2305" s="3">
        <v>45133</v>
      </c>
      <c r="C2305" s="2" t="s">
        <v>10</v>
      </c>
      <c r="D2305" s="2" t="s">
        <v>73</v>
      </c>
      <c r="E2305" s="2" t="s">
        <v>27</v>
      </c>
      <c r="F2305" s="2">
        <v>831.32</v>
      </c>
      <c r="G2305" s="2">
        <v>225.04</v>
      </c>
      <c r="H2305" s="2" t="s">
        <v>13</v>
      </c>
      <c r="I2305" s="2" t="s">
        <v>29</v>
      </c>
    </row>
    <row r="2306" spans="1:9" x14ac:dyDescent="0.35">
      <c r="A2306" s="2" t="s">
        <v>2343</v>
      </c>
      <c r="B2306" s="3">
        <v>45597</v>
      </c>
      <c r="C2306" s="2" t="s">
        <v>22</v>
      </c>
      <c r="D2306" s="2" t="s">
        <v>31</v>
      </c>
      <c r="E2306" s="2" t="s">
        <v>12</v>
      </c>
      <c r="F2306" s="2">
        <v>188.65</v>
      </c>
      <c r="G2306" s="2">
        <v>48.37</v>
      </c>
      <c r="H2306" s="2" t="s">
        <v>13</v>
      </c>
      <c r="I2306" s="2" t="s">
        <v>14</v>
      </c>
    </row>
    <row r="2307" spans="1:9" x14ac:dyDescent="0.35">
      <c r="A2307" s="2" t="s">
        <v>2344</v>
      </c>
      <c r="B2307" s="3">
        <v>44691</v>
      </c>
      <c r="C2307" s="2" t="s">
        <v>22</v>
      </c>
      <c r="D2307" s="2" t="s">
        <v>26</v>
      </c>
      <c r="E2307" s="2" t="s">
        <v>27</v>
      </c>
      <c r="F2307" s="2">
        <v>1820.91</v>
      </c>
      <c r="G2307" s="2">
        <v>235.82</v>
      </c>
      <c r="H2307" s="2" t="s">
        <v>28</v>
      </c>
      <c r="I2307" s="2" t="s">
        <v>14</v>
      </c>
    </row>
    <row r="2308" spans="1:9" x14ac:dyDescent="0.35">
      <c r="A2308" s="2" t="s">
        <v>2345</v>
      </c>
      <c r="B2308" s="3">
        <v>45624</v>
      </c>
      <c r="C2308" s="2" t="s">
        <v>10</v>
      </c>
      <c r="D2308" s="2" t="s">
        <v>46</v>
      </c>
      <c r="E2308" s="2" t="s">
        <v>18</v>
      </c>
      <c r="F2308" s="2">
        <v>1935.98</v>
      </c>
      <c r="G2308" s="2">
        <v>130.66999999999999</v>
      </c>
      <c r="H2308" s="2" t="s">
        <v>28</v>
      </c>
      <c r="I2308" s="2" t="s">
        <v>34</v>
      </c>
    </row>
    <row r="2309" spans="1:9" x14ac:dyDescent="0.35">
      <c r="A2309" s="2" t="s">
        <v>2346</v>
      </c>
      <c r="B2309" s="3">
        <v>45254</v>
      </c>
      <c r="C2309" s="2" t="s">
        <v>22</v>
      </c>
      <c r="D2309" s="2" t="s">
        <v>73</v>
      </c>
      <c r="E2309" s="2" t="s">
        <v>27</v>
      </c>
      <c r="F2309" s="2">
        <v>306.52</v>
      </c>
      <c r="G2309" s="2">
        <v>84.7</v>
      </c>
      <c r="H2309" s="2" t="s">
        <v>13</v>
      </c>
      <c r="I2309" s="2" t="s">
        <v>34</v>
      </c>
    </row>
    <row r="2310" spans="1:9" x14ac:dyDescent="0.35">
      <c r="A2310" s="2" t="s">
        <v>2347</v>
      </c>
      <c r="B2310" s="3">
        <v>44980</v>
      </c>
      <c r="C2310" s="2" t="s">
        <v>25</v>
      </c>
      <c r="D2310" s="2" t="s">
        <v>46</v>
      </c>
      <c r="E2310" s="2" t="s">
        <v>18</v>
      </c>
      <c r="F2310" s="2">
        <v>1725.6</v>
      </c>
      <c r="G2310" s="2">
        <v>396.96</v>
      </c>
      <c r="H2310" s="2" t="s">
        <v>19</v>
      </c>
      <c r="I2310" s="2" t="s">
        <v>14</v>
      </c>
    </row>
    <row r="2311" spans="1:9" x14ac:dyDescent="0.35">
      <c r="A2311" s="2" t="s">
        <v>2348</v>
      </c>
      <c r="B2311" s="3">
        <v>44578</v>
      </c>
      <c r="C2311" s="2" t="s">
        <v>10</v>
      </c>
      <c r="D2311" s="2" t="s">
        <v>38</v>
      </c>
      <c r="E2311" s="2" t="s">
        <v>12</v>
      </c>
      <c r="F2311" s="2">
        <v>886.3</v>
      </c>
      <c r="G2311" s="2">
        <v>244.83</v>
      </c>
      <c r="H2311" s="2" t="s">
        <v>19</v>
      </c>
      <c r="I2311" s="2" t="s">
        <v>14</v>
      </c>
    </row>
    <row r="2312" spans="1:9" x14ac:dyDescent="0.35">
      <c r="A2312" s="2" t="s">
        <v>2349</v>
      </c>
      <c r="B2312" s="3">
        <v>45093</v>
      </c>
      <c r="C2312" s="2" t="s">
        <v>22</v>
      </c>
      <c r="D2312" s="2" t="s">
        <v>38</v>
      </c>
      <c r="E2312" s="2" t="s">
        <v>12</v>
      </c>
      <c r="F2312" s="2">
        <v>1849.82</v>
      </c>
      <c r="G2312" s="2">
        <v>204.9</v>
      </c>
      <c r="H2312" s="2" t="s">
        <v>13</v>
      </c>
      <c r="I2312" s="2" t="s">
        <v>20</v>
      </c>
    </row>
    <row r="2313" spans="1:9" x14ac:dyDescent="0.35">
      <c r="A2313" s="2" t="s">
        <v>2350</v>
      </c>
      <c r="B2313" s="3">
        <v>45007</v>
      </c>
      <c r="C2313" s="2" t="s">
        <v>16</v>
      </c>
      <c r="D2313" s="2" t="s">
        <v>50</v>
      </c>
      <c r="E2313" s="2" t="s">
        <v>12</v>
      </c>
      <c r="F2313" s="2">
        <v>1273.56</v>
      </c>
      <c r="G2313" s="2">
        <v>99.06</v>
      </c>
      <c r="H2313" s="2" t="s">
        <v>13</v>
      </c>
      <c r="I2313" s="2" t="s">
        <v>14</v>
      </c>
    </row>
    <row r="2314" spans="1:9" x14ac:dyDescent="0.35">
      <c r="A2314" s="2" t="s">
        <v>2351</v>
      </c>
      <c r="B2314" s="3">
        <v>45065</v>
      </c>
      <c r="C2314" s="2" t="s">
        <v>22</v>
      </c>
      <c r="D2314" s="2" t="s">
        <v>26</v>
      </c>
      <c r="E2314" s="2" t="s">
        <v>27</v>
      </c>
      <c r="F2314" s="2">
        <v>214.9</v>
      </c>
      <c r="G2314" s="2">
        <v>48.68</v>
      </c>
      <c r="H2314" s="2" t="s">
        <v>13</v>
      </c>
      <c r="I2314" s="2" t="s">
        <v>29</v>
      </c>
    </row>
    <row r="2315" spans="1:9" x14ac:dyDescent="0.35">
      <c r="A2315" s="2" t="s">
        <v>2352</v>
      </c>
      <c r="B2315" s="3">
        <v>45073</v>
      </c>
      <c r="C2315" s="2" t="s">
        <v>10</v>
      </c>
      <c r="D2315" s="2" t="s">
        <v>95</v>
      </c>
      <c r="E2315" s="2" t="s">
        <v>18</v>
      </c>
      <c r="F2315" s="2">
        <v>1505.92</v>
      </c>
      <c r="G2315" s="2">
        <v>231.3</v>
      </c>
      <c r="H2315" s="2" t="s">
        <v>19</v>
      </c>
      <c r="I2315" s="2" t="s">
        <v>29</v>
      </c>
    </row>
    <row r="2316" spans="1:9" x14ac:dyDescent="0.35">
      <c r="A2316" s="2" t="s">
        <v>2353</v>
      </c>
      <c r="B2316" s="3">
        <v>44746</v>
      </c>
      <c r="C2316" s="2" t="s">
        <v>25</v>
      </c>
      <c r="D2316" s="2" t="s">
        <v>95</v>
      </c>
      <c r="E2316" s="2" t="s">
        <v>18</v>
      </c>
      <c r="F2316" s="2">
        <v>905.72</v>
      </c>
      <c r="G2316" s="2">
        <v>259.29000000000002</v>
      </c>
      <c r="H2316" s="2" t="s">
        <v>13</v>
      </c>
      <c r="I2316" s="2" t="s">
        <v>14</v>
      </c>
    </row>
    <row r="2317" spans="1:9" x14ac:dyDescent="0.35">
      <c r="A2317" s="2" t="s">
        <v>2354</v>
      </c>
      <c r="B2317" s="3">
        <v>44764</v>
      </c>
      <c r="C2317" s="2" t="s">
        <v>25</v>
      </c>
      <c r="D2317" s="2" t="s">
        <v>41</v>
      </c>
      <c r="E2317" s="2" t="s">
        <v>12</v>
      </c>
      <c r="F2317" s="2">
        <v>913.05</v>
      </c>
      <c r="G2317" s="2">
        <v>249.01</v>
      </c>
      <c r="H2317" s="2" t="s">
        <v>28</v>
      </c>
      <c r="I2317" s="2" t="s">
        <v>34</v>
      </c>
    </row>
    <row r="2318" spans="1:9" x14ac:dyDescent="0.35">
      <c r="A2318" s="2" t="s">
        <v>2355</v>
      </c>
      <c r="B2318" s="3">
        <v>44666</v>
      </c>
      <c r="C2318" s="2" t="s">
        <v>16</v>
      </c>
      <c r="D2318" s="2" t="s">
        <v>33</v>
      </c>
      <c r="E2318" s="2" t="s">
        <v>18</v>
      </c>
      <c r="F2318" s="2">
        <v>1691.8</v>
      </c>
      <c r="G2318" s="2">
        <v>331.47</v>
      </c>
      <c r="H2318" s="2" t="s">
        <v>13</v>
      </c>
      <c r="I2318" s="2" t="s">
        <v>29</v>
      </c>
    </row>
    <row r="2319" spans="1:9" x14ac:dyDescent="0.35">
      <c r="A2319" s="2" t="s">
        <v>2356</v>
      </c>
      <c r="B2319" s="3">
        <v>44569</v>
      </c>
      <c r="C2319" s="2" t="s">
        <v>10</v>
      </c>
      <c r="D2319" s="2" t="s">
        <v>46</v>
      </c>
      <c r="E2319" s="2" t="s">
        <v>18</v>
      </c>
      <c r="F2319" s="2">
        <v>340.5</v>
      </c>
      <c r="G2319" s="2">
        <v>54.67</v>
      </c>
      <c r="H2319" s="2" t="s">
        <v>13</v>
      </c>
      <c r="I2319" s="2" t="s">
        <v>34</v>
      </c>
    </row>
    <row r="2320" spans="1:9" x14ac:dyDescent="0.35">
      <c r="A2320" s="2" t="s">
        <v>2357</v>
      </c>
      <c r="B2320" s="3">
        <v>44854</v>
      </c>
      <c r="C2320" s="2" t="s">
        <v>25</v>
      </c>
      <c r="D2320" s="2" t="s">
        <v>46</v>
      </c>
      <c r="E2320" s="2" t="s">
        <v>18</v>
      </c>
      <c r="F2320" s="2">
        <v>1900.18</v>
      </c>
      <c r="G2320" s="2">
        <v>154.6</v>
      </c>
      <c r="H2320" s="2" t="s">
        <v>13</v>
      </c>
      <c r="I2320" s="2" t="s">
        <v>34</v>
      </c>
    </row>
    <row r="2321" spans="1:9" x14ac:dyDescent="0.35">
      <c r="A2321" s="2" t="s">
        <v>2358</v>
      </c>
      <c r="B2321" s="3">
        <v>44916</v>
      </c>
      <c r="C2321" s="2" t="s">
        <v>10</v>
      </c>
      <c r="D2321" s="2" t="s">
        <v>73</v>
      </c>
      <c r="E2321" s="2" t="s">
        <v>27</v>
      </c>
      <c r="F2321" s="2">
        <v>723.69</v>
      </c>
      <c r="G2321" s="2">
        <v>103.91</v>
      </c>
      <c r="H2321" s="2" t="s">
        <v>28</v>
      </c>
      <c r="I2321" s="2" t="s">
        <v>29</v>
      </c>
    </row>
    <row r="2322" spans="1:9" x14ac:dyDescent="0.35">
      <c r="A2322" s="2" t="s">
        <v>2359</v>
      </c>
      <c r="B2322" s="3">
        <v>44847</v>
      </c>
      <c r="C2322" s="2" t="s">
        <v>22</v>
      </c>
      <c r="D2322" s="2" t="s">
        <v>62</v>
      </c>
      <c r="E2322" s="2" t="s">
        <v>27</v>
      </c>
      <c r="F2322" s="2">
        <v>531.91</v>
      </c>
      <c r="G2322" s="2">
        <v>88.02</v>
      </c>
      <c r="H2322" s="2" t="s">
        <v>13</v>
      </c>
      <c r="I2322" s="2" t="s">
        <v>20</v>
      </c>
    </row>
    <row r="2323" spans="1:9" x14ac:dyDescent="0.35">
      <c r="A2323" s="2" t="s">
        <v>2360</v>
      </c>
      <c r="B2323" s="3">
        <v>45331</v>
      </c>
      <c r="C2323" s="2" t="s">
        <v>16</v>
      </c>
      <c r="D2323" s="2" t="s">
        <v>62</v>
      </c>
      <c r="E2323" s="2" t="s">
        <v>27</v>
      </c>
      <c r="F2323" s="2">
        <v>648.99</v>
      </c>
      <c r="G2323" s="2">
        <v>35.35</v>
      </c>
      <c r="H2323" s="2" t="s">
        <v>13</v>
      </c>
      <c r="I2323" s="2" t="s">
        <v>34</v>
      </c>
    </row>
    <row r="2324" spans="1:9" x14ac:dyDescent="0.35">
      <c r="A2324" s="2" t="s">
        <v>2361</v>
      </c>
      <c r="B2324" s="3">
        <v>44703</v>
      </c>
      <c r="C2324" s="2" t="s">
        <v>16</v>
      </c>
      <c r="D2324" s="2" t="s">
        <v>23</v>
      </c>
      <c r="E2324" s="2" t="s">
        <v>18</v>
      </c>
      <c r="F2324" s="2">
        <v>296.94</v>
      </c>
      <c r="G2324" s="2">
        <v>51.16</v>
      </c>
      <c r="H2324" s="2" t="s">
        <v>19</v>
      </c>
      <c r="I2324" s="2" t="s">
        <v>20</v>
      </c>
    </row>
    <row r="2325" spans="1:9" x14ac:dyDescent="0.35">
      <c r="A2325" s="2" t="s">
        <v>2362</v>
      </c>
      <c r="B2325" s="3">
        <v>44819</v>
      </c>
      <c r="C2325" s="2" t="s">
        <v>22</v>
      </c>
      <c r="D2325" s="2" t="s">
        <v>33</v>
      </c>
      <c r="E2325" s="2" t="s">
        <v>18</v>
      </c>
      <c r="F2325" s="2">
        <v>1080.54</v>
      </c>
      <c r="G2325" s="2">
        <v>201.01</v>
      </c>
      <c r="H2325" s="2" t="s">
        <v>28</v>
      </c>
      <c r="I2325" s="2" t="s">
        <v>34</v>
      </c>
    </row>
    <row r="2326" spans="1:9" x14ac:dyDescent="0.35">
      <c r="A2326" s="2" t="s">
        <v>2363</v>
      </c>
      <c r="B2326" s="3">
        <v>45172</v>
      </c>
      <c r="C2326" s="2" t="s">
        <v>16</v>
      </c>
      <c r="D2326" s="2" t="s">
        <v>57</v>
      </c>
      <c r="E2326" s="2" t="s">
        <v>27</v>
      </c>
      <c r="F2326" s="2">
        <v>1278.31</v>
      </c>
      <c r="G2326" s="2">
        <v>369.48</v>
      </c>
      <c r="H2326" s="2" t="s">
        <v>19</v>
      </c>
      <c r="I2326" s="2" t="s">
        <v>34</v>
      </c>
    </row>
    <row r="2327" spans="1:9" x14ac:dyDescent="0.35">
      <c r="A2327" s="2" t="s">
        <v>2364</v>
      </c>
      <c r="B2327" s="3">
        <v>45230</v>
      </c>
      <c r="C2327" s="2" t="s">
        <v>16</v>
      </c>
      <c r="D2327" s="2" t="s">
        <v>33</v>
      </c>
      <c r="E2327" s="2" t="s">
        <v>18</v>
      </c>
      <c r="F2327" s="2">
        <v>1479.93</v>
      </c>
      <c r="G2327" s="2">
        <v>113.22</v>
      </c>
      <c r="H2327" s="2" t="s">
        <v>28</v>
      </c>
      <c r="I2327" s="2" t="s">
        <v>20</v>
      </c>
    </row>
    <row r="2328" spans="1:9" x14ac:dyDescent="0.35">
      <c r="A2328" s="2" t="s">
        <v>2365</v>
      </c>
      <c r="B2328" s="3">
        <v>45539</v>
      </c>
      <c r="C2328" s="2" t="s">
        <v>10</v>
      </c>
      <c r="D2328" s="2" t="s">
        <v>73</v>
      </c>
      <c r="E2328" s="2" t="s">
        <v>27</v>
      </c>
      <c r="F2328" s="2">
        <v>1400.86</v>
      </c>
      <c r="G2328" s="2">
        <v>275.25</v>
      </c>
      <c r="H2328" s="2" t="s">
        <v>28</v>
      </c>
      <c r="I2328" s="2" t="s">
        <v>14</v>
      </c>
    </row>
    <row r="2329" spans="1:9" x14ac:dyDescent="0.35">
      <c r="A2329" s="2" t="s">
        <v>2366</v>
      </c>
      <c r="B2329" s="3">
        <v>45377</v>
      </c>
      <c r="C2329" s="2" t="s">
        <v>22</v>
      </c>
      <c r="D2329" s="2" t="s">
        <v>38</v>
      </c>
      <c r="E2329" s="2" t="s">
        <v>12</v>
      </c>
      <c r="F2329" s="2">
        <v>1890.25</v>
      </c>
      <c r="G2329" s="2">
        <v>436.89</v>
      </c>
      <c r="H2329" s="2" t="s">
        <v>19</v>
      </c>
      <c r="I2329" s="2" t="s">
        <v>14</v>
      </c>
    </row>
    <row r="2330" spans="1:9" x14ac:dyDescent="0.35">
      <c r="A2330" s="2" t="s">
        <v>2367</v>
      </c>
      <c r="B2330" s="3">
        <v>45106</v>
      </c>
      <c r="C2330" s="2" t="s">
        <v>22</v>
      </c>
      <c r="D2330" s="2" t="s">
        <v>38</v>
      </c>
      <c r="E2330" s="2" t="s">
        <v>12</v>
      </c>
      <c r="F2330" s="2">
        <v>556.54999999999995</v>
      </c>
      <c r="G2330" s="2">
        <v>124.05</v>
      </c>
      <c r="H2330" s="2" t="s">
        <v>13</v>
      </c>
      <c r="I2330" s="2" t="s">
        <v>20</v>
      </c>
    </row>
    <row r="2331" spans="1:9" x14ac:dyDescent="0.35">
      <c r="A2331" s="2" t="s">
        <v>2368</v>
      </c>
      <c r="B2331" s="3">
        <v>44737</v>
      </c>
      <c r="C2331" s="2" t="s">
        <v>22</v>
      </c>
      <c r="D2331" s="2" t="s">
        <v>41</v>
      </c>
      <c r="E2331" s="2" t="s">
        <v>12</v>
      </c>
      <c r="F2331" s="2">
        <v>896.64</v>
      </c>
      <c r="G2331" s="2">
        <v>146.32</v>
      </c>
      <c r="H2331" s="2" t="s">
        <v>28</v>
      </c>
      <c r="I2331" s="2" t="s">
        <v>14</v>
      </c>
    </row>
    <row r="2332" spans="1:9" x14ac:dyDescent="0.35">
      <c r="A2332" s="2" t="s">
        <v>2369</v>
      </c>
      <c r="B2332" s="3">
        <v>45200</v>
      </c>
      <c r="C2332" s="2" t="s">
        <v>16</v>
      </c>
      <c r="D2332" s="2" t="s">
        <v>57</v>
      </c>
      <c r="E2332" s="2" t="s">
        <v>27</v>
      </c>
      <c r="F2332" s="2">
        <v>1630.08</v>
      </c>
      <c r="G2332" s="2">
        <v>224.4</v>
      </c>
      <c r="H2332" s="2" t="s">
        <v>19</v>
      </c>
      <c r="I2332" s="2" t="s">
        <v>29</v>
      </c>
    </row>
    <row r="2333" spans="1:9" x14ac:dyDescent="0.35">
      <c r="A2333" s="2" t="s">
        <v>2370</v>
      </c>
      <c r="B2333" s="3">
        <v>44601</v>
      </c>
      <c r="C2333" s="2" t="s">
        <v>16</v>
      </c>
      <c r="D2333" s="2" t="s">
        <v>33</v>
      </c>
      <c r="E2333" s="2" t="s">
        <v>18</v>
      </c>
      <c r="F2333" s="2">
        <v>1927.77</v>
      </c>
      <c r="G2333" s="2">
        <v>526.99</v>
      </c>
      <c r="H2333" s="2" t="s">
        <v>19</v>
      </c>
      <c r="I2333" s="2" t="s">
        <v>14</v>
      </c>
    </row>
    <row r="2334" spans="1:9" x14ac:dyDescent="0.35">
      <c r="A2334" s="2" t="s">
        <v>2371</v>
      </c>
      <c r="B2334" s="3">
        <v>45061</v>
      </c>
      <c r="C2334" s="2" t="s">
        <v>25</v>
      </c>
      <c r="D2334" s="2" t="s">
        <v>50</v>
      </c>
      <c r="E2334" s="2" t="s">
        <v>12</v>
      </c>
      <c r="F2334" s="2">
        <v>1630.74</v>
      </c>
      <c r="G2334" s="2">
        <v>382.21</v>
      </c>
      <c r="H2334" s="2" t="s">
        <v>28</v>
      </c>
      <c r="I2334" s="2" t="s">
        <v>14</v>
      </c>
    </row>
    <row r="2335" spans="1:9" x14ac:dyDescent="0.35">
      <c r="A2335" s="2" t="s">
        <v>2372</v>
      </c>
      <c r="B2335" s="3">
        <v>44906</v>
      </c>
      <c r="C2335" s="2" t="s">
        <v>22</v>
      </c>
      <c r="D2335" s="2" t="s">
        <v>95</v>
      </c>
      <c r="E2335" s="2" t="s">
        <v>18</v>
      </c>
      <c r="F2335" s="2">
        <v>110.54</v>
      </c>
      <c r="G2335" s="2">
        <v>28.9</v>
      </c>
      <c r="H2335" s="2" t="s">
        <v>13</v>
      </c>
      <c r="I2335" s="2" t="s">
        <v>14</v>
      </c>
    </row>
    <row r="2336" spans="1:9" x14ac:dyDescent="0.35">
      <c r="A2336" s="2" t="s">
        <v>2373</v>
      </c>
      <c r="B2336" s="3">
        <v>45033</v>
      </c>
      <c r="C2336" s="2" t="s">
        <v>22</v>
      </c>
      <c r="D2336" s="2" t="s">
        <v>50</v>
      </c>
      <c r="E2336" s="2" t="s">
        <v>12</v>
      </c>
      <c r="F2336" s="2">
        <v>109.21</v>
      </c>
      <c r="G2336" s="2">
        <v>29.82</v>
      </c>
      <c r="H2336" s="2" t="s">
        <v>28</v>
      </c>
      <c r="I2336" s="2" t="s">
        <v>34</v>
      </c>
    </row>
    <row r="2337" spans="1:9" x14ac:dyDescent="0.35">
      <c r="A2337" s="2" t="s">
        <v>2374</v>
      </c>
      <c r="B2337" s="3">
        <v>44629</v>
      </c>
      <c r="C2337" s="2" t="s">
        <v>25</v>
      </c>
      <c r="D2337" s="2" t="s">
        <v>57</v>
      </c>
      <c r="E2337" s="2" t="s">
        <v>27</v>
      </c>
      <c r="F2337" s="2">
        <v>1669.12</v>
      </c>
      <c r="G2337" s="2">
        <v>424.82</v>
      </c>
      <c r="H2337" s="2" t="s">
        <v>13</v>
      </c>
      <c r="I2337" s="2" t="s">
        <v>14</v>
      </c>
    </row>
    <row r="2338" spans="1:9" x14ac:dyDescent="0.35">
      <c r="A2338" s="2" t="s">
        <v>2375</v>
      </c>
      <c r="B2338" s="3">
        <v>45463</v>
      </c>
      <c r="C2338" s="2" t="s">
        <v>25</v>
      </c>
      <c r="D2338" s="2" t="s">
        <v>17</v>
      </c>
      <c r="E2338" s="2" t="s">
        <v>18</v>
      </c>
      <c r="F2338" s="2">
        <v>1361.28</v>
      </c>
      <c r="G2338" s="2">
        <v>276.94</v>
      </c>
      <c r="H2338" s="2" t="s">
        <v>28</v>
      </c>
      <c r="I2338" s="2" t="s">
        <v>29</v>
      </c>
    </row>
    <row r="2339" spans="1:9" x14ac:dyDescent="0.35">
      <c r="A2339" s="2" t="s">
        <v>2376</v>
      </c>
      <c r="B2339" s="3">
        <v>45044</v>
      </c>
      <c r="C2339" s="2" t="s">
        <v>22</v>
      </c>
      <c r="D2339" s="2" t="s">
        <v>23</v>
      </c>
      <c r="E2339" s="2" t="s">
        <v>18</v>
      </c>
      <c r="F2339" s="2">
        <v>1399.13</v>
      </c>
      <c r="G2339" s="2">
        <v>249.22</v>
      </c>
      <c r="H2339" s="2" t="s">
        <v>19</v>
      </c>
      <c r="I2339" s="2" t="s">
        <v>20</v>
      </c>
    </row>
    <row r="2340" spans="1:9" x14ac:dyDescent="0.35">
      <c r="A2340" s="2" t="s">
        <v>2377</v>
      </c>
      <c r="B2340" s="3">
        <v>45636</v>
      </c>
      <c r="C2340" s="2" t="s">
        <v>16</v>
      </c>
      <c r="D2340" s="2" t="s">
        <v>17</v>
      </c>
      <c r="E2340" s="2" t="s">
        <v>18</v>
      </c>
      <c r="F2340" s="2">
        <v>356.59</v>
      </c>
      <c r="G2340" s="2">
        <v>59.66</v>
      </c>
      <c r="H2340" s="2" t="s">
        <v>13</v>
      </c>
      <c r="I2340" s="2" t="s">
        <v>34</v>
      </c>
    </row>
    <row r="2341" spans="1:9" x14ac:dyDescent="0.35">
      <c r="A2341" s="2" t="s">
        <v>2378</v>
      </c>
      <c r="B2341" s="3">
        <v>45029</v>
      </c>
      <c r="C2341" s="2" t="s">
        <v>10</v>
      </c>
      <c r="D2341" s="2" t="s">
        <v>23</v>
      </c>
      <c r="E2341" s="2" t="s">
        <v>18</v>
      </c>
      <c r="F2341" s="2">
        <v>1336.66</v>
      </c>
      <c r="G2341" s="2">
        <v>197.82</v>
      </c>
      <c r="H2341" s="2" t="s">
        <v>13</v>
      </c>
      <c r="I2341" s="2" t="s">
        <v>20</v>
      </c>
    </row>
    <row r="2342" spans="1:9" x14ac:dyDescent="0.35">
      <c r="A2342" s="2" t="s">
        <v>2379</v>
      </c>
      <c r="B2342" s="3">
        <v>45417</v>
      </c>
      <c r="C2342" s="2" t="s">
        <v>16</v>
      </c>
      <c r="D2342" s="2" t="s">
        <v>23</v>
      </c>
      <c r="E2342" s="2" t="s">
        <v>18</v>
      </c>
      <c r="F2342" s="2">
        <v>523.79</v>
      </c>
      <c r="G2342" s="2">
        <v>86.02</v>
      </c>
      <c r="H2342" s="2" t="s">
        <v>28</v>
      </c>
      <c r="I2342" s="2" t="s">
        <v>29</v>
      </c>
    </row>
    <row r="2343" spans="1:9" x14ac:dyDescent="0.35">
      <c r="A2343" s="2" t="s">
        <v>2380</v>
      </c>
      <c r="B2343" s="3">
        <v>44843</v>
      </c>
      <c r="C2343" s="2" t="s">
        <v>10</v>
      </c>
      <c r="D2343" s="2" t="s">
        <v>31</v>
      </c>
      <c r="E2343" s="2" t="s">
        <v>12</v>
      </c>
      <c r="F2343" s="2">
        <v>1377.66</v>
      </c>
      <c r="G2343" s="2">
        <v>114.1</v>
      </c>
      <c r="H2343" s="2" t="s">
        <v>13</v>
      </c>
      <c r="I2343" s="2" t="s">
        <v>14</v>
      </c>
    </row>
    <row r="2344" spans="1:9" x14ac:dyDescent="0.35">
      <c r="A2344" s="2" t="s">
        <v>2381</v>
      </c>
      <c r="B2344" s="3">
        <v>45596</v>
      </c>
      <c r="C2344" s="2" t="s">
        <v>16</v>
      </c>
      <c r="D2344" s="2" t="s">
        <v>26</v>
      </c>
      <c r="E2344" s="2" t="s">
        <v>27</v>
      </c>
      <c r="F2344" s="2">
        <v>636.08000000000004</v>
      </c>
      <c r="G2344" s="2">
        <v>85.35</v>
      </c>
      <c r="H2344" s="2" t="s">
        <v>19</v>
      </c>
      <c r="I2344" s="2" t="s">
        <v>20</v>
      </c>
    </row>
    <row r="2345" spans="1:9" x14ac:dyDescent="0.35">
      <c r="A2345" s="2" t="s">
        <v>2382</v>
      </c>
      <c r="B2345" s="3">
        <v>44903</v>
      </c>
      <c r="C2345" s="2" t="s">
        <v>22</v>
      </c>
      <c r="D2345" s="2" t="s">
        <v>50</v>
      </c>
      <c r="E2345" s="2" t="s">
        <v>12</v>
      </c>
      <c r="F2345" s="2">
        <v>762.07</v>
      </c>
      <c r="G2345" s="2">
        <v>136.59</v>
      </c>
      <c r="H2345" s="2" t="s">
        <v>13</v>
      </c>
      <c r="I2345" s="2" t="s">
        <v>34</v>
      </c>
    </row>
    <row r="2346" spans="1:9" x14ac:dyDescent="0.35">
      <c r="A2346" s="2" t="s">
        <v>2383</v>
      </c>
      <c r="B2346" s="3">
        <v>45355</v>
      </c>
      <c r="C2346" s="2" t="s">
        <v>25</v>
      </c>
      <c r="D2346" s="2" t="s">
        <v>31</v>
      </c>
      <c r="E2346" s="2" t="s">
        <v>12</v>
      </c>
      <c r="F2346" s="2">
        <v>1335.92</v>
      </c>
      <c r="G2346" s="2">
        <v>365.19</v>
      </c>
      <c r="H2346" s="2" t="s">
        <v>28</v>
      </c>
      <c r="I2346" s="2" t="s">
        <v>20</v>
      </c>
    </row>
    <row r="2347" spans="1:9" x14ac:dyDescent="0.35">
      <c r="A2347" s="2" t="s">
        <v>2384</v>
      </c>
      <c r="B2347" s="3">
        <v>45413</v>
      </c>
      <c r="C2347" s="2" t="s">
        <v>25</v>
      </c>
      <c r="D2347" s="2" t="s">
        <v>50</v>
      </c>
      <c r="E2347" s="2" t="s">
        <v>12</v>
      </c>
      <c r="F2347" s="2">
        <v>253.47</v>
      </c>
      <c r="G2347" s="2">
        <v>60.2</v>
      </c>
      <c r="H2347" s="2" t="s">
        <v>19</v>
      </c>
      <c r="I2347" s="2" t="s">
        <v>34</v>
      </c>
    </row>
    <row r="2348" spans="1:9" x14ac:dyDescent="0.35">
      <c r="A2348" s="2" t="s">
        <v>2385</v>
      </c>
      <c r="B2348" s="3">
        <v>45071</v>
      </c>
      <c r="C2348" s="2" t="s">
        <v>16</v>
      </c>
      <c r="D2348" s="2" t="s">
        <v>38</v>
      </c>
      <c r="E2348" s="2" t="s">
        <v>12</v>
      </c>
      <c r="F2348" s="2">
        <v>1610.6</v>
      </c>
      <c r="G2348" s="2">
        <v>312.11</v>
      </c>
      <c r="H2348" s="2" t="s">
        <v>13</v>
      </c>
      <c r="I2348" s="2" t="s">
        <v>34</v>
      </c>
    </row>
    <row r="2349" spans="1:9" x14ac:dyDescent="0.35">
      <c r="A2349" s="2" t="s">
        <v>2386</v>
      </c>
      <c r="B2349" s="3">
        <v>45343</v>
      </c>
      <c r="C2349" s="2" t="s">
        <v>25</v>
      </c>
      <c r="D2349" s="2" t="s">
        <v>33</v>
      </c>
      <c r="E2349" s="2" t="s">
        <v>18</v>
      </c>
      <c r="F2349" s="2">
        <v>1987.77</v>
      </c>
      <c r="G2349" s="2">
        <v>253.76</v>
      </c>
      <c r="H2349" s="2" t="s">
        <v>19</v>
      </c>
      <c r="I2349" s="2" t="s">
        <v>20</v>
      </c>
    </row>
    <row r="2350" spans="1:9" x14ac:dyDescent="0.35">
      <c r="A2350" s="2" t="s">
        <v>2387</v>
      </c>
      <c r="B2350" s="3">
        <v>44918</v>
      </c>
      <c r="C2350" s="2" t="s">
        <v>22</v>
      </c>
      <c r="D2350" s="2" t="s">
        <v>23</v>
      </c>
      <c r="E2350" s="2" t="s">
        <v>18</v>
      </c>
      <c r="F2350" s="2">
        <v>1620.17</v>
      </c>
      <c r="G2350" s="2">
        <v>471.43</v>
      </c>
      <c r="H2350" s="2" t="s">
        <v>19</v>
      </c>
      <c r="I2350" s="2" t="s">
        <v>14</v>
      </c>
    </row>
    <row r="2351" spans="1:9" x14ac:dyDescent="0.35">
      <c r="A2351" s="2" t="s">
        <v>2388</v>
      </c>
      <c r="B2351" s="3">
        <v>45047</v>
      </c>
      <c r="C2351" s="2" t="s">
        <v>16</v>
      </c>
      <c r="D2351" s="2" t="s">
        <v>73</v>
      </c>
      <c r="E2351" s="2" t="s">
        <v>27</v>
      </c>
      <c r="F2351" s="2">
        <v>1846.81</v>
      </c>
      <c r="G2351" s="2">
        <v>503.25</v>
      </c>
      <c r="H2351" s="2" t="s">
        <v>13</v>
      </c>
      <c r="I2351" s="2" t="s">
        <v>20</v>
      </c>
    </row>
    <row r="2352" spans="1:9" x14ac:dyDescent="0.35">
      <c r="A2352" s="2" t="s">
        <v>2389</v>
      </c>
      <c r="B2352" s="3">
        <v>45463</v>
      </c>
      <c r="C2352" s="2" t="s">
        <v>25</v>
      </c>
      <c r="D2352" s="2" t="s">
        <v>17</v>
      </c>
      <c r="E2352" s="2" t="s">
        <v>18</v>
      </c>
      <c r="F2352" s="2">
        <v>797.05</v>
      </c>
      <c r="G2352" s="2">
        <v>50.85</v>
      </c>
      <c r="H2352" s="2" t="s">
        <v>19</v>
      </c>
      <c r="I2352" s="2" t="s">
        <v>34</v>
      </c>
    </row>
    <row r="2353" spans="1:9" x14ac:dyDescent="0.35">
      <c r="A2353" s="2" t="s">
        <v>2390</v>
      </c>
      <c r="B2353" s="3">
        <v>45092</v>
      </c>
      <c r="C2353" s="2" t="s">
        <v>16</v>
      </c>
      <c r="D2353" s="2" t="s">
        <v>31</v>
      </c>
      <c r="E2353" s="2" t="s">
        <v>12</v>
      </c>
      <c r="F2353" s="2">
        <v>1876.65</v>
      </c>
      <c r="G2353" s="2">
        <v>269.25</v>
      </c>
      <c r="H2353" s="2" t="s">
        <v>13</v>
      </c>
      <c r="I2353" s="2" t="s">
        <v>14</v>
      </c>
    </row>
    <row r="2354" spans="1:9" x14ac:dyDescent="0.35">
      <c r="A2354" s="2" t="s">
        <v>2391</v>
      </c>
      <c r="B2354" s="3">
        <v>45115</v>
      </c>
      <c r="C2354" s="2" t="s">
        <v>22</v>
      </c>
      <c r="D2354" s="2" t="s">
        <v>33</v>
      </c>
      <c r="E2354" s="2" t="s">
        <v>18</v>
      </c>
      <c r="F2354" s="2">
        <v>1471.18</v>
      </c>
      <c r="G2354" s="2">
        <v>278.07</v>
      </c>
      <c r="H2354" s="2" t="s">
        <v>28</v>
      </c>
      <c r="I2354" s="2" t="s">
        <v>34</v>
      </c>
    </row>
    <row r="2355" spans="1:9" x14ac:dyDescent="0.35">
      <c r="A2355" s="2" t="s">
        <v>2392</v>
      </c>
      <c r="B2355" s="3">
        <v>44689</v>
      </c>
      <c r="C2355" s="2" t="s">
        <v>25</v>
      </c>
      <c r="D2355" s="2" t="s">
        <v>26</v>
      </c>
      <c r="E2355" s="2" t="s">
        <v>27</v>
      </c>
      <c r="F2355" s="2">
        <v>1067.4100000000001</v>
      </c>
      <c r="G2355" s="2">
        <v>124.48</v>
      </c>
      <c r="H2355" s="2" t="s">
        <v>19</v>
      </c>
      <c r="I2355" s="2" t="s">
        <v>14</v>
      </c>
    </row>
    <row r="2356" spans="1:9" x14ac:dyDescent="0.35">
      <c r="A2356" s="2" t="s">
        <v>2393</v>
      </c>
      <c r="B2356" s="3">
        <v>45605</v>
      </c>
      <c r="C2356" s="2" t="s">
        <v>10</v>
      </c>
      <c r="D2356" s="2" t="s">
        <v>73</v>
      </c>
      <c r="E2356" s="2" t="s">
        <v>27</v>
      </c>
      <c r="F2356" s="2">
        <v>1852.57</v>
      </c>
      <c r="G2356" s="2">
        <v>332.99</v>
      </c>
      <c r="H2356" s="2" t="s">
        <v>13</v>
      </c>
      <c r="I2356" s="2" t="s">
        <v>14</v>
      </c>
    </row>
    <row r="2357" spans="1:9" x14ac:dyDescent="0.35">
      <c r="A2357" s="2" t="s">
        <v>2394</v>
      </c>
      <c r="B2357" s="3">
        <v>44898</v>
      </c>
      <c r="C2357" s="2" t="s">
        <v>22</v>
      </c>
      <c r="D2357" s="2" t="s">
        <v>33</v>
      </c>
      <c r="E2357" s="2" t="s">
        <v>18</v>
      </c>
      <c r="F2357" s="2">
        <v>1224.68</v>
      </c>
      <c r="G2357" s="2">
        <v>260.48</v>
      </c>
      <c r="H2357" s="2" t="s">
        <v>19</v>
      </c>
      <c r="I2357" s="2" t="s">
        <v>14</v>
      </c>
    </row>
    <row r="2358" spans="1:9" x14ac:dyDescent="0.35">
      <c r="A2358" s="2" t="s">
        <v>2395</v>
      </c>
      <c r="B2358" s="3">
        <v>45468</v>
      </c>
      <c r="C2358" s="2" t="s">
        <v>22</v>
      </c>
      <c r="D2358" s="2" t="s">
        <v>62</v>
      </c>
      <c r="E2358" s="2" t="s">
        <v>27</v>
      </c>
      <c r="F2358" s="2">
        <v>653.58000000000004</v>
      </c>
      <c r="G2358" s="2">
        <v>165.6</v>
      </c>
      <c r="H2358" s="2" t="s">
        <v>13</v>
      </c>
      <c r="I2358" s="2" t="s">
        <v>20</v>
      </c>
    </row>
    <row r="2359" spans="1:9" x14ac:dyDescent="0.35">
      <c r="A2359" s="2" t="s">
        <v>2396</v>
      </c>
      <c r="B2359" s="3">
        <v>45181</v>
      </c>
      <c r="C2359" s="2" t="s">
        <v>25</v>
      </c>
      <c r="D2359" s="2" t="s">
        <v>57</v>
      </c>
      <c r="E2359" s="2" t="s">
        <v>27</v>
      </c>
      <c r="F2359" s="2">
        <v>916.16</v>
      </c>
      <c r="G2359" s="2">
        <v>63.42</v>
      </c>
      <c r="H2359" s="2" t="s">
        <v>28</v>
      </c>
      <c r="I2359" s="2" t="s">
        <v>34</v>
      </c>
    </row>
    <row r="2360" spans="1:9" x14ac:dyDescent="0.35">
      <c r="A2360" s="2" t="s">
        <v>2397</v>
      </c>
      <c r="B2360" s="3">
        <v>44935</v>
      </c>
      <c r="C2360" s="2" t="s">
        <v>10</v>
      </c>
      <c r="D2360" s="2" t="s">
        <v>17</v>
      </c>
      <c r="E2360" s="2" t="s">
        <v>18</v>
      </c>
      <c r="F2360" s="2">
        <v>1161.1199999999999</v>
      </c>
      <c r="G2360" s="2">
        <v>272.18</v>
      </c>
      <c r="H2360" s="2" t="s">
        <v>13</v>
      </c>
      <c r="I2360" s="2" t="s">
        <v>34</v>
      </c>
    </row>
    <row r="2361" spans="1:9" x14ac:dyDescent="0.35">
      <c r="A2361" s="2" t="s">
        <v>2398</v>
      </c>
      <c r="B2361" s="3">
        <v>45548</v>
      </c>
      <c r="C2361" s="2" t="s">
        <v>25</v>
      </c>
      <c r="D2361" s="2" t="s">
        <v>62</v>
      </c>
      <c r="E2361" s="2" t="s">
        <v>27</v>
      </c>
      <c r="F2361" s="2">
        <v>1616.7</v>
      </c>
      <c r="G2361" s="2">
        <v>427.54</v>
      </c>
      <c r="H2361" s="2" t="s">
        <v>28</v>
      </c>
      <c r="I2361" s="2" t="s">
        <v>14</v>
      </c>
    </row>
    <row r="2362" spans="1:9" x14ac:dyDescent="0.35">
      <c r="A2362" s="2" t="s">
        <v>2399</v>
      </c>
      <c r="B2362" s="3">
        <v>45544</v>
      </c>
      <c r="C2362" s="2" t="s">
        <v>16</v>
      </c>
      <c r="D2362" s="2" t="s">
        <v>26</v>
      </c>
      <c r="E2362" s="2" t="s">
        <v>27</v>
      </c>
      <c r="F2362" s="2">
        <v>1702.93</v>
      </c>
      <c r="G2362" s="2">
        <v>154.4</v>
      </c>
      <c r="H2362" s="2" t="s">
        <v>19</v>
      </c>
      <c r="I2362" s="2" t="s">
        <v>34</v>
      </c>
    </row>
    <row r="2363" spans="1:9" x14ac:dyDescent="0.35">
      <c r="A2363" s="2" t="s">
        <v>2400</v>
      </c>
      <c r="B2363" s="3">
        <v>45436</v>
      </c>
      <c r="C2363" s="2" t="s">
        <v>22</v>
      </c>
      <c r="D2363" s="2" t="s">
        <v>46</v>
      </c>
      <c r="E2363" s="2" t="s">
        <v>18</v>
      </c>
      <c r="F2363" s="2">
        <v>1807.86</v>
      </c>
      <c r="G2363" s="2">
        <v>362.6</v>
      </c>
      <c r="H2363" s="2" t="s">
        <v>13</v>
      </c>
      <c r="I2363" s="2" t="s">
        <v>20</v>
      </c>
    </row>
    <row r="2364" spans="1:9" x14ac:dyDescent="0.35">
      <c r="A2364" s="2" t="s">
        <v>2401</v>
      </c>
      <c r="B2364" s="3">
        <v>45115</v>
      </c>
      <c r="C2364" s="2" t="s">
        <v>16</v>
      </c>
      <c r="D2364" s="2" t="s">
        <v>23</v>
      </c>
      <c r="E2364" s="2" t="s">
        <v>18</v>
      </c>
      <c r="F2364" s="2">
        <v>1134.1600000000001</v>
      </c>
      <c r="G2364" s="2">
        <v>186.6</v>
      </c>
      <c r="H2364" s="2" t="s">
        <v>28</v>
      </c>
      <c r="I2364" s="2" t="s">
        <v>14</v>
      </c>
    </row>
    <row r="2365" spans="1:9" x14ac:dyDescent="0.35">
      <c r="A2365" s="2" t="s">
        <v>2402</v>
      </c>
      <c r="B2365" s="3">
        <v>44957</v>
      </c>
      <c r="C2365" s="2" t="s">
        <v>22</v>
      </c>
      <c r="D2365" s="2" t="s">
        <v>17</v>
      </c>
      <c r="E2365" s="2" t="s">
        <v>18</v>
      </c>
      <c r="F2365" s="2">
        <v>1367.44</v>
      </c>
      <c r="G2365" s="2">
        <v>251.84</v>
      </c>
      <c r="H2365" s="2" t="s">
        <v>19</v>
      </c>
      <c r="I2365" s="2" t="s">
        <v>14</v>
      </c>
    </row>
    <row r="2366" spans="1:9" x14ac:dyDescent="0.35">
      <c r="A2366" s="2" t="s">
        <v>2403</v>
      </c>
      <c r="B2366" s="3">
        <v>44768</v>
      </c>
      <c r="C2366" s="2" t="s">
        <v>25</v>
      </c>
      <c r="D2366" s="2" t="s">
        <v>33</v>
      </c>
      <c r="E2366" s="2" t="s">
        <v>18</v>
      </c>
      <c r="F2366" s="2">
        <v>1151.56</v>
      </c>
      <c r="G2366" s="2">
        <v>174.81</v>
      </c>
      <c r="H2366" s="2" t="s">
        <v>28</v>
      </c>
      <c r="I2366" s="2" t="s">
        <v>29</v>
      </c>
    </row>
    <row r="2367" spans="1:9" x14ac:dyDescent="0.35">
      <c r="A2367" s="2" t="s">
        <v>2404</v>
      </c>
      <c r="B2367" s="3">
        <v>45430</v>
      </c>
      <c r="C2367" s="2" t="s">
        <v>10</v>
      </c>
      <c r="D2367" s="2" t="s">
        <v>31</v>
      </c>
      <c r="E2367" s="2" t="s">
        <v>12</v>
      </c>
      <c r="F2367" s="2">
        <v>1526.84</v>
      </c>
      <c r="G2367" s="2">
        <v>410.74</v>
      </c>
      <c r="H2367" s="2" t="s">
        <v>19</v>
      </c>
      <c r="I2367" s="2" t="s">
        <v>29</v>
      </c>
    </row>
    <row r="2368" spans="1:9" x14ac:dyDescent="0.35">
      <c r="A2368" s="2" t="s">
        <v>2405</v>
      </c>
      <c r="B2368" s="3">
        <v>45460</v>
      </c>
      <c r="C2368" s="2" t="s">
        <v>10</v>
      </c>
      <c r="D2368" s="2" t="s">
        <v>73</v>
      </c>
      <c r="E2368" s="2" t="s">
        <v>27</v>
      </c>
      <c r="F2368" s="2">
        <v>1527.45</v>
      </c>
      <c r="G2368" s="2">
        <v>155.91</v>
      </c>
      <c r="H2368" s="2" t="s">
        <v>28</v>
      </c>
      <c r="I2368" s="2" t="s">
        <v>29</v>
      </c>
    </row>
    <row r="2369" spans="1:9" x14ac:dyDescent="0.35">
      <c r="A2369" s="2" t="s">
        <v>2406</v>
      </c>
      <c r="B2369" s="3">
        <v>44903</v>
      </c>
      <c r="C2369" s="2" t="s">
        <v>16</v>
      </c>
      <c r="D2369" s="2" t="s">
        <v>62</v>
      </c>
      <c r="E2369" s="2" t="s">
        <v>27</v>
      </c>
      <c r="F2369" s="2">
        <v>866.41</v>
      </c>
      <c r="G2369" s="2">
        <v>197.03</v>
      </c>
      <c r="H2369" s="2" t="s">
        <v>13</v>
      </c>
      <c r="I2369" s="2" t="s">
        <v>20</v>
      </c>
    </row>
    <row r="2370" spans="1:9" x14ac:dyDescent="0.35">
      <c r="A2370" s="2" t="s">
        <v>2407</v>
      </c>
      <c r="B2370" s="3">
        <v>44823</v>
      </c>
      <c r="C2370" s="2" t="s">
        <v>16</v>
      </c>
      <c r="D2370" s="2" t="s">
        <v>62</v>
      </c>
      <c r="E2370" s="2" t="s">
        <v>27</v>
      </c>
      <c r="F2370" s="2">
        <v>725.15</v>
      </c>
      <c r="G2370" s="2">
        <v>99.94</v>
      </c>
      <c r="H2370" s="2" t="s">
        <v>19</v>
      </c>
      <c r="I2370" s="2" t="s">
        <v>34</v>
      </c>
    </row>
    <row r="2371" spans="1:9" x14ac:dyDescent="0.35">
      <c r="A2371" s="2" t="s">
        <v>2408</v>
      </c>
      <c r="B2371" s="3">
        <v>44861</v>
      </c>
      <c r="C2371" s="2" t="s">
        <v>16</v>
      </c>
      <c r="D2371" s="2" t="s">
        <v>11</v>
      </c>
      <c r="E2371" s="2" t="s">
        <v>12</v>
      </c>
      <c r="F2371" s="2">
        <v>1118.46</v>
      </c>
      <c r="G2371" s="2">
        <v>198.85</v>
      </c>
      <c r="H2371" s="2" t="s">
        <v>13</v>
      </c>
      <c r="I2371" s="2" t="s">
        <v>29</v>
      </c>
    </row>
    <row r="2372" spans="1:9" x14ac:dyDescent="0.35">
      <c r="A2372" s="2" t="s">
        <v>2409</v>
      </c>
      <c r="B2372" s="3">
        <v>45537</v>
      </c>
      <c r="C2372" s="2" t="s">
        <v>25</v>
      </c>
      <c r="D2372" s="2" t="s">
        <v>97</v>
      </c>
      <c r="E2372" s="2" t="s">
        <v>27</v>
      </c>
      <c r="F2372" s="2">
        <v>400.87</v>
      </c>
      <c r="G2372" s="2">
        <v>25.75</v>
      </c>
      <c r="H2372" s="2" t="s">
        <v>13</v>
      </c>
      <c r="I2372" s="2" t="s">
        <v>29</v>
      </c>
    </row>
    <row r="2373" spans="1:9" x14ac:dyDescent="0.35">
      <c r="A2373" s="2" t="s">
        <v>2410</v>
      </c>
      <c r="B2373" s="3">
        <v>45554</v>
      </c>
      <c r="C2373" s="2" t="s">
        <v>16</v>
      </c>
      <c r="D2373" s="2" t="s">
        <v>38</v>
      </c>
      <c r="E2373" s="2" t="s">
        <v>12</v>
      </c>
      <c r="F2373" s="2">
        <v>165.48</v>
      </c>
      <c r="G2373" s="2">
        <v>24.71</v>
      </c>
      <c r="H2373" s="2" t="s">
        <v>28</v>
      </c>
      <c r="I2373" s="2" t="s">
        <v>14</v>
      </c>
    </row>
    <row r="2374" spans="1:9" x14ac:dyDescent="0.35">
      <c r="A2374" s="2" t="s">
        <v>2411</v>
      </c>
      <c r="B2374" s="3">
        <v>44755</v>
      </c>
      <c r="C2374" s="2" t="s">
        <v>16</v>
      </c>
      <c r="D2374" s="2" t="s">
        <v>41</v>
      </c>
      <c r="E2374" s="2" t="s">
        <v>12</v>
      </c>
      <c r="F2374" s="2">
        <v>1316.32</v>
      </c>
      <c r="G2374" s="2">
        <v>117.66</v>
      </c>
      <c r="H2374" s="2" t="s">
        <v>13</v>
      </c>
      <c r="I2374" s="2" t="s">
        <v>34</v>
      </c>
    </row>
    <row r="2375" spans="1:9" x14ac:dyDescent="0.35">
      <c r="A2375" s="2" t="s">
        <v>2412</v>
      </c>
      <c r="B2375" s="3">
        <v>45122</v>
      </c>
      <c r="C2375" s="2" t="s">
        <v>22</v>
      </c>
      <c r="D2375" s="2" t="s">
        <v>62</v>
      </c>
      <c r="E2375" s="2" t="s">
        <v>27</v>
      </c>
      <c r="F2375" s="2">
        <v>1482.96</v>
      </c>
      <c r="G2375" s="2">
        <v>227.15</v>
      </c>
      <c r="H2375" s="2" t="s">
        <v>28</v>
      </c>
      <c r="I2375" s="2" t="s">
        <v>20</v>
      </c>
    </row>
    <row r="2376" spans="1:9" x14ac:dyDescent="0.35">
      <c r="A2376" s="2" t="s">
        <v>2413</v>
      </c>
      <c r="B2376" s="3">
        <v>45150</v>
      </c>
      <c r="C2376" s="2" t="s">
        <v>22</v>
      </c>
      <c r="D2376" s="2" t="s">
        <v>73</v>
      </c>
      <c r="E2376" s="2" t="s">
        <v>27</v>
      </c>
      <c r="F2376" s="2">
        <v>1837.92</v>
      </c>
      <c r="G2376" s="2">
        <v>395.41</v>
      </c>
      <c r="H2376" s="2" t="s">
        <v>13</v>
      </c>
      <c r="I2376" s="2" t="s">
        <v>29</v>
      </c>
    </row>
    <row r="2377" spans="1:9" x14ac:dyDescent="0.35">
      <c r="A2377" s="2" t="s">
        <v>2414</v>
      </c>
      <c r="B2377" s="3">
        <v>44893</v>
      </c>
      <c r="C2377" s="2" t="s">
        <v>22</v>
      </c>
      <c r="D2377" s="2" t="s">
        <v>17</v>
      </c>
      <c r="E2377" s="2" t="s">
        <v>18</v>
      </c>
      <c r="F2377" s="2">
        <v>970.62</v>
      </c>
      <c r="G2377" s="2">
        <v>250.31</v>
      </c>
      <c r="H2377" s="2" t="s">
        <v>13</v>
      </c>
      <c r="I2377" s="2" t="s">
        <v>34</v>
      </c>
    </row>
    <row r="2378" spans="1:9" x14ac:dyDescent="0.35">
      <c r="A2378" s="2" t="s">
        <v>2415</v>
      </c>
      <c r="B2378" s="3">
        <v>44657</v>
      </c>
      <c r="C2378" s="2" t="s">
        <v>22</v>
      </c>
      <c r="D2378" s="2" t="s">
        <v>41</v>
      </c>
      <c r="E2378" s="2" t="s">
        <v>12</v>
      </c>
      <c r="F2378" s="2">
        <v>466.57</v>
      </c>
      <c r="G2378" s="2">
        <v>118.98</v>
      </c>
      <c r="H2378" s="2" t="s">
        <v>28</v>
      </c>
      <c r="I2378" s="2" t="s">
        <v>14</v>
      </c>
    </row>
    <row r="2379" spans="1:9" x14ac:dyDescent="0.35">
      <c r="A2379" s="2" t="s">
        <v>2416</v>
      </c>
      <c r="B2379" s="3">
        <v>44903</v>
      </c>
      <c r="C2379" s="2" t="s">
        <v>25</v>
      </c>
      <c r="D2379" s="2" t="s">
        <v>97</v>
      </c>
      <c r="E2379" s="2" t="s">
        <v>27</v>
      </c>
      <c r="F2379" s="2">
        <v>1075.82</v>
      </c>
      <c r="G2379" s="2">
        <v>215.09</v>
      </c>
      <c r="H2379" s="2" t="s">
        <v>19</v>
      </c>
      <c r="I2379" s="2" t="s">
        <v>34</v>
      </c>
    </row>
    <row r="2380" spans="1:9" x14ac:dyDescent="0.35">
      <c r="A2380" s="2" t="s">
        <v>2417</v>
      </c>
      <c r="B2380" s="3">
        <v>44747</v>
      </c>
      <c r="C2380" s="2" t="s">
        <v>10</v>
      </c>
      <c r="D2380" s="2" t="s">
        <v>31</v>
      </c>
      <c r="E2380" s="2" t="s">
        <v>12</v>
      </c>
      <c r="F2380" s="2">
        <v>1302.03</v>
      </c>
      <c r="G2380" s="2">
        <v>241.76</v>
      </c>
      <c r="H2380" s="2" t="s">
        <v>13</v>
      </c>
      <c r="I2380" s="2" t="s">
        <v>34</v>
      </c>
    </row>
    <row r="2381" spans="1:9" x14ac:dyDescent="0.35">
      <c r="A2381" s="2" t="s">
        <v>2418</v>
      </c>
      <c r="B2381" s="3">
        <v>44855</v>
      </c>
      <c r="C2381" s="2" t="s">
        <v>16</v>
      </c>
      <c r="D2381" s="2" t="s">
        <v>95</v>
      </c>
      <c r="E2381" s="2" t="s">
        <v>18</v>
      </c>
      <c r="F2381" s="2">
        <v>926.71</v>
      </c>
      <c r="G2381" s="2">
        <v>246.27</v>
      </c>
      <c r="H2381" s="2" t="s">
        <v>13</v>
      </c>
      <c r="I2381" s="2" t="s">
        <v>14</v>
      </c>
    </row>
    <row r="2382" spans="1:9" x14ac:dyDescent="0.35">
      <c r="A2382" s="2" t="s">
        <v>2419</v>
      </c>
      <c r="B2382" s="3">
        <v>44597</v>
      </c>
      <c r="C2382" s="2" t="s">
        <v>25</v>
      </c>
      <c r="D2382" s="2" t="s">
        <v>26</v>
      </c>
      <c r="E2382" s="2" t="s">
        <v>27</v>
      </c>
      <c r="F2382" s="2">
        <v>1062.25</v>
      </c>
      <c r="G2382" s="2">
        <v>297.63</v>
      </c>
      <c r="H2382" s="2" t="s">
        <v>13</v>
      </c>
      <c r="I2382" s="2" t="s">
        <v>20</v>
      </c>
    </row>
    <row r="2383" spans="1:9" x14ac:dyDescent="0.35">
      <c r="A2383" s="2" t="s">
        <v>2420</v>
      </c>
      <c r="B2383" s="3">
        <v>45649</v>
      </c>
      <c r="C2383" s="2" t="s">
        <v>16</v>
      </c>
      <c r="D2383" s="2" t="s">
        <v>57</v>
      </c>
      <c r="E2383" s="2" t="s">
        <v>27</v>
      </c>
      <c r="F2383" s="2">
        <v>1812.12</v>
      </c>
      <c r="G2383" s="2">
        <v>427.37</v>
      </c>
      <c r="H2383" s="2" t="s">
        <v>13</v>
      </c>
      <c r="I2383" s="2" t="s">
        <v>29</v>
      </c>
    </row>
    <row r="2384" spans="1:9" x14ac:dyDescent="0.35">
      <c r="A2384" s="2" t="s">
        <v>2421</v>
      </c>
      <c r="B2384" s="3">
        <v>45475</v>
      </c>
      <c r="C2384" s="2" t="s">
        <v>25</v>
      </c>
      <c r="D2384" s="2" t="s">
        <v>31</v>
      </c>
      <c r="E2384" s="2" t="s">
        <v>12</v>
      </c>
      <c r="F2384" s="2">
        <v>817.57</v>
      </c>
      <c r="G2384" s="2">
        <v>243.3</v>
      </c>
      <c r="H2384" s="2" t="s">
        <v>28</v>
      </c>
      <c r="I2384" s="2" t="s">
        <v>14</v>
      </c>
    </row>
    <row r="2385" spans="1:9" x14ac:dyDescent="0.35">
      <c r="A2385" s="2" t="s">
        <v>2422</v>
      </c>
      <c r="B2385" s="3">
        <v>45214</v>
      </c>
      <c r="C2385" s="2" t="s">
        <v>10</v>
      </c>
      <c r="D2385" s="2" t="s">
        <v>46</v>
      </c>
      <c r="E2385" s="2" t="s">
        <v>18</v>
      </c>
      <c r="F2385" s="2">
        <v>1181.1099999999999</v>
      </c>
      <c r="G2385" s="2">
        <v>118.65</v>
      </c>
      <c r="H2385" s="2" t="s">
        <v>19</v>
      </c>
      <c r="I2385" s="2" t="s">
        <v>29</v>
      </c>
    </row>
    <row r="2386" spans="1:9" x14ac:dyDescent="0.35">
      <c r="A2386" s="2" t="s">
        <v>2423</v>
      </c>
      <c r="B2386" s="3">
        <v>45212</v>
      </c>
      <c r="C2386" s="2" t="s">
        <v>25</v>
      </c>
      <c r="D2386" s="2" t="s">
        <v>23</v>
      </c>
      <c r="E2386" s="2" t="s">
        <v>18</v>
      </c>
      <c r="F2386" s="2">
        <v>533.19000000000005</v>
      </c>
      <c r="G2386" s="2">
        <v>90.89</v>
      </c>
      <c r="H2386" s="2" t="s">
        <v>19</v>
      </c>
      <c r="I2386" s="2" t="s">
        <v>20</v>
      </c>
    </row>
    <row r="2387" spans="1:9" x14ac:dyDescent="0.35">
      <c r="A2387" s="2" t="s">
        <v>2424</v>
      </c>
      <c r="B2387" s="3">
        <v>44872</v>
      </c>
      <c r="C2387" s="2" t="s">
        <v>22</v>
      </c>
      <c r="D2387" s="2" t="s">
        <v>33</v>
      </c>
      <c r="E2387" s="2" t="s">
        <v>18</v>
      </c>
      <c r="F2387" s="2">
        <v>1129.99</v>
      </c>
      <c r="G2387" s="2">
        <v>266.48</v>
      </c>
      <c r="H2387" s="2" t="s">
        <v>28</v>
      </c>
      <c r="I2387" s="2" t="s">
        <v>29</v>
      </c>
    </row>
    <row r="2388" spans="1:9" x14ac:dyDescent="0.35">
      <c r="A2388" s="2" t="s">
        <v>2425</v>
      </c>
      <c r="B2388" s="3">
        <v>44755</v>
      </c>
      <c r="C2388" s="2" t="s">
        <v>10</v>
      </c>
      <c r="D2388" s="2" t="s">
        <v>41</v>
      </c>
      <c r="E2388" s="2" t="s">
        <v>12</v>
      </c>
      <c r="F2388" s="2">
        <v>1518.68</v>
      </c>
      <c r="G2388" s="2">
        <v>370.61</v>
      </c>
      <c r="H2388" s="2" t="s">
        <v>19</v>
      </c>
      <c r="I2388" s="2" t="s">
        <v>29</v>
      </c>
    </row>
    <row r="2389" spans="1:9" x14ac:dyDescent="0.35">
      <c r="A2389" s="2" t="s">
        <v>2426</v>
      </c>
      <c r="B2389" s="3">
        <v>44935</v>
      </c>
      <c r="C2389" s="2" t="s">
        <v>10</v>
      </c>
      <c r="D2389" s="2" t="s">
        <v>33</v>
      </c>
      <c r="E2389" s="2" t="s">
        <v>18</v>
      </c>
      <c r="F2389" s="2">
        <v>597.94000000000005</v>
      </c>
      <c r="G2389" s="2">
        <v>142.68</v>
      </c>
      <c r="H2389" s="2" t="s">
        <v>19</v>
      </c>
      <c r="I2389" s="2" t="s">
        <v>14</v>
      </c>
    </row>
    <row r="2390" spans="1:9" x14ac:dyDescent="0.35">
      <c r="A2390" s="2" t="s">
        <v>2427</v>
      </c>
      <c r="B2390" s="3">
        <v>44979</v>
      </c>
      <c r="C2390" s="2" t="s">
        <v>25</v>
      </c>
      <c r="D2390" s="2" t="s">
        <v>38</v>
      </c>
      <c r="E2390" s="2" t="s">
        <v>12</v>
      </c>
      <c r="F2390" s="2">
        <v>391.61</v>
      </c>
      <c r="G2390" s="2">
        <v>31.38</v>
      </c>
      <c r="H2390" s="2" t="s">
        <v>28</v>
      </c>
      <c r="I2390" s="2" t="s">
        <v>34</v>
      </c>
    </row>
    <row r="2391" spans="1:9" x14ac:dyDescent="0.35">
      <c r="A2391" s="2" t="s">
        <v>2428</v>
      </c>
      <c r="B2391" s="3">
        <v>45043</v>
      </c>
      <c r="C2391" s="2" t="s">
        <v>22</v>
      </c>
      <c r="D2391" s="2" t="s">
        <v>62</v>
      </c>
      <c r="E2391" s="2" t="s">
        <v>27</v>
      </c>
      <c r="F2391" s="2">
        <v>446.94</v>
      </c>
      <c r="G2391" s="2">
        <v>133.56</v>
      </c>
      <c r="H2391" s="2" t="s">
        <v>13</v>
      </c>
      <c r="I2391" s="2" t="s">
        <v>20</v>
      </c>
    </row>
    <row r="2392" spans="1:9" x14ac:dyDescent="0.35">
      <c r="A2392" s="2" t="s">
        <v>2429</v>
      </c>
      <c r="B2392" s="3">
        <v>44852</v>
      </c>
      <c r="C2392" s="2" t="s">
        <v>25</v>
      </c>
      <c r="D2392" s="2" t="s">
        <v>46</v>
      </c>
      <c r="E2392" s="2" t="s">
        <v>18</v>
      </c>
      <c r="F2392" s="2">
        <v>799.78</v>
      </c>
      <c r="G2392" s="2">
        <v>103.08</v>
      </c>
      <c r="H2392" s="2" t="s">
        <v>19</v>
      </c>
      <c r="I2392" s="2" t="s">
        <v>34</v>
      </c>
    </row>
    <row r="2393" spans="1:9" x14ac:dyDescent="0.35">
      <c r="A2393" s="2" t="s">
        <v>2430</v>
      </c>
      <c r="B2393" s="3">
        <v>45018</v>
      </c>
      <c r="C2393" s="2" t="s">
        <v>16</v>
      </c>
      <c r="D2393" s="2" t="s">
        <v>73</v>
      </c>
      <c r="E2393" s="2" t="s">
        <v>27</v>
      </c>
      <c r="F2393" s="2">
        <v>1340.76</v>
      </c>
      <c r="G2393" s="2">
        <v>211.05</v>
      </c>
      <c r="H2393" s="2" t="s">
        <v>19</v>
      </c>
      <c r="I2393" s="2" t="s">
        <v>14</v>
      </c>
    </row>
    <row r="2394" spans="1:9" x14ac:dyDescent="0.35">
      <c r="A2394" s="2" t="s">
        <v>2431</v>
      </c>
      <c r="B2394" s="3">
        <v>45613</v>
      </c>
      <c r="C2394" s="2" t="s">
        <v>16</v>
      </c>
      <c r="D2394" s="2" t="s">
        <v>38</v>
      </c>
      <c r="E2394" s="2" t="s">
        <v>12</v>
      </c>
      <c r="F2394" s="2">
        <v>748.87</v>
      </c>
      <c r="G2394" s="2">
        <v>145.22999999999999</v>
      </c>
      <c r="H2394" s="2" t="s">
        <v>19</v>
      </c>
      <c r="I2394" s="2" t="s">
        <v>14</v>
      </c>
    </row>
    <row r="2395" spans="1:9" x14ac:dyDescent="0.35">
      <c r="A2395" s="2" t="s">
        <v>2432</v>
      </c>
      <c r="B2395" s="3">
        <v>45627</v>
      </c>
      <c r="C2395" s="2" t="s">
        <v>10</v>
      </c>
      <c r="D2395" s="2" t="s">
        <v>62</v>
      </c>
      <c r="E2395" s="2" t="s">
        <v>27</v>
      </c>
      <c r="F2395" s="2">
        <v>1762.85</v>
      </c>
      <c r="G2395" s="2">
        <v>166.57</v>
      </c>
      <c r="H2395" s="2" t="s">
        <v>19</v>
      </c>
      <c r="I2395" s="2" t="s">
        <v>34</v>
      </c>
    </row>
    <row r="2396" spans="1:9" x14ac:dyDescent="0.35">
      <c r="A2396" s="2" t="s">
        <v>2433</v>
      </c>
      <c r="B2396" s="3">
        <v>45198</v>
      </c>
      <c r="C2396" s="2" t="s">
        <v>10</v>
      </c>
      <c r="D2396" s="2" t="s">
        <v>57</v>
      </c>
      <c r="E2396" s="2" t="s">
        <v>27</v>
      </c>
      <c r="F2396" s="2">
        <v>1696.12</v>
      </c>
      <c r="G2396" s="2">
        <v>400.46</v>
      </c>
      <c r="H2396" s="2" t="s">
        <v>28</v>
      </c>
      <c r="I2396" s="2" t="s">
        <v>14</v>
      </c>
    </row>
    <row r="2397" spans="1:9" x14ac:dyDescent="0.35">
      <c r="A2397" s="2" t="s">
        <v>2434</v>
      </c>
      <c r="B2397" s="3">
        <v>44945</v>
      </c>
      <c r="C2397" s="2" t="s">
        <v>22</v>
      </c>
      <c r="D2397" s="2" t="s">
        <v>33</v>
      </c>
      <c r="E2397" s="2" t="s">
        <v>18</v>
      </c>
      <c r="F2397" s="2">
        <v>918.78</v>
      </c>
      <c r="G2397" s="2">
        <v>80.72</v>
      </c>
      <c r="H2397" s="2" t="s">
        <v>13</v>
      </c>
      <c r="I2397" s="2" t="s">
        <v>14</v>
      </c>
    </row>
    <row r="2398" spans="1:9" x14ac:dyDescent="0.35">
      <c r="A2398" s="2" t="s">
        <v>2435</v>
      </c>
      <c r="B2398" s="3">
        <v>44713</v>
      </c>
      <c r="C2398" s="2" t="s">
        <v>25</v>
      </c>
      <c r="D2398" s="2" t="s">
        <v>31</v>
      </c>
      <c r="E2398" s="2" t="s">
        <v>12</v>
      </c>
      <c r="F2398" s="2">
        <v>121.09</v>
      </c>
      <c r="G2398" s="2">
        <v>16.39</v>
      </c>
      <c r="H2398" s="2" t="s">
        <v>28</v>
      </c>
      <c r="I2398" s="2" t="s">
        <v>20</v>
      </c>
    </row>
    <row r="2399" spans="1:9" x14ac:dyDescent="0.35">
      <c r="A2399" s="2" t="s">
        <v>2436</v>
      </c>
      <c r="B2399" s="3">
        <v>45096</v>
      </c>
      <c r="C2399" s="2" t="s">
        <v>25</v>
      </c>
      <c r="D2399" s="2" t="s">
        <v>31</v>
      </c>
      <c r="E2399" s="2" t="s">
        <v>12</v>
      </c>
      <c r="F2399" s="2">
        <v>1110.21</v>
      </c>
      <c r="G2399" s="2">
        <v>315.91000000000003</v>
      </c>
      <c r="H2399" s="2" t="s">
        <v>28</v>
      </c>
      <c r="I2399" s="2" t="s">
        <v>20</v>
      </c>
    </row>
    <row r="2400" spans="1:9" x14ac:dyDescent="0.35">
      <c r="A2400" s="2" t="s">
        <v>2437</v>
      </c>
      <c r="B2400" s="3">
        <v>45060</v>
      </c>
      <c r="C2400" s="2" t="s">
        <v>10</v>
      </c>
      <c r="D2400" s="2" t="s">
        <v>11</v>
      </c>
      <c r="E2400" s="2" t="s">
        <v>12</v>
      </c>
      <c r="F2400" s="2">
        <v>1609.76</v>
      </c>
      <c r="G2400" s="2">
        <v>341.47</v>
      </c>
      <c r="H2400" s="2" t="s">
        <v>28</v>
      </c>
      <c r="I2400" s="2" t="s">
        <v>29</v>
      </c>
    </row>
    <row r="2401" spans="1:9" x14ac:dyDescent="0.35">
      <c r="A2401" s="2" t="s">
        <v>2438</v>
      </c>
      <c r="B2401" s="3">
        <v>45324</v>
      </c>
      <c r="C2401" s="2" t="s">
        <v>10</v>
      </c>
      <c r="D2401" s="2" t="s">
        <v>50</v>
      </c>
      <c r="E2401" s="2" t="s">
        <v>12</v>
      </c>
      <c r="F2401" s="2">
        <v>1274.69</v>
      </c>
      <c r="G2401" s="2">
        <v>110.07</v>
      </c>
      <c r="H2401" s="2" t="s">
        <v>28</v>
      </c>
      <c r="I2401" s="2" t="s">
        <v>20</v>
      </c>
    </row>
    <row r="2402" spans="1:9" x14ac:dyDescent="0.35">
      <c r="A2402" s="2" t="s">
        <v>2439</v>
      </c>
      <c r="B2402" s="3">
        <v>45145</v>
      </c>
      <c r="C2402" s="2" t="s">
        <v>10</v>
      </c>
      <c r="D2402" s="2" t="s">
        <v>26</v>
      </c>
      <c r="E2402" s="2" t="s">
        <v>27</v>
      </c>
      <c r="F2402" s="2">
        <v>908.32</v>
      </c>
      <c r="G2402" s="2">
        <v>167.43</v>
      </c>
      <c r="H2402" s="2" t="s">
        <v>13</v>
      </c>
      <c r="I2402" s="2" t="s">
        <v>14</v>
      </c>
    </row>
    <row r="2403" spans="1:9" x14ac:dyDescent="0.35">
      <c r="A2403" s="2" t="s">
        <v>2440</v>
      </c>
      <c r="B2403" s="3">
        <v>44710</v>
      </c>
      <c r="C2403" s="2" t="s">
        <v>10</v>
      </c>
      <c r="D2403" s="2" t="s">
        <v>17</v>
      </c>
      <c r="E2403" s="2" t="s">
        <v>18</v>
      </c>
      <c r="F2403" s="2">
        <v>1512.61</v>
      </c>
      <c r="G2403" s="2">
        <v>234.81</v>
      </c>
      <c r="H2403" s="2" t="s">
        <v>13</v>
      </c>
      <c r="I2403" s="2" t="s">
        <v>34</v>
      </c>
    </row>
    <row r="2404" spans="1:9" x14ac:dyDescent="0.35">
      <c r="A2404" s="2" t="s">
        <v>2441</v>
      </c>
      <c r="B2404" s="3">
        <v>44744</v>
      </c>
      <c r="C2404" s="2" t="s">
        <v>16</v>
      </c>
      <c r="D2404" s="2" t="s">
        <v>23</v>
      </c>
      <c r="E2404" s="2" t="s">
        <v>18</v>
      </c>
      <c r="F2404" s="2">
        <v>1357.47</v>
      </c>
      <c r="G2404" s="2">
        <v>342.88</v>
      </c>
      <c r="H2404" s="2" t="s">
        <v>28</v>
      </c>
      <c r="I2404" s="2" t="s">
        <v>34</v>
      </c>
    </row>
    <row r="2405" spans="1:9" x14ac:dyDescent="0.35">
      <c r="A2405" s="2" t="s">
        <v>2442</v>
      </c>
      <c r="B2405" s="3">
        <v>45428</v>
      </c>
      <c r="C2405" s="2" t="s">
        <v>10</v>
      </c>
      <c r="D2405" s="2" t="s">
        <v>31</v>
      </c>
      <c r="E2405" s="2" t="s">
        <v>12</v>
      </c>
      <c r="F2405" s="2">
        <v>1636.6</v>
      </c>
      <c r="G2405" s="2">
        <v>237.25</v>
      </c>
      <c r="H2405" s="2" t="s">
        <v>19</v>
      </c>
      <c r="I2405" s="2" t="s">
        <v>34</v>
      </c>
    </row>
    <row r="2406" spans="1:9" x14ac:dyDescent="0.35">
      <c r="A2406" s="2" t="s">
        <v>2443</v>
      </c>
      <c r="B2406" s="3">
        <v>45440</v>
      </c>
      <c r="C2406" s="2" t="s">
        <v>22</v>
      </c>
      <c r="D2406" s="2" t="s">
        <v>38</v>
      </c>
      <c r="E2406" s="2" t="s">
        <v>12</v>
      </c>
      <c r="F2406" s="2">
        <v>273.7</v>
      </c>
      <c r="G2406" s="2">
        <v>51.44</v>
      </c>
      <c r="H2406" s="2" t="s">
        <v>13</v>
      </c>
      <c r="I2406" s="2" t="s">
        <v>14</v>
      </c>
    </row>
    <row r="2407" spans="1:9" x14ac:dyDescent="0.35">
      <c r="A2407" s="2" t="s">
        <v>2444</v>
      </c>
      <c r="B2407" s="3">
        <v>45264</v>
      </c>
      <c r="C2407" s="2" t="s">
        <v>22</v>
      </c>
      <c r="D2407" s="2" t="s">
        <v>41</v>
      </c>
      <c r="E2407" s="2" t="s">
        <v>12</v>
      </c>
      <c r="F2407" s="2">
        <v>1497.94</v>
      </c>
      <c r="G2407" s="2">
        <v>263.72000000000003</v>
      </c>
      <c r="H2407" s="2" t="s">
        <v>28</v>
      </c>
      <c r="I2407" s="2" t="s">
        <v>29</v>
      </c>
    </row>
    <row r="2408" spans="1:9" x14ac:dyDescent="0.35">
      <c r="A2408" s="2" t="s">
        <v>2445</v>
      </c>
      <c r="B2408" s="3">
        <v>45470</v>
      </c>
      <c r="C2408" s="2" t="s">
        <v>25</v>
      </c>
      <c r="D2408" s="2" t="s">
        <v>50</v>
      </c>
      <c r="E2408" s="2" t="s">
        <v>12</v>
      </c>
      <c r="F2408" s="2">
        <v>917.11</v>
      </c>
      <c r="G2408" s="2">
        <v>237.53</v>
      </c>
      <c r="H2408" s="2" t="s">
        <v>19</v>
      </c>
      <c r="I2408" s="2" t="s">
        <v>34</v>
      </c>
    </row>
    <row r="2409" spans="1:9" x14ac:dyDescent="0.35">
      <c r="A2409" s="2" t="s">
        <v>2446</v>
      </c>
      <c r="B2409" s="3">
        <v>45411</v>
      </c>
      <c r="C2409" s="2" t="s">
        <v>10</v>
      </c>
      <c r="D2409" s="2" t="s">
        <v>26</v>
      </c>
      <c r="E2409" s="2" t="s">
        <v>27</v>
      </c>
      <c r="F2409" s="2">
        <v>1546.62</v>
      </c>
      <c r="G2409" s="2">
        <v>369.56</v>
      </c>
      <c r="H2409" s="2" t="s">
        <v>19</v>
      </c>
      <c r="I2409" s="2" t="s">
        <v>20</v>
      </c>
    </row>
    <row r="2410" spans="1:9" x14ac:dyDescent="0.35">
      <c r="A2410" s="2" t="s">
        <v>2447</v>
      </c>
      <c r="B2410" s="3">
        <v>45372</v>
      </c>
      <c r="C2410" s="2" t="s">
        <v>22</v>
      </c>
      <c r="D2410" s="2" t="s">
        <v>23</v>
      </c>
      <c r="E2410" s="2" t="s">
        <v>18</v>
      </c>
      <c r="F2410" s="2">
        <v>1170.2</v>
      </c>
      <c r="G2410" s="2">
        <v>105.56</v>
      </c>
      <c r="H2410" s="2" t="s">
        <v>13</v>
      </c>
      <c r="I2410" s="2" t="s">
        <v>34</v>
      </c>
    </row>
    <row r="2411" spans="1:9" x14ac:dyDescent="0.35">
      <c r="A2411" s="2" t="s">
        <v>2448</v>
      </c>
      <c r="B2411" s="3">
        <v>45000</v>
      </c>
      <c r="C2411" s="2" t="s">
        <v>22</v>
      </c>
      <c r="D2411" s="2" t="s">
        <v>62</v>
      </c>
      <c r="E2411" s="2" t="s">
        <v>27</v>
      </c>
      <c r="F2411" s="2">
        <v>1731.6</v>
      </c>
      <c r="G2411" s="2">
        <v>310.26</v>
      </c>
      <c r="H2411" s="2" t="s">
        <v>13</v>
      </c>
      <c r="I2411" s="2" t="s">
        <v>14</v>
      </c>
    </row>
    <row r="2412" spans="1:9" x14ac:dyDescent="0.35">
      <c r="A2412" s="2" t="s">
        <v>2449</v>
      </c>
      <c r="B2412" s="3">
        <v>45321</v>
      </c>
      <c r="C2412" s="2" t="s">
        <v>22</v>
      </c>
      <c r="D2412" s="2" t="s">
        <v>26</v>
      </c>
      <c r="E2412" s="2" t="s">
        <v>27</v>
      </c>
      <c r="F2412" s="2">
        <v>71.66</v>
      </c>
      <c r="G2412" s="2">
        <v>11.62</v>
      </c>
      <c r="H2412" s="2" t="s">
        <v>28</v>
      </c>
      <c r="I2412" s="2" t="s">
        <v>20</v>
      </c>
    </row>
    <row r="2413" spans="1:9" x14ac:dyDescent="0.35">
      <c r="A2413" s="2" t="s">
        <v>2450</v>
      </c>
      <c r="B2413" s="3">
        <v>44692</v>
      </c>
      <c r="C2413" s="2" t="s">
        <v>25</v>
      </c>
      <c r="D2413" s="2" t="s">
        <v>38</v>
      </c>
      <c r="E2413" s="2" t="s">
        <v>12</v>
      </c>
      <c r="F2413" s="2">
        <v>1449.77</v>
      </c>
      <c r="G2413" s="2">
        <v>226.4</v>
      </c>
      <c r="H2413" s="2" t="s">
        <v>19</v>
      </c>
      <c r="I2413" s="2" t="s">
        <v>29</v>
      </c>
    </row>
    <row r="2414" spans="1:9" x14ac:dyDescent="0.35">
      <c r="A2414" s="2" t="s">
        <v>2451</v>
      </c>
      <c r="B2414" s="3">
        <v>44580</v>
      </c>
      <c r="C2414" s="2" t="s">
        <v>16</v>
      </c>
      <c r="D2414" s="2" t="s">
        <v>62</v>
      </c>
      <c r="E2414" s="2" t="s">
        <v>27</v>
      </c>
      <c r="F2414" s="2">
        <v>1672.98</v>
      </c>
      <c r="G2414" s="2">
        <v>492.08</v>
      </c>
      <c r="H2414" s="2" t="s">
        <v>19</v>
      </c>
      <c r="I2414" s="2" t="s">
        <v>20</v>
      </c>
    </row>
    <row r="2415" spans="1:9" x14ac:dyDescent="0.35">
      <c r="A2415" s="2" t="s">
        <v>2452</v>
      </c>
      <c r="B2415" s="3">
        <v>45186</v>
      </c>
      <c r="C2415" s="2" t="s">
        <v>10</v>
      </c>
      <c r="D2415" s="2" t="s">
        <v>17</v>
      </c>
      <c r="E2415" s="2" t="s">
        <v>18</v>
      </c>
      <c r="F2415" s="2">
        <v>913.22</v>
      </c>
      <c r="G2415" s="2">
        <v>128.29</v>
      </c>
      <c r="H2415" s="2" t="s">
        <v>19</v>
      </c>
      <c r="I2415" s="2" t="s">
        <v>14</v>
      </c>
    </row>
    <row r="2416" spans="1:9" x14ac:dyDescent="0.35">
      <c r="A2416" s="2" t="s">
        <v>2453</v>
      </c>
      <c r="B2416" s="3">
        <v>45205</v>
      </c>
      <c r="C2416" s="2" t="s">
        <v>22</v>
      </c>
      <c r="D2416" s="2" t="s">
        <v>57</v>
      </c>
      <c r="E2416" s="2" t="s">
        <v>27</v>
      </c>
      <c r="F2416" s="2">
        <v>1064.69</v>
      </c>
      <c r="G2416" s="2">
        <v>107.45</v>
      </c>
      <c r="H2416" s="2" t="s">
        <v>28</v>
      </c>
      <c r="I2416" s="2" t="s">
        <v>34</v>
      </c>
    </row>
    <row r="2417" spans="1:9" x14ac:dyDescent="0.35">
      <c r="A2417" s="2" t="s">
        <v>2454</v>
      </c>
      <c r="B2417" s="3">
        <v>44696</v>
      </c>
      <c r="C2417" s="2" t="s">
        <v>16</v>
      </c>
      <c r="D2417" s="2" t="s">
        <v>50</v>
      </c>
      <c r="E2417" s="2" t="s">
        <v>12</v>
      </c>
      <c r="F2417" s="2">
        <v>1480.73</v>
      </c>
      <c r="G2417" s="2">
        <v>244.62</v>
      </c>
      <c r="H2417" s="2" t="s">
        <v>19</v>
      </c>
      <c r="I2417" s="2" t="s">
        <v>20</v>
      </c>
    </row>
    <row r="2418" spans="1:9" x14ac:dyDescent="0.35">
      <c r="A2418" s="2" t="s">
        <v>2455</v>
      </c>
      <c r="B2418" s="3">
        <v>45588</v>
      </c>
      <c r="C2418" s="2" t="s">
        <v>10</v>
      </c>
      <c r="D2418" s="2" t="s">
        <v>57</v>
      </c>
      <c r="E2418" s="2" t="s">
        <v>27</v>
      </c>
      <c r="F2418" s="2">
        <v>1595.72</v>
      </c>
      <c r="G2418" s="2">
        <v>382.72</v>
      </c>
      <c r="H2418" s="2" t="s">
        <v>28</v>
      </c>
      <c r="I2418" s="2" t="s">
        <v>14</v>
      </c>
    </row>
    <row r="2419" spans="1:9" x14ac:dyDescent="0.35">
      <c r="A2419" s="2" t="s">
        <v>2456</v>
      </c>
      <c r="B2419" s="3">
        <v>45408</v>
      </c>
      <c r="C2419" s="2" t="s">
        <v>22</v>
      </c>
      <c r="D2419" s="2" t="s">
        <v>23</v>
      </c>
      <c r="E2419" s="2" t="s">
        <v>18</v>
      </c>
      <c r="F2419" s="2">
        <v>558.64</v>
      </c>
      <c r="G2419" s="2">
        <v>123.46</v>
      </c>
      <c r="H2419" s="2" t="s">
        <v>28</v>
      </c>
      <c r="I2419" s="2" t="s">
        <v>29</v>
      </c>
    </row>
    <row r="2420" spans="1:9" x14ac:dyDescent="0.35">
      <c r="A2420" s="2" t="s">
        <v>2457</v>
      </c>
      <c r="B2420" s="3">
        <v>45313</v>
      </c>
      <c r="C2420" s="2" t="s">
        <v>10</v>
      </c>
      <c r="D2420" s="2" t="s">
        <v>57</v>
      </c>
      <c r="E2420" s="2" t="s">
        <v>27</v>
      </c>
      <c r="F2420" s="2">
        <v>1346.83</v>
      </c>
      <c r="G2420" s="2">
        <v>351.3</v>
      </c>
      <c r="H2420" s="2" t="s">
        <v>28</v>
      </c>
      <c r="I2420" s="2" t="s">
        <v>34</v>
      </c>
    </row>
    <row r="2421" spans="1:9" x14ac:dyDescent="0.35">
      <c r="A2421" s="2" t="s">
        <v>2458</v>
      </c>
      <c r="B2421" s="3">
        <v>44937</v>
      </c>
      <c r="C2421" s="2" t="s">
        <v>16</v>
      </c>
      <c r="D2421" s="2" t="s">
        <v>26</v>
      </c>
      <c r="E2421" s="2" t="s">
        <v>27</v>
      </c>
      <c r="F2421" s="2">
        <v>252.04</v>
      </c>
      <c r="G2421" s="2">
        <v>37.46</v>
      </c>
      <c r="H2421" s="2" t="s">
        <v>13</v>
      </c>
      <c r="I2421" s="2" t="s">
        <v>20</v>
      </c>
    </row>
    <row r="2422" spans="1:9" x14ac:dyDescent="0.35">
      <c r="A2422" s="2" t="s">
        <v>2459</v>
      </c>
      <c r="B2422" s="3">
        <v>45532</v>
      </c>
      <c r="C2422" s="2" t="s">
        <v>16</v>
      </c>
      <c r="D2422" s="2" t="s">
        <v>33</v>
      </c>
      <c r="E2422" s="2" t="s">
        <v>18</v>
      </c>
      <c r="F2422" s="2">
        <v>1088.8399999999999</v>
      </c>
      <c r="G2422" s="2">
        <v>256.58</v>
      </c>
      <c r="H2422" s="2" t="s">
        <v>19</v>
      </c>
      <c r="I2422" s="2" t="s">
        <v>14</v>
      </c>
    </row>
    <row r="2423" spans="1:9" x14ac:dyDescent="0.35">
      <c r="A2423" s="2" t="s">
        <v>2460</v>
      </c>
      <c r="B2423" s="3">
        <v>44647</v>
      </c>
      <c r="C2423" s="2" t="s">
        <v>25</v>
      </c>
      <c r="D2423" s="2" t="s">
        <v>26</v>
      </c>
      <c r="E2423" s="2" t="s">
        <v>27</v>
      </c>
      <c r="F2423" s="2">
        <v>552.08000000000004</v>
      </c>
      <c r="G2423" s="2">
        <v>60.89</v>
      </c>
      <c r="H2423" s="2" t="s">
        <v>28</v>
      </c>
      <c r="I2423" s="2" t="s">
        <v>14</v>
      </c>
    </row>
    <row r="2424" spans="1:9" x14ac:dyDescent="0.35">
      <c r="A2424" s="2" t="s">
        <v>2461</v>
      </c>
      <c r="B2424" s="3">
        <v>44830</v>
      </c>
      <c r="C2424" s="2" t="s">
        <v>22</v>
      </c>
      <c r="D2424" s="2" t="s">
        <v>23</v>
      </c>
      <c r="E2424" s="2" t="s">
        <v>18</v>
      </c>
      <c r="F2424" s="2">
        <v>1746.46</v>
      </c>
      <c r="G2424" s="2">
        <v>264.11</v>
      </c>
      <c r="H2424" s="2" t="s">
        <v>28</v>
      </c>
      <c r="I2424" s="2" t="s">
        <v>14</v>
      </c>
    </row>
    <row r="2425" spans="1:9" x14ac:dyDescent="0.35">
      <c r="A2425" s="2" t="s">
        <v>2462</v>
      </c>
      <c r="B2425" s="3">
        <v>44869</v>
      </c>
      <c r="C2425" s="2" t="s">
        <v>25</v>
      </c>
      <c r="D2425" s="2" t="s">
        <v>23</v>
      </c>
      <c r="E2425" s="2" t="s">
        <v>18</v>
      </c>
      <c r="F2425" s="2">
        <v>1543.94</v>
      </c>
      <c r="G2425" s="2">
        <v>138.24</v>
      </c>
      <c r="H2425" s="2" t="s">
        <v>19</v>
      </c>
      <c r="I2425" s="2" t="s">
        <v>29</v>
      </c>
    </row>
    <row r="2426" spans="1:9" x14ac:dyDescent="0.35">
      <c r="A2426" s="2" t="s">
        <v>2463</v>
      </c>
      <c r="B2426" s="3">
        <v>45473</v>
      </c>
      <c r="C2426" s="2" t="s">
        <v>22</v>
      </c>
      <c r="D2426" s="2" t="s">
        <v>17</v>
      </c>
      <c r="E2426" s="2" t="s">
        <v>18</v>
      </c>
      <c r="F2426" s="2">
        <v>1712.06</v>
      </c>
      <c r="G2426" s="2">
        <v>261.3</v>
      </c>
      <c r="H2426" s="2" t="s">
        <v>19</v>
      </c>
      <c r="I2426" s="2" t="s">
        <v>29</v>
      </c>
    </row>
    <row r="2427" spans="1:9" x14ac:dyDescent="0.35">
      <c r="A2427" s="2" t="s">
        <v>2464</v>
      </c>
      <c r="B2427" s="3">
        <v>45306</v>
      </c>
      <c r="C2427" s="2" t="s">
        <v>25</v>
      </c>
      <c r="D2427" s="2" t="s">
        <v>95</v>
      </c>
      <c r="E2427" s="2" t="s">
        <v>18</v>
      </c>
      <c r="F2427" s="2">
        <v>792.87</v>
      </c>
      <c r="G2427" s="2">
        <v>67.739999999999995</v>
      </c>
      <c r="H2427" s="2" t="s">
        <v>13</v>
      </c>
      <c r="I2427" s="2" t="s">
        <v>34</v>
      </c>
    </row>
    <row r="2428" spans="1:9" x14ac:dyDescent="0.35">
      <c r="A2428" s="2" t="s">
        <v>2465</v>
      </c>
      <c r="B2428" s="3">
        <v>45077</v>
      </c>
      <c r="C2428" s="2" t="s">
        <v>16</v>
      </c>
      <c r="D2428" s="2" t="s">
        <v>23</v>
      </c>
      <c r="E2428" s="2" t="s">
        <v>18</v>
      </c>
      <c r="F2428" s="2">
        <v>1691.39</v>
      </c>
      <c r="G2428" s="2">
        <v>367.84</v>
      </c>
      <c r="H2428" s="2" t="s">
        <v>28</v>
      </c>
      <c r="I2428" s="2" t="s">
        <v>20</v>
      </c>
    </row>
    <row r="2429" spans="1:9" x14ac:dyDescent="0.35">
      <c r="A2429" s="2" t="s">
        <v>2466</v>
      </c>
      <c r="B2429" s="3">
        <v>44878</v>
      </c>
      <c r="C2429" s="2" t="s">
        <v>22</v>
      </c>
      <c r="D2429" s="2" t="s">
        <v>31</v>
      </c>
      <c r="E2429" s="2" t="s">
        <v>12</v>
      </c>
      <c r="F2429" s="2">
        <v>370.93</v>
      </c>
      <c r="G2429" s="2">
        <v>105.04</v>
      </c>
      <c r="H2429" s="2" t="s">
        <v>13</v>
      </c>
      <c r="I2429" s="2" t="s">
        <v>14</v>
      </c>
    </row>
    <row r="2430" spans="1:9" x14ac:dyDescent="0.35">
      <c r="A2430" s="2" t="s">
        <v>2467</v>
      </c>
      <c r="B2430" s="3">
        <v>45372</v>
      </c>
      <c r="C2430" s="2" t="s">
        <v>10</v>
      </c>
      <c r="D2430" s="2" t="s">
        <v>62</v>
      </c>
      <c r="E2430" s="2" t="s">
        <v>27</v>
      </c>
      <c r="F2430" s="2">
        <v>126.91</v>
      </c>
      <c r="G2430" s="2">
        <v>33.68</v>
      </c>
      <c r="H2430" s="2" t="s">
        <v>13</v>
      </c>
      <c r="I2430" s="2" t="s">
        <v>34</v>
      </c>
    </row>
    <row r="2431" spans="1:9" x14ac:dyDescent="0.35">
      <c r="A2431" s="2" t="s">
        <v>2468</v>
      </c>
      <c r="B2431" s="3">
        <v>45359</v>
      </c>
      <c r="C2431" s="2" t="s">
        <v>25</v>
      </c>
      <c r="D2431" s="2" t="s">
        <v>97</v>
      </c>
      <c r="E2431" s="2" t="s">
        <v>27</v>
      </c>
      <c r="F2431" s="2">
        <v>272.60000000000002</v>
      </c>
      <c r="G2431" s="2">
        <v>32.1</v>
      </c>
      <c r="H2431" s="2" t="s">
        <v>13</v>
      </c>
      <c r="I2431" s="2" t="s">
        <v>14</v>
      </c>
    </row>
    <row r="2432" spans="1:9" x14ac:dyDescent="0.35">
      <c r="A2432" s="2" t="s">
        <v>2469</v>
      </c>
      <c r="B2432" s="3">
        <v>45265</v>
      </c>
      <c r="C2432" s="2" t="s">
        <v>22</v>
      </c>
      <c r="D2432" s="2" t="s">
        <v>73</v>
      </c>
      <c r="E2432" s="2" t="s">
        <v>27</v>
      </c>
      <c r="F2432" s="2">
        <v>1021.28</v>
      </c>
      <c r="G2432" s="2">
        <v>200.12</v>
      </c>
      <c r="H2432" s="2" t="s">
        <v>28</v>
      </c>
      <c r="I2432" s="2" t="s">
        <v>29</v>
      </c>
    </row>
    <row r="2433" spans="1:9" x14ac:dyDescent="0.35">
      <c r="A2433" s="2" t="s">
        <v>2470</v>
      </c>
      <c r="B2433" s="3">
        <v>45451</v>
      </c>
      <c r="C2433" s="2" t="s">
        <v>22</v>
      </c>
      <c r="D2433" s="2" t="s">
        <v>57</v>
      </c>
      <c r="E2433" s="2" t="s">
        <v>27</v>
      </c>
      <c r="F2433" s="2">
        <v>1351.28</v>
      </c>
      <c r="G2433" s="2">
        <v>172.56</v>
      </c>
      <c r="H2433" s="2" t="s">
        <v>28</v>
      </c>
      <c r="I2433" s="2" t="s">
        <v>20</v>
      </c>
    </row>
    <row r="2434" spans="1:9" x14ac:dyDescent="0.35">
      <c r="A2434" s="2" t="s">
        <v>2471</v>
      </c>
      <c r="B2434" s="3">
        <v>44938</v>
      </c>
      <c r="C2434" s="2" t="s">
        <v>10</v>
      </c>
      <c r="D2434" s="2" t="s">
        <v>73</v>
      </c>
      <c r="E2434" s="2" t="s">
        <v>27</v>
      </c>
      <c r="F2434" s="2">
        <v>390.34</v>
      </c>
      <c r="G2434" s="2">
        <v>105.22</v>
      </c>
      <c r="H2434" s="2" t="s">
        <v>13</v>
      </c>
      <c r="I2434" s="2" t="s">
        <v>34</v>
      </c>
    </row>
    <row r="2435" spans="1:9" x14ac:dyDescent="0.35">
      <c r="A2435" s="2" t="s">
        <v>2472</v>
      </c>
      <c r="B2435" s="3">
        <v>44970</v>
      </c>
      <c r="C2435" s="2" t="s">
        <v>22</v>
      </c>
      <c r="D2435" s="2" t="s">
        <v>31</v>
      </c>
      <c r="E2435" s="2" t="s">
        <v>12</v>
      </c>
      <c r="F2435" s="2">
        <v>77.67</v>
      </c>
      <c r="G2435" s="2">
        <v>10.45</v>
      </c>
      <c r="H2435" s="2" t="s">
        <v>19</v>
      </c>
      <c r="I2435" s="2" t="s">
        <v>14</v>
      </c>
    </row>
    <row r="2436" spans="1:9" x14ac:dyDescent="0.35">
      <c r="A2436" s="2" t="s">
        <v>2473</v>
      </c>
      <c r="B2436" s="3">
        <v>45482</v>
      </c>
      <c r="C2436" s="2" t="s">
        <v>10</v>
      </c>
      <c r="D2436" s="2" t="s">
        <v>97</v>
      </c>
      <c r="E2436" s="2" t="s">
        <v>27</v>
      </c>
      <c r="F2436" s="2">
        <v>695.48</v>
      </c>
      <c r="G2436" s="2">
        <v>56.13</v>
      </c>
      <c r="H2436" s="2" t="s">
        <v>19</v>
      </c>
      <c r="I2436" s="2" t="s">
        <v>20</v>
      </c>
    </row>
    <row r="2437" spans="1:9" x14ac:dyDescent="0.35">
      <c r="A2437" s="2" t="s">
        <v>2474</v>
      </c>
      <c r="B2437" s="3">
        <v>45180</v>
      </c>
      <c r="C2437" s="2" t="s">
        <v>10</v>
      </c>
      <c r="D2437" s="2" t="s">
        <v>17</v>
      </c>
      <c r="E2437" s="2" t="s">
        <v>18</v>
      </c>
      <c r="F2437" s="2">
        <v>958.2</v>
      </c>
      <c r="G2437" s="2">
        <v>253.3</v>
      </c>
      <c r="H2437" s="2" t="s">
        <v>13</v>
      </c>
      <c r="I2437" s="2" t="s">
        <v>34</v>
      </c>
    </row>
    <row r="2438" spans="1:9" x14ac:dyDescent="0.35">
      <c r="A2438" s="2" t="s">
        <v>2475</v>
      </c>
      <c r="B2438" s="3">
        <v>44686</v>
      </c>
      <c r="C2438" s="2" t="s">
        <v>10</v>
      </c>
      <c r="D2438" s="2" t="s">
        <v>97</v>
      </c>
      <c r="E2438" s="2" t="s">
        <v>27</v>
      </c>
      <c r="F2438" s="2">
        <v>528.20000000000005</v>
      </c>
      <c r="G2438" s="2">
        <v>53.91</v>
      </c>
      <c r="H2438" s="2" t="s">
        <v>13</v>
      </c>
      <c r="I2438" s="2" t="s">
        <v>29</v>
      </c>
    </row>
    <row r="2439" spans="1:9" x14ac:dyDescent="0.35">
      <c r="A2439" s="2" t="s">
        <v>2476</v>
      </c>
      <c r="B2439" s="3">
        <v>45399</v>
      </c>
      <c r="C2439" s="2" t="s">
        <v>25</v>
      </c>
      <c r="D2439" s="2" t="s">
        <v>17</v>
      </c>
      <c r="E2439" s="2" t="s">
        <v>18</v>
      </c>
      <c r="F2439" s="2">
        <v>463.98</v>
      </c>
      <c r="G2439" s="2">
        <v>42.67</v>
      </c>
      <c r="H2439" s="2" t="s">
        <v>19</v>
      </c>
      <c r="I2439" s="2" t="s">
        <v>34</v>
      </c>
    </row>
    <row r="2440" spans="1:9" x14ac:dyDescent="0.35">
      <c r="A2440" s="2" t="s">
        <v>2477</v>
      </c>
      <c r="B2440" s="3">
        <v>45116</v>
      </c>
      <c r="C2440" s="2" t="s">
        <v>25</v>
      </c>
      <c r="D2440" s="2" t="s">
        <v>31</v>
      </c>
      <c r="E2440" s="2" t="s">
        <v>12</v>
      </c>
      <c r="F2440" s="2">
        <v>155.69</v>
      </c>
      <c r="G2440" s="2">
        <v>20.68</v>
      </c>
      <c r="H2440" s="2" t="s">
        <v>28</v>
      </c>
      <c r="I2440" s="2" t="s">
        <v>34</v>
      </c>
    </row>
    <row r="2441" spans="1:9" x14ac:dyDescent="0.35">
      <c r="A2441" s="2" t="s">
        <v>2478</v>
      </c>
      <c r="B2441" s="3">
        <v>44670</v>
      </c>
      <c r="C2441" s="2" t="s">
        <v>10</v>
      </c>
      <c r="D2441" s="2" t="s">
        <v>26</v>
      </c>
      <c r="E2441" s="2" t="s">
        <v>27</v>
      </c>
      <c r="F2441" s="2">
        <v>369.01</v>
      </c>
      <c r="G2441" s="2">
        <v>81.97</v>
      </c>
      <c r="H2441" s="2" t="s">
        <v>19</v>
      </c>
      <c r="I2441" s="2" t="s">
        <v>14</v>
      </c>
    </row>
    <row r="2442" spans="1:9" x14ac:dyDescent="0.35">
      <c r="A2442" s="2" t="s">
        <v>2479</v>
      </c>
      <c r="B2442" s="3">
        <v>44807</v>
      </c>
      <c r="C2442" s="2" t="s">
        <v>22</v>
      </c>
      <c r="D2442" s="2" t="s">
        <v>11</v>
      </c>
      <c r="E2442" s="2" t="s">
        <v>12</v>
      </c>
      <c r="F2442" s="2">
        <v>977.55</v>
      </c>
      <c r="G2442" s="2">
        <v>71.62</v>
      </c>
      <c r="H2442" s="2" t="s">
        <v>13</v>
      </c>
      <c r="I2442" s="2" t="s">
        <v>29</v>
      </c>
    </row>
    <row r="2443" spans="1:9" x14ac:dyDescent="0.35">
      <c r="A2443" s="2" t="s">
        <v>2480</v>
      </c>
      <c r="B2443" s="3">
        <v>45304</v>
      </c>
      <c r="C2443" s="2" t="s">
        <v>22</v>
      </c>
      <c r="D2443" s="2" t="s">
        <v>50</v>
      </c>
      <c r="E2443" s="2" t="s">
        <v>12</v>
      </c>
      <c r="F2443" s="2">
        <v>288.17</v>
      </c>
      <c r="G2443" s="2">
        <v>15.34</v>
      </c>
      <c r="H2443" s="2" t="s">
        <v>28</v>
      </c>
      <c r="I2443" s="2" t="s">
        <v>20</v>
      </c>
    </row>
    <row r="2444" spans="1:9" x14ac:dyDescent="0.35">
      <c r="A2444" s="2" t="s">
        <v>2481</v>
      </c>
      <c r="B2444" s="3">
        <v>44652</v>
      </c>
      <c r="C2444" s="2" t="s">
        <v>22</v>
      </c>
      <c r="D2444" s="2" t="s">
        <v>17</v>
      </c>
      <c r="E2444" s="2" t="s">
        <v>18</v>
      </c>
      <c r="F2444" s="2">
        <v>1783.85</v>
      </c>
      <c r="G2444" s="2">
        <v>473.84</v>
      </c>
      <c r="H2444" s="2" t="s">
        <v>28</v>
      </c>
      <c r="I2444" s="2" t="s">
        <v>29</v>
      </c>
    </row>
    <row r="2445" spans="1:9" x14ac:dyDescent="0.35">
      <c r="A2445" s="2" t="s">
        <v>2482</v>
      </c>
      <c r="B2445" s="3">
        <v>45016</v>
      </c>
      <c r="C2445" s="2" t="s">
        <v>10</v>
      </c>
      <c r="D2445" s="2" t="s">
        <v>46</v>
      </c>
      <c r="E2445" s="2" t="s">
        <v>18</v>
      </c>
      <c r="F2445" s="2">
        <v>1146.77</v>
      </c>
      <c r="G2445" s="2">
        <v>235.57</v>
      </c>
      <c r="H2445" s="2" t="s">
        <v>13</v>
      </c>
      <c r="I2445" s="2" t="s">
        <v>29</v>
      </c>
    </row>
    <row r="2446" spans="1:9" x14ac:dyDescent="0.35">
      <c r="A2446" s="2" t="s">
        <v>2483</v>
      </c>
      <c r="B2446" s="3">
        <v>44665</v>
      </c>
      <c r="C2446" s="2" t="s">
        <v>22</v>
      </c>
      <c r="D2446" s="2" t="s">
        <v>97</v>
      </c>
      <c r="E2446" s="2" t="s">
        <v>27</v>
      </c>
      <c r="F2446" s="2">
        <v>401.54</v>
      </c>
      <c r="G2446" s="2">
        <v>61.56</v>
      </c>
      <c r="H2446" s="2" t="s">
        <v>13</v>
      </c>
      <c r="I2446" s="2" t="s">
        <v>20</v>
      </c>
    </row>
    <row r="2447" spans="1:9" x14ac:dyDescent="0.35">
      <c r="A2447" s="2" t="s">
        <v>2484</v>
      </c>
      <c r="B2447" s="3">
        <v>44981</v>
      </c>
      <c r="C2447" s="2" t="s">
        <v>16</v>
      </c>
      <c r="D2447" s="2" t="s">
        <v>57</v>
      </c>
      <c r="E2447" s="2" t="s">
        <v>27</v>
      </c>
      <c r="F2447" s="2">
        <v>695.66</v>
      </c>
      <c r="G2447" s="2">
        <v>200.94</v>
      </c>
      <c r="H2447" s="2" t="s">
        <v>28</v>
      </c>
      <c r="I2447" s="2" t="s">
        <v>14</v>
      </c>
    </row>
    <row r="2448" spans="1:9" x14ac:dyDescent="0.35">
      <c r="A2448" s="2" t="s">
        <v>2485</v>
      </c>
      <c r="B2448" s="3">
        <v>45186</v>
      </c>
      <c r="C2448" s="2" t="s">
        <v>10</v>
      </c>
      <c r="D2448" s="2" t="s">
        <v>50</v>
      </c>
      <c r="E2448" s="2" t="s">
        <v>12</v>
      </c>
      <c r="F2448" s="2">
        <v>1983.2</v>
      </c>
      <c r="G2448" s="2">
        <v>469.2</v>
      </c>
      <c r="H2448" s="2" t="s">
        <v>19</v>
      </c>
      <c r="I2448" s="2" t="s">
        <v>34</v>
      </c>
    </row>
    <row r="2449" spans="1:9" x14ac:dyDescent="0.35">
      <c r="A2449" s="2" t="s">
        <v>2486</v>
      </c>
      <c r="B2449" s="3">
        <v>45461</v>
      </c>
      <c r="C2449" s="2" t="s">
        <v>16</v>
      </c>
      <c r="D2449" s="2" t="s">
        <v>33</v>
      </c>
      <c r="E2449" s="2" t="s">
        <v>18</v>
      </c>
      <c r="F2449" s="2">
        <v>1678</v>
      </c>
      <c r="G2449" s="2">
        <v>417.29</v>
      </c>
      <c r="H2449" s="2" t="s">
        <v>28</v>
      </c>
      <c r="I2449" s="2" t="s">
        <v>14</v>
      </c>
    </row>
    <row r="2450" spans="1:9" x14ac:dyDescent="0.35">
      <c r="A2450" s="2" t="s">
        <v>2487</v>
      </c>
      <c r="B2450" s="3">
        <v>45034</v>
      </c>
      <c r="C2450" s="2" t="s">
        <v>25</v>
      </c>
      <c r="D2450" s="2" t="s">
        <v>57</v>
      </c>
      <c r="E2450" s="2" t="s">
        <v>27</v>
      </c>
      <c r="F2450" s="2">
        <v>321.47000000000003</v>
      </c>
      <c r="G2450" s="2">
        <v>77.06</v>
      </c>
      <c r="H2450" s="2" t="s">
        <v>28</v>
      </c>
      <c r="I2450" s="2" t="s">
        <v>20</v>
      </c>
    </row>
    <row r="2451" spans="1:9" x14ac:dyDescent="0.35">
      <c r="A2451" s="2" t="s">
        <v>2488</v>
      </c>
      <c r="B2451" s="3">
        <v>44748</v>
      </c>
      <c r="C2451" s="2" t="s">
        <v>10</v>
      </c>
      <c r="D2451" s="2" t="s">
        <v>46</v>
      </c>
      <c r="E2451" s="2" t="s">
        <v>18</v>
      </c>
      <c r="F2451" s="2">
        <v>159.81</v>
      </c>
      <c r="G2451" s="2">
        <v>40.479999999999997</v>
      </c>
      <c r="H2451" s="2" t="s">
        <v>19</v>
      </c>
      <c r="I2451" s="2" t="s">
        <v>34</v>
      </c>
    </row>
    <row r="2452" spans="1:9" x14ac:dyDescent="0.35">
      <c r="A2452" s="2" t="s">
        <v>2489</v>
      </c>
      <c r="B2452" s="3">
        <v>45387</v>
      </c>
      <c r="C2452" s="2" t="s">
        <v>16</v>
      </c>
      <c r="D2452" s="2" t="s">
        <v>97</v>
      </c>
      <c r="E2452" s="2" t="s">
        <v>27</v>
      </c>
      <c r="F2452" s="2">
        <v>533.53</v>
      </c>
      <c r="G2452" s="2">
        <v>145.62</v>
      </c>
      <c r="H2452" s="2" t="s">
        <v>13</v>
      </c>
      <c r="I2452" s="2" t="s">
        <v>29</v>
      </c>
    </row>
    <row r="2453" spans="1:9" x14ac:dyDescent="0.35">
      <c r="A2453" s="2" t="s">
        <v>2490</v>
      </c>
      <c r="B2453" s="3">
        <v>45139</v>
      </c>
      <c r="C2453" s="2" t="s">
        <v>16</v>
      </c>
      <c r="D2453" s="2" t="s">
        <v>23</v>
      </c>
      <c r="E2453" s="2" t="s">
        <v>18</v>
      </c>
      <c r="F2453" s="2">
        <v>1580.52</v>
      </c>
      <c r="G2453" s="2">
        <v>206.86</v>
      </c>
      <c r="H2453" s="2" t="s">
        <v>19</v>
      </c>
      <c r="I2453" s="2" t="s">
        <v>34</v>
      </c>
    </row>
    <row r="2454" spans="1:9" x14ac:dyDescent="0.35">
      <c r="A2454" s="2" t="s">
        <v>2491</v>
      </c>
      <c r="B2454" s="3">
        <v>45263</v>
      </c>
      <c r="C2454" s="2" t="s">
        <v>22</v>
      </c>
      <c r="D2454" s="2" t="s">
        <v>95</v>
      </c>
      <c r="E2454" s="2" t="s">
        <v>18</v>
      </c>
      <c r="F2454" s="2">
        <v>857.78</v>
      </c>
      <c r="G2454" s="2">
        <v>208.87</v>
      </c>
      <c r="H2454" s="2" t="s">
        <v>28</v>
      </c>
      <c r="I2454" s="2" t="s">
        <v>29</v>
      </c>
    </row>
    <row r="2455" spans="1:9" x14ac:dyDescent="0.35">
      <c r="A2455" s="2" t="s">
        <v>2492</v>
      </c>
      <c r="B2455" s="3">
        <v>45070</v>
      </c>
      <c r="C2455" s="2" t="s">
        <v>22</v>
      </c>
      <c r="D2455" s="2" t="s">
        <v>33</v>
      </c>
      <c r="E2455" s="2" t="s">
        <v>18</v>
      </c>
      <c r="F2455" s="2">
        <v>1501.97</v>
      </c>
      <c r="G2455" s="2">
        <v>290.47000000000003</v>
      </c>
      <c r="H2455" s="2" t="s">
        <v>13</v>
      </c>
      <c r="I2455" s="2" t="s">
        <v>14</v>
      </c>
    </row>
    <row r="2456" spans="1:9" x14ac:dyDescent="0.35">
      <c r="A2456" s="2" t="s">
        <v>2493</v>
      </c>
      <c r="B2456" s="3">
        <v>45119</v>
      </c>
      <c r="C2456" s="2" t="s">
        <v>22</v>
      </c>
      <c r="D2456" s="2" t="s">
        <v>38</v>
      </c>
      <c r="E2456" s="2" t="s">
        <v>12</v>
      </c>
      <c r="F2456" s="2">
        <v>1870.67</v>
      </c>
      <c r="G2456" s="2">
        <v>291</v>
      </c>
      <c r="H2456" s="2" t="s">
        <v>28</v>
      </c>
      <c r="I2456" s="2" t="s">
        <v>20</v>
      </c>
    </row>
    <row r="2457" spans="1:9" x14ac:dyDescent="0.35">
      <c r="A2457" s="2" t="s">
        <v>2494</v>
      </c>
      <c r="B2457" s="3">
        <v>44883</v>
      </c>
      <c r="C2457" s="2" t="s">
        <v>25</v>
      </c>
      <c r="D2457" s="2" t="s">
        <v>11</v>
      </c>
      <c r="E2457" s="2" t="s">
        <v>12</v>
      </c>
      <c r="F2457" s="2">
        <v>1566.79</v>
      </c>
      <c r="G2457" s="2">
        <v>432.8</v>
      </c>
      <c r="H2457" s="2" t="s">
        <v>13</v>
      </c>
      <c r="I2457" s="2" t="s">
        <v>20</v>
      </c>
    </row>
    <row r="2458" spans="1:9" x14ac:dyDescent="0.35">
      <c r="A2458" s="2" t="s">
        <v>2495</v>
      </c>
      <c r="B2458" s="3">
        <v>44603</v>
      </c>
      <c r="C2458" s="2" t="s">
        <v>22</v>
      </c>
      <c r="D2458" s="2" t="s">
        <v>38</v>
      </c>
      <c r="E2458" s="2" t="s">
        <v>12</v>
      </c>
      <c r="F2458" s="2">
        <v>1249.06</v>
      </c>
      <c r="G2458" s="2">
        <v>143.94999999999999</v>
      </c>
      <c r="H2458" s="2" t="s">
        <v>19</v>
      </c>
      <c r="I2458" s="2" t="s">
        <v>14</v>
      </c>
    </row>
    <row r="2459" spans="1:9" x14ac:dyDescent="0.35">
      <c r="A2459" s="2" t="s">
        <v>2496</v>
      </c>
      <c r="B2459" s="3">
        <v>45573</v>
      </c>
      <c r="C2459" s="2" t="s">
        <v>10</v>
      </c>
      <c r="D2459" s="2" t="s">
        <v>95</v>
      </c>
      <c r="E2459" s="2" t="s">
        <v>18</v>
      </c>
      <c r="F2459" s="2">
        <v>748.68</v>
      </c>
      <c r="G2459" s="2">
        <v>97.5</v>
      </c>
      <c r="H2459" s="2" t="s">
        <v>19</v>
      </c>
      <c r="I2459" s="2" t="s">
        <v>14</v>
      </c>
    </row>
    <row r="2460" spans="1:9" x14ac:dyDescent="0.35">
      <c r="A2460" s="2" t="s">
        <v>2497</v>
      </c>
      <c r="B2460" s="3">
        <v>45148</v>
      </c>
      <c r="C2460" s="2" t="s">
        <v>25</v>
      </c>
      <c r="D2460" s="2" t="s">
        <v>33</v>
      </c>
      <c r="E2460" s="2" t="s">
        <v>18</v>
      </c>
      <c r="F2460" s="2">
        <v>378.1</v>
      </c>
      <c r="G2460" s="2">
        <v>106.01</v>
      </c>
      <c r="H2460" s="2" t="s">
        <v>13</v>
      </c>
      <c r="I2460" s="2" t="s">
        <v>20</v>
      </c>
    </row>
    <row r="2461" spans="1:9" x14ac:dyDescent="0.35">
      <c r="A2461" s="2" t="s">
        <v>2498</v>
      </c>
      <c r="B2461" s="3">
        <v>44705</v>
      </c>
      <c r="C2461" s="2" t="s">
        <v>25</v>
      </c>
      <c r="D2461" s="2" t="s">
        <v>97</v>
      </c>
      <c r="E2461" s="2" t="s">
        <v>27</v>
      </c>
      <c r="F2461" s="2">
        <v>685.09</v>
      </c>
      <c r="G2461" s="2">
        <v>177.14</v>
      </c>
      <c r="H2461" s="2" t="s">
        <v>28</v>
      </c>
      <c r="I2461" s="2" t="s">
        <v>29</v>
      </c>
    </row>
    <row r="2462" spans="1:9" x14ac:dyDescent="0.35">
      <c r="A2462" s="2" t="s">
        <v>2499</v>
      </c>
      <c r="B2462" s="3">
        <v>44778</v>
      </c>
      <c r="C2462" s="2" t="s">
        <v>10</v>
      </c>
      <c r="D2462" s="2" t="s">
        <v>23</v>
      </c>
      <c r="E2462" s="2" t="s">
        <v>18</v>
      </c>
      <c r="F2462" s="2">
        <v>368.72</v>
      </c>
      <c r="G2462" s="2">
        <v>60.2</v>
      </c>
      <c r="H2462" s="2" t="s">
        <v>28</v>
      </c>
      <c r="I2462" s="2" t="s">
        <v>20</v>
      </c>
    </row>
    <row r="2463" spans="1:9" x14ac:dyDescent="0.35">
      <c r="A2463" s="2" t="s">
        <v>2500</v>
      </c>
      <c r="B2463" s="3">
        <v>45400</v>
      </c>
      <c r="C2463" s="2" t="s">
        <v>22</v>
      </c>
      <c r="D2463" s="2" t="s">
        <v>57</v>
      </c>
      <c r="E2463" s="2" t="s">
        <v>27</v>
      </c>
      <c r="F2463" s="2">
        <v>1133.33</v>
      </c>
      <c r="G2463" s="2">
        <v>171.49</v>
      </c>
      <c r="H2463" s="2" t="s">
        <v>19</v>
      </c>
      <c r="I2463" s="2" t="s">
        <v>14</v>
      </c>
    </row>
    <row r="2464" spans="1:9" x14ac:dyDescent="0.35">
      <c r="A2464" s="2" t="s">
        <v>2501</v>
      </c>
      <c r="B2464" s="3">
        <v>45318</v>
      </c>
      <c r="C2464" s="2" t="s">
        <v>25</v>
      </c>
      <c r="D2464" s="2" t="s">
        <v>31</v>
      </c>
      <c r="E2464" s="2" t="s">
        <v>12</v>
      </c>
      <c r="F2464" s="2">
        <v>1467.36</v>
      </c>
      <c r="G2464" s="2">
        <v>286.70999999999998</v>
      </c>
      <c r="H2464" s="2" t="s">
        <v>28</v>
      </c>
      <c r="I2464" s="2" t="s">
        <v>34</v>
      </c>
    </row>
    <row r="2465" spans="1:9" x14ac:dyDescent="0.35">
      <c r="A2465" s="2" t="s">
        <v>2502</v>
      </c>
      <c r="B2465" s="3">
        <v>45031</v>
      </c>
      <c r="C2465" s="2" t="s">
        <v>22</v>
      </c>
      <c r="D2465" s="2" t="s">
        <v>17</v>
      </c>
      <c r="E2465" s="2" t="s">
        <v>18</v>
      </c>
      <c r="F2465" s="2">
        <v>976.54</v>
      </c>
      <c r="G2465" s="2">
        <v>195.41</v>
      </c>
      <c r="H2465" s="2" t="s">
        <v>19</v>
      </c>
      <c r="I2465" s="2" t="s">
        <v>20</v>
      </c>
    </row>
    <row r="2466" spans="1:9" x14ac:dyDescent="0.35">
      <c r="A2466" s="2" t="s">
        <v>2503</v>
      </c>
      <c r="B2466" s="3">
        <v>44843</v>
      </c>
      <c r="C2466" s="2" t="s">
        <v>10</v>
      </c>
      <c r="D2466" s="2" t="s">
        <v>62</v>
      </c>
      <c r="E2466" s="2" t="s">
        <v>27</v>
      </c>
      <c r="F2466" s="2">
        <v>476.86</v>
      </c>
      <c r="G2466" s="2">
        <v>102.3</v>
      </c>
      <c r="H2466" s="2" t="s">
        <v>13</v>
      </c>
      <c r="I2466" s="2" t="s">
        <v>20</v>
      </c>
    </row>
    <row r="2467" spans="1:9" x14ac:dyDescent="0.35">
      <c r="A2467" s="2" t="s">
        <v>2504</v>
      </c>
      <c r="B2467" s="3">
        <v>45641</v>
      </c>
      <c r="C2467" s="2" t="s">
        <v>10</v>
      </c>
      <c r="D2467" s="2" t="s">
        <v>41</v>
      </c>
      <c r="E2467" s="2" t="s">
        <v>12</v>
      </c>
      <c r="F2467" s="2">
        <v>879.9</v>
      </c>
      <c r="G2467" s="2">
        <v>192.46</v>
      </c>
      <c r="H2467" s="2" t="s">
        <v>13</v>
      </c>
      <c r="I2467" s="2" t="s">
        <v>20</v>
      </c>
    </row>
    <row r="2468" spans="1:9" x14ac:dyDescent="0.35">
      <c r="A2468" s="2" t="s">
        <v>2505</v>
      </c>
      <c r="B2468" s="3">
        <v>44713</v>
      </c>
      <c r="C2468" s="2" t="s">
        <v>16</v>
      </c>
      <c r="D2468" s="2" t="s">
        <v>41</v>
      </c>
      <c r="E2468" s="2" t="s">
        <v>12</v>
      </c>
      <c r="F2468" s="2">
        <v>588.13</v>
      </c>
      <c r="G2468" s="2">
        <v>134.69999999999999</v>
      </c>
      <c r="H2468" s="2" t="s">
        <v>19</v>
      </c>
      <c r="I2468" s="2" t="s">
        <v>20</v>
      </c>
    </row>
    <row r="2469" spans="1:9" x14ac:dyDescent="0.35">
      <c r="A2469" s="2" t="s">
        <v>2506</v>
      </c>
      <c r="B2469" s="3">
        <v>44844</v>
      </c>
      <c r="C2469" s="2" t="s">
        <v>25</v>
      </c>
      <c r="D2469" s="2" t="s">
        <v>17</v>
      </c>
      <c r="E2469" s="2" t="s">
        <v>18</v>
      </c>
      <c r="F2469" s="2">
        <v>249.33</v>
      </c>
      <c r="G2469" s="2">
        <v>38.950000000000003</v>
      </c>
      <c r="H2469" s="2" t="s">
        <v>19</v>
      </c>
      <c r="I2469" s="2" t="s">
        <v>14</v>
      </c>
    </row>
    <row r="2470" spans="1:9" x14ac:dyDescent="0.35">
      <c r="A2470" s="2" t="s">
        <v>2507</v>
      </c>
      <c r="B2470" s="3">
        <v>45313</v>
      </c>
      <c r="C2470" s="2" t="s">
        <v>25</v>
      </c>
      <c r="D2470" s="2" t="s">
        <v>57</v>
      </c>
      <c r="E2470" s="2" t="s">
        <v>27</v>
      </c>
      <c r="F2470" s="2">
        <v>194.44</v>
      </c>
      <c r="G2470" s="2">
        <v>28.88</v>
      </c>
      <c r="H2470" s="2" t="s">
        <v>13</v>
      </c>
      <c r="I2470" s="2" t="s">
        <v>29</v>
      </c>
    </row>
    <row r="2471" spans="1:9" x14ac:dyDescent="0.35">
      <c r="A2471" s="2" t="s">
        <v>2508</v>
      </c>
      <c r="B2471" s="3">
        <v>44996</v>
      </c>
      <c r="C2471" s="2" t="s">
        <v>25</v>
      </c>
      <c r="D2471" s="2" t="s">
        <v>17</v>
      </c>
      <c r="E2471" s="2" t="s">
        <v>18</v>
      </c>
      <c r="F2471" s="2">
        <v>780.36</v>
      </c>
      <c r="G2471" s="2">
        <v>119.16</v>
      </c>
      <c r="H2471" s="2" t="s">
        <v>13</v>
      </c>
      <c r="I2471" s="2" t="s">
        <v>34</v>
      </c>
    </row>
    <row r="2472" spans="1:9" x14ac:dyDescent="0.35">
      <c r="A2472" s="2" t="s">
        <v>2509</v>
      </c>
      <c r="B2472" s="3">
        <v>45177</v>
      </c>
      <c r="C2472" s="2" t="s">
        <v>25</v>
      </c>
      <c r="D2472" s="2" t="s">
        <v>62</v>
      </c>
      <c r="E2472" s="2" t="s">
        <v>27</v>
      </c>
      <c r="F2472" s="2">
        <v>233.84</v>
      </c>
      <c r="G2472" s="2">
        <v>51.93</v>
      </c>
      <c r="H2472" s="2" t="s">
        <v>13</v>
      </c>
      <c r="I2472" s="2" t="s">
        <v>29</v>
      </c>
    </row>
    <row r="2473" spans="1:9" x14ac:dyDescent="0.35">
      <c r="A2473" s="2" t="s">
        <v>2510</v>
      </c>
      <c r="B2473" s="3">
        <v>44568</v>
      </c>
      <c r="C2473" s="2" t="s">
        <v>16</v>
      </c>
      <c r="D2473" s="2" t="s">
        <v>23</v>
      </c>
      <c r="E2473" s="2" t="s">
        <v>18</v>
      </c>
      <c r="F2473" s="2">
        <v>1869.9</v>
      </c>
      <c r="G2473" s="2">
        <v>187.17</v>
      </c>
      <c r="H2473" s="2" t="s">
        <v>13</v>
      </c>
      <c r="I2473" s="2" t="s">
        <v>34</v>
      </c>
    </row>
    <row r="2474" spans="1:9" x14ac:dyDescent="0.35">
      <c r="A2474" s="2" t="s">
        <v>2511</v>
      </c>
      <c r="B2474" s="3">
        <v>45264</v>
      </c>
      <c r="C2474" s="2" t="s">
        <v>16</v>
      </c>
      <c r="D2474" s="2" t="s">
        <v>46</v>
      </c>
      <c r="E2474" s="2" t="s">
        <v>18</v>
      </c>
      <c r="F2474" s="2">
        <v>902.39</v>
      </c>
      <c r="G2474" s="2">
        <v>140.91999999999999</v>
      </c>
      <c r="H2474" s="2" t="s">
        <v>28</v>
      </c>
      <c r="I2474" s="2" t="s">
        <v>34</v>
      </c>
    </row>
    <row r="2475" spans="1:9" x14ac:dyDescent="0.35">
      <c r="A2475" s="2" t="s">
        <v>2512</v>
      </c>
      <c r="B2475" s="3">
        <v>45080</v>
      </c>
      <c r="C2475" s="2" t="s">
        <v>22</v>
      </c>
      <c r="D2475" s="2" t="s">
        <v>97</v>
      </c>
      <c r="E2475" s="2" t="s">
        <v>27</v>
      </c>
      <c r="F2475" s="2">
        <v>1154.18</v>
      </c>
      <c r="G2475" s="2">
        <v>249.51</v>
      </c>
      <c r="H2475" s="2" t="s">
        <v>28</v>
      </c>
      <c r="I2475" s="2" t="s">
        <v>14</v>
      </c>
    </row>
    <row r="2476" spans="1:9" x14ac:dyDescent="0.35">
      <c r="A2476" s="2" t="s">
        <v>2513</v>
      </c>
      <c r="B2476" s="3">
        <v>44952</v>
      </c>
      <c r="C2476" s="2" t="s">
        <v>10</v>
      </c>
      <c r="D2476" s="2" t="s">
        <v>95</v>
      </c>
      <c r="E2476" s="2" t="s">
        <v>18</v>
      </c>
      <c r="F2476" s="2">
        <v>1157.4000000000001</v>
      </c>
      <c r="G2476" s="2">
        <v>291.02</v>
      </c>
      <c r="H2476" s="2" t="s">
        <v>28</v>
      </c>
      <c r="I2476" s="2" t="s">
        <v>29</v>
      </c>
    </row>
    <row r="2477" spans="1:9" x14ac:dyDescent="0.35">
      <c r="A2477" s="2" t="s">
        <v>2514</v>
      </c>
      <c r="B2477" s="3">
        <v>45408</v>
      </c>
      <c r="C2477" s="2" t="s">
        <v>10</v>
      </c>
      <c r="D2477" s="2" t="s">
        <v>23</v>
      </c>
      <c r="E2477" s="2" t="s">
        <v>18</v>
      </c>
      <c r="F2477" s="2">
        <v>874.73</v>
      </c>
      <c r="G2477" s="2">
        <v>258.8</v>
      </c>
      <c r="H2477" s="2" t="s">
        <v>19</v>
      </c>
      <c r="I2477" s="2" t="s">
        <v>34</v>
      </c>
    </row>
    <row r="2478" spans="1:9" x14ac:dyDescent="0.35">
      <c r="A2478" s="2" t="s">
        <v>2515</v>
      </c>
      <c r="B2478" s="3">
        <v>45326</v>
      </c>
      <c r="C2478" s="2" t="s">
        <v>25</v>
      </c>
      <c r="D2478" s="2" t="s">
        <v>38</v>
      </c>
      <c r="E2478" s="2" t="s">
        <v>12</v>
      </c>
      <c r="F2478" s="2">
        <v>1047.06</v>
      </c>
      <c r="G2478" s="2">
        <v>76.14</v>
      </c>
      <c r="H2478" s="2" t="s">
        <v>13</v>
      </c>
      <c r="I2478" s="2" t="s">
        <v>34</v>
      </c>
    </row>
    <row r="2479" spans="1:9" x14ac:dyDescent="0.35">
      <c r="A2479" s="2" t="s">
        <v>2516</v>
      </c>
      <c r="B2479" s="3">
        <v>45136</v>
      </c>
      <c r="C2479" s="2" t="s">
        <v>25</v>
      </c>
      <c r="D2479" s="2" t="s">
        <v>31</v>
      </c>
      <c r="E2479" s="2" t="s">
        <v>12</v>
      </c>
      <c r="F2479" s="2">
        <v>678.03</v>
      </c>
      <c r="G2479" s="2">
        <v>54.61</v>
      </c>
      <c r="H2479" s="2" t="s">
        <v>13</v>
      </c>
      <c r="I2479" s="2" t="s">
        <v>20</v>
      </c>
    </row>
    <row r="2480" spans="1:9" x14ac:dyDescent="0.35">
      <c r="A2480" s="2" t="s">
        <v>2517</v>
      </c>
      <c r="B2480" s="3">
        <v>45463</v>
      </c>
      <c r="C2480" s="2" t="s">
        <v>22</v>
      </c>
      <c r="D2480" s="2" t="s">
        <v>97</v>
      </c>
      <c r="E2480" s="2" t="s">
        <v>27</v>
      </c>
      <c r="F2480" s="2">
        <v>217.55</v>
      </c>
      <c r="G2480" s="2">
        <v>20.21</v>
      </c>
      <c r="H2480" s="2" t="s">
        <v>19</v>
      </c>
      <c r="I2480" s="2" t="s">
        <v>14</v>
      </c>
    </row>
    <row r="2481" spans="1:9" x14ac:dyDescent="0.35">
      <c r="A2481" s="2" t="s">
        <v>2518</v>
      </c>
      <c r="B2481" s="3">
        <v>45294</v>
      </c>
      <c r="C2481" s="2" t="s">
        <v>16</v>
      </c>
      <c r="D2481" s="2" t="s">
        <v>11</v>
      </c>
      <c r="E2481" s="2" t="s">
        <v>12</v>
      </c>
      <c r="F2481" s="2">
        <v>702.48</v>
      </c>
      <c r="G2481" s="2">
        <v>79.260000000000005</v>
      </c>
      <c r="H2481" s="2" t="s">
        <v>19</v>
      </c>
      <c r="I2481" s="2" t="s">
        <v>20</v>
      </c>
    </row>
    <row r="2482" spans="1:9" x14ac:dyDescent="0.35">
      <c r="A2482" s="2" t="s">
        <v>2519</v>
      </c>
      <c r="B2482" s="3">
        <v>45003</v>
      </c>
      <c r="C2482" s="2" t="s">
        <v>16</v>
      </c>
      <c r="D2482" s="2" t="s">
        <v>50</v>
      </c>
      <c r="E2482" s="2" t="s">
        <v>12</v>
      </c>
      <c r="F2482" s="2">
        <v>1036.53</v>
      </c>
      <c r="G2482" s="2">
        <v>198.56</v>
      </c>
      <c r="H2482" s="2" t="s">
        <v>28</v>
      </c>
      <c r="I2482" s="2" t="s">
        <v>34</v>
      </c>
    </row>
    <row r="2483" spans="1:9" x14ac:dyDescent="0.35">
      <c r="A2483" s="2" t="s">
        <v>2520</v>
      </c>
      <c r="B2483" s="3">
        <v>45645</v>
      </c>
      <c r="C2483" s="2" t="s">
        <v>22</v>
      </c>
      <c r="D2483" s="2" t="s">
        <v>62</v>
      </c>
      <c r="E2483" s="2" t="s">
        <v>27</v>
      </c>
      <c r="F2483" s="2">
        <v>1363.68</v>
      </c>
      <c r="G2483" s="2">
        <v>283.25</v>
      </c>
      <c r="H2483" s="2" t="s">
        <v>13</v>
      </c>
      <c r="I2483" s="2" t="s">
        <v>34</v>
      </c>
    </row>
    <row r="2484" spans="1:9" x14ac:dyDescent="0.35">
      <c r="A2484" s="2" t="s">
        <v>2521</v>
      </c>
      <c r="B2484" s="3">
        <v>45587</v>
      </c>
      <c r="C2484" s="2" t="s">
        <v>22</v>
      </c>
      <c r="D2484" s="2" t="s">
        <v>23</v>
      </c>
      <c r="E2484" s="2" t="s">
        <v>18</v>
      </c>
      <c r="F2484" s="2">
        <v>1538.64</v>
      </c>
      <c r="G2484" s="2">
        <v>183.23</v>
      </c>
      <c r="H2484" s="2" t="s">
        <v>28</v>
      </c>
      <c r="I2484" s="2" t="s">
        <v>34</v>
      </c>
    </row>
    <row r="2485" spans="1:9" x14ac:dyDescent="0.35">
      <c r="A2485" s="2" t="s">
        <v>2522</v>
      </c>
      <c r="B2485" s="3">
        <v>44760</v>
      </c>
      <c r="C2485" s="2" t="s">
        <v>25</v>
      </c>
      <c r="D2485" s="2" t="s">
        <v>62</v>
      </c>
      <c r="E2485" s="2" t="s">
        <v>27</v>
      </c>
      <c r="F2485" s="2">
        <v>357.26</v>
      </c>
      <c r="G2485" s="2">
        <v>36.700000000000003</v>
      </c>
      <c r="H2485" s="2" t="s">
        <v>13</v>
      </c>
      <c r="I2485" s="2" t="s">
        <v>14</v>
      </c>
    </row>
    <row r="2486" spans="1:9" x14ac:dyDescent="0.35">
      <c r="A2486" s="2" t="s">
        <v>2523</v>
      </c>
      <c r="B2486" s="3">
        <v>45380</v>
      </c>
      <c r="C2486" s="2" t="s">
        <v>10</v>
      </c>
      <c r="D2486" s="2" t="s">
        <v>26</v>
      </c>
      <c r="E2486" s="2" t="s">
        <v>27</v>
      </c>
      <c r="F2486" s="2">
        <v>316.83</v>
      </c>
      <c r="G2486" s="2">
        <v>88.27</v>
      </c>
      <c r="H2486" s="2" t="s">
        <v>13</v>
      </c>
      <c r="I2486" s="2" t="s">
        <v>34</v>
      </c>
    </row>
    <row r="2487" spans="1:9" x14ac:dyDescent="0.35">
      <c r="A2487" s="2" t="s">
        <v>2524</v>
      </c>
      <c r="B2487" s="3">
        <v>45139</v>
      </c>
      <c r="C2487" s="2" t="s">
        <v>10</v>
      </c>
      <c r="D2487" s="2" t="s">
        <v>23</v>
      </c>
      <c r="E2487" s="2" t="s">
        <v>18</v>
      </c>
      <c r="F2487" s="2">
        <v>478.79</v>
      </c>
      <c r="G2487" s="2">
        <v>87.04</v>
      </c>
      <c r="H2487" s="2" t="s">
        <v>13</v>
      </c>
      <c r="I2487" s="2" t="s">
        <v>34</v>
      </c>
    </row>
    <row r="2488" spans="1:9" x14ac:dyDescent="0.35">
      <c r="A2488" s="2" t="s">
        <v>2525</v>
      </c>
      <c r="B2488" s="3">
        <v>44731</v>
      </c>
      <c r="C2488" s="2" t="s">
        <v>16</v>
      </c>
      <c r="D2488" s="2" t="s">
        <v>33</v>
      </c>
      <c r="E2488" s="2" t="s">
        <v>18</v>
      </c>
      <c r="F2488" s="2">
        <v>1503.16</v>
      </c>
      <c r="G2488" s="2">
        <v>315.68</v>
      </c>
      <c r="H2488" s="2" t="s">
        <v>19</v>
      </c>
      <c r="I2488" s="2" t="s">
        <v>20</v>
      </c>
    </row>
    <row r="2489" spans="1:9" x14ac:dyDescent="0.35">
      <c r="A2489" s="2" t="s">
        <v>2526</v>
      </c>
      <c r="B2489" s="3">
        <v>44661</v>
      </c>
      <c r="C2489" s="2" t="s">
        <v>22</v>
      </c>
      <c r="D2489" s="2" t="s">
        <v>23</v>
      </c>
      <c r="E2489" s="2" t="s">
        <v>18</v>
      </c>
      <c r="F2489" s="2">
        <v>304.08</v>
      </c>
      <c r="G2489" s="2">
        <v>42.43</v>
      </c>
      <c r="H2489" s="2" t="s">
        <v>28</v>
      </c>
      <c r="I2489" s="2" t="s">
        <v>14</v>
      </c>
    </row>
    <row r="2490" spans="1:9" x14ac:dyDescent="0.35">
      <c r="A2490" s="2" t="s">
        <v>2527</v>
      </c>
      <c r="B2490" s="3">
        <v>45640</v>
      </c>
      <c r="C2490" s="2" t="s">
        <v>16</v>
      </c>
      <c r="D2490" s="2" t="s">
        <v>38</v>
      </c>
      <c r="E2490" s="2" t="s">
        <v>12</v>
      </c>
      <c r="F2490" s="2">
        <v>633.85</v>
      </c>
      <c r="G2490" s="2">
        <v>43.22</v>
      </c>
      <c r="H2490" s="2" t="s">
        <v>28</v>
      </c>
      <c r="I2490" s="2" t="s">
        <v>20</v>
      </c>
    </row>
    <row r="2491" spans="1:9" x14ac:dyDescent="0.35">
      <c r="A2491" s="2" t="s">
        <v>2528</v>
      </c>
      <c r="B2491" s="3">
        <v>45149</v>
      </c>
      <c r="C2491" s="2" t="s">
        <v>16</v>
      </c>
      <c r="D2491" s="2" t="s">
        <v>33</v>
      </c>
      <c r="E2491" s="2" t="s">
        <v>18</v>
      </c>
      <c r="F2491" s="2">
        <v>981.06</v>
      </c>
      <c r="G2491" s="2">
        <v>252.23</v>
      </c>
      <c r="H2491" s="2" t="s">
        <v>13</v>
      </c>
      <c r="I2491" s="2" t="s">
        <v>34</v>
      </c>
    </row>
    <row r="2492" spans="1:9" x14ac:dyDescent="0.35">
      <c r="A2492" s="2" t="s">
        <v>2529</v>
      </c>
      <c r="B2492" s="3">
        <v>44586</v>
      </c>
      <c r="C2492" s="2" t="s">
        <v>25</v>
      </c>
      <c r="D2492" s="2" t="s">
        <v>62</v>
      </c>
      <c r="E2492" s="2" t="s">
        <v>27</v>
      </c>
      <c r="F2492" s="2">
        <v>1828.38</v>
      </c>
      <c r="G2492" s="2">
        <v>223.52</v>
      </c>
      <c r="H2492" s="2" t="s">
        <v>19</v>
      </c>
      <c r="I2492" s="2" t="s">
        <v>29</v>
      </c>
    </row>
    <row r="2493" spans="1:9" x14ac:dyDescent="0.35">
      <c r="A2493" s="2" t="s">
        <v>2530</v>
      </c>
      <c r="B2493" s="3">
        <v>45195</v>
      </c>
      <c r="C2493" s="2" t="s">
        <v>22</v>
      </c>
      <c r="D2493" s="2" t="s">
        <v>62</v>
      </c>
      <c r="E2493" s="2" t="s">
        <v>27</v>
      </c>
      <c r="F2493" s="2">
        <v>1171.6400000000001</v>
      </c>
      <c r="G2493" s="2">
        <v>297.08999999999997</v>
      </c>
      <c r="H2493" s="2" t="s">
        <v>28</v>
      </c>
      <c r="I2493" s="2" t="s">
        <v>29</v>
      </c>
    </row>
    <row r="2494" spans="1:9" x14ac:dyDescent="0.35">
      <c r="A2494" s="2" t="s">
        <v>2531</v>
      </c>
      <c r="B2494" s="3">
        <v>45260</v>
      </c>
      <c r="C2494" s="2" t="s">
        <v>25</v>
      </c>
      <c r="D2494" s="2" t="s">
        <v>97</v>
      </c>
      <c r="E2494" s="2" t="s">
        <v>27</v>
      </c>
      <c r="F2494" s="2">
        <v>589.98</v>
      </c>
      <c r="G2494" s="2">
        <v>159.72</v>
      </c>
      <c r="H2494" s="2" t="s">
        <v>13</v>
      </c>
      <c r="I2494" s="2" t="s">
        <v>20</v>
      </c>
    </row>
    <row r="2495" spans="1:9" x14ac:dyDescent="0.35">
      <c r="A2495" s="2" t="s">
        <v>2532</v>
      </c>
      <c r="B2495" s="3">
        <v>44608</v>
      </c>
      <c r="C2495" s="2" t="s">
        <v>25</v>
      </c>
      <c r="D2495" s="2" t="s">
        <v>62</v>
      </c>
      <c r="E2495" s="2" t="s">
        <v>27</v>
      </c>
      <c r="F2495" s="2">
        <v>1719.96</v>
      </c>
      <c r="G2495" s="2">
        <v>135.30000000000001</v>
      </c>
      <c r="H2495" s="2" t="s">
        <v>19</v>
      </c>
      <c r="I2495" s="2" t="s">
        <v>34</v>
      </c>
    </row>
    <row r="2496" spans="1:9" x14ac:dyDescent="0.35">
      <c r="A2496" s="2" t="s">
        <v>2533</v>
      </c>
      <c r="B2496" s="3">
        <v>45603</v>
      </c>
      <c r="C2496" s="2" t="s">
        <v>25</v>
      </c>
      <c r="D2496" s="2" t="s">
        <v>38</v>
      </c>
      <c r="E2496" s="2" t="s">
        <v>12</v>
      </c>
      <c r="F2496" s="2">
        <v>1273.3599999999999</v>
      </c>
      <c r="G2496" s="2">
        <v>151.38999999999999</v>
      </c>
      <c r="H2496" s="2" t="s">
        <v>28</v>
      </c>
      <c r="I2496" s="2" t="s">
        <v>20</v>
      </c>
    </row>
    <row r="2497" spans="1:9" x14ac:dyDescent="0.35">
      <c r="A2497" s="2" t="s">
        <v>2534</v>
      </c>
      <c r="B2497" s="3">
        <v>44811</v>
      </c>
      <c r="C2497" s="2" t="s">
        <v>22</v>
      </c>
      <c r="D2497" s="2" t="s">
        <v>73</v>
      </c>
      <c r="E2497" s="2" t="s">
        <v>27</v>
      </c>
      <c r="F2497" s="2">
        <v>1453.92</v>
      </c>
      <c r="G2497" s="2">
        <v>179.36</v>
      </c>
      <c r="H2497" s="2" t="s">
        <v>28</v>
      </c>
      <c r="I2497" s="2" t="s">
        <v>14</v>
      </c>
    </row>
    <row r="2498" spans="1:9" x14ac:dyDescent="0.35">
      <c r="A2498" s="2" t="s">
        <v>2535</v>
      </c>
      <c r="B2498" s="3">
        <v>45148</v>
      </c>
      <c r="C2498" s="2" t="s">
        <v>16</v>
      </c>
      <c r="D2498" s="2" t="s">
        <v>38</v>
      </c>
      <c r="E2498" s="2" t="s">
        <v>12</v>
      </c>
      <c r="F2498" s="2">
        <v>286.45999999999998</v>
      </c>
      <c r="G2498" s="2">
        <v>44.72</v>
      </c>
      <c r="H2498" s="2" t="s">
        <v>13</v>
      </c>
      <c r="I2498" s="2" t="s">
        <v>34</v>
      </c>
    </row>
    <row r="2499" spans="1:9" x14ac:dyDescent="0.35">
      <c r="A2499" s="2" t="s">
        <v>2536</v>
      </c>
      <c r="B2499" s="3">
        <v>45586</v>
      </c>
      <c r="C2499" s="2" t="s">
        <v>16</v>
      </c>
      <c r="D2499" s="2" t="s">
        <v>41</v>
      </c>
      <c r="E2499" s="2" t="s">
        <v>12</v>
      </c>
      <c r="F2499" s="2">
        <v>699.9</v>
      </c>
      <c r="G2499" s="2">
        <v>86.99</v>
      </c>
      <c r="H2499" s="2" t="s">
        <v>19</v>
      </c>
      <c r="I2499" s="2" t="s">
        <v>29</v>
      </c>
    </row>
    <row r="2500" spans="1:9" x14ac:dyDescent="0.35">
      <c r="A2500" s="2" t="s">
        <v>2537</v>
      </c>
      <c r="B2500" s="3">
        <v>44665</v>
      </c>
      <c r="C2500" s="2" t="s">
        <v>16</v>
      </c>
      <c r="D2500" s="2" t="s">
        <v>31</v>
      </c>
      <c r="E2500" s="2" t="s">
        <v>12</v>
      </c>
      <c r="F2500" s="2">
        <v>1861.24</v>
      </c>
      <c r="G2500" s="2">
        <v>455.05</v>
      </c>
      <c r="H2500" s="2" t="s">
        <v>13</v>
      </c>
      <c r="I2500" s="2" t="s">
        <v>34</v>
      </c>
    </row>
    <row r="2501" spans="1:9" x14ac:dyDescent="0.35">
      <c r="A2501" s="2" t="s">
        <v>2538</v>
      </c>
      <c r="B2501" s="3">
        <v>44644</v>
      </c>
      <c r="C2501" s="2" t="s">
        <v>22</v>
      </c>
      <c r="D2501" s="2" t="s">
        <v>33</v>
      </c>
      <c r="E2501" s="2" t="s">
        <v>18</v>
      </c>
      <c r="F2501" s="2">
        <v>422.82</v>
      </c>
      <c r="G2501" s="2">
        <v>94.36</v>
      </c>
      <c r="H2501" s="2" t="s">
        <v>28</v>
      </c>
      <c r="I2501" s="2" t="s">
        <v>14</v>
      </c>
    </row>
    <row r="2502" spans="1:9" x14ac:dyDescent="0.35">
      <c r="A2502" s="2" t="s">
        <v>2539</v>
      </c>
      <c r="B2502" s="3">
        <v>44619</v>
      </c>
      <c r="C2502" s="2" t="s">
        <v>16</v>
      </c>
      <c r="D2502" s="2" t="s">
        <v>26</v>
      </c>
      <c r="E2502" s="2" t="s">
        <v>27</v>
      </c>
      <c r="F2502" s="2">
        <v>815.87</v>
      </c>
      <c r="G2502" s="2">
        <v>124.37</v>
      </c>
      <c r="H2502" s="2" t="s">
        <v>13</v>
      </c>
      <c r="I2502" s="2" t="s">
        <v>14</v>
      </c>
    </row>
    <row r="2503" spans="1:9" x14ac:dyDescent="0.35">
      <c r="A2503" s="2" t="s">
        <v>2540</v>
      </c>
      <c r="B2503" s="3">
        <v>44693</v>
      </c>
      <c r="C2503" s="2" t="s">
        <v>22</v>
      </c>
      <c r="D2503" s="2" t="s">
        <v>50</v>
      </c>
      <c r="E2503" s="2" t="s">
        <v>12</v>
      </c>
      <c r="F2503" s="2">
        <v>1260.54</v>
      </c>
      <c r="G2503" s="2">
        <v>84.89</v>
      </c>
      <c r="H2503" s="2" t="s">
        <v>19</v>
      </c>
      <c r="I2503" s="2" t="s">
        <v>29</v>
      </c>
    </row>
    <row r="2504" spans="1:9" x14ac:dyDescent="0.35">
      <c r="A2504" s="2" t="s">
        <v>2541</v>
      </c>
      <c r="B2504" s="3">
        <v>45050</v>
      </c>
      <c r="C2504" s="2" t="s">
        <v>25</v>
      </c>
      <c r="D2504" s="2" t="s">
        <v>97</v>
      </c>
      <c r="E2504" s="2" t="s">
        <v>27</v>
      </c>
      <c r="F2504" s="2">
        <v>979.16</v>
      </c>
      <c r="G2504" s="2">
        <v>98.8</v>
      </c>
      <c r="H2504" s="2" t="s">
        <v>13</v>
      </c>
      <c r="I2504" s="2" t="s">
        <v>20</v>
      </c>
    </row>
    <row r="2505" spans="1:9" x14ac:dyDescent="0.35">
      <c r="A2505" s="2" t="s">
        <v>2542</v>
      </c>
      <c r="B2505" s="3">
        <v>44839</v>
      </c>
      <c r="C2505" s="2" t="s">
        <v>22</v>
      </c>
      <c r="D2505" s="2" t="s">
        <v>97</v>
      </c>
      <c r="E2505" s="2" t="s">
        <v>27</v>
      </c>
      <c r="F2505" s="2">
        <v>498.07</v>
      </c>
      <c r="G2505" s="2">
        <v>70.59</v>
      </c>
      <c r="H2505" s="2" t="s">
        <v>19</v>
      </c>
      <c r="I2505" s="2" t="s">
        <v>20</v>
      </c>
    </row>
    <row r="2506" spans="1:9" x14ac:dyDescent="0.35">
      <c r="A2506" s="2" t="s">
        <v>2543</v>
      </c>
      <c r="B2506" s="3">
        <v>45171</v>
      </c>
      <c r="C2506" s="2" t="s">
        <v>25</v>
      </c>
      <c r="D2506" s="2" t="s">
        <v>46</v>
      </c>
      <c r="E2506" s="2" t="s">
        <v>18</v>
      </c>
      <c r="F2506" s="2">
        <v>1606.48</v>
      </c>
      <c r="G2506" s="2">
        <v>241</v>
      </c>
      <c r="H2506" s="2" t="s">
        <v>28</v>
      </c>
      <c r="I2506" s="2" t="s">
        <v>34</v>
      </c>
    </row>
    <row r="2507" spans="1:9" x14ac:dyDescent="0.35">
      <c r="A2507" s="2" t="s">
        <v>2544</v>
      </c>
      <c r="B2507" s="3">
        <v>44581</v>
      </c>
      <c r="C2507" s="2" t="s">
        <v>10</v>
      </c>
      <c r="D2507" s="2" t="s">
        <v>95</v>
      </c>
      <c r="E2507" s="2" t="s">
        <v>18</v>
      </c>
      <c r="F2507" s="2">
        <v>1838.16</v>
      </c>
      <c r="G2507" s="2">
        <v>540.96</v>
      </c>
      <c r="H2507" s="2" t="s">
        <v>28</v>
      </c>
      <c r="I2507" s="2" t="s">
        <v>20</v>
      </c>
    </row>
    <row r="2508" spans="1:9" x14ac:dyDescent="0.35">
      <c r="A2508" s="2" t="s">
        <v>2545</v>
      </c>
      <c r="B2508" s="3">
        <v>45032</v>
      </c>
      <c r="C2508" s="2" t="s">
        <v>16</v>
      </c>
      <c r="D2508" s="2" t="s">
        <v>41</v>
      </c>
      <c r="E2508" s="2" t="s">
        <v>12</v>
      </c>
      <c r="F2508" s="2">
        <v>1011.99</v>
      </c>
      <c r="G2508" s="2">
        <v>198.76</v>
      </c>
      <c r="H2508" s="2" t="s">
        <v>13</v>
      </c>
      <c r="I2508" s="2" t="s">
        <v>29</v>
      </c>
    </row>
    <row r="2509" spans="1:9" x14ac:dyDescent="0.35">
      <c r="A2509" s="2" t="s">
        <v>2546</v>
      </c>
      <c r="B2509" s="3">
        <v>44850</v>
      </c>
      <c r="C2509" s="2" t="s">
        <v>10</v>
      </c>
      <c r="D2509" s="2" t="s">
        <v>95</v>
      </c>
      <c r="E2509" s="2" t="s">
        <v>18</v>
      </c>
      <c r="F2509" s="2">
        <v>484.86</v>
      </c>
      <c r="G2509" s="2">
        <v>97.7</v>
      </c>
      <c r="H2509" s="2" t="s">
        <v>13</v>
      </c>
      <c r="I2509" s="2" t="s">
        <v>20</v>
      </c>
    </row>
    <row r="2510" spans="1:9" x14ac:dyDescent="0.35">
      <c r="A2510" s="2" t="s">
        <v>2547</v>
      </c>
      <c r="B2510" s="3">
        <v>44693</v>
      </c>
      <c r="C2510" s="2" t="s">
        <v>10</v>
      </c>
      <c r="D2510" s="2" t="s">
        <v>50</v>
      </c>
      <c r="E2510" s="2" t="s">
        <v>12</v>
      </c>
      <c r="F2510" s="2">
        <v>1708.82</v>
      </c>
      <c r="G2510" s="2">
        <v>329.52</v>
      </c>
      <c r="H2510" s="2" t="s">
        <v>19</v>
      </c>
      <c r="I2510" s="2" t="s">
        <v>29</v>
      </c>
    </row>
    <row r="2511" spans="1:9" x14ac:dyDescent="0.35">
      <c r="A2511" s="2" t="s">
        <v>2548</v>
      </c>
      <c r="B2511" s="3">
        <v>44580</v>
      </c>
      <c r="C2511" s="2" t="s">
        <v>10</v>
      </c>
      <c r="D2511" s="2" t="s">
        <v>31</v>
      </c>
      <c r="E2511" s="2" t="s">
        <v>12</v>
      </c>
      <c r="F2511" s="2">
        <v>627.16</v>
      </c>
      <c r="G2511" s="2">
        <v>108.56</v>
      </c>
      <c r="H2511" s="2" t="s">
        <v>28</v>
      </c>
      <c r="I2511" s="2" t="s">
        <v>29</v>
      </c>
    </row>
    <row r="2512" spans="1:9" x14ac:dyDescent="0.35">
      <c r="A2512" s="2" t="s">
        <v>2549</v>
      </c>
      <c r="B2512" s="3">
        <v>44918</v>
      </c>
      <c r="C2512" s="2" t="s">
        <v>22</v>
      </c>
      <c r="D2512" s="2" t="s">
        <v>26</v>
      </c>
      <c r="E2512" s="2" t="s">
        <v>27</v>
      </c>
      <c r="F2512" s="2">
        <v>1698.25</v>
      </c>
      <c r="G2512" s="2">
        <v>432.59</v>
      </c>
      <c r="H2512" s="2" t="s">
        <v>19</v>
      </c>
      <c r="I2512" s="2" t="s">
        <v>34</v>
      </c>
    </row>
    <row r="2513" spans="1:9" x14ac:dyDescent="0.35">
      <c r="A2513" s="2" t="s">
        <v>2550</v>
      </c>
      <c r="B2513" s="3">
        <v>44709</v>
      </c>
      <c r="C2513" s="2" t="s">
        <v>10</v>
      </c>
      <c r="D2513" s="2" t="s">
        <v>46</v>
      </c>
      <c r="E2513" s="2" t="s">
        <v>18</v>
      </c>
      <c r="F2513" s="2">
        <v>1305.45</v>
      </c>
      <c r="G2513" s="2">
        <v>179.34</v>
      </c>
      <c r="H2513" s="2" t="s">
        <v>13</v>
      </c>
      <c r="I2513" s="2" t="s">
        <v>34</v>
      </c>
    </row>
    <row r="2514" spans="1:9" x14ac:dyDescent="0.35">
      <c r="A2514" s="2" t="s">
        <v>2551</v>
      </c>
      <c r="B2514" s="3">
        <v>45182</v>
      </c>
      <c r="C2514" s="2" t="s">
        <v>10</v>
      </c>
      <c r="D2514" s="2" t="s">
        <v>50</v>
      </c>
      <c r="E2514" s="2" t="s">
        <v>12</v>
      </c>
      <c r="F2514" s="2">
        <v>1982.84</v>
      </c>
      <c r="G2514" s="2">
        <v>384.82</v>
      </c>
      <c r="H2514" s="2" t="s">
        <v>28</v>
      </c>
      <c r="I2514" s="2" t="s">
        <v>34</v>
      </c>
    </row>
    <row r="2515" spans="1:9" x14ac:dyDescent="0.35">
      <c r="A2515" s="2" t="s">
        <v>2552</v>
      </c>
      <c r="B2515" s="3">
        <v>45238</v>
      </c>
      <c r="C2515" s="2" t="s">
        <v>22</v>
      </c>
      <c r="D2515" s="2" t="s">
        <v>95</v>
      </c>
      <c r="E2515" s="2" t="s">
        <v>18</v>
      </c>
      <c r="F2515" s="2">
        <v>1553.52</v>
      </c>
      <c r="G2515" s="2">
        <v>109.41</v>
      </c>
      <c r="H2515" s="2" t="s">
        <v>19</v>
      </c>
      <c r="I2515" s="2" t="s">
        <v>20</v>
      </c>
    </row>
    <row r="2516" spans="1:9" x14ac:dyDescent="0.35">
      <c r="A2516" s="2" t="s">
        <v>2553</v>
      </c>
      <c r="B2516" s="3">
        <v>44897</v>
      </c>
      <c r="C2516" s="2" t="s">
        <v>16</v>
      </c>
      <c r="D2516" s="2" t="s">
        <v>11</v>
      </c>
      <c r="E2516" s="2" t="s">
        <v>12</v>
      </c>
      <c r="F2516" s="2">
        <v>494.44</v>
      </c>
      <c r="G2516" s="2">
        <v>63.5</v>
      </c>
      <c r="H2516" s="2" t="s">
        <v>28</v>
      </c>
      <c r="I2516" s="2" t="s">
        <v>29</v>
      </c>
    </row>
    <row r="2517" spans="1:9" x14ac:dyDescent="0.35">
      <c r="A2517" s="2" t="s">
        <v>2554</v>
      </c>
      <c r="B2517" s="3">
        <v>45381</v>
      </c>
      <c r="C2517" s="2" t="s">
        <v>16</v>
      </c>
      <c r="D2517" s="2" t="s">
        <v>23</v>
      </c>
      <c r="E2517" s="2" t="s">
        <v>18</v>
      </c>
      <c r="F2517" s="2">
        <v>317.27</v>
      </c>
      <c r="G2517" s="2">
        <v>80.33</v>
      </c>
      <c r="H2517" s="2" t="s">
        <v>13</v>
      </c>
      <c r="I2517" s="2" t="s">
        <v>20</v>
      </c>
    </row>
    <row r="2518" spans="1:9" x14ac:dyDescent="0.35">
      <c r="A2518" s="2" t="s">
        <v>2555</v>
      </c>
      <c r="B2518" s="3">
        <v>45608</v>
      </c>
      <c r="C2518" s="2" t="s">
        <v>25</v>
      </c>
      <c r="D2518" s="2" t="s">
        <v>41</v>
      </c>
      <c r="E2518" s="2" t="s">
        <v>12</v>
      </c>
      <c r="F2518" s="2">
        <v>1607.2</v>
      </c>
      <c r="G2518" s="2">
        <v>443.88</v>
      </c>
      <c r="H2518" s="2" t="s">
        <v>28</v>
      </c>
      <c r="I2518" s="2" t="s">
        <v>29</v>
      </c>
    </row>
    <row r="2519" spans="1:9" x14ac:dyDescent="0.35">
      <c r="A2519" s="2" t="s">
        <v>2556</v>
      </c>
      <c r="B2519" s="3">
        <v>45315</v>
      </c>
      <c r="C2519" s="2" t="s">
        <v>16</v>
      </c>
      <c r="D2519" s="2" t="s">
        <v>57</v>
      </c>
      <c r="E2519" s="2" t="s">
        <v>27</v>
      </c>
      <c r="F2519" s="2">
        <v>1770.52</v>
      </c>
      <c r="G2519" s="2">
        <v>389.5</v>
      </c>
      <c r="H2519" s="2" t="s">
        <v>19</v>
      </c>
      <c r="I2519" s="2" t="s">
        <v>20</v>
      </c>
    </row>
    <row r="2520" spans="1:9" x14ac:dyDescent="0.35">
      <c r="A2520" s="2" t="s">
        <v>2557</v>
      </c>
      <c r="B2520" s="3">
        <v>45381</v>
      </c>
      <c r="C2520" s="2" t="s">
        <v>16</v>
      </c>
      <c r="D2520" s="2" t="s">
        <v>11</v>
      </c>
      <c r="E2520" s="2" t="s">
        <v>12</v>
      </c>
      <c r="F2520" s="2">
        <v>505.21</v>
      </c>
      <c r="G2520" s="2">
        <v>149.41</v>
      </c>
      <c r="H2520" s="2" t="s">
        <v>19</v>
      </c>
      <c r="I2520" s="2" t="s">
        <v>20</v>
      </c>
    </row>
    <row r="2521" spans="1:9" x14ac:dyDescent="0.35">
      <c r="A2521" s="2" t="s">
        <v>2558</v>
      </c>
      <c r="B2521" s="3">
        <v>44702</v>
      </c>
      <c r="C2521" s="2" t="s">
        <v>25</v>
      </c>
      <c r="D2521" s="2" t="s">
        <v>57</v>
      </c>
      <c r="E2521" s="2" t="s">
        <v>27</v>
      </c>
      <c r="F2521" s="2">
        <v>1398.85</v>
      </c>
      <c r="G2521" s="2">
        <v>310.94</v>
      </c>
      <c r="H2521" s="2" t="s">
        <v>19</v>
      </c>
      <c r="I2521" s="2" t="s">
        <v>34</v>
      </c>
    </row>
    <row r="2522" spans="1:9" x14ac:dyDescent="0.35">
      <c r="A2522" s="2" t="s">
        <v>2559</v>
      </c>
      <c r="B2522" s="3">
        <v>44676</v>
      </c>
      <c r="C2522" s="2" t="s">
        <v>22</v>
      </c>
      <c r="D2522" s="2" t="s">
        <v>46</v>
      </c>
      <c r="E2522" s="2" t="s">
        <v>18</v>
      </c>
      <c r="F2522" s="2">
        <v>418.73</v>
      </c>
      <c r="G2522" s="2">
        <v>51.46</v>
      </c>
      <c r="H2522" s="2" t="s">
        <v>19</v>
      </c>
      <c r="I2522" s="2" t="s">
        <v>14</v>
      </c>
    </row>
    <row r="2523" spans="1:9" x14ac:dyDescent="0.35">
      <c r="A2523" s="2" t="s">
        <v>2560</v>
      </c>
      <c r="B2523" s="3">
        <v>45539</v>
      </c>
      <c r="C2523" s="2" t="s">
        <v>22</v>
      </c>
      <c r="D2523" s="2" t="s">
        <v>57</v>
      </c>
      <c r="E2523" s="2" t="s">
        <v>27</v>
      </c>
      <c r="F2523" s="2">
        <v>1027.6500000000001</v>
      </c>
      <c r="G2523" s="2">
        <v>253.58</v>
      </c>
      <c r="H2523" s="2" t="s">
        <v>19</v>
      </c>
      <c r="I2523" s="2" t="s">
        <v>14</v>
      </c>
    </row>
    <row r="2524" spans="1:9" x14ac:dyDescent="0.35">
      <c r="A2524" s="2" t="s">
        <v>2562</v>
      </c>
      <c r="B2524" s="3">
        <v>45007</v>
      </c>
      <c r="C2524" s="2" t="s">
        <v>16</v>
      </c>
      <c r="D2524" s="2" t="s">
        <v>31</v>
      </c>
      <c r="E2524" s="2" t="s">
        <v>12</v>
      </c>
      <c r="F2524" s="2">
        <v>415.36</v>
      </c>
      <c r="G2524" s="2">
        <v>49.46</v>
      </c>
      <c r="H2524" s="2" t="s">
        <v>19</v>
      </c>
      <c r="I2524" s="2" t="s">
        <v>34</v>
      </c>
    </row>
    <row r="2525" spans="1:9" x14ac:dyDescent="0.35">
      <c r="A2525" s="2" t="s">
        <v>2563</v>
      </c>
      <c r="B2525" s="3">
        <v>44998</v>
      </c>
      <c r="C2525" s="2" t="s">
        <v>25</v>
      </c>
      <c r="D2525" s="2" t="s">
        <v>23</v>
      </c>
      <c r="E2525" s="2" t="s">
        <v>18</v>
      </c>
      <c r="F2525" s="2">
        <v>433.88</v>
      </c>
      <c r="G2525" s="2">
        <v>38.85</v>
      </c>
      <c r="H2525" s="2" t="s">
        <v>19</v>
      </c>
      <c r="I2525" s="2" t="s">
        <v>20</v>
      </c>
    </row>
    <row r="2526" spans="1:9" x14ac:dyDescent="0.35">
      <c r="A2526" s="2" t="s">
        <v>2564</v>
      </c>
      <c r="B2526" s="3">
        <v>44895</v>
      </c>
      <c r="C2526" s="2" t="s">
        <v>16</v>
      </c>
      <c r="D2526" s="2" t="s">
        <v>31</v>
      </c>
      <c r="E2526" s="2" t="s">
        <v>12</v>
      </c>
      <c r="F2526" s="2">
        <v>661.4</v>
      </c>
      <c r="G2526" s="2">
        <v>93.98</v>
      </c>
      <c r="H2526" s="2" t="s">
        <v>13</v>
      </c>
      <c r="I2526" s="2" t="s">
        <v>20</v>
      </c>
    </row>
    <row r="2527" spans="1:9" x14ac:dyDescent="0.35">
      <c r="A2527" s="2" t="s">
        <v>2565</v>
      </c>
      <c r="B2527" s="3">
        <v>44736</v>
      </c>
      <c r="C2527" s="2" t="s">
        <v>16</v>
      </c>
      <c r="D2527" s="2" t="s">
        <v>95</v>
      </c>
      <c r="E2527" s="2" t="s">
        <v>18</v>
      </c>
      <c r="F2527" s="2">
        <v>917.74</v>
      </c>
      <c r="G2527" s="2">
        <v>220.89</v>
      </c>
      <c r="H2527" s="2" t="s">
        <v>28</v>
      </c>
      <c r="I2527" s="2" t="s">
        <v>20</v>
      </c>
    </row>
    <row r="2528" spans="1:9" x14ac:dyDescent="0.35">
      <c r="A2528" s="2" t="s">
        <v>2566</v>
      </c>
      <c r="B2528" s="3">
        <v>44690</v>
      </c>
      <c r="C2528" s="2" t="s">
        <v>16</v>
      </c>
      <c r="D2528" s="2" t="s">
        <v>38</v>
      </c>
      <c r="E2528" s="2" t="s">
        <v>12</v>
      </c>
      <c r="F2528" s="2">
        <v>561.49</v>
      </c>
      <c r="G2528" s="2">
        <v>120.68</v>
      </c>
      <c r="H2528" s="2" t="s">
        <v>28</v>
      </c>
      <c r="I2528" s="2" t="s">
        <v>20</v>
      </c>
    </row>
    <row r="2529" spans="1:9" x14ac:dyDescent="0.35">
      <c r="A2529" s="2" t="s">
        <v>2567</v>
      </c>
      <c r="B2529" s="3">
        <v>45463</v>
      </c>
      <c r="C2529" s="2" t="s">
        <v>10</v>
      </c>
      <c r="D2529" s="2" t="s">
        <v>50</v>
      </c>
      <c r="E2529" s="2" t="s">
        <v>12</v>
      </c>
      <c r="F2529" s="2">
        <v>1970.25</v>
      </c>
      <c r="G2529" s="2">
        <v>277.35000000000002</v>
      </c>
      <c r="H2529" s="2" t="s">
        <v>28</v>
      </c>
      <c r="I2529" s="2" t="s">
        <v>29</v>
      </c>
    </row>
    <row r="2530" spans="1:9" x14ac:dyDescent="0.35">
      <c r="A2530" s="2" t="s">
        <v>2568</v>
      </c>
      <c r="B2530" s="3">
        <v>45642</v>
      </c>
      <c r="C2530" s="2" t="s">
        <v>16</v>
      </c>
      <c r="D2530" s="2" t="s">
        <v>33</v>
      </c>
      <c r="E2530" s="2" t="s">
        <v>18</v>
      </c>
      <c r="F2530" s="2">
        <v>159.55000000000001</v>
      </c>
      <c r="G2530" s="2">
        <v>45.65</v>
      </c>
      <c r="H2530" s="2" t="s">
        <v>19</v>
      </c>
      <c r="I2530" s="2" t="s">
        <v>14</v>
      </c>
    </row>
    <row r="2531" spans="1:9" x14ac:dyDescent="0.35">
      <c r="A2531" s="2" t="s">
        <v>2569</v>
      </c>
      <c r="B2531" s="3">
        <v>45067</v>
      </c>
      <c r="C2531" s="2" t="s">
        <v>25</v>
      </c>
      <c r="D2531" s="2" t="s">
        <v>31</v>
      </c>
      <c r="E2531" s="2" t="s">
        <v>12</v>
      </c>
      <c r="F2531" s="2">
        <v>683.58</v>
      </c>
      <c r="G2531" s="2">
        <v>90.92</v>
      </c>
      <c r="H2531" s="2" t="s">
        <v>13</v>
      </c>
      <c r="I2531" s="2" t="s">
        <v>20</v>
      </c>
    </row>
    <row r="2532" spans="1:9" x14ac:dyDescent="0.35">
      <c r="A2532" s="2" t="s">
        <v>2570</v>
      </c>
      <c r="B2532" s="3">
        <v>44762</v>
      </c>
      <c r="C2532" s="2" t="s">
        <v>22</v>
      </c>
      <c r="D2532" s="2" t="s">
        <v>38</v>
      </c>
      <c r="E2532" s="2" t="s">
        <v>12</v>
      </c>
      <c r="F2532" s="2">
        <v>1801.63</v>
      </c>
      <c r="G2532" s="2">
        <v>234.97</v>
      </c>
      <c r="H2532" s="2" t="s">
        <v>13</v>
      </c>
      <c r="I2532" s="2" t="s">
        <v>20</v>
      </c>
    </row>
    <row r="2533" spans="1:9" x14ac:dyDescent="0.35">
      <c r="A2533" s="2" t="s">
        <v>2571</v>
      </c>
      <c r="B2533" s="3">
        <v>45537</v>
      </c>
      <c r="C2533" s="2" t="s">
        <v>10</v>
      </c>
      <c r="D2533" s="2" t="s">
        <v>73</v>
      </c>
      <c r="E2533" s="2" t="s">
        <v>27</v>
      </c>
      <c r="F2533" s="2">
        <v>1823.62</v>
      </c>
      <c r="G2533" s="2">
        <v>127.64</v>
      </c>
      <c r="H2533" s="2" t="s">
        <v>19</v>
      </c>
      <c r="I2533" s="2" t="s">
        <v>20</v>
      </c>
    </row>
    <row r="2534" spans="1:9" x14ac:dyDescent="0.35">
      <c r="A2534" s="2" t="s">
        <v>2572</v>
      </c>
      <c r="B2534" s="3">
        <v>45567</v>
      </c>
      <c r="C2534" s="2" t="s">
        <v>22</v>
      </c>
      <c r="D2534" s="2" t="s">
        <v>26</v>
      </c>
      <c r="E2534" s="2" t="s">
        <v>27</v>
      </c>
      <c r="F2534" s="2">
        <v>149.81</v>
      </c>
      <c r="G2534" s="2">
        <v>20.04</v>
      </c>
      <c r="H2534" s="2" t="s">
        <v>19</v>
      </c>
      <c r="I2534" s="2" t="s">
        <v>29</v>
      </c>
    </row>
    <row r="2535" spans="1:9" x14ac:dyDescent="0.35">
      <c r="A2535" s="2" t="s">
        <v>2573</v>
      </c>
      <c r="B2535" s="3">
        <v>44958</v>
      </c>
      <c r="C2535" s="2" t="s">
        <v>16</v>
      </c>
      <c r="D2535" s="2" t="s">
        <v>57</v>
      </c>
      <c r="E2535" s="2" t="s">
        <v>27</v>
      </c>
      <c r="F2535" s="2">
        <v>1270.8</v>
      </c>
      <c r="G2535" s="2">
        <v>320.41000000000003</v>
      </c>
      <c r="H2535" s="2" t="s">
        <v>13</v>
      </c>
      <c r="I2535" s="2" t="s">
        <v>34</v>
      </c>
    </row>
    <row r="2536" spans="1:9" x14ac:dyDescent="0.35">
      <c r="A2536" s="2" t="s">
        <v>2574</v>
      </c>
      <c r="B2536" s="3">
        <v>44739</v>
      </c>
      <c r="C2536" s="2" t="s">
        <v>10</v>
      </c>
      <c r="D2536" s="2" t="s">
        <v>31</v>
      </c>
      <c r="E2536" s="2" t="s">
        <v>12</v>
      </c>
      <c r="F2536" s="2">
        <v>892.47</v>
      </c>
      <c r="G2536" s="2">
        <v>133.38999999999999</v>
      </c>
      <c r="H2536" s="2" t="s">
        <v>13</v>
      </c>
      <c r="I2536" s="2" t="s">
        <v>29</v>
      </c>
    </row>
    <row r="2537" spans="1:9" x14ac:dyDescent="0.35">
      <c r="A2537" s="2" t="s">
        <v>2575</v>
      </c>
      <c r="B2537" s="3">
        <v>44833</v>
      </c>
      <c r="C2537" s="2" t="s">
        <v>10</v>
      </c>
      <c r="D2537" s="2" t="s">
        <v>17</v>
      </c>
      <c r="E2537" s="2" t="s">
        <v>18</v>
      </c>
      <c r="F2537" s="2">
        <v>1379.43</v>
      </c>
      <c r="G2537" s="2">
        <v>152.02000000000001</v>
      </c>
      <c r="H2537" s="2" t="s">
        <v>13</v>
      </c>
      <c r="I2537" s="2" t="s">
        <v>20</v>
      </c>
    </row>
    <row r="2538" spans="1:9" x14ac:dyDescent="0.35">
      <c r="A2538" s="2" t="s">
        <v>2576</v>
      </c>
      <c r="B2538" s="3">
        <v>44809</v>
      </c>
      <c r="C2538" s="2" t="s">
        <v>10</v>
      </c>
      <c r="D2538" s="2" t="s">
        <v>57</v>
      </c>
      <c r="E2538" s="2" t="s">
        <v>27</v>
      </c>
      <c r="F2538" s="2">
        <v>998.81</v>
      </c>
      <c r="G2538" s="2">
        <v>206.28</v>
      </c>
      <c r="H2538" s="2" t="s">
        <v>13</v>
      </c>
      <c r="I2538" s="2" t="s">
        <v>34</v>
      </c>
    </row>
    <row r="2539" spans="1:9" x14ac:dyDescent="0.35">
      <c r="A2539" s="2" t="s">
        <v>2577</v>
      </c>
      <c r="B2539" s="3">
        <v>45473</v>
      </c>
      <c r="C2539" s="2" t="s">
        <v>22</v>
      </c>
      <c r="D2539" s="2" t="s">
        <v>11</v>
      </c>
      <c r="E2539" s="2" t="s">
        <v>12</v>
      </c>
      <c r="F2539" s="2">
        <v>1389.78</v>
      </c>
      <c r="G2539" s="2">
        <v>143.9</v>
      </c>
      <c r="H2539" s="2" t="s">
        <v>13</v>
      </c>
      <c r="I2539" s="2" t="s">
        <v>29</v>
      </c>
    </row>
    <row r="2540" spans="1:9" x14ac:dyDescent="0.35">
      <c r="A2540" s="2" t="s">
        <v>2578</v>
      </c>
      <c r="B2540" s="3">
        <v>45525</v>
      </c>
      <c r="C2540" s="2" t="s">
        <v>16</v>
      </c>
      <c r="D2540" s="2" t="s">
        <v>38</v>
      </c>
      <c r="E2540" s="2" t="s">
        <v>12</v>
      </c>
      <c r="F2540" s="2">
        <v>901.7</v>
      </c>
      <c r="G2540" s="2">
        <v>149.83000000000001</v>
      </c>
      <c r="H2540" s="2" t="s">
        <v>28</v>
      </c>
      <c r="I2540" s="2" t="s">
        <v>20</v>
      </c>
    </row>
    <row r="2541" spans="1:9" x14ac:dyDescent="0.35">
      <c r="A2541" s="2" t="s">
        <v>2579</v>
      </c>
      <c r="B2541" s="3">
        <v>44841</v>
      </c>
      <c r="C2541" s="2" t="s">
        <v>16</v>
      </c>
      <c r="D2541" s="2" t="s">
        <v>17</v>
      </c>
      <c r="E2541" s="2" t="s">
        <v>18</v>
      </c>
      <c r="F2541" s="2">
        <v>1149.48</v>
      </c>
      <c r="G2541" s="2">
        <v>306.62</v>
      </c>
      <c r="H2541" s="2" t="s">
        <v>13</v>
      </c>
      <c r="I2541" s="2" t="s">
        <v>34</v>
      </c>
    </row>
    <row r="2542" spans="1:9" x14ac:dyDescent="0.35">
      <c r="A2542" s="2" t="s">
        <v>2580</v>
      </c>
      <c r="B2542" s="3">
        <v>45150</v>
      </c>
      <c r="C2542" s="2" t="s">
        <v>25</v>
      </c>
      <c r="D2542" s="2" t="s">
        <v>57</v>
      </c>
      <c r="E2542" s="2" t="s">
        <v>27</v>
      </c>
      <c r="F2542" s="2">
        <v>962.92</v>
      </c>
      <c r="G2542" s="2">
        <v>48.85</v>
      </c>
      <c r="H2542" s="2" t="s">
        <v>13</v>
      </c>
      <c r="I2542" s="2" t="s">
        <v>14</v>
      </c>
    </row>
    <row r="2543" spans="1:9" x14ac:dyDescent="0.35">
      <c r="A2543" s="2" t="s">
        <v>2581</v>
      </c>
      <c r="B2543" s="3">
        <v>44868</v>
      </c>
      <c r="C2543" s="2" t="s">
        <v>22</v>
      </c>
      <c r="D2543" s="2" t="s">
        <v>11</v>
      </c>
      <c r="E2543" s="2" t="s">
        <v>12</v>
      </c>
      <c r="F2543" s="2">
        <v>53.31</v>
      </c>
      <c r="G2543" s="2">
        <v>6.78</v>
      </c>
      <c r="H2543" s="2" t="s">
        <v>19</v>
      </c>
      <c r="I2543" s="2" t="s">
        <v>20</v>
      </c>
    </row>
    <row r="2544" spans="1:9" x14ac:dyDescent="0.35">
      <c r="A2544" s="2" t="s">
        <v>2582</v>
      </c>
      <c r="B2544" s="3">
        <v>44865</v>
      </c>
      <c r="C2544" s="2" t="s">
        <v>22</v>
      </c>
      <c r="D2544" s="2" t="s">
        <v>17</v>
      </c>
      <c r="E2544" s="2" t="s">
        <v>18</v>
      </c>
      <c r="F2544" s="2">
        <v>851.83</v>
      </c>
      <c r="G2544" s="2">
        <v>170.41</v>
      </c>
      <c r="H2544" s="2" t="s">
        <v>13</v>
      </c>
      <c r="I2544" s="2" t="s">
        <v>29</v>
      </c>
    </row>
    <row r="2545" spans="1:9" x14ac:dyDescent="0.35">
      <c r="A2545" s="2" t="s">
        <v>2583</v>
      </c>
      <c r="B2545" s="3">
        <v>45052</v>
      </c>
      <c r="C2545" s="2" t="s">
        <v>25</v>
      </c>
      <c r="D2545" s="2" t="s">
        <v>17</v>
      </c>
      <c r="E2545" s="2" t="s">
        <v>18</v>
      </c>
      <c r="F2545" s="2">
        <v>1643.23</v>
      </c>
      <c r="G2545" s="2">
        <v>116.88</v>
      </c>
      <c r="H2545" s="2" t="s">
        <v>28</v>
      </c>
      <c r="I2545" s="2" t="s">
        <v>20</v>
      </c>
    </row>
    <row r="2546" spans="1:9" x14ac:dyDescent="0.35">
      <c r="A2546" s="2" t="s">
        <v>2584</v>
      </c>
      <c r="B2546" s="3">
        <v>45262</v>
      </c>
      <c r="C2546" s="2" t="s">
        <v>25</v>
      </c>
      <c r="D2546" s="2" t="s">
        <v>38</v>
      </c>
      <c r="E2546" s="2" t="s">
        <v>12</v>
      </c>
      <c r="F2546" s="2">
        <v>1910.67</v>
      </c>
      <c r="G2546" s="2">
        <v>343.17</v>
      </c>
      <c r="H2546" s="2" t="s">
        <v>13</v>
      </c>
      <c r="I2546" s="2" t="s">
        <v>20</v>
      </c>
    </row>
    <row r="2547" spans="1:9" x14ac:dyDescent="0.35">
      <c r="A2547" s="2" t="s">
        <v>2585</v>
      </c>
      <c r="B2547" s="3">
        <v>44633</v>
      </c>
      <c r="C2547" s="2" t="s">
        <v>22</v>
      </c>
      <c r="D2547" s="2" t="s">
        <v>33</v>
      </c>
      <c r="E2547" s="2" t="s">
        <v>18</v>
      </c>
      <c r="F2547" s="2">
        <v>1089.69</v>
      </c>
      <c r="G2547" s="2">
        <v>316.2</v>
      </c>
      <c r="H2547" s="2" t="s">
        <v>19</v>
      </c>
      <c r="I2547" s="2" t="s">
        <v>14</v>
      </c>
    </row>
    <row r="2548" spans="1:9" x14ac:dyDescent="0.35">
      <c r="A2548" s="2" t="s">
        <v>2586</v>
      </c>
      <c r="B2548" s="3">
        <v>44725</v>
      </c>
      <c r="C2548" s="2" t="s">
        <v>10</v>
      </c>
      <c r="D2548" s="2" t="s">
        <v>73</v>
      </c>
      <c r="E2548" s="2" t="s">
        <v>27</v>
      </c>
      <c r="F2548" s="2">
        <v>1701.87</v>
      </c>
      <c r="G2548" s="2">
        <v>101.46</v>
      </c>
      <c r="H2548" s="2" t="s">
        <v>13</v>
      </c>
      <c r="I2548" s="2" t="s">
        <v>29</v>
      </c>
    </row>
    <row r="2549" spans="1:9" x14ac:dyDescent="0.35">
      <c r="A2549" s="2" t="s">
        <v>2587</v>
      </c>
      <c r="B2549" s="3">
        <v>44852</v>
      </c>
      <c r="C2549" s="2" t="s">
        <v>22</v>
      </c>
      <c r="D2549" s="2" t="s">
        <v>95</v>
      </c>
      <c r="E2549" s="2" t="s">
        <v>18</v>
      </c>
      <c r="F2549" s="2">
        <v>475.01</v>
      </c>
      <c r="G2549" s="2">
        <v>140.66</v>
      </c>
      <c r="H2549" s="2" t="s">
        <v>13</v>
      </c>
      <c r="I2549" s="2" t="s">
        <v>14</v>
      </c>
    </row>
    <row r="2550" spans="1:9" x14ac:dyDescent="0.35">
      <c r="A2550" s="2" t="s">
        <v>2588</v>
      </c>
      <c r="B2550" s="3">
        <v>45218</v>
      </c>
      <c r="C2550" s="2" t="s">
        <v>22</v>
      </c>
      <c r="D2550" s="2" t="s">
        <v>62</v>
      </c>
      <c r="E2550" s="2" t="s">
        <v>27</v>
      </c>
      <c r="F2550" s="2">
        <v>1835.27</v>
      </c>
      <c r="G2550" s="2">
        <v>512.86</v>
      </c>
      <c r="H2550" s="2" t="s">
        <v>19</v>
      </c>
      <c r="I2550" s="2" t="s">
        <v>14</v>
      </c>
    </row>
    <row r="2551" spans="1:9" x14ac:dyDescent="0.35">
      <c r="A2551" s="2" t="s">
        <v>2589</v>
      </c>
      <c r="B2551" s="3">
        <v>44639</v>
      </c>
      <c r="C2551" s="2" t="s">
        <v>10</v>
      </c>
      <c r="D2551" s="2" t="s">
        <v>50</v>
      </c>
      <c r="E2551" s="2" t="s">
        <v>12</v>
      </c>
      <c r="F2551" s="2">
        <v>680</v>
      </c>
      <c r="G2551" s="2">
        <v>183.16</v>
      </c>
      <c r="H2551" s="2" t="s">
        <v>19</v>
      </c>
      <c r="I2551" s="2" t="s">
        <v>29</v>
      </c>
    </row>
    <row r="2552" spans="1:9" x14ac:dyDescent="0.35">
      <c r="A2552" s="2" t="s">
        <v>2590</v>
      </c>
      <c r="B2552" s="3">
        <v>44567</v>
      </c>
      <c r="C2552" s="2" t="s">
        <v>25</v>
      </c>
      <c r="D2552" s="2" t="s">
        <v>17</v>
      </c>
      <c r="E2552" s="2" t="s">
        <v>18</v>
      </c>
      <c r="F2552" s="2">
        <v>1709.54</v>
      </c>
      <c r="G2552" s="2">
        <v>440.03</v>
      </c>
      <c r="H2552" s="2" t="s">
        <v>19</v>
      </c>
      <c r="I2552" s="2" t="s">
        <v>20</v>
      </c>
    </row>
    <row r="2553" spans="1:9" x14ac:dyDescent="0.35">
      <c r="A2553" s="2" t="s">
        <v>2591</v>
      </c>
      <c r="B2553" s="3">
        <v>45415</v>
      </c>
      <c r="C2553" s="2" t="s">
        <v>10</v>
      </c>
      <c r="D2553" s="2" t="s">
        <v>26</v>
      </c>
      <c r="E2553" s="2" t="s">
        <v>27</v>
      </c>
      <c r="F2553" s="2">
        <v>1710.2</v>
      </c>
      <c r="G2553" s="2">
        <v>316.14999999999998</v>
      </c>
      <c r="H2553" s="2" t="s">
        <v>13</v>
      </c>
      <c r="I2553" s="2" t="s">
        <v>29</v>
      </c>
    </row>
    <row r="2554" spans="1:9" x14ac:dyDescent="0.35">
      <c r="A2554" s="2" t="s">
        <v>2592</v>
      </c>
      <c r="B2554" s="3">
        <v>45614</v>
      </c>
      <c r="C2554" s="2" t="s">
        <v>10</v>
      </c>
      <c r="D2554" s="2" t="s">
        <v>26</v>
      </c>
      <c r="E2554" s="2" t="s">
        <v>27</v>
      </c>
      <c r="F2554" s="2">
        <v>1965.78</v>
      </c>
      <c r="G2554" s="2">
        <v>567.62</v>
      </c>
      <c r="H2554" s="2" t="s">
        <v>19</v>
      </c>
      <c r="I2554" s="2" t="s">
        <v>29</v>
      </c>
    </row>
    <row r="2555" spans="1:9" x14ac:dyDescent="0.35">
      <c r="A2555" s="2" t="s">
        <v>2593</v>
      </c>
      <c r="B2555" s="3">
        <v>44990</v>
      </c>
      <c r="C2555" s="2" t="s">
        <v>16</v>
      </c>
      <c r="D2555" s="2" t="s">
        <v>26</v>
      </c>
      <c r="E2555" s="2" t="s">
        <v>27</v>
      </c>
      <c r="F2555" s="2">
        <v>1605.3</v>
      </c>
      <c r="G2555" s="2">
        <v>367.71</v>
      </c>
      <c r="H2555" s="2" t="s">
        <v>19</v>
      </c>
      <c r="I2555" s="2" t="s">
        <v>34</v>
      </c>
    </row>
    <row r="2556" spans="1:9" x14ac:dyDescent="0.35">
      <c r="A2556" s="2" t="s">
        <v>2594</v>
      </c>
      <c r="B2556" s="3">
        <v>44672</v>
      </c>
      <c r="C2556" s="2" t="s">
        <v>22</v>
      </c>
      <c r="D2556" s="2" t="s">
        <v>17</v>
      </c>
      <c r="E2556" s="2" t="s">
        <v>18</v>
      </c>
      <c r="F2556" s="2">
        <v>283.99</v>
      </c>
      <c r="G2556" s="2">
        <v>48.06</v>
      </c>
      <c r="H2556" s="2" t="s">
        <v>13</v>
      </c>
      <c r="I2556" s="2" t="s">
        <v>14</v>
      </c>
    </row>
    <row r="2557" spans="1:9" x14ac:dyDescent="0.35">
      <c r="A2557" s="2" t="s">
        <v>2595</v>
      </c>
      <c r="B2557" s="3">
        <v>45330</v>
      </c>
      <c r="C2557" s="2" t="s">
        <v>16</v>
      </c>
      <c r="D2557" s="2" t="s">
        <v>62</v>
      </c>
      <c r="E2557" s="2" t="s">
        <v>27</v>
      </c>
      <c r="F2557" s="2">
        <v>366.45</v>
      </c>
      <c r="G2557" s="2">
        <v>72.72</v>
      </c>
      <c r="H2557" s="2" t="s">
        <v>28</v>
      </c>
      <c r="I2557" s="2" t="s">
        <v>34</v>
      </c>
    </row>
    <row r="2558" spans="1:9" x14ac:dyDescent="0.35">
      <c r="A2558" s="2" t="s">
        <v>2596</v>
      </c>
      <c r="B2558" s="3">
        <v>44857</v>
      </c>
      <c r="C2558" s="2" t="s">
        <v>25</v>
      </c>
      <c r="D2558" s="2" t="s">
        <v>38</v>
      </c>
      <c r="E2558" s="2" t="s">
        <v>12</v>
      </c>
      <c r="F2558" s="2">
        <v>1627</v>
      </c>
      <c r="G2558" s="2">
        <v>421.7</v>
      </c>
      <c r="H2558" s="2" t="s">
        <v>13</v>
      </c>
      <c r="I2558" s="2" t="s">
        <v>20</v>
      </c>
    </row>
    <row r="2559" spans="1:9" x14ac:dyDescent="0.35">
      <c r="A2559" s="2" t="s">
        <v>2597</v>
      </c>
      <c r="B2559" s="3">
        <v>44715</v>
      </c>
      <c r="C2559" s="2" t="s">
        <v>10</v>
      </c>
      <c r="D2559" s="2" t="s">
        <v>41</v>
      </c>
      <c r="E2559" s="2" t="s">
        <v>12</v>
      </c>
      <c r="F2559" s="2">
        <v>226.06</v>
      </c>
      <c r="G2559" s="2">
        <v>12.75</v>
      </c>
      <c r="H2559" s="2" t="s">
        <v>28</v>
      </c>
      <c r="I2559" s="2" t="s">
        <v>34</v>
      </c>
    </row>
    <row r="2560" spans="1:9" x14ac:dyDescent="0.35">
      <c r="A2560" s="2" t="s">
        <v>2598</v>
      </c>
      <c r="B2560" s="3">
        <v>45646</v>
      </c>
      <c r="C2560" s="2" t="s">
        <v>16</v>
      </c>
      <c r="D2560" s="2" t="s">
        <v>73</v>
      </c>
      <c r="E2560" s="2" t="s">
        <v>27</v>
      </c>
      <c r="F2560" s="2">
        <v>250.2</v>
      </c>
      <c r="G2560" s="2">
        <v>39.36</v>
      </c>
      <c r="H2560" s="2" t="s">
        <v>19</v>
      </c>
      <c r="I2560" s="2" t="s">
        <v>29</v>
      </c>
    </row>
    <row r="2561" spans="1:9" x14ac:dyDescent="0.35">
      <c r="A2561" s="2" t="s">
        <v>2599</v>
      </c>
      <c r="B2561" s="3">
        <v>44890</v>
      </c>
      <c r="C2561" s="2" t="s">
        <v>25</v>
      </c>
      <c r="D2561" s="2" t="s">
        <v>31</v>
      </c>
      <c r="E2561" s="2" t="s">
        <v>12</v>
      </c>
      <c r="F2561" s="2">
        <v>705.79</v>
      </c>
      <c r="G2561" s="2">
        <v>74.05</v>
      </c>
      <c r="H2561" s="2" t="s">
        <v>19</v>
      </c>
      <c r="I2561" s="2" t="s">
        <v>34</v>
      </c>
    </row>
    <row r="2562" spans="1:9" x14ac:dyDescent="0.35">
      <c r="A2562" s="2" t="s">
        <v>2600</v>
      </c>
      <c r="B2562" s="3">
        <v>45502</v>
      </c>
      <c r="C2562" s="2" t="s">
        <v>25</v>
      </c>
      <c r="D2562" s="2" t="s">
        <v>17</v>
      </c>
      <c r="E2562" s="2" t="s">
        <v>18</v>
      </c>
      <c r="F2562" s="2">
        <v>806.43</v>
      </c>
      <c r="G2562" s="2">
        <v>214.63</v>
      </c>
      <c r="H2562" s="2" t="s">
        <v>13</v>
      </c>
      <c r="I2562" s="2" t="s">
        <v>29</v>
      </c>
    </row>
    <row r="2563" spans="1:9" x14ac:dyDescent="0.35">
      <c r="A2563" s="2" t="s">
        <v>2601</v>
      </c>
      <c r="B2563" s="3">
        <v>45428</v>
      </c>
      <c r="C2563" s="2" t="s">
        <v>25</v>
      </c>
      <c r="D2563" s="2" t="s">
        <v>97</v>
      </c>
      <c r="E2563" s="2" t="s">
        <v>27</v>
      </c>
      <c r="F2563" s="2">
        <v>1902.11</v>
      </c>
      <c r="G2563" s="2">
        <v>308.11</v>
      </c>
      <c r="H2563" s="2" t="s">
        <v>13</v>
      </c>
      <c r="I2563" s="2" t="s">
        <v>34</v>
      </c>
    </row>
    <row r="2564" spans="1:9" x14ac:dyDescent="0.35">
      <c r="A2564" s="2" t="s">
        <v>2602</v>
      </c>
      <c r="B2564" s="3">
        <v>44586</v>
      </c>
      <c r="C2564" s="2" t="s">
        <v>25</v>
      </c>
      <c r="D2564" s="2" t="s">
        <v>73</v>
      </c>
      <c r="E2564" s="2" t="s">
        <v>27</v>
      </c>
      <c r="F2564" s="2">
        <v>1458.51</v>
      </c>
      <c r="G2564" s="2">
        <v>146.12</v>
      </c>
      <c r="H2564" s="2" t="s">
        <v>19</v>
      </c>
      <c r="I2564" s="2" t="s">
        <v>34</v>
      </c>
    </row>
    <row r="2565" spans="1:9" x14ac:dyDescent="0.35">
      <c r="A2565" s="2" t="s">
        <v>2603</v>
      </c>
      <c r="B2565" s="3">
        <v>45185</v>
      </c>
      <c r="C2565" s="2" t="s">
        <v>10</v>
      </c>
      <c r="D2565" s="2" t="s">
        <v>41</v>
      </c>
      <c r="E2565" s="2" t="s">
        <v>12</v>
      </c>
      <c r="F2565" s="2">
        <v>780.11</v>
      </c>
      <c r="G2565" s="2">
        <v>92.03</v>
      </c>
      <c r="H2565" s="2" t="s">
        <v>19</v>
      </c>
      <c r="I2565" s="2" t="s">
        <v>34</v>
      </c>
    </row>
    <row r="2566" spans="1:9" x14ac:dyDescent="0.35">
      <c r="A2566" s="2" t="s">
        <v>2604</v>
      </c>
      <c r="B2566" s="3">
        <v>44652</v>
      </c>
      <c r="C2566" s="2" t="s">
        <v>10</v>
      </c>
      <c r="D2566" s="2" t="s">
        <v>17</v>
      </c>
      <c r="E2566" s="2" t="s">
        <v>18</v>
      </c>
      <c r="F2566" s="2">
        <v>835.58</v>
      </c>
      <c r="G2566" s="2">
        <v>181.4</v>
      </c>
      <c r="H2566" s="2" t="s">
        <v>28</v>
      </c>
      <c r="I2566" s="2" t="s">
        <v>20</v>
      </c>
    </row>
    <row r="2567" spans="1:9" x14ac:dyDescent="0.35">
      <c r="A2567" s="2" t="s">
        <v>2605</v>
      </c>
      <c r="B2567" s="3">
        <v>44640</v>
      </c>
      <c r="C2567" s="2" t="s">
        <v>10</v>
      </c>
      <c r="D2567" s="2" t="s">
        <v>23</v>
      </c>
      <c r="E2567" s="2" t="s">
        <v>18</v>
      </c>
      <c r="F2567" s="2">
        <v>745.79</v>
      </c>
      <c r="G2567" s="2">
        <v>101.01</v>
      </c>
      <c r="H2567" s="2" t="s">
        <v>13</v>
      </c>
      <c r="I2567" s="2" t="s">
        <v>29</v>
      </c>
    </row>
    <row r="2568" spans="1:9" x14ac:dyDescent="0.35">
      <c r="A2568" s="2" t="s">
        <v>2606</v>
      </c>
      <c r="B2568" s="3">
        <v>45132</v>
      </c>
      <c r="C2568" s="2" t="s">
        <v>10</v>
      </c>
      <c r="D2568" s="2" t="s">
        <v>17</v>
      </c>
      <c r="E2568" s="2" t="s">
        <v>18</v>
      </c>
      <c r="F2568" s="2">
        <v>1117.25</v>
      </c>
      <c r="G2568" s="2">
        <v>214.29</v>
      </c>
      <c r="H2568" s="2" t="s">
        <v>28</v>
      </c>
      <c r="I2568" s="2" t="s">
        <v>29</v>
      </c>
    </row>
    <row r="2569" spans="1:9" x14ac:dyDescent="0.35">
      <c r="A2569" s="2" t="s">
        <v>2607</v>
      </c>
      <c r="B2569" s="3">
        <v>44896</v>
      </c>
      <c r="C2569" s="2" t="s">
        <v>22</v>
      </c>
      <c r="D2569" s="2" t="s">
        <v>62</v>
      </c>
      <c r="E2569" s="2" t="s">
        <v>27</v>
      </c>
      <c r="F2569" s="2">
        <v>246.76</v>
      </c>
      <c r="G2569" s="2">
        <v>60.38</v>
      </c>
      <c r="H2569" s="2" t="s">
        <v>13</v>
      </c>
      <c r="I2569" s="2" t="s">
        <v>34</v>
      </c>
    </row>
    <row r="2570" spans="1:9" x14ac:dyDescent="0.35">
      <c r="A2570" s="2" t="s">
        <v>2608</v>
      </c>
      <c r="B2570" s="3">
        <v>44851</v>
      </c>
      <c r="C2570" s="2" t="s">
        <v>22</v>
      </c>
      <c r="D2570" s="2" t="s">
        <v>11</v>
      </c>
      <c r="E2570" s="2" t="s">
        <v>12</v>
      </c>
      <c r="F2570" s="2">
        <v>1622.26</v>
      </c>
      <c r="G2570" s="2">
        <v>311.16000000000003</v>
      </c>
      <c r="H2570" s="2" t="s">
        <v>28</v>
      </c>
      <c r="I2570" s="2" t="s">
        <v>20</v>
      </c>
    </row>
    <row r="2571" spans="1:9" x14ac:dyDescent="0.35">
      <c r="A2571" s="2" t="s">
        <v>2609</v>
      </c>
      <c r="B2571" s="3">
        <v>45174</v>
      </c>
      <c r="C2571" s="2" t="s">
        <v>16</v>
      </c>
      <c r="D2571" s="2" t="s">
        <v>26</v>
      </c>
      <c r="E2571" s="2" t="s">
        <v>27</v>
      </c>
      <c r="F2571" s="2">
        <v>639.41999999999996</v>
      </c>
      <c r="G2571" s="2">
        <v>143</v>
      </c>
      <c r="H2571" s="2" t="s">
        <v>28</v>
      </c>
      <c r="I2571" s="2" t="s">
        <v>14</v>
      </c>
    </row>
    <row r="2572" spans="1:9" x14ac:dyDescent="0.35">
      <c r="A2572" s="2" t="s">
        <v>2610</v>
      </c>
      <c r="B2572" s="3">
        <v>44909</v>
      </c>
      <c r="C2572" s="2" t="s">
        <v>10</v>
      </c>
      <c r="D2572" s="2" t="s">
        <v>26</v>
      </c>
      <c r="E2572" s="2" t="s">
        <v>27</v>
      </c>
      <c r="F2572" s="2">
        <v>817.96</v>
      </c>
      <c r="G2572" s="2">
        <v>189.76</v>
      </c>
      <c r="H2572" s="2" t="s">
        <v>13</v>
      </c>
      <c r="I2572" s="2" t="s">
        <v>14</v>
      </c>
    </row>
    <row r="2573" spans="1:9" x14ac:dyDescent="0.35">
      <c r="A2573" s="2" t="s">
        <v>2611</v>
      </c>
      <c r="B2573" s="3">
        <v>44932</v>
      </c>
      <c r="C2573" s="2" t="s">
        <v>16</v>
      </c>
      <c r="D2573" s="2" t="s">
        <v>50</v>
      </c>
      <c r="E2573" s="2" t="s">
        <v>12</v>
      </c>
      <c r="F2573" s="2">
        <v>811.14</v>
      </c>
      <c r="G2573" s="2">
        <v>85.42</v>
      </c>
      <c r="H2573" s="2" t="s">
        <v>19</v>
      </c>
      <c r="I2573" s="2" t="s">
        <v>34</v>
      </c>
    </row>
    <row r="2574" spans="1:9" x14ac:dyDescent="0.35">
      <c r="A2574" s="2" t="s">
        <v>2612</v>
      </c>
      <c r="B2574" s="3">
        <v>45610</v>
      </c>
      <c r="C2574" s="2" t="s">
        <v>25</v>
      </c>
      <c r="D2574" s="2" t="s">
        <v>46</v>
      </c>
      <c r="E2574" s="2" t="s">
        <v>18</v>
      </c>
      <c r="F2574" s="2">
        <v>613.75</v>
      </c>
      <c r="G2574" s="2">
        <v>174.46</v>
      </c>
      <c r="H2574" s="2" t="s">
        <v>19</v>
      </c>
      <c r="I2574" s="2" t="s">
        <v>34</v>
      </c>
    </row>
    <row r="2575" spans="1:9" x14ac:dyDescent="0.35">
      <c r="A2575" s="2" t="s">
        <v>2613</v>
      </c>
      <c r="B2575" s="3">
        <v>44673</v>
      </c>
      <c r="C2575" s="2" t="s">
        <v>16</v>
      </c>
      <c r="D2575" s="2" t="s">
        <v>26</v>
      </c>
      <c r="E2575" s="2" t="s">
        <v>27</v>
      </c>
      <c r="F2575" s="2">
        <v>1508.21</v>
      </c>
      <c r="G2575" s="2">
        <v>165.83</v>
      </c>
      <c r="H2575" s="2" t="s">
        <v>19</v>
      </c>
      <c r="I2575" s="2" t="s">
        <v>34</v>
      </c>
    </row>
    <row r="2576" spans="1:9" x14ac:dyDescent="0.35">
      <c r="A2576" s="2" t="s">
        <v>2614</v>
      </c>
      <c r="B2576" s="3">
        <v>45513</v>
      </c>
      <c r="C2576" s="2" t="s">
        <v>10</v>
      </c>
      <c r="D2576" s="2" t="s">
        <v>31</v>
      </c>
      <c r="E2576" s="2" t="s">
        <v>12</v>
      </c>
      <c r="F2576" s="2">
        <v>1207.71</v>
      </c>
      <c r="G2576" s="2">
        <v>209.3</v>
      </c>
      <c r="H2576" s="2" t="s">
        <v>19</v>
      </c>
      <c r="I2576" s="2" t="s">
        <v>34</v>
      </c>
    </row>
    <row r="2577" spans="1:9" x14ac:dyDescent="0.35">
      <c r="A2577" s="2" t="s">
        <v>2615</v>
      </c>
      <c r="B2577" s="3">
        <v>45150</v>
      </c>
      <c r="C2577" s="2" t="s">
        <v>10</v>
      </c>
      <c r="D2577" s="2" t="s">
        <v>26</v>
      </c>
      <c r="E2577" s="2" t="s">
        <v>27</v>
      </c>
      <c r="F2577" s="2">
        <v>507.24</v>
      </c>
      <c r="G2577" s="2">
        <v>40.19</v>
      </c>
      <c r="H2577" s="2" t="s">
        <v>19</v>
      </c>
      <c r="I2577" s="2" t="s">
        <v>34</v>
      </c>
    </row>
    <row r="2578" spans="1:9" x14ac:dyDescent="0.35">
      <c r="A2578" s="2" t="s">
        <v>2616</v>
      </c>
      <c r="B2578" s="3">
        <v>45394</v>
      </c>
      <c r="C2578" s="2" t="s">
        <v>16</v>
      </c>
      <c r="D2578" s="2" t="s">
        <v>95</v>
      </c>
      <c r="E2578" s="2" t="s">
        <v>18</v>
      </c>
      <c r="F2578" s="2">
        <v>1189.48</v>
      </c>
      <c r="G2578" s="2">
        <v>144.79</v>
      </c>
      <c r="H2578" s="2" t="s">
        <v>28</v>
      </c>
      <c r="I2578" s="2" t="s">
        <v>14</v>
      </c>
    </row>
    <row r="2579" spans="1:9" x14ac:dyDescent="0.35">
      <c r="A2579" s="2" t="s">
        <v>2617</v>
      </c>
      <c r="B2579" s="3">
        <v>44913</v>
      </c>
      <c r="C2579" s="2" t="s">
        <v>16</v>
      </c>
      <c r="D2579" s="2" t="s">
        <v>31</v>
      </c>
      <c r="E2579" s="2" t="s">
        <v>12</v>
      </c>
      <c r="F2579" s="2">
        <v>1790.35</v>
      </c>
      <c r="G2579" s="2">
        <v>402.68</v>
      </c>
      <c r="H2579" s="2" t="s">
        <v>28</v>
      </c>
      <c r="I2579" s="2" t="s">
        <v>29</v>
      </c>
    </row>
    <row r="2580" spans="1:9" x14ac:dyDescent="0.35">
      <c r="A2580" s="2" t="s">
        <v>2618</v>
      </c>
      <c r="B2580" s="3">
        <v>45021</v>
      </c>
      <c r="C2580" s="2" t="s">
        <v>25</v>
      </c>
      <c r="D2580" s="2" t="s">
        <v>26</v>
      </c>
      <c r="E2580" s="2" t="s">
        <v>27</v>
      </c>
      <c r="F2580" s="2">
        <v>79.680000000000007</v>
      </c>
      <c r="G2580" s="2">
        <v>23.36</v>
      </c>
      <c r="H2580" s="2" t="s">
        <v>19</v>
      </c>
      <c r="I2580" s="2" t="s">
        <v>20</v>
      </c>
    </row>
    <row r="2581" spans="1:9" x14ac:dyDescent="0.35">
      <c r="A2581" s="2" t="s">
        <v>2619</v>
      </c>
      <c r="B2581" s="3">
        <v>44780</v>
      </c>
      <c r="C2581" s="2" t="s">
        <v>10</v>
      </c>
      <c r="D2581" s="2" t="s">
        <v>97</v>
      </c>
      <c r="E2581" s="2" t="s">
        <v>27</v>
      </c>
      <c r="F2581" s="2">
        <v>1093.69</v>
      </c>
      <c r="G2581" s="2">
        <v>67.83</v>
      </c>
      <c r="H2581" s="2" t="s">
        <v>19</v>
      </c>
      <c r="I2581" s="2" t="s">
        <v>14</v>
      </c>
    </row>
    <row r="2582" spans="1:9" x14ac:dyDescent="0.35">
      <c r="A2582" s="2" t="s">
        <v>2620</v>
      </c>
      <c r="B2582" s="3">
        <v>44689</v>
      </c>
      <c r="C2582" s="2" t="s">
        <v>25</v>
      </c>
      <c r="D2582" s="2" t="s">
        <v>26</v>
      </c>
      <c r="E2582" s="2" t="s">
        <v>27</v>
      </c>
      <c r="F2582" s="2">
        <v>783.21</v>
      </c>
      <c r="G2582" s="2">
        <v>76.42</v>
      </c>
      <c r="H2582" s="2" t="s">
        <v>28</v>
      </c>
      <c r="I2582" s="2" t="s">
        <v>34</v>
      </c>
    </row>
    <row r="2583" spans="1:9" x14ac:dyDescent="0.35">
      <c r="A2583" s="2" t="s">
        <v>2621</v>
      </c>
      <c r="B2583" s="3">
        <v>44788</v>
      </c>
      <c r="C2583" s="2" t="s">
        <v>16</v>
      </c>
      <c r="D2583" s="2" t="s">
        <v>46</v>
      </c>
      <c r="E2583" s="2" t="s">
        <v>18</v>
      </c>
      <c r="F2583" s="2">
        <v>756.12</v>
      </c>
      <c r="G2583" s="2">
        <v>88.86</v>
      </c>
      <c r="H2583" s="2" t="s">
        <v>13</v>
      </c>
      <c r="I2583" s="2" t="s">
        <v>20</v>
      </c>
    </row>
    <row r="2584" spans="1:9" x14ac:dyDescent="0.35">
      <c r="A2584" s="2" t="s">
        <v>2622</v>
      </c>
      <c r="B2584" s="3">
        <v>45520</v>
      </c>
      <c r="C2584" s="2" t="s">
        <v>16</v>
      </c>
      <c r="D2584" s="2" t="s">
        <v>62</v>
      </c>
      <c r="E2584" s="2" t="s">
        <v>27</v>
      </c>
      <c r="F2584" s="2">
        <v>664.06</v>
      </c>
      <c r="G2584" s="2">
        <v>77.180000000000007</v>
      </c>
      <c r="H2584" s="2" t="s">
        <v>28</v>
      </c>
      <c r="I2584" s="2" t="s">
        <v>14</v>
      </c>
    </row>
    <row r="2585" spans="1:9" x14ac:dyDescent="0.35">
      <c r="A2585" s="2" t="s">
        <v>2623</v>
      </c>
      <c r="B2585" s="3">
        <v>45649</v>
      </c>
      <c r="C2585" s="2" t="s">
        <v>25</v>
      </c>
      <c r="D2585" s="2" t="s">
        <v>23</v>
      </c>
      <c r="E2585" s="2" t="s">
        <v>18</v>
      </c>
      <c r="F2585" s="2">
        <v>597.59</v>
      </c>
      <c r="G2585" s="2">
        <v>134.85</v>
      </c>
      <c r="H2585" s="2" t="s">
        <v>19</v>
      </c>
      <c r="I2585" s="2" t="s">
        <v>34</v>
      </c>
    </row>
    <row r="2586" spans="1:9" x14ac:dyDescent="0.35">
      <c r="A2586" s="2" t="s">
        <v>2624</v>
      </c>
      <c r="B2586" s="3">
        <v>44592</v>
      </c>
      <c r="C2586" s="2" t="s">
        <v>25</v>
      </c>
      <c r="D2586" s="2" t="s">
        <v>73</v>
      </c>
      <c r="E2586" s="2" t="s">
        <v>27</v>
      </c>
      <c r="F2586" s="2">
        <v>741.01</v>
      </c>
      <c r="G2586" s="2">
        <v>76.959999999999994</v>
      </c>
      <c r="H2586" s="2" t="s">
        <v>13</v>
      </c>
      <c r="I2586" s="2" t="s">
        <v>20</v>
      </c>
    </row>
    <row r="2587" spans="1:9" x14ac:dyDescent="0.35">
      <c r="A2587" s="2" t="s">
        <v>2625</v>
      </c>
      <c r="B2587" s="3">
        <v>44878</v>
      </c>
      <c r="C2587" s="2" t="s">
        <v>22</v>
      </c>
      <c r="D2587" s="2" t="s">
        <v>31</v>
      </c>
      <c r="E2587" s="2" t="s">
        <v>12</v>
      </c>
      <c r="F2587" s="2">
        <v>1975.77</v>
      </c>
      <c r="G2587" s="2">
        <v>550.88</v>
      </c>
      <c r="H2587" s="2" t="s">
        <v>28</v>
      </c>
      <c r="I2587" s="2" t="s">
        <v>20</v>
      </c>
    </row>
    <row r="2588" spans="1:9" x14ac:dyDescent="0.35">
      <c r="A2588" s="2" t="s">
        <v>2626</v>
      </c>
      <c r="B2588" s="3">
        <v>45129</v>
      </c>
      <c r="C2588" s="2" t="s">
        <v>16</v>
      </c>
      <c r="D2588" s="2" t="s">
        <v>57</v>
      </c>
      <c r="E2588" s="2" t="s">
        <v>27</v>
      </c>
      <c r="F2588" s="2">
        <v>1477.66</v>
      </c>
      <c r="G2588" s="2">
        <v>204.26</v>
      </c>
      <c r="H2588" s="2" t="s">
        <v>28</v>
      </c>
      <c r="I2588" s="2" t="s">
        <v>34</v>
      </c>
    </row>
    <row r="2589" spans="1:9" x14ac:dyDescent="0.35">
      <c r="A2589" s="2" t="s">
        <v>2627</v>
      </c>
      <c r="B2589" s="3">
        <v>44990</v>
      </c>
      <c r="C2589" s="2" t="s">
        <v>25</v>
      </c>
      <c r="D2589" s="2" t="s">
        <v>31</v>
      </c>
      <c r="E2589" s="2" t="s">
        <v>12</v>
      </c>
      <c r="F2589" s="2">
        <v>1180.17</v>
      </c>
      <c r="G2589" s="2">
        <v>343.24</v>
      </c>
      <c r="H2589" s="2" t="s">
        <v>19</v>
      </c>
      <c r="I2589" s="2" t="s">
        <v>29</v>
      </c>
    </row>
    <row r="2590" spans="1:9" x14ac:dyDescent="0.35">
      <c r="A2590" s="2" t="s">
        <v>2628</v>
      </c>
      <c r="B2590" s="3">
        <v>45579</v>
      </c>
      <c r="C2590" s="2" t="s">
        <v>16</v>
      </c>
      <c r="D2590" s="2" t="s">
        <v>38</v>
      </c>
      <c r="E2590" s="2" t="s">
        <v>12</v>
      </c>
      <c r="F2590" s="2">
        <v>266.66000000000003</v>
      </c>
      <c r="G2590" s="2">
        <v>57.6</v>
      </c>
      <c r="H2590" s="2" t="s">
        <v>19</v>
      </c>
      <c r="I2590" s="2" t="s">
        <v>14</v>
      </c>
    </row>
    <row r="2591" spans="1:9" x14ac:dyDescent="0.35">
      <c r="A2591" s="2" t="s">
        <v>2629</v>
      </c>
      <c r="B2591" s="3">
        <v>45102</v>
      </c>
      <c r="C2591" s="2" t="s">
        <v>22</v>
      </c>
      <c r="D2591" s="2" t="s">
        <v>38</v>
      </c>
      <c r="E2591" s="2" t="s">
        <v>12</v>
      </c>
      <c r="F2591" s="2">
        <v>1997.19</v>
      </c>
      <c r="G2591" s="2">
        <v>237.5</v>
      </c>
      <c r="H2591" s="2" t="s">
        <v>19</v>
      </c>
      <c r="I2591" s="2" t="s">
        <v>20</v>
      </c>
    </row>
    <row r="2592" spans="1:9" x14ac:dyDescent="0.35">
      <c r="A2592" s="2" t="s">
        <v>2630</v>
      </c>
      <c r="B2592" s="3">
        <v>44864</v>
      </c>
      <c r="C2592" s="2" t="s">
        <v>25</v>
      </c>
      <c r="D2592" s="2" t="s">
        <v>11</v>
      </c>
      <c r="E2592" s="2" t="s">
        <v>12</v>
      </c>
      <c r="F2592" s="2">
        <v>477.5</v>
      </c>
      <c r="G2592" s="2">
        <v>35.99</v>
      </c>
      <c r="H2592" s="2" t="s">
        <v>19</v>
      </c>
      <c r="I2592" s="2" t="s">
        <v>14</v>
      </c>
    </row>
    <row r="2593" spans="1:9" x14ac:dyDescent="0.35">
      <c r="A2593" s="2" t="s">
        <v>2631</v>
      </c>
      <c r="B2593" s="3">
        <v>44725</v>
      </c>
      <c r="C2593" s="2" t="s">
        <v>16</v>
      </c>
      <c r="D2593" s="2" t="s">
        <v>95</v>
      </c>
      <c r="E2593" s="2" t="s">
        <v>18</v>
      </c>
      <c r="F2593" s="2">
        <v>676.47</v>
      </c>
      <c r="G2593" s="2">
        <v>138.94</v>
      </c>
      <c r="H2593" s="2" t="s">
        <v>28</v>
      </c>
      <c r="I2593" s="2" t="s">
        <v>14</v>
      </c>
    </row>
    <row r="2594" spans="1:9" x14ac:dyDescent="0.35">
      <c r="A2594" s="2" t="s">
        <v>2632</v>
      </c>
      <c r="B2594" s="3">
        <v>45228</v>
      </c>
      <c r="C2594" s="2" t="s">
        <v>25</v>
      </c>
      <c r="D2594" s="2" t="s">
        <v>31</v>
      </c>
      <c r="E2594" s="2" t="s">
        <v>12</v>
      </c>
      <c r="F2594" s="2">
        <v>1771.99</v>
      </c>
      <c r="G2594" s="2">
        <v>388.42</v>
      </c>
      <c r="H2594" s="2" t="s">
        <v>19</v>
      </c>
      <c r="I2594" s="2" t="s">
        <v>29</v>
      </c>
    </row>
    <row r="2595" spans="1:9" x14ac:dyDescent="0.35">
      <c r="A2595" s="2" t="s">
        <v>2633</v>
      </c>
      <c r="B2595" s="3">
        <v>45643</v>
      </c>
      <c r="C2595" s="2" t="s">
        <v>16</v>
      </c>
      <c r="D2595" s="2" t="s">
        <v>17</v>
      </c>
      <c r="E2595" s="2" t="s">
        <v>18</v>
      </c>
      <c r="F2595" s="2">
        <v>1338.75</v>
      </c>
      <c r="G2595" s="2">
        <v>160.09</v>
      </c>
      <c r="H2595" s="2" t="s">
        <v>13</v>
      </c>
      <c r="I2595" s="2" t="s">
        <v>29</v>
      </c>
    </row>
    <row r="2596" spans="1:9" x14ac:dyDescent="0.35">
      <c r="A2596" s="2" t="s">
        <v>2634</v>
      </c>
      <c r="B2596" s="3">
        <v>45575</v>
      </c>
      <c r="C2596" s="2" t="s">
        <v>16</v>
      </c>
      <c r="D2596" s="2" t="s">
        <v>31</v>
      </c>
      <c r="E2596" s="2" t="s">
        <v>12</v>
      </c>
      <c r="F2596" s="2">
        <v>1727.33</v>
      </c>
      <c r="G2596" s="2">
        <v>330.66</v>
      </c>
      <c r="H2596" s="2" t="s">
        <v>28</v>
      </c>
      <c r="I2596" s="2" t="s">
        <v>29</v>
      </c>
    </row>
    <row r="2597" spans="1:9" x14ac:dyDescent="0.35">
      <c r="A2597" s="2" t="s">
        <v>2635</v>
      </c>
      <c r="B2597" s="3">
        <v>45579</v>
      </c>
      <c r="C2597" s="2" t="s">
        <v>25</v>
      </c>
      <c r="D2597" s="2" t="s">
        <v>38</v>
      </c>
      <c r="E2597" s="2" t="s">
        <v>12</v>
      </c>
      <c r="F2597" s="2">
        <v>1259.5999999999999</v>
      </c>
      <c r="G2597" s="2">
        <v>204.62</v>
      </c>
      <c r="H2597" s="2" t="s">
        <v>13</v>
      </c>
      <c r="I2597" s="2" t="s">
        <v>29</v>
      </c>
    </row>
    <row r="2598" spans="1:9" x14ac:dyDescent="0.35">
      <c r="A2598" s="2" t="s">
        <v>2636</v>
      </c>
      <c r="B2598" s="3">
        <v>45141</v>
      </c>
      <c r="C2598" s="2" t="s">
        <v>16</v>
      </c>
      <c r="D2598" s="2" t="s">
        <v>38</v>
      </c>
      <c r="E2598" s="2" t="s">
        <v>12</v>
      </c>
      <c r="F2598" s="2">
        <v>544.72</v>
      </c>
      <c r="G2598" s="2">
        <v>90.2</v>
      </c>
      <c r="H2598" s="2" t="s">
        <v>13</v>
      </c>
      <c r="I2598" s="2" t="s">
        <v>14</v>
      </c>
    </row>
    <row r="2599" spans="1:9" x14ac:dyDescent="0.35">
      <c r="A2599" s="2" t="s">
        <v>2637</v>
      </c>
      <c r="B2599" s="3">
        <v>45526</v>
      </c>
      <c r="C2599" s="2" t="s">
        <v>10</v>
      </c>
      <c r="D2599" s="2" t="s">
        <v>50</v>
      </c>
      <c r="E2599" s="2" t="s">
        <v>12</v>
      </c>
      <c r="F2599" s="2">
        <v>490.59</v>
      </c>
      <c r="G2599" s="2">
        <v>92.81</v>
      </c>
      <c r="H2599" s="2" t="s">
        <v>19</v>
      </c>
      <c r="I2599" s="2" t="s">
        <v>29</v>
      </c>
    </row>
    <row r="2600" spans="1:9" x14ac:dyDescent="0.35">
      <c r="A2600" s="2" t="s">
        <v>2638</v>
      </c>
      <c r="B2600" s="3">
        <v>45287</v>
      </c>
      <c r="C2600" s="2" t="s">
        <v>22</v>
      </c>
      <c r="D2600" s="2" t="s">
        <v>46</v>
      </c>
      <c r="E2600" s="2" t="s">
        <v>18</v>
      </c>
      <c r="F2600" s="2">
        <v>1905.08</v>
      </c>
      <c r="G2600" s="2">
        <v>495.99</v>
      </c>
      <c r="H2600" s="2" t="s">
        <v>19</v>
      </c>
      <c r="I2600" s="2" t="s">
        <v>20</v>
      </c>
    </row>
    <row r="2601" spans="1:9" x14ac:dyDescent="0.35">
      <c r="A2601" s="2" t="s">
        <v>2639</v>
      </c>
      <c r="B2601" s="3">
        <v>44900</v>
      </c>
      <c r="C2601" s="2" t="s">
        <v>10</v>
      </c>
      <c r="D2601" s="2" t="s">
        <v>57</v>
      </c>
      <c r="E2601" s="2" t="s">
        <v>27</v>
      </c>
      <c r="F2601" s="2">
        <v>347.42</v>
      </c>
      <c r="G2601" s="2">
        <v>74.430000000000007</v>
      </c>
      <c r="H2601" s="2" t="s">
        <v>19</v>
      </c>
      <c r="I2601" s="2" t="s">
        <v>14</v>
      </c>
    </row>
    <row r="2602" spans="1:9" x14ac:dyDescent="0.35">
      <c r="A2602" s="2" t="s">
        <v>2640</v>
      </c>
      <c r="B2602" s="3">
        <v>45243</v>
      </c>
      <c r="C2602" s="2" t="s">
        <v>10</v>
      </c>
      <c r="D2602" s="2" t="s">
        <v>38</v>
      </c>
      <c r="E2602" s="2" t="s">
        <v>12</v>
      </c>
      <c r="F2602" s="2">
        <v>308.12</v>
      </c>
      <c r="G2602" s="2">
        <v>47.96</v>
      </c>
      <c r="H2602" s="2" t="s">
        <v>28</v>
      </c>
      <c r="I2602" s="2" t="s">
        <v>29</v>
      </c>
    </row>
    <row r="2603" spans="1:9" x14ac:dyDescent="0.35">
      <c r="A2603" s="2" t="s">
        <v>2641</v>
      </c>
      <c r="B2603" s="3">
        <v>44633</v>
      </c>
      <c r="C2603" s="2" t="s">
        <v>16</v>
      </c>
      <c r="D2603" s="2" t="s">
        <v>41</v>
      </c>
      <c r="E2603" s="2" t="s">
        <v>12</v>
      </c>
      <c r="F2603" s="2">
        <v>1406.14</v>
      </c>
      <c r="G2603" s="2">
        <v>286.3</v>
      </c>
      <c r="H2603" s="2" t="s">
        <v>19</v>
      </c>
      <c r="I2603" s="2" t="s">
        <v>14</v>
      </c>
    </row>
    <row r="2604" spans="1:9" x14ac:dyDescent="0.35">
      <c r="A2604" s="2" t="s">
        <v>2642</v>
      </c>
      <c r="B2604" s="3">
        <v>44809</v>
      </c>
      <c r="C2604" s="2" t="s">
        <v>10</v>
      </c>
      <c r="D2604" s="2" t="s">
        <v>73</v>
      </c>
      <c r="E2604" s="2" t="s">
        <v>27</v>
      </c>
      <c r="F2604" s="2">
        <v>544.77</v>
      </c>
      <c r="G2604" s="2">
        <v>81.819999999999993</v>
      </c>
      <c r="H2604" s="2" t="s">
        <v>13</v>
      </c>
      <c r="I2604" s="2" t="s">
        <v>20</v>
      </c>
    </row>
    <row r="2605" spans="1:9" x14ac:dyDescent="0.35">
      <c r="A2605" s="2" t="s">
        <v>2643</v>
      </c>
      <c r="B2605" s="3">
        <v>44744</v>
      </c>
      <c r="C2605" s="2" t="s">
        <v>25</v>
      </c>
      <c r="D2605" s="2" t="s">
        <v>33</v>
      </c>
      <c r="E2605" s="2" t="s">
        <v>18</v>
      </c>
      <c r="F2605" s="2">
        <v>1629.79</v>
      </c>
      <c r="G2605" s="2">
        <v>84.58</v>
      </c>
      <c r="H2605" s="2" t="s">
        <v>19</v>
      </c>
      <c r="I2605" s="2" t="s">
        <v>29</v>
      </c>
    </row>
    <row r="2606" spans="1:9" x14ac:dyDescent="0.35">
      <c r="A2606" s="2" t="s">
        <v>2644</v>
      </c>
      <c r="B2606" s="3">
        <v>45057</v>
      </c>
      <c r="C2606" s="2" t="s">
        <v>22</v>
      </c>
      <c r="D2606" s="2" t="s">
        <v>50</v>
      </c>
      <c r="E2606" s="2" t="s">
        <v>12</v>
      </c>
      <c r="F2606" s="2">
        <v>1604.11</v>
      </c>
      <c r="G2606" s="2">
        <v>292.37</v>
      </c>
      <c r="H2606" s="2" t="s">
        <v>13</v>
      </c>
      <c r="I2606" s="2" t="s">
        <v>34</v>
      </c>
    </row>
    <row r="2607" spans="1:9" x14ac:dyDescent="0.35">
      <c r="A2607" s="2" t="s">
        <v>2645</v>
      </c>
      <c r="B2607" s="3">
        <v>45007</v>
      </c>
      <c r="C2607" s="2" t="s">
        <v>16</v>
      </c>
      <c r="D2607" s="2" t="s">
        <v>57</v>
      </c>
      <c r="E2607" s="2" t="s">
        <v>27</v>
      </c>
      <c r="F2607" s="2">
        <v>1801.86</v>
      </c>
      <c r="G2607" s="2">
        <v>125.81</v>
      </c>
      <c r="H2607" s="2" t="s">
        <v>19</v>
      </c>
      <c r="I2607" s="2" t="s">
        <v>29</v>
      </c>
    </row>
    <row r="2608" spans="1:9" x14ac:dyDescent="0.35">
      <c r="A2608" s="2" t="s">
        <v>2646</v>
      </c>
      <c r="B2608" s="3">
        <v>45048</v>
      </c>
      <c r="C2608" s="2" t="s">
        <v>16</v>
      </c>
      <c r="D2608" s="2" t="s">
        <v>97</v>
      </c>
      <c r="E2608" s="2" t="s">
        <v>27</v>
      </c>
      <c r="F2608" s="2">
        <v>1822.61</v>
      </c>
      <c r="G2608" s="2">
        <v>266.79000000000002</v>
      </c>
      <c r="H2608" s="2" t="s">
        <v>19</v>
      </c>
      <c r="I2608" s="2" t="s">
        <v>29</v>
      </c>
    </row>
    <row r="2609" spans="1:9" x14ac:dyDescent="0.35">
      <c r="A2609" s="2" t="s">
        <v>2647</v>
      </c>
      <c r="B2609" s="3">
        <v>45121</v>
      </c>
      <c r="C2609" s="2" t="s">
        <v>22</v>
      </c>
      <c r="D2609" s="2" t="s">
        <v>73</v>
      </c>
      <c r="E2609" s="2" t="s">
        <v>27</v>
      </c>
      <c r="F2609" s="2">
        <v>1744.8</v>
      </c>
      <c r="G2609" s="2">
        <v>133.6</v>
      </c>
      <c r="H2609" s="2" t="s">
        <v>28</v>
      </c>
      <c r="I2609" s="2" t="s">
        <v>14</v>
      </c>
    </row>
    <row r="2610" spans="1:9" x14ac:dyDescent="0.35">
      <c r="A2610" s="2" t="s">
        <v>2648</v>
      </c>
      <c r="B2610" s="3">
        <v>44682</v>
      </c>
      <c r="C2610" s="2" t="s">
        <v>16</v>
      </c>
      <c r="D2610" s="2" t="s">
        <v>17</v>
      </c>
      <c r="E2610" s="2" t="s">
        <v>18</v>
      </c>
      <c r="F2610" s="2">
        <v>1432.26</v>
      </c>
      <c r="G2610" s="2">
        <v>386.52</v>
      </c>
      <c r="H2610" s="2" t="s">
        <v>19</v>
      </c>
      <c r="I2610" s="2" t="s">
        <v>34</v>
      </c>
    </row>
    <row r="2611" spans="1:9" x14ac:dyDescent="0.35">
      <c r="A2611" s="2" t="s">
        <v>2649</v>
      </c>
      <c r="B2611" s="3">
        <v>44948</v>
      </c>
      <c r="C2611" s="2" t="s">
        <v>16</v>
      </c>
      <c r="D2611" s="2" t="s">
        <v>17</v>
      </c>
      <c r="E2611" s="2" t="s">
        <v>18</v>
      </c>
      <c r="F2611" s="2">
        <v>785.76</v>
      </c>
      <c r="G2611" s="2">
        <v>130.41999999999999</v>
      </c>
      <c r="H2611" s="2" t="s">
        <v>28</v>
      </c>
      <c r="I2611" s="2" t="s">
        <v>29</v>
      </c>
    </row>
    <row r="2612" spans="1:9" x14ac:dyDescent="0.35">
      <c r="A2612" s="2" t="s">
        <v>2650</v>
      </c>
      <c r="B2612" s="3">
        <v>45593</v>
      </c>
      <c r="C2612" s="2" t="s">
        <v>22</v>
      </c>
      <c r="D2612" s="2" t="s">
        <v>97</v>
      </c>
      <c r="E2612" s="2" t="s">
        <v>27</v>
      </c>
      <c r="F2612" s="2">
        <v>1783.94</v>
      </c>
      <c r="G2612" s="2">
        <v>229.44</v>
      </c>
      <c r="H2612" s="2" t="s">
        <v>28</v>
      </c>
      <c r="I2612" s="2" t="s">
        <v>34</v>
      </c>
    </row>
    <row r="2613" spans="1:9" x14ac:dyDescent="0.35">
      <c r="A2613" s="2" t="s">
        <v>2651</v>
      </c>
      <c r="B2613" s="3">
        <v>44955</v>
      </c>
      <c r="C2613" s="2" t="s">
        <v>16</v>
      </c>
      <c r="D2613" s="2" t="s">
        <v>41</v>
      </c>
      <c r="E2613" s="2" t="s">
        <v>12</v>
      </c>
      <c r="F2613" s="2">
        <v>548.74</v>
      </c>
      <c r="G2613" s="2">
        <v>143.83000000000001</v>
      </c>
      <c r="H2613" s="2" t="s">
        <v>28</v>
      </c>
      <c r="I2613" s="2" t="s">
        <v>20</v>
      </c>
    </row>
    <row r="2614" spans="1:9" x14ac:dyDescent="0.35">
      <c r="A2614" s="2" t="s">
        <v>2652</v>
      </c>
      <c r="B2614" s="3">
        <v>44762</v>
      </c>
      <c r="C2614" s="2" t="s">
        <v>25</v>
      </c>
      <c r="D2614" s="2" t="s">
        <v>46</v>
      </c>
      <c r="E2614" s="2" t="s">
        <v>18</v>
      </c>
      <c r="F2614" s="2">
        <v>535.96</v>
      </c>
      <c r="G2614" s="2">
        <v>39.979999999999997</v>
      </c>
      <c r="H2614" s="2" t="s">
        <v>19</v>
      </c>
      <c r="I2614" s="2" t="s">
        <v>29</v>
      </c>
    </row>
    <row r="2615" spans="1:9" x14ac:dyDescent="0.35">
      <c r="A2615" s="2" t="s">
        <v>2653</v>
      </c>
      <c r="B2615" s="3">
        <v>45029</v>
      </c>
      <c r="C2615" s="2" t="s">
        <v>10</v>
      </c>
      <c r="D2615" s="2" t="s">
        <v>38</v>
      </c>
      <c r="E2615" s="2" t="s">
        <v>12</v>
      </c>
      <c r="F2615" s="2">
        <v>1623.18</v>
      </c>
      <c r="G2615" s="2">
        <v>191.5</v>
      </c>
      <c r="H2615" s="2" t="s">
        <v>13</v>
      </c>
      <c r="I2615" s="2" t="s">
        <v>34</v>
      </c>
    </row>
    <row r="2616" spans="1:9" x14ac:dyDescent="0.35">
      <c r="A2616" s="2" t="s">
        <v>2654</v>
      </c>
      <c r="B2616" s="3">
        <v>45099</v>
      </c>
      <c r="C2616" s="2" t="s">
        <v>16</v>
      </c>
      <c r="D2616" s="2" t="s">
        <v>62</v>
      </c>
      <c r="E2616" s="2" t="s">
        <v>27</v>
      </c>
      <c r="F2616" s="2">
        <v>1615.21</v>
      </c>
      <c r="G2616" s="2">
        <v>198.72</v>
      </c>
      <c r="H2616" s="2" t="s">
        <v>28</v>
      </c>
      <c r="I2616" s="2" t="s">
        <v>34</v>
      </c>
    </row>
    <row r="2617" spans="1:9" x14ac:dyDescent="0.35">
      <c r="A2617" s="2" t="s">
        <v>2655</v>
      </c>
      <c r="B2617" s="3">
        <v>44855</v>
      </c>
      <c r="C2617" s="2" t="s">
        <v>25</v>
      </c>
      <c r="D2617" s="2" t="s">
        <v>17</v>
      </c>
      <c r="E2617" s="2" t="s">
        <v>18</v>
      </c>
      <c r="F2617" s="2">
        <v>1490.66</v>
      </c>
      <c r="G2617" s="2">
        <v>109.98</v>
      </c>
      <c r="H2617" s="2" t="s">
        <v>13</v>
      </c>
      <c r="I2617" s="2" t="s">
        <v>20</v>
      </c>
    </row>
    <row r="2618" spans="1:9" x14ac:dyDescent="0.35">
      <c r="A2618" s="2" t="s">
        <v>2656</v>
      </c>
      <c r="B2618" s="3">
        <v>44884</v>
      </c>
      <c r="C2618" s="2" t="s">
        <v>25</v>
      </c>
      <c r="D2618" s="2" t="s">
        <v>38</v>
      </c>
      <c r="E2618" s="2" t="s">
        <v>12</v>
      </c>
      <c r="F2618" s="2">
        <v>138.69999999999999</v>
      </c>
      <c r="G2618" s="2">
        <v>21.34</v>
      </c>
      <c r="H2618" s="2" t="s">
        <v>13</v>
      </c>
      <c r="I2618" s="2" t="s">
        <v>34</v>
      </c>
    </row>
    <row r="2619" spans="1:9" x14ac:dyDescent="0.35">
      <c r="A2619" s="2" t="s">
        <v>2657</v>
      </c>
      <c r="B2619" s="3">
        <v>44784</v>
      </c>
      <c r="C2619" s="2" t="s">
        <v>22</v>
      </c>
      <c r="D2619" s="2" t="s">
        <v>26</v>
      </c>
      <c r="E2619" s="2" t="s">
        <v>27</v>
      </c>
      <c r="F2619" s="2">
        <v>1339.21</v>
      </c>
      <c r="G2619" s="2">
        <v>95.36</v>
      </c>
      <c r="H2619" s="2" t="s">
        <v>19</v>
      </c>
      <c r="I2619" s="2" t="s">
        <v>14</v>
      </c>
    </row>
    <row r="2620" spans="1:9" x14ac:dyDescent="0.35">
      <c r="A2620" s="2" t="s">
        <v>2658</v>
      </c>
      <c r="B2620" s="3">
        <v>45228</v>
      </c>
      <c r="C2620" s="2" t="s">
        <v>22</v>
      </c>
      <c r="D2620" s="2" t="s">
        <v>41</v>
      </c>
      <c r="E2620" s="2" t="s">
        <v>12</v>
      </c>
      <c r="F2620" s="2">
        <v>1728.21</v>
      </c>
      <c r="G2620" s="2">
        <v>87.85</v>
      </c>
      <c r="H2620" s="2" t="s">
        <v>19</v>
      </c>
      <c r="I2620" s="2" t="s">
        <v>14</v>
      </c>
    </row>
    <row r="2621" spans="1:9" x14ac:dyDescent="0.35">
      <c r="A2621" s="2" t="s">
        <v>2659</v>
      </c>
      <c r="B2621" s="3">
        <v>44987</v>
      </c>
      <c r="C2621" s="2" t="s">
        <v>22</v>
      </c>
      <c r="D2621" s="2" t="s">
        <v>50</v>
      </c>
      <c r="E2621" s="2" t="s">
        <v>12</v>
      </c>
      <c r="F2621" s="2">
        <v>1408.81</v>
      </c>
      <c r="G2621" s="2">
        <v>183.4</v>
      </c>
      <c r="H2621" s="2" t="s">
        <v>13</v>
      </c>
      <c r="I2621" s="2" t="s">
        <v>20</v>
      </c>
    </row>
    <row r="2622" spans="1:9" x14ac:dyDescent="0.35">
      <c r="A2622" s="2" t="s">
        <v>2660</v>
      </c>
      <c r="B2622" s="3">
        <v>45140</v>
      </c>
      <c r="C2622" s="2" t="s">
        <v>25</v>
      </c>
      <c r="D2622" s="2" t="s">
        <v>95</v>
      </c>
      <c r="E2622" s="2" t="s">
        <v>18</v>
      </c>
      <c r="F2622" s="2">
        <v>747.87</v>
      </c>
      <c r="G2622" s="2">
        <v>145.94999999999999</v>
      </c>
      <c r="H2622" s="2" t="s">
        <v>19</v>
      </c>
      <c r="I2622" s="2" t="s">
        <v>20</v>
      </c>
    </row>
    <row r="2623" spans="1:9" x14ac:dyDescent="0.35">
      <c r="A2623" s="2" t="s">
        <v>2661</v>
      </c>
      <c r="B2623" s="3">
        <v>45001</v>
      </c>
      <c r="C2623" s="2" t="s">
        <v>25</v>
      </c>
      <c r="D2623" s="2" t="s">
        <v>95</v>
      </c>
      <c r="E2623" s="2" t="s">
        <v>18</v>
      </c>
      <c r="F2623" s="2">
        <v>1937.61</v>
      </c>
      <c r="G2623" s="2">
        <v>244.17</v>
      </c>
      <c r="H2623" s="2" t="s">
        <v>19</v>
      </c>
      <c r="I2623" s="2" t="s">
        <v>14</v>
      </c>
    </row>
    <row r="2624" spans="1:9" x14ac:dyDescent="0.35">
      <c r="A2624" s="2" t="s">
        <v>2662</v>
      </c>
      <c r="B2624" s="3">
        <v>45300</v>
      </c>
      <c r="C2624" s="2" t="s">
        <v>25</v>
      </c>
      <c r="D2624" s="2" t="s">
        <v>62</v>
      </c>
      <c r="E2624" s="2" t="s">
        <v>27</v>
      </c>
      <c r="F2624" s="2">
        <v>82.22</v>
      </c>
      <c r="G2624" s="2">
        <v>12.34</v>
      </c>
      <c r="H2624" s="2" t="s">
        <v>13</v>
      </c>
      <c r="I2624" s="2" t="s">
        <v>29</v>
      </c>
    </row>
    <row r="2625" spans="1:9" x14ac:dyDescent="0.35">
      <c r="A2625" s="2" t="s">
        <v>2663</v>
      </c>
      <c r="B2625" s="3">
        <v>44815</v>
      </c>
      <c r="C2625" s="2" t="s">
        <v>16</v>
      </c>
      <c r="D2625" s="2" t="s">
        <v>33</v>
      </c>
      <c r="E2625" s="2" t="s">
        <v>18</v>
      </c>
      <c r="F2625" s="2">
        <v>1188.4000000000001</v>
      </c>
      <c r="G2625" s="2">
        <v>221.8</v>
      </c>
      <c r="H2625" s="2" t="s">
        <v>19</v>
      </c>
      <c r="I2625" s="2" t="s">
        <v>29</v>
      </c>
    </row>
    <row r="2626" spans="1:9" x14ac:dyDescent="0.35">
      <c r="A2626" s="2" t="s">
        <v>2664</v>
      </c>
      <c r="B2626" s="3">
        <v>45326</v>
      </c>
      <c r="C2626" s="2" t="s">
        <v>10</v>
      </c>
      <c r="D2626" s="2" t="s">
        <v>62</v>
      </c>
      <c r="E2626" s="2" t="s">
        <v>27</v>
      </c>
      <c r="F2626" s="2">
        <v>1947.95</v>
      </c>
      <c r="G2626" s="2">
        <v>445.12</v>
      </c>
      <c r="H2626" s="2" t="s">
        <v>28</v>
      </c>
      <c r="I2626" s="2" t="s">
        <v>29</v>
      </c>
    </row>
    <row r="2627" spans="1:9" x14ac:dyDescent="0.35">
      <c r="A2627" s="2" t="s">
        <v>2665</v>
      </c>
      <c r="B2627" s="3">
        <v>44979</v>
      </c>
      <c r="C2627" s="2" t="s">
        <v>16</v>
      </c>
      <c r="D2627" s="2" t="s">
        <v>95</v>
      </c>
      <c r="E2627" s="2" t="s">
        <v>18</v>
      </c>
      <c r="F2627" s="2">
        <v>1644.43</v>
      </c>
      <c r="G2627" s="2">
        <v>341.08</v>
      </c>
      <c r="H2627" s="2" t="s">
        <v>19</v>
      </c>
      <c r="I2627" s="2" t="s">
        <v>34</v>
      </c>
    </row>
    <row r="2628" spans="1:9" x14ac:dyDescent="0.35">
      <c r="A2628" s="2" t="s">
        <v>2666</v>
      </c>
      <c r="B2628" s="3">
        <v>45339</v>
      </c>
      <c r="C2628" s="2" t="s">
        <v>16</v>
      </c>
      <c r="D2628" s="2" t="s">
        <v>11</v>
      </c>
      <c r="E2628" s="2" t="s">
        <v>12</v>
      </c>
      <c r="F2628" s="2">
        <v>1816.03</v>
      </c>
      <c r="G2628" s="2">
        <v>223.63</v>
      </c>
      <c r="H2628" s="2" t="s">
        <v>13</v>
      </c>
      <c r="I2628" s="2" t="s">
        <v>34</v>
      </c>
    </row>
    <row r="2629" spans="1:9" x14ac:dyDescent="0.35">
      <c r="A2629" s="2" t="s">
        <v>2667</v>
      </c>
      <c r="B2629" s="3">
        <v>44990</v>
      </c>
      <c r="C2629" s="2" t="s">
        <v>16</v>
      </c>
      <c r="D2629" s="2" t="s">
        <v>31</v>
      </c>
      <c r="E2629" s="2" t="s">
        <v>12</v>
      </c>
      <c r="F2629" s="2">
        <v>203.51</v>
      </c>
      <c r="G2629" s="2">
        <v>30.09</v>
      </c>
      <c r="H2629" s="2" t="s">
        <v>13</v>
      </c>
      <c r="I2629" s="2" t="s">
        <v>14</v>
      </c>
    </row>
    <row r="2630" spans="1:9" x14ac:dyDescent="0.35">
      <c r="A2630" s="2" t="s">
        <v>2668</v>
      </c>
      <c r="B2630" s="3">
        <v>45083</v>
      </c>
      <c r="C2630" s="2" t="s">
        <v>10</v>
      </c>
      <c r="D2630" s="2" t="s">
        <v>97</v>
      </c>
      <c r="E2630" s="2" t="s">
        <v>27</v>
      </c>
      <c r="F2630" s="2">
        <v>982.8</v>
      </c>
      <c r="G2630" s="2">
        <v>142.51</v>
      </c>
      <c r="H2630" s="2" t="s">
        <v>13</v>
      </c>
      <c r="I2630" s="2" t="s">
        <v>20</v>
      </c>
    </row>
    <row r="2631" spans="1:9" x14ac:dyDescent="0.35">
      <c r="A2631" s="2" t="s">
        <v>2669</v>
      </c>
      <c r="B2631" s="3">
        <v>45258</v>
      </c>
      <c r="C2631" s="2" t="s">
        <v>10</v>
      </c>
      <c r="D2631" s="2" t="s">
        <v>57</v>
      </c>
      <c r="E2631" s="2" t="s">
        <v>27</v>
      </c>
      <c r="F2631" s="2">
        <v>478.84</v>
      </c>
      <c r="G2631" s="2">
        <v>99.27</v>
      </c>
      <c r="H2631" s="2" t="s">
        <v>13</v>
      </c>
      <c r="I2631" s="2" t="s">
        <v>14</v>
      </c>
    </row>
    <row r="2632" spans="1:9" x14ac:dyDescent="0.35">
      <c r="A2632" s="2" t="s">
        <v>2670</v>
      </c>
      <c r="B2632" s="3">
        <v>45540</v>
      </c>
      <c r="C2632" s="2" t="s">
        <v>16</v>
      </c>
      <c r="D2632" s="2" t="s">
        <v>23</v>
      </c>
      <c r="E2632" s="2" t="s">
        <v>18</v>
      </c>
      <c r="F2632" s="2">
        <v>1259.75</v>
      </c>
      <c r="G2632" s="2">
        <v>246.23</v>
      </c>
      <c r="H2632" s="2" t="s">
        <v>19</v>
      </c>
      <c r="I2632" s="2" t="s">
        <v>34</v>
      </c>
    </row>
    <row r="2633" spans="1:9" x14ac:dyDescent="0.35">
      <c r="A2633" s="2" t="s">
        <v>2671</v>
      </c>
      <c r="B2633" s="3">
        <v>44789</v>
      </c>
      <c r="C2633" s="2" t="s">
        <v>25</v>
      </c>
      <c r="D2633" s="2" t="s">
        <v>38</v>
      </c>
      <c r="E2633" s="2" t="s">
        <v>12</v>
      </c>
      <c r="F2633" s="2">
        <v>1217.54</v>
      </c>
      <c r="G2633" s="2">
        <v>173.65</v>
      </c>
      <c r="H2633" s="2" t="s">
        <v>19</v>
      </c>
      <c r="I2633" s="2" t="s">
        <v>20</v>
      </c>
    </row>
    <row r="2634" spans="1:9" x14ac:dyDescent="0.35">
      <c r="A2634" s="2" t="s">
        <v>2672</v>
      </c>
      <c r="B2634" s="3">
        <v>45622</v>
      </c>
      <c r="C2634" s="2" t="s">
        <v>10</v>
      </c>
      <c r="D2634" s="2" t="s">
        <v>97</v>
      </c>
      <c r="E2634" s="2" t="s">
        <v>27</v>
      </c>
      <c r="F2634" s="2">
        <v>1177.83</v>
      </c>
      <c r="G2634" s="2">
        <v>283.66000000000003</v>
      </c>
      <c r="H2634" s="2" t="s">
        <v>19</v>
      </c>
      <c r="I2634" s="2" t="s">
        <v>34</v>
      </c>
    </row>
    <row r="2635" spans="1:9" x14ac:dyDescent="0.35">
      <c r="A2635" s="2" t="s">
        <v>2673</v>
      </c>
      <c r="B2635" s="3">
        <v>44683</v>
      </c>
      <c r="C2635" s="2" t="s">
        <v>16</v>
      </c>
      <c r="D2635" s="2" t="s">
        <v>38</v>
      </c>
      <c r="E2635" s="2" t="s">
        <v>12</v>
      </c>
      <c r="F2635" s="2">
        <v>373.1</v>
      </c>
      <c r="G2635" s="2">
        <v>88.6</v>
      </c>
      <c r="H2635" s="2" t="s">
        <v>13</v>
      </c>
      <c r="I2635" s="2" t="s">
        <v>20</v>
      </c>
    </row>
    <row r="2636" spans="1:9" x14ac:dyDescent="0.35">
      <c r="A2636" s="2" t="s">
        <v>2674</v>
      </c>
      <c r="B2636" s="3">
        <v>45606</v>
      </c>
      <c r="C2636" s="2" t="s">
        <v>10</v>
      </c>
      <c r="D2636" s="2" t="s">
        <v>11</v>
      </c>
      <c r="E2636" s="2" t="s">
        <v>12</v>
      </c>
      <c r="F2636" s="2">
        <v>1606.68</v>
      </c>
      <c r="G2636" s="2">
        <v>92.27</v>
      </c>
      <c r="H2636" s="2" t="s">
        <v>13</v>
      </c>
      <c r="I2636" s="2" t="s">
        <v>14</v>
      </c>
    </row>
    <row r="2637" spans="1:9" x14ac:dyDescent="0.35">
      <c r="A2637" s="2" t="s">
        <v>2675</v>
      </c>
      <c r="B2637" s="3">
        <v>45629</v>
      </c>
      <c r="C2637" s="2" t="s">
        <v>16</v>
      </c>
      <c r="D2637" s="2" t="s">
        <v>41</v>
      </c>
      <c r="E2637" s="2" t="s">
        <v>12</v>
      </c>
      <c r="F2637" s="2">
        <v>1780.4</v>
      </c>
      <c r="G2637" s="2">
        <v>230.24</v>
      </c>
      <c r="H2637" s="2" t="s">
        <v>28</v>
      </c>
      <c r="I2637" s="2" t="s">
        <v>34</v>
      </c>
    </row>
    <row r="2638" spans="1:9" x14ac:dyDescent="0.35">
      <c r="A2638" s="2" t="s">
        <v>2676</v>
      </c>
      <c r="B2638" s="3">
        <v>45366</v>
      </c>
      <c r="C2638" s="2" t="s">
        <v>16</v>
      </c>
      <c r="D2638" s="2" t="s">
        <v>23</v>
      </c>
      <c r="E2638" s="2" t="s">
        <v>18</v>
      </c>
      <c r="F2638" s="2">
        <v>170.04</v>
      </c>
      <c r="G2638" s="2">
        <v>46.13</v>
      </c>
      <c r="H2638" s="2" t="s">
        <v>13</v>
      </c>
      <c r="I2638" s="2" t="s">
        <v>20</v>
      </c>
    </row>
    <row r="2639" spans="1:9" x14ac:dyDescent="0.35">
      <c r="A2639" s="2" t="s">
        <v>2677</v>
      </c>
      <c r="B2639" s="3">
        <v>45335</v>
      </c>
      <c r="C2639" s="2" t="s">
        <v>25</v>
      </c>
      <c r="D2639" s="2" t="s">
        <v>38</v>
      </c>
      <c r="E2639" s="2" t="s">
        <v>12</v>
      </c>
      <c r="F2639" s="2">
        <v>927.5</v>
      </c>
      <c r="G2639" s="2">
        <v>272.77</v>
      </c>
      <c r="H2639" s="2" t="s">
        <v>13</v>
      </c>
      <c r="I2639" s="2" t="s">
        <v>34</v>
      </c>
    </row>
    <row r="2640" spans="1:9" x14ac:dyDescent="0.35">
      <c r="A2640" s="2" t="s">
        <v>2678</v>
      </c>
      <c r="B2640" s="3">
        <v>45065</v>
      </c>
      <c r="C2640" s="2" t="s">
        <v>22</v>
      </c>
      <c r="D2640" s="2" t="s">
        <v>23</v>
      </c>
      <c r="E2640" s="2" t="s">
        <v>18</v>
      </c>
      <c r="F2640" s="2">
        <v>1815.2</v>
      </c>
      <c r="G2640" s="2">
        <v>278.36</v>
      </c>
      <c r="H2640" s="2" t="s">
        <v>28</v>
      </c>
      <c r="I2640" s="2" t="s">
        <v>29</v>
      </c>
    </row>
    <row r="2641" spans="1:9" x14ac:dyDescent="0.35">
      <c r="A2641" s="2" t="s">
        <v>2679</v>
      </c>
      <c r="B2641" s="3">
        <v>45222</v>
      </c>
      <c r="C2641" s="2" t="s">
        <v>10</v>
      </c>
      <c r="D2641" s="2" t="s">
        <v>31</v>
      </c>
      <c r="E2641" s="2" t="s">
        <v>12</v>
      </c>
      <c r="F2641" s="2">
        <v>484.24</v>
      </c>
      <c r="G2641" s="2">
        <v>99.66</v>
      </c>
      <c r="H2641" s="2" t="s">
        <v>13</v>
      </c>
      <c r="I2641" s="2" t="s">
        <v>20</v>
      </c>
    </row>
    <row r="2642" spans="1:9" x14ac:dyDescent="0.35">
      <c r="A2642" s="2" t="s">
        <v>2680</v>
      </c>
      <c r="B2642" s="3">
        <v>45173</v>
      </c>
      <c r="C2642" s="2" t="s">
        <v>16</v>
      </c>
      <c r="D2642" s="2" t="s">
        <v>31</v>
      </c>
      <c r="E2642" s="2" t="s">
        <v>12</v>
      </c>
      <c r="F2642" s="2">
        <v>1621.96</v>
      </c>
      <c r="G2642" s="2">
        <v>119.96</v>
      </c>
      <c r="H2642" s="2" t="s">
        <v>13</v>
      </c>
      <c r="I2642" s="2" t="s">
        <v>20</v>
      </c>
    </row>
    <row r="2643" spans="1:9" x14ac:dyDescent="0.35">
      <c r="A2643" s="2" t="s">
        <v>2681</v>
      </c>
      <c r="B2643" s="3">
        <v>44756</v>
      </c>
      <c r="C2643" s="2" t="s">
        <v>22</v>
      </c>
      <c r="D2643" s="2" t="s">
        <v>73</v>
      </c>
      <c r="E2643" s="2" t="s">
        <v>27</v>
      </c>
      <c r="F2643" s="2">
        <v>320.06</v>
      </c>
      <c r="G2643" s="2">
        <v>66.95</v>
      </c>
      <c r="H2643" s="2" t="s">
        <v>19</v>
      </c>
      <c r="I2643" s="2" t="s">
        <v>14</v>
      </c>
    </row>
    <row r="2644" spans="1:9" x14ac:dyDescent="0.35">
      <c r="A2644" s="2" t="s">
        <v>2682</v>
      </c>
      <c r="B2644" s="3">
        <v>45324</v>
      </c>
      <c r="C2644" s="2" t="s">
        <v>10</v>
      </c>
      <c r="D2644" s="2" t="s">
        <v>38</v>
      </c>
      <c r="E2644" s="2" t="s">
        <v>12</v>
      </c>
      <c r="F2644" s="2">
        <v>980.69</v>
      </c>
      <c r="G2644" s="2">
        <v>190.48</v>
      </c>
      <c r="H2644" s="2" t="s">
        <v>19</v>
      </c>
      <c r="I2644" s="2" t="s">
        <v>29</v>
      </c>
    </row>
    <row r="2645" spans="1:9" x14ac:dyDescent="0.35">
      <c r="A2645" s="2" t="s">
        <v>2683</v>
      </c>
      <c r="B2645" s="3">
        <v>45366</v>
      </c>
      <c r="C2645" s="2" t="s">
        <v>10</v>
      </c>
      <c r="D2645" s="2" t="s">
        <v>33</v>
      </c>
      <c r="E2645" s="2" t="s">
        <v>18</v>
      </c>
      <c r="F2645" s="2">
        <v>1276.5999999999999</v>
      </c>
      <c r="G2645" s="2">
        <v>208.9</v>
      </c>
      <c r="H2645" s="2" t="s">
        <v>28</v>
      </c>
      <c r="I2645" s="2" t="s">
        <v>29</v>
      </c>
    </row>
    <row r="2646" spans="1:9" x14ac:dyDescent="0.35">
      <c r="A2646" s="2" t="s">
        <v>2684</v>
      </c>
      <c r="B2646" s="3">
        <v>45475</v>
      </c>
      <c r="C2646" s="2" t="s">
        <v>10</v>
      </c>
      <c r="D2646" s="2" t="s">
        <v>26</v>
      </c>
      <c r="E2646" s="2" t="s">
        <v>27</v>
      </c>
      <c r="F2646" s="2">
        <v>1086.3699999999999</v>
      </c>
      <c r="G2646" s="2">
        <v>204.6</v>
      </c>
      <c r="H2646" s="2" t="s">
        <v>19</v>
      </c>
      <c r="I2646" s="2" t="s">
        <v>34</v>
      </c>
    </row>
    <row r="2647" spans="1:9" x14ac:dyDescent="0.35">
      <c r="A2647" s="2" t="s">
        <v>2685</v>
      </c>
      <c r="B2647" s="3">
        <v>45001</v>
      </c>
      <c r="C2647" s="2" t="s">
        <v>10</v>
      </c>
      <c r="D2647" s="2" t="s">
        <v>38</v>
      </c>
      <c r="E2647" s="2" t="s">
        <v>12</v>
      </c>
      <c r="F2647" s="2">
        <v>193</v>
      </c>
      <c r="G2647" s="2">
        <v>46.32</v>
      </c>
      <c r="H2647" s="2" t="s">
        <v>13</v>
      </c>
      <c r="I2647" s="2" t="s">
        <v>34</v>
      </c>
    </row>
    <row r="2648" spans="1:9" x14ac:dyDescent="0.35">
      <c r="A2648" s="2" t="s">
        <v>2686</v>
      </c>
      <c r="B2648" s="3">
        <v>44994</v>
      </c>
      <c r="C2648" s="2" t="s">
        <v>16</v>
      </c>
      <c r="D2648" s="2" t="s">
        <v>26</v>
      </c>
      <c r="E2648" s="2" t="s">
        <v>27</v>
      </c>
      <c r="F2648" s="2">
        <v>1779.06</v>
      </c>
      <c r="G2648" s="2">
        <v>492.16</v>
      </c>
      <c r="H2648" s="2" t="s">
        <v>28</v>
      </c>
      <c r="I2648" s="2" t="s">
        <v>29</v>
      </c>
    </row>
    <row r="2649" spans="1:9" x14ac:dyDescent="0.35">
      <c r="A2649" s="2" t="s">
        <v>2687</v>
      </c>
      <c r="B2649" s="3">
        <v>45108</v>
      </c>
      <c r="C2649" s="2" t="s">
        <v>25</v>
      </c>
      <c r="D2649" s="2" t="s">
        <v>41</v>
      </c>
      <c r="E2649" s="2" t="s">
        <v>12</v>
      </c>
      <c r="F2649" s="2">
        <v>706.5</v>
      </c>
      <c r="G2649" s="2">
        <v>94.33</v>
      </c>
      <c r="H2649" s="2" t="s">
        <v>13</v>
      </c>
      <c r="I2649" s="2" t="s">
        <v>20</v>
      </c>
    </row>
    <row r="2650" spans="1:9" x14ac:dyDescent="0.35">
      <c r="A2650" s="2" t="s">
        <v>2688</v>
      </c>
      <c r="B2650" s="3">
        <v>44838</v>
      </c>
      <c r="C2650" s="2" t="s">
        <v>22</v>
      </c>
      <c r="D2650" s="2" t="s">
        <v>23</v>
      </c>
      <c r="E2650" s="2" t="s">
        <v>18</v>
      </c>
      <c r="F2650" s="2">
        <v>888.6</v>
      </c>
      <c r="G2650" s="2">
        <v>243.39</v>
      </c>
      <c r="H2650" s="2" t="s">
        <v>13</v>
      </c>
      <c r="I2650" s="2" t="s">
        <v>34</v>
      </c>
    </row>
    <row r="2651" spans="1:9" x14ac:dyDescent="0.35">
      <c r="A2651" s="2" t="s">
        <v>2689</v>
      </c>
      <c r="B2651" s="3">
        <v>44774</v>
      </c>
      <c r="C2651" s="2" t="s">
        <v>16</v>
      </c>
      <c r="D2651" s="2" t="s">
        <v>73</v>
      </c>
      <c r="E2651" s="2" t="s">
        <v>27</v>
      </c>
      <c r="F2651" s="2">
        <v>1746.3</v>
      </c>
      <c r="G2651" s="2">
        <v>169.48</v>
      </c>
      <c r="H2651" s="2" t="s">
        <v>28</v>
      </c>
      <c r="I2651" s="2" t="s">
        <v>14</v>
      </c>
    </row>
    <row r="2652" spans="1:9" x14ac:dyDescent="0.35">
      <c r="A2652" s="2" t="s">
        <v>2690</v>
      </c>
      <c r="B2652" s="3">
        <v>44951</v>
      </c>
      <c r="C2652" s="2" t="s">
        <v>16</v>
      </c>
      <c r="D2652" s="2" t="s">
        <v>57</v>
      </c>
      <c r="E2652" s="2" t="s">
        <v>27</v>
      </c>
      <c r="F2652" s="2">
        <v>302.35000000000002</v>
      </c>
      <c r="G2652" s="2">
        <v>15.99</v>
      </c>
      <c r="H2652" s="2" t="s">
        <v>19</v>
      </c>
      <c r="I2652" s="2" t="s">
        <v>34</v>
      </c>
    </row>
    <row r="2653" spans="1:9" x14ac:dyDescent="0.35">
      <c r="A2653" s="2" t="s">
        <v>2691</v>
      </c>
      <c r="B2653" s="3">
        <v>44943</v>
      </c>
      <c r="C2653" s="2" t="s">
        <v>16</v>
      </c>
      <c r="D2653" s="2" t="s">
        <v>57</v>
      </c>
      <c r="E2653" s="2" t="s">
        <v>27</v>
      </c>
      <c r="F2653" s="2">
        <v>942.32</v>
      </c>
      <c r="G2653" s="2">
        <v>152.34</v>
      </c>
      <c r="H2653" s="2" t="s">
        <v>28</v>
      </c>
      <c r="I2653" s="2" t="s">
        <v>34</v>
      </c>
    </row>
    <row r="2654" spans="1:9" x14ac:dyDescent="0.35">
      <c r="A2654" s="2" t="s">
        <v>2692</v>
      </c>
      <c r="B2654" s="3">
        <v>45636</v>
      </c>
      <c r="C2654" s="2" t="s">
        <v>16</v>
      </c>
      <c r="D2654" s="2" t="s">
        <v>41</v>
      </c>
      <c r="E2654" s="2" t="s">
        <v>12</v>
      </c>
      <c r="F2654" s="2">
        <v>1111.04</v>
      </c>
      <c r="G2654" s="2">
        <v>106.79</v>
      </c>
      <c r="H2654" s="2" t="s">
        <v>28</v>
      </c>
      <c r="I2654" s="2" t="s">
        <v>14</v>
      </c>
    </row>
    <row r="2655" spans="1:9" x14ac:dyDescent="0.35">
      <c r="A2655" s="2" t="s">
        <v>2693</v>
      </c>
      <c r="B2655" s="3">
        <v>45213</v>
      </c>
      <c r="C2655" s="2" t="s">
        <v>25</v>
      </c>
      <c r="D2655" s="2" t="s">
        <v>41</v>
      </c>
      <c r="E2655" s="2" t="s">
        <v>12</v>
      </c>
      <c r="F2655" s="2">
        <v>466.1</v>
      </c>
      <c r="G2655" s="2">
        <v>123.25</v>
      </c>
      <c r="H2655" s="2" t="s">
        <v>28</v>
      </c>
      <c r="I2655" s="2" t="s">
        <v>34</v>
      </c>
    </row>
    <row r="2656" spans="1:9" x14ac:dyDescent="0.35">
      <c r="A2656" s="2" t="s">
        <v>2694</v>
      </c>
      <c r="B2656" s="3">
        <v>45484</v>
      </c>
      <c r="C2656" s="2" t="s">
        <v>10</v>
      </c>
      <c r="D2656" s="2" t="s">
        <v>97</v>
      </c>
      <c r="E2656" s="2" t="s">
        <v>27</v>
      </c>
      <c r="F2656" s="2">
        <v>738.1</v>
      </c>
      <c r="G2656" s="2">
        <v>60.86</v>
      </c>
      <c r="H2656" s="2" t="s">
        <v>28</v>
      </c>
      <c r="I2656" s="2" t="s">
        <v>20</v>
      </c>
    </row>
    <row r="2657" spans="1:9" x14ac:dyDescent="0.35">
      <c r="A2657" s="2" t="s">
        <v>2695</v>
      </c>
      <c r="B2657" s="3">
        <v>44974</v>
      </c>
      <c r="C2657" s="2" t="s">
        <v>25</v>
      </c>
      <c r="D2657" s="2" t="s">
        <v>46</v>
      </c>
      <c r="E2657" s="2" t="s">
        <v>18</v>
      </c>
      <c r="F2657" s="2">
        <v>101.83</v>
      </c>
      <c r="G2657" s="2">
        <v>8.75</v>
      </c>
      <c r="H2657" s="2" t="s">
        <v>13</v>
      </c>
      <c r="I2657" s="2" t="s">
        <v>14</v>
      </c>
    </row>
    <row r="2658" spans="1:9" x14ac:dyDescent="0.35">
      <c r="A2658" s="2" t="s">
        <v>2696</v>
      </c>
      <c r="B2658" s="3">
        <v>45267</v>
      </c>
      <c r="C2658" s="2" t="s">
        <v>25</v>
      </c>
      <c r="D2658" s="2" t="s">
        <v>97</v>
      </c>
      <c r="E2658" s="2" t="s">
        <v>27</v>
      </c>
      <c r="F2658" s="2">
        <v>1192.8599999999999</v>
      </c>
      <c r="G2658" s="2">
        <v>175.96</v>
      </c>
      <c r="H2658" s="2" t="s">
        <v>19</v>
      </c>
      <c r="I2658" s="2" t="s">
        <v>29</v>
      </c>
    </row>
    <row r="2659" spans="1:9" x14ac:dyDescent="0.35">
      <c r="A2659" s="2" t="s">
        <v>2697</v>
      </c>
      <c r="B2659" s="3">
        <v>44731</v>
      </c>
      <c r="C2659" s="2" t="s">
        <v>22</v>
      </c>
      <c r="D2659" s="2" t="s">
        <v>38</v>
      </c>
      <c r="E2659" s="2" t="s">
        <v>12</v>
      </c>
      <c r="F2659" s="2">
        <v>772.94</v>
      </c>
      <c r="G2659" s="2">
        <v>83.54</v>
      </c>
      <c r="H2659" s="2" t="s">
        <v>28</v>
      </c>
      <c r="I2659" s="2" t="s">
        <v>34</v>
      </c>
    </row>
    <row r="2660" spans="1:9" x14ac:dyDescent="0.35">
      <c r="A2660" s="2" t="s">
        <v>2698</v>
      </c>
      <c r="B2660" s="3">
        <v>44682</v>
      </c>
      <c r="C2660" s="2" t="s">
        <v>22</v>
      </c>
      <c r="D2660" s="2" t="s">
        <v>11</v>
      </c>
      <c r="E2660" s="2" t="s">
        <v>12</v>
      </c>
      <c r="F2660" s="2">
        <v>146.22</v>
      </c>
      <c r="G2660" s="2">
        <v>20.05</v>
      </c>
      <c r="H2660" s="2" t="s">
        <v>13</v>
      </c>
      <c r="I2660" s="2" t="s">
        <v>29</v>
      </c>
    </row>
    <row r="2661" spans="1:9" x14ac:dyDescent="0.35">
      <c r="A2661" s="2" t="s">
        <v>2699</v>
      </c>
      <c r="B2661" s="3">
        <v>45479</v>
      </c>
      <c r="C2661" s="2" t="s">
        <v>25</v>
      </c>
      <c r="D2661" s="2" t="s">
        <v>41</v>
      </c>
      <c r="E2661" s="2" t="s">
        <v>12</v>
      </c>
      <c r="F2661" s="2">
        <v>648.23</v>
      </c>
      <c r="G2661" s="2">
        <v>56.57</v>
      </c>
      <c r="H2661" s="2" t="s">
        <v>19</v>
      </c>
      <c r="I2661" s="2" t="s">
        <v>14</v>
      </c>
    </row>
    <row r="2662" spans="1:9" x14ac:dyDescent="0.35">
      <c r="A2662" s="2" t="s">
        <v>2700</v>
      </c>
      <c r="B2662" s="3">
        <v>44790</v>
      </c>
      <c r="C2662" s="2" t="s">
        <v>10</v>
      </c>
      <c r="D2662" s="2" t="s">
        <v>73</v>
      </c>
      <c r="E2662" s="2" t="s">
        <v>27</v>
      </c>
      <c r="F2662" s="2">
        <v>990.88</v>
      </c>
      <c r="G2662" s="2">
        <v>215.35</v>
      </c>
      <c r="H2662" s="2" t="s">
        <v>28</v>
      </c>
      <c r="I2662" s="2" t="s">
        <v>20</v>
      </c>
    </row>
    <row r="2663" spans="1:9" x14ac:dyDescent="0.35">
      <c r="A2663" s="2" t="s">
        <v>2701</v>
      </c>
      <c r="B2663" s="3">
        <v>45151</v>
      </c>
      <c r="C2663" s="2" t="s">
        <v>16</v>
      </c>
      <c r="D2663" s="2" t="s">
        <v>33</v>
      </c>
      <c r="E2663" s="2" t="s">
        <v>18</v>
      </c>
      <c r="F2663" s="2">
        <v>1642.76</v>
      </c>
      <c r="G2663" s="2">
        <v>283.19</v>
      </c>
      <c r="H2663" s="2" t="s">
        <v>13</v>
      </c>
      <c r="I2663" s="2" t="s">
        <v>20</v>
      </c>
    </row>
    <row r="2664" spans="1:9" x14ac:dyDescent="0.35">
      <c r="A2664" s="2" t="s">
        <v>2702</v>
      </c>
      <c r="B2664" s="3">
        <v>45068</v>
      </c>
      <c r="C2664" s="2" t="s">
        <v>10</v>
      </c>
      <c r="D2664" s="2" t="s">
        <v>95</v>
      </c>
      <c r="E2664" s="2" t="s">
        <v>18</v>
      </c>
      <c r="F2664" s="2">
        <v>216.94</v>
      </c>
      <c r="G2664" s="2">
        <v>34.03</v>
      </c>
      <c r="H2664" s="2" t="s">
        <v>13</v>
      </c>
      <c r="I2664" s="2" t="s">
        <v>29</v>
      </c>
    </row>
    <row r="2665" spans="1:9" x14ac:dyDescent="0.35">
      <c r="A2665" s="2" t="s">
        <v>2703</v>
      </c>
      <c r="B2665" s="3">
        <v>45528</v>
      </c>
      <c r="C2665" s="2" t="s">
        <v>10</v>
      </c>
      <c r="D2665" s="2" t="s">
        <v>73</v>
      </c>
      <c r="E2665" s="2" t="s">
        <v>27</v>
      </c>
      <c r="F2665" s="2">
        <v>1642.74</v>
      </c>
      <c r="G2665" s="2">
        <v>332.64</v>
      </c>
      <c r="H2665" s="2" t="s">
        <v>13</v>
      </c>
      <c r="I2665" s="2" t="s">
        <v>29</v>
      </c>
    </row>
    <row r="2666" spans="1:9" x14ac:dyDescent="0.35">
      <c r="A2666" s="2" t="s">
        <v>2704</v>
      </c>
      <c r="B2666" s="3">
        <v>44730</v>
      </c>
      <c r="C2666" s="2" t="s">
        <v>22</v>
      </c>
      <c r="D2666" s="2" t="s">
        <v>33</v>
      </c>
      <c r="E2666" s="2" t="s">
        <v>18</v>
      </c>
      <c r="F2666" s="2">
        <v>224.88</v>
      </c>
      <c r="G2666" s="2">
        <v>16</v>
      </c>
      <c r="H2666" s="2" t="s">
        <v>19</v>
      </c>
      <c r="I2666" s="2" t="s">
        <v>34</v>
      </c>
    </row>
    <row r="2667" spans="1:9" x14ac:dyDescent="0.35">
      <c r="A2667" s="2" t="s">
        <v>2705</v>
      </c>
      <c r="B2667" s="3">
        <v>44892</v>
      </c>
      <c r="C2667" s="2" t="s">
        <v>25</v>
      </c>
      <c r="D2667" s="2" t="s">
        <v>33</v>
      </c>
      <c r="E2667" s="2" t="s">
        <v>18</v>
      </c>
      <c r="F2667" s="2">
        <v>1299.54</v>
      </c>
      <c r="G2667" s="2">
        <v>356.9</v>
      </c>
      <c r="H2667" s="2" t="s">
        <v>13</v>
      </c>
      <c r="I2667" s="2" t="s">
        <v>29</v>
      </c>
    </row>
    <row r="2668" spans="1:9" x14ac:dyDescent="0.35">
      <c r="A2668" s="2" t="s">
        <v>2706</v>
      </c>
      <c r="B2668" s="3">
        <v>44570</v>
      </c>
      <c r="C2668" s="2" t="s">
        <v>25</v>
      </c>
      <c r="D2668" s="2" t="s">
        <v>41</v>
      </c>
      <c r="E2668" s="2" t="s">
        <v>12</v>
      </c>
      <c r="F2668" s="2">
        <v>1059.9100000000001</v>
      </c>
      <c r="G2668" s="2">
        <v>223.42</v>
      </c>
      <c r="H2668" s="2" t="s">
        <v>28</v>
      </c>
      <c r="I2668" s="2" t="s">
        <v>14</v>
      </c>
    </row>
    <row r="2669" spans="1:9" x14ac:dyDescent="0.35">
      <c r="A2669" s="2" t="s">
        <v>2707</v>
      </c>
      <c r="B2669" s="3">
        <v>44687</v>
      </c>
      <c r="C2669" s="2" t="s">
        <v>16</v>
      </c>
      <c r="D2669" s="2" t="s">
        <v>17</v>
      </c>
      <c r="E2669" s="2" t="s">
        <v>18</v>
      </c>
      <c r="F2669" s="2">
        <v>1255.3900000000001</v>
      </c>
      <c r="G2669" s="2">
        <v>122.13</v>
      </c>
      <c r="H2669" s="2" t="s">
        <v>13</v>
      </c>
      <c r="I2669" s="2" t="s">
        <v>14</v>
      </c>
    </row>
    <row r="2670" spans="1:9" x14ac:dyDescent="0.35">
      <c r="A2670" s="2" t="s">
        <v>2708</v>
      </c>
      <c r="B2670" s="3">
        <v>45158</v>
      </c>
      <c r="C2670" s="2" t="s">
        <v>25</v>
      </c>
      <c r="D2670" s="2" t="s">
        <v>95</v>
      </c>
      <c r="E2670" s="2" t="s">
        <v>18</v>
      </c>
      <c r="F2670" s="2">
        <v>251.85</v>
      </c>
      <c r="G2670" s="2">
        <v>56.2</v>
      </c>
      <c r="H2670" s="2" t="s">
        <v>13</v>
      </c>
      <c r="I2670" s="2" t="s">
        <v>14</v>
      </c>
    </row>
    <row r="2671" spans="1:9" x14ac:dyDescent="0.35">
      <c r="A2671" s="2" t="s">
        <v>2709</v>
      </c>
      <c r="B2671" s="3">
        <v>44675</v>
      </c>
      <c r="C2671" s="2" t="s">
        <v>10</v>
      </c>
      <c r="D2671" s="2" t="s">
        <v>62</v>
      </c>
      <c r="E2671" s="2" t="s">
        <v>27</v>
      </c>
      <c r="F2671" s="2">
        <v>1626.37</v>
      </c>
      <c r="G2671" s="2">
        <v>445.66</v>
      </c>
      <c r="H2671" s="2" t="s">
        <v>19</v>
      </c>
      <c r="I2671" s="2" t="s">
        <v>14</v>
      </c>
    </row>
    <row r="2672" spans="1:9" x14ac:dyDescent="0.35">
      <c r="A2672" s="2" t="s">
        <v>2710</v>
      </c>
      <c r="B2672" s="3">
        <v>45568</v>
      </c>
      <c r="C2672" s="2" t="s">
        <v>25</v>
      </c>
      <c r="D2672" s="2" t="s">
        <v>38</v>
      </c>
      <c r="E2672" s="2" t="s">
        <v>12</v>
      </c>
      <c r="F2672" s="2">
        <v>256.79000000000002</v>
      </c>
      <c r="G2672" s="2">
        <v>18.52</v>
      </c>
      <c r="H2672" s="2" t="s">
        <v>19</v>
      </c>
      <c r="I2672" s="2" t="s">
        <v>14</v>
      </c>
    </row>
    <row r="2673" spans="1:9" x14ac:dyDescent="0.35">
      <c r="A2673" s="2" t="s">
        <v>2711</v>
      </c>
      <c r="B2673" s="3">
        <v>45218</v>
      </c>
      <c r="C2673" s="2" t="s">
        <v>25</v>
      </c>
      <c r="D2673" s="2" t="s">
        <v>41</v>
      </c>
      <c r="E2673" s="2" t="s">
        <v>12</v>
      </c>
      <c r="F2673" s="2">
        <v>1703.03</v>
      </c>
      <c r="G2673" s="2">
        <v>85.58</v>
      </c>
      <c r="H2673" s="2" t="s">
        <v>28</v>
      </c>
      <c r="I2673" s="2" t="s">
        <v>20</v>
      </c>
    </row>
    <row r="2674" spans="1:9" x14ac:dyDescent="0.35">
      <c r="A2674" s="2" t="s">
        <v>2712</v>
      </c>
      <c r="B2674" s="3">
        <v>44593</v>
      </c>
      <c r="C2674" s="2" t="s">
        <v>16</v>
      </c>
      <c r="D2674" s="2" t="s">
        <v>26</v>
      </c>
      <c r="E2674" s="2" t="s">
        <v>27</v>
      </c>
      <c r="F2674" s="2">
        <v>147.49</v>
      </c>
      <c r="G2674" s="2">
        <v>43.23</v>
      </c>
      <c r="H2674" s="2" t="s">
        <v>28</v>
      </c>
      <c r="I2674" s="2" t="s">
        <v>20</v>
      </c>
    </row>
    <row r="2675" spans="1:9" x14ac:dyDescent="0.35">
      <c r="A2675" s="2" t="s">
        <v>2713</v>
      </c>
      <c r="B2675" s="3">
        <v>45352</v>
      </c>
      <c r="C2675" s="2" t="s">
        <v>10</v>
      </c>
      <c r="D2675" s="2" t="s">
        <v>41</v>
      </c>
      <c r="E2675" s="2" t="s">
        <v>12</v>
      </c>
      <c r="F2675" s="2">
        <v>1088.22</v>
      </c>
      <c r="G2675" s="2">
        <v>67.290000000000006</v>
      </c>
      <c r="H2675" s="2" t="s">
        <v>28</v>
      </c>
      <c r="I2675" s="2" t="s">
        <v>29</v>
      </c>
    </row>
    <row r="2676" spans="1:9" x14ac:dyDescent="0.35">
      <c r="A2676" s="2" t="s">
        <v>2714</v>
      </c>
      <c r="B2676" s="3">
        <v>44605</v>
      </c>
      <c r="C2676" s="2" t="s">
        <v>25</v>
      </c>
      <c r="D2676" s="2" t="s">
        <v>17</v>
      </c>
      <c r="E2676" s="2" t="s">
        <v>18</v>
      </c>
      <c r="F2676" s="2">
        <v>884</v>
      </c>
      <c r="G2676" s="2">
        <v>170.3</v>
      </c>
      <c r="H2676" s="2" t="s">
        <v>13</v>
      </c>
      <c r="I2676" s="2" t="s">
        <v>34</v>
      </c>
    </row>
    <row r="2677" spans="1:9" x14ac:dyDescent="0.35">
      <c r="A2677" s="2" t="s">
        <v>2715</v>
      </c>
      <c r="B2677" s="3">
        <v>45645</v>
      </c>
      <c r="C2677" s="2" t="s">
        <v>22</v>
      </c>
      <c r="D2677" s="2" t="s">
        <v>57</v>
      </c>
      <c r="E2677" s="2" t="s">
        <v>27</v>
      </c>
      <c r="F2677" s="2">
        <v>211.68</v>
      </c>
      <c r="G2677" s="2">
        <v>50.73</v>
      </c>
      <c r="H2677" s="2" t="s">
        <v>19</v>
      </c>
      <c r="I2677" s="2" t="s">
        <v>14</v>
      </c>
    </row>
    <row r="2678" spans="1:9" x14ac:dyDescent="0.35">
      <c r="A2678" s="2" t="s">
        <v>2716</v>
      </c>
      <c r="B2678" s="3">
        <v>44950</v>
      </c>
      <c r="C2678" s="2" t="s">
        <v>16</v>
      </c>
      <c r="D2678" s="2" t="s">
        <v>38</v>
      </c>
      <c r="E2678" s="2" t="s">
        <v>12</v>
      </c>
      <c r="F2678" s="2">
        <v>1375.74</v>
      </c>
      <c r="G2678" s="2">
        <v>101.31</v>
      </c>
      <c r="H2678" s="2" t="s">
        <v>19</v>
      </c>
      <c r="I2678" s="2" t="s">
        <v>29</v>
      </c>
    </row>
    <row r="2679" spans="1:9" x14ac:dyDescent="0.35">
      <c r="A2679" s="2" t="s">
        <v>2717</v>
      </c>
      <c r="B2679" s="3">
        <v>44977</v>
      </c>
      <c r="C2679" s="2" t="s">
        <v>16</v>
      </c>
      <c r="D2679" s="2" t="s">
        <v>95</v>
      </c>
      <c r="E2679" s="2" t="s">
        <v>18</v>
      </c>
      <c r="F2679" s="2">
        <v>918.5</v>
      </c>
      <c r="G2679" s="2">
        <v>110.44</v>
      </c>
      <c r="H2679" s="2" t="s">
        <v>28</v>
      </c>
      <c r="I2679" s="2" t="s">
        <v>34</v>
      </c>
    </row>
    <row r="2680" spans="1:9" x14ac:dyDescent="0.35">
      <c r="A2680" s="2" t="s">
        <v>2718</v>
      </c>
      <c r="B2680" s="3">
        <v>45136</v>
      </c>
      <c r="C2680" s="2" t="s">
        <v>16</v>
      </c>
      <c r="D2680" s="2" t="s">
        <v>17</v>
      </c>
      <c r="E2680" s="2" t="s">
        <v>18</v>
      </c>
      <c r="F2680" s="2">
        <v>1239.94</v>
      </c>
      <c r="G2680" s="2">
        <v>239.08</v>
      </c>
      <c r="H2680" s="2" t="s">
        <v>28</v>
      </c>
      <c r="I2680" s="2" t="s">
        <v>29</v>
      </c>
    </row>
    <row r="2681" spans="1:9" x14ac:dyDescent="0.35">
      <c r="A2681" s="2" t="s">
        <v>2719</v>
      </c>
      <c r="B2681" s="3">
        <v>45340</v>
      </c>
      <c r="C2681" s="2" t="s">
        <v>10</v>
      </c>
      <c r="D2681" s="2" t="s">
        <v>11</v>
      </c>
      <c r="E2681" s="2" t="s">
        <v>12</v>
      </c>
      <c r="F2681" s="2">
        <v>278.89</v>
      </c>
      <c r="G2681" s="2">
        <v>20.6</v>
      </c>
      <c r="H2681" s="2" t="s">
        <v>28</v>
      </c>
      <c r="I2681" s="2" t="s">
        <v>34</v>
      </c>
    </row>
    <row r="2682" spans="1:9" x14ac:dyDescent="0.35">
      <c r="A2682" s="2" t="s">
        <v>2720</v>
      </c>
      <c r="B2682" s="3">
        <v>45210</v>
      </c>
      <c r="C2682" s="2" t="s">
        <v>16</v>
      </c>
      <c r="D2682" s="2" t="s">
        <v>11</v>
      </c>
      <c r="E2682" s="2" t="s">
        <v>12</v>
      </c>
      <c r="F2682" s="2">
        <v>756.66</v>
      </c>
      <c r="G2682" s="2">
        <v>150.6</v>
      </c>
      <c r="H2682" s="2" t="s">
        <v>28</v>
      </c>
      <c r="I2682" s="2" t="s">
        <v>20</v>
      </c>
    </row>
    <row r="2683" spans="1:9" x14ac:dyDescent="0.35">
      <c r="A2683" s="2" t="s">
        <v>2721</v>
      </c>
      <c r="B2683" s="3">
        <v>44685</v>
      </c>
      <c r="C2683" s="2" t="s">
        <v>25</v>
      </c>
      <c r="D2683" s="2" t="s">
        <v>11</v>
      </c>
      <c r="E2683" s="2" t="s">
        <v>12</v>
      </c>
      <c r="F2683" s="2">
        <v>1306.05</v>
      </c>
      <c r="G2683" s="2">
        <v>223.14</v>
      </c>
      <c r="H2683" s="2" t="s">
        <v>13</v>
      </c>
      <c r="I2683" s="2" t="s">
        <v>20</v>
      </c>
    </row>
    <row r="2684" spans="1:9" x14ac:dyDescent="0.35">
      <c r="A2684" s="2" t="s">
        <v>2722</v>
      </c>
      <c r="B2684" s="3">
        <v>44678</v>
      </c>
      <c r="C2684" s="2" t="s">
        <v>10</v>
      </c>
      <c r="D2684" s="2" t="s">
        <v>17</v>
      </c>
      <c r="E2684" s="2" t="s">
        <v>18</v>
      </c>
      <c r="F2684" s="2">
        <v>1631.27</v>
      </c>
      <c r="G2684" s="2">
        <v>90.95</v>
      </c>
      <c r="H2684" s="2" t="s">
        <v>13</v>
      </c>
      <c r="I2684" s="2" t="s">
        <v>20</v>
      </c>
    </row>
    <row r="2685" spans="1:9" x14ac:dyDescent="0.35">
      <c r="A2685" s="2" t="s">
        <v>2723</v>
      </c>
      <c r="B2685" s="3">
        <v>44597</v>
      </c>
      <c r="C2685" s="2" t="s">
        <v>22</v>
      </c>
      <c r="D2685" s="2" t="s">
        <v>46</v>
      </c>
      <c r="E2685" s="2" t="s">
        <v>18</v>
      </c>
      <c r="F2685" s="2">
        <v>407.29</v>
      </c>
      <c r="G2685" s="2">
        <v>32.21</v>
      </c>
      <c r="H2685" s="2" t="s">
        <v>13</v>
      </c>
      <c r="I2685" s="2" t="s">
        <v>20</v>
      </c>
    </row>
    <row r="2686" spans="1:9" x14ac:dyDescent="0.35">
      <c r="A2686" s="2" t="s">
        <v>2724</v>
      </c>
      <c r="B2686" s="3">
        <v>44674</v>
      </c>
      <c r="C2686" s="2" t="s">
        <v>25</v>
      </c>
      <c r="D2686" s="2" t="s">
        <v>50</v>
      </c>
      <c r="E2686" s="2" t="s">
        <v>12</v>
      </c>
      <c r="F2686" s="2">
        <v>547.75</v>
      </c>
      <c r="G2686" s="2">
        <v>76.53</v>
      </c>
      <c r="H2686" s="2" t="s">
        <v>28</v>
      </c>
      <c r="I2686" s="2" t="s">
        <v>20</v>
      </c>
    </row>
    <row r="2687" spans="1:9" x14ac:dyDescent="0.35">
      <c r="A2687" s="2" t="s">
        <v>2725</v>
      </c>
      <c r="B2687" s="3">
        <v>45119</v>
      </c>
      <c r="C2687" s="2" t="s">
        <v>22</v>
      </c>
      <c r="D2687" s="2" t="s">
        <v>38</v>
      </c>
      <c r="E2687" s="2" t="s">
        <v>12</v>
      </c>
      <c r="F2687" s="2">
        <v>451.06</v>
      </c>
      <c r="G2687" s="2">
        <v>112.15</v>
      </c>
      <c r="H2687" s="2" t="s">
        <v>19</v>
      </c>
      <c r="I2687" s="2" t="s">
        <v>29</v>
      </c>
    </row>
    <row r="2688" spans="1:9" x14ac:dyDescent="0.35">
      <c r="A2688" s="2" t="s">
        <v>2726</v>
      </c>
      <c r="B2688" s="3">
        <v>45008</v>
      </c>
      <c r="C2688" s="2" t="s">
        <v>22</v>
      </c>
      <c r="D2688" s="2" t="s">
        <v>50</v>
      </c>
      <c r="E2688" s="2" t="s">
        <v>12</v>
      </c>
      <c r="F2688" s="2">
        <v>1767.58</v>
      </c>
      <c r="G2688" s="2">
        <v>205.7</v>
      </c>
      <c r="H2688" s="2" t="s">
        <v>28</v>
      </c>
      <c r="I2688" s="2" t="s">
        <v>29</v>
      </c>
    </row>
    <row r="2689" spans="1:9" x14ac:dyDescent="0.35">
      <c r="A2689" s="2" t="s">
        <v>2727</v>
      </c>
      <c r="B2689" s="3">
        <v>44701</v>
      </c>
      <c r="C2689" s="2" t="s">
        <v>16</v>
      </c>
      <c r="D2689" s="2" t="s">
        <v>17</v>
      </c>
      <c r="E2689" s="2" t="s">
        <v>18</v>
      </c>
      <c r="F2689" s="2">
        <v>1903</v>
      </c>
      <c r="G2689" s="2">
        <v>255.12</v>
      </c>
      <c r="H2689" s="2" t="s">
        <v>19</v>
      </c>
      <c r="I2689" s="2" t="s">
        <v>34</v>
      </c>
    </row>
    <row r="2690" spans="1:9" x14ac:dyDescent="0.35">
      <c r="A2690" s="2" t="s">
        <v>2728</v>
      </c>
      <c r="B2690" s="3">
        <v>45101</v>
      </c>
      <c r="C2690" s="2" t="s">
        <v>25</v>
      </c>
      <c r="D2690" s="2" t="s">
        <v>62</v>
      </c>
      <c r="E2690" s="2" t="s">
        <v>27</v>
      </c>
      <c r="F2690" s="2">
        <v>1977.44</v>
      </c>
      <c r="G2690" s="2">
        <v>550.64</v>
      </c>
      <c r="H2690" s="2" t="s">
        <v>28</v>
      </c>
      <c r="I2690" s="2" t="s">
        <v>14</v>
      </c>
    </row>
    <row r="2691" spans="1:9" x14ac:dyDescent="0.35">
      <c r="A2691" s="2" t="s">
        <v>2729</v>
      </c>
      <c r="B2691" s="3">
        <v>45524</v>
      </c>
      <c r="C2691" s="2" t="s">
        <v>22</v>
      </c>
      <c r="D2691" s="2" t="s">
        <v>33</v>
      </c>
      <c r="E2691" s="2" t="s">
        <v>18</v>
      </c>
      <c r="F2691" s="2">
        <v>704.19</v>
      </c>
      <c r="G2691" s="2">
        <v>90.12</v>
      </c>
      <c r="H2691" s="2" t="s">
        <v>19</v>
      </c>
      <c r="I2691" s="2" t="s">
        <v>20</v>
      </c>
    </row>
    <row r="2692" spans="1:9" x14ac:dyDescent="0.35">
      <c r="A2692" s="2" t="s">
        <v>2730</v>
      </c>
      <c r="B2692" s="3">
        <v>45183</v>
      </c>
      <c r="C2692" s="2" t="s">
        <v>16</v>
      </c>
      <c r="D2692" s="2" t="s">
        <v>31</v>
      </c>
      <c r="E2692" s="2" t="s">
        <v>12</v>
      </c>
      <c r="F2692" s="2">
        <v>1964.66</v>
      </c>
      <c r="G2692" s="2">
        <v>243.6</v>
      </c>
      <c r="H2692" s="2" t="s">
        <v>13</v>
      </c>
      <c r="I2692" s="2" t="s">
        <v>14</v>
      </c>
    </row>
    <row r="2693" spans="1:9" x14ac:dyDescent="0.35">
      <c r="A2693" s="2" t="s">
        <v>2731</v>
      </c>
      <c r="B2693" s="3">
        <v>44685</v>
      </c>
      <c r="C2693" s="2" t="s">
        <v>25</v>
      </c>
      <c r="D2693" s="2" t="s">
        <v>23</v>
      </c>
      <c r="E2693" s="2" t="s">
        <v>18</v>
      </c>
      <c r="F2693" s="2">
        <v>1631.63</v>
      </c>
      <c r="G2693" s="2">
        <v>209.95</v>
      </c>
      <c r="H2693" s="2" t="s">
        <v>19</v>
      </c>
      <c r="I2693" s="2" t="s">
        <v>20</v>
      </c>
    </row>
    <row r="2694" spans="1:9" x14ac:dyDescent="0.35">
      <c r="A2694" s="2" t="s">
        <v>2732</v>
      </c>
      <c r="B2694" s="3">
        <v>44696</v>
      </c>
      <c r="C2694" s="2" t="s">
        <v>10</v>
      </c>
      <c r="D2694" s="2" t="s">
        <v>50</v>
      </c>
      <c r="E2694" s="2" t="s">
        <v>12</v>
      </c>
      <c r="F2694" s="2">
        <v>460.92</v>
      </c>
      <c r="G2694" s="2">
        <v>103.99</v>
      </c>
      <c r="H2694" s="2" t="s">
        <v>28</v>
      </c>
      <c r="I2694" s="2" t="s">
        <v>29</v>
      </c>
    </row>
    <row r="2695" spans="1:9" x14ac:dyDescent="0.35">
      <c r="A2695" s="2" t="s">
        <v>2733</v>
      </c>
      <c r="B2695" s="3">
        <v>44958</v>
      </c>
      <c r="C2695" s="2" t="s">
        <v>25</v>
      </c>
      <c r="D2695" s="2" t="s">
        <v>11</v>
      </c>
      <c r="E2695" s="2" t="s">
        <v>12</v>
      </c>
      <c r="F2695" s="2">
        <v>256.08</v>
      </c>
      <c r="G2695" s="2">
        <v>43.58</v>
      </c>
      <c r="H2695" s="2" t="s">
        <v>28</v>
      </c>
      <c r="I2695" s="2" t="s">
        <v>20</v>
      </c>
    </row>
    <row r="2696" spans="1:9" x14ac:dyDescent="0.35">
      <c r="A2696" s="2" t="s">
        <v>2734</v>
      </c>
      <c r="B2696" s="3">
        <v>44814</v>
      </c>
      <c r="C2696" s="2" t="s">
        <v>16</v>
      </c>
      <c r="D2696" s="2" t="s">
        <v>33</v>
      </c>
      <c r="E2696" s="2" t="s">
        <v>18</v>
      </c>
      <c r="F2696" s="2">
        <v>493.3</v>
      </c>
      <c r="G2696" s="2">
        <v>85.17</v>
      </c>
      <c r="H2696" s="2" t="s">
        <v>19</v>
      </c>
      <c r="I2696" s="2" t="s">
        <v>20</v>
      </c>
    </row>
    <row r="2697" spans="1:9" x14ac:dyDescent="0.35">
      <c r="A2697" s="2" t="s">
        <v>2735</v>
      </c>
      <c r="B2697" s="3">
        <v>45626</v>
      </c>
      <c r="C2697" s="2" t="s">
        <v>16</v>
      </c>
      <c r="D2697" s="2" t="s">
        <v>38</v>
      </c>
      <c r="E2697" s="2" t="s">
        <v>12</v>
      </c>
      <c r="F2697" s="2">
        <v>555.37</v>
      </c>
      <c r="G2697" s="2">
        <v>145.32</v>
      </c>
      <c r="H2697" s="2" t="s">
        <v>28</v>
      </c>
      <c r="I2697" s="2" t="s">
        <v>20</v>
      </c>
    </row>
    <row r="2698" spans="1:9" x14ac:dyDescent="0.35">
      <c r="A2698" s="2" t="s">
        <v>2736</v>
      </c>
      <c r="B2698" s="3">
        <v>45287</v>
      </c>
      <c r="C2698" s="2" t="s">
        <v>10</v>
      </c>
      <c r="D2698" s="2" t="s">
        <v>57</v>
      </c>
      <c r="E2698" s="2" t="s">
        <v>27</v>
      </c>
      <c r="F2698" s="2">
        <v>494.15</v>
      </c>
      <c r="G2698" s="2">
        <v>108.98</v>
      </c>
      <c r="H2698" s="2" t="s">
        <v>19</v>
      </c>
      <c r="I2698" s="2" t="s">
        <v>29</v>
      </c>
    </row>
    <row r="2699" spans="1:9" x14ac:dyDescent="0.35">
      <c r="A2699" s="2" t="s">
        <v>2737</v>
      </c>
      <c r="B2699" s="3">
        <v>44607</v>
      </c>
      <c r="C2699" s="2" t="s">
        <v>10</v>
      </c>
      <c r="D2699" s="2" t="s">
        <v>11</v>
      </c>
      <c r="E2699" s="2" t="s">
        <v>12</v>
      </c>
      <c r="F2699" s="2">
        <v>1438.34</v>
      </c>
      <c r="G2699" s="2">
        <v>214.07</v>
      </c>
      <c r="H2699" s="2" t="s">
        <v>13</v>
      </c>
      <c r="I2699" s="2" t="s">
        <v>34</v>
      </c>
    </row>
    <row r="2700" spans="1:9" x14ac:dyDescent="0.35">
      <c r="A2700" s="2" t="s">
        <v>2738</v>
      </c>
      <c r="B2700" s="3">
        <v>44616</v>
      </c>
      <c r="C2700" s="2" t="s">
        <v>22</v>
      </c>
      <c r="D2700" s="2" t="s">
        <v>50</v>
      </c>
      <c r="E2700" s="2" t="s">
        <v>12</v>
      </c>
      <c r="F2700" s="2">
        <v>1928.11</v>
      </c>
      <c r="G2700" s="2">
        <v>331.76</v>
      </c>
      <c r="H2700" s="2" t="s">
        <v>28</v>
      </c>
      <c r="I2700" s="2" t="s">
        <v>29</v>
      </c>
    </row>
    <row r="2701" spans="1:9" x14ac:dyDescent="0.35">
      <c r="A2701" s="2" t="s">
        <v>2739</v>
      </c>
      <c r="B2701" s="3">
        <v>45285</v>
      </c>
      <c r="C2701" s="2" t="s">
        <v>22</v>
      </c>
      <c r="D2701" s="2" t="s">
        <v>73</v>
      </c>
      <c r="E2701" s="2" t="s">
        <v>27</v>
      </c>
      <c r="F2701" s="2">
        <v>1348.63</v>
      </c>
      <c r="G2701" s="2">
        <v>78.56</v>
      </c>
      <c r="H2701" s="2" t="s">
        <v>13</v>
      </c>
      <c r="I2701" s="2" t="s">
        <v>14</v>
      </c>
    </row>
    <row r="2702" spans="1:9" x14ac:dyDescent="0.35">
      <c r="A2702" s="2" t="s">
        <v>2740</v>
      </c>
      <c r="B2702" s="3">
        <v>45264</v>
      </c>
      <c r="C2702" s="2" t="s">
        <v>25</v>
      </c>
      <c r="D2702" s="2" t="s">
        <v>33</v>
      </c>
      <c r="E2702" s="2" t="s">
        <v>18</v>
      </c>
      <c r="F2702" s="2">
        <v>744.12</v>
      </c>
      <c r="G2702" s="2">
        <v>179.4</v>
      </c>
      <c r="H2702" s="2" t="s">
        <v>28</v>
      </c>
      <c r="I2702" s="2" t="s">
        <v>20</v>
      </c>
    </row>
    <row r="2703" spans="1:9" x14ac:dyDescent="0.35">
      <c r="A2703" s="2" t="s">
        <v>2741</v>
      </c>
      <c r="B2703" s="3">
        <v>45326</v>
      </c>
      <c r="C2703" s="2" t="s">
        <v>16</v>
      </c>
      <c r="D2703" s="2" t="s">
        <v>26</v>
      </c>
      <c r="E2703" s="2" t="s">
        <v>27</v>
      </c>
      <c r="F2703" s="2">
        <v>1789.64</v>
      </c>
      <c r="G2703" s="2">
        <v>348.63</v>
      </c>
      <c r="H2703" s="2" t="s">
        <v>19</v>
      </c>
      <c r="I2703" s="2" t="s">
        <v>20</v>
      </c>
    </row>
    <row r="2704" spans="1:9" x14ac:dyDescent="0.35">
      <c r="A2704" s="2" t="s">
        <v>2742</v>
      </c>
      <c r="B2704" s="3">
        <v>45505</v>
      </c>
      <c r="C2704" s="2" t="s">
        <v>22</v>
      </c>
      <c r="D2704" s="2" t="s">
        <v>17</v>
      </c>
      <c r="E2704" s="2" t="s">
        <v>18</v>
      </c>
      <c r="F2704" s="2">
        <v>1688.54</v>
      </c>
      <c r="G2704" s="2">
        <v>433.37</v>
      </c>
      <c r="H2704" s="2" t="s">
        <v>13</v>
      </c>
      <c r="I2704" s="2" t="s">
        <v>20</v>
      </c>
    </row>
    <row r="2705" spans="1:9" x14ac:dyDescent="0.35">
      <c r="A2705" s="2" t="s">
        <v>2743</v>
      </c>
      <c r="B2705" s="3">
        <v>45083</v>
      </c>
      <c r="C2705" s="2" t="s">
        <v>22</v>
      </c>
      <c r="D2705" s="2" t="s">
        <v>97</v>
      </c>
      <c r="E2705" s="2" t="s">
        <v>27</v>
      </c>
      <c r="F2705" s="2">
        <v>575.15</v>
      </c>
      <c r="G2705" s="2">
        <v>50.97</v>
      </c>
      <c r="H2705" s="2" t="s">
        <v>19</v>
      </c>
      <c r="I2705" s="2" t="s">
        <v>29</v>
      </c>
    </row>
    <row r="2706" spans="1:9" x14ac:dyDescent="0.35">
      <c r="A2706" s="2" t="s">
        <v>2744</v>
      </c>
      <c r="B2706" s="3">
        <v>45245</v>
      </c>
      <c r="C2706" s="2" t="s">
        <v>16</v>
      </c>
      <c r="D2706" s="2" t="s">
        <v>46</v>
      </c>
      <c r="E2706" s="2" t="s">
        <v>18</v>
      </c>
      <c r="F2706" s="2">
        <v>363.66</v>
      </c>
      <c r="G2706" s="2">
        <v>51.72</v>
      </c>
      <c r="H2706" s="2" t="s">
        <v>28</v>
      </c>
      <c r="I2706" s="2" t="s">
        <v>34</v>
      </c>
    </row>
    <row r="2707" spans="1:9" x14ac:dyDescent="0.35">
      <c r="A2707" s="2" t="s">
        <v>2745</v>
      </c>
      <c r="B2707" s="3">
        <v>44599</v>
      </c>
      <c r="C2707" s="2" t="s">
        <v>22</v>
      </c>
      <c r="D2707" s="2" t="s">
        <v>11</v>
      </c>
      <c r="E2707" s="2" t="s">
        <v>12</v>
      </c>
      <c r="F2707" s="2">
        <v>622.16999999999996</v>
      </c>
      <c r="G2707" s="2">
        <v>164.5</v>
      </c>
      <c r="H2707" s="2" t="s">
        <v>13</v>
      </c>
      <c r="I2707" s="2" t="s">
        <v>20</v>
      </c>
    </row>
    <row r="2708" spans="1:9" x14ac:dyDescent="0.35">
      <c r="A2708" s="2" t="s">
        <v>2746</v>
      </c>
      <c r="B2708" s="3">
        <v>45157</v>
      </c>
      <c r="C2708" s="2" t="s">
        <v>25</v>
      </c>
      <c r="D2708" s="2" t="s">
        <v>33</v>
      </c>
      <c r="E2708" s="2" t="s">
        <v>18</v>
      </c>
      <c r="F2708" s="2">
        <v>637.98</v>
      </c>
      <c r="G2708" s="2">
        <v>39</v>
      </c>
      <c r="H2708" s="2" t="s">
        <v>19</v>
      </c>
      <c r="I2708" s="2" t="s">
        <v>20</v>
      </c>
    </row>
    <row r="2709" spans="1:9" x14ac:dyDescent="0.35">
      <c r="A2709" s="2" t="s">
        <v>2747</v>
      </c>
      <c r="B2709" s="3">
        <v>44572</v>
      </c>
      <c r="C2709" s="2" t="s">
        <v>10</v>
      </c>
      <c r="D2709" s="2" t="s">
        <v>11</v>
      </c>
      <c r="E2709" s="2" t="s">
        <v>12</v>
      </c>
      <c r="F2709" s="2">
        <v>680.32</v>
      </c>
      <c r="G2709" s="2">
        <v>203.88</v>
      </c>
      <c r="H2709" s="2" t="s">
        <v>19</v>
      </c>
      <c r="I2709" s="2" t="s">
        <v>29</v>
      </c>
    </row>
    <row r="2710" spans="1:9" x14ac:dyDescent="0.35">
      <c r="A2710" s="2" t="s">
        <v>2748</v>
      </c>
      <c r="B2710" s="3">
        <v>44572</v>
      </c>
      <c r="C2710" s="2" t="s">
        <v>16</v>
      </c>
      <c r="D2710" s="2" t="s">
        <v>17</v>
      </c>
      <c r="E2710" s="2" t="s">
        <v>18</v>
      </c>
      <c r="F2710" s="2">
        <v>1917.77</v>
      </c>
      <c r="G2710" s="2">
        <v>391.58</v>
      </c>
      <c r="H2710" s="2" t="s">
        <v>19</v>
      </c>
      <c r="I2710" s="2" t="s">
        <v>34</v>
      </c>
    </row>
    <row r="2711" spans="1:9" x14ac:dyDescent="0.35">
      <c r="A2711" s="2" t="s">
        <v>2749</v>
      </c>
      <c r="B2711" s="3">
        <v>44898</v>
      </c>
      <c r="C2711" s="2" t="s">
        <v>16</v>
      </c>
      <c r="D2711" s="2" t="s">
        <v>73</v>
      </c>
      <c r="E2711" s="2" t="s">
        <v>27</v>
      </c>
      <c r="F2711" s="2">
        <v>1997.06</v>
      </c>
      <c r="G2711" s="2">
        <v>331.07</v>
      </c>
      <c r="H2711" s="2" t="s">
        <v>28</v>
      </c>
      <c r="I2711" s="2" t="s">
        <v>20</v>
      </c>
    </row>
    <row r="2712" spans="1:9" x14ac:dyDescent="0.35">
      <c r="A2712" s="2" t="s">
        <v>2750</v>
      </c>
      <c r="B2712" s="3">
        <v>45305</v>
      </c>
      <c r="C2712" s="2" t="s">
        <v>10</v>
      </c>
      <c r="D2712" s="2" t="s">
        <v>41</v>
      </c>
      <c r="E2712" s="2" t="s">
        <v>12</v>
      </c>
      <c r="F2712" s="2">
        <v>1750.55</v>
      </c>
      <c r="G2712" s="2">
        <v>193.55</v>
      </c>
      <c r="H2712" s="2" t="s">
        <v>28</v>
      </c>
      <c r="I2712" s="2" t="s">
        <v>29</v>
      </c>
    </row>
    <row r="2713" spans="1:9" x14ac:dyDescent="0.35">
      <c r="A2713" s="2" t="s">
        <v>2751</v>
      </c>
      <c r="B2713" s="3">
        <v>45265</v>
      </c>
      <c r="C2713" s="2" t="s">
        <v>16</v>
      </c>
      <c r="D2713" s="2" t="s">
        <v>26</v>
      </c>
      <c r="E2713" s="2" t="s">
        <v>27</v>
      </c>
      <c r="F2713" s="2">
        <v>1867.36</v>
      </c>
      <c r="G2713" s="2">
        <v>386.17</v>
      </c>
      <c r="H2713" s="2" t="s">
        <v>28</v>
      </c>
      <c r="I2713" s="2" t="s">
        <v>34</v>
      </c>
    </row>
    <row r="2714" spans="1:9" x14ac:dyDescent="0.35">
      <c r="A2714" s="2" t="s">
        <v>2752</v>
      </c>
      <c r="B2714" s="3">
        <v>44894</v>
      </c>
      <c r="C2714" s="2" t="s">
        <v>22</v>
      </c>
      <c r="D2714" s="2" t="s">
        <v>97</v>
      </c>
      <c r="E2714" s="2" t="s">
        <v>27</v>
      </c>
      <c r="F2714" s="2">
        <v>266.58999999999997</v>
      </c>
      <c r="G2714" s="2">
        <v>25.7</v>
      </c>
      <c r="H2714" s="2" t="s">
        <v>19</v>
      </c>
      <c r="I2714" s="2" t="s">
        <v>20</v>
      </c>
    </row>
    <row r="2715" spans="1:9" x14ac:dyDescent="0.35">
      <c r="A2715" s="2" t="s">
        <v>2753</v>
      </c>
      <c r="B2715" s="3">
        <v>45205</v>
      </c>
      <c r="C2715" s="2" t="s">
        <v>16</v>
      </c>
      <c r="D2715" s="2" t="s">
        <v>31</v>
      </c>
      <c r="E2715" s="2" t="s">
        <v>12</v>
      </c>
      <c r="F2715" s="2">
        <v>1651.17</v>
      </c>
      <c r="G2715" s="2">
        <v>234.85</v>
      </c>
      <c r="H2715" s="2" t="s">
        <v>13</v>
      </c>
      <c r="I2715" s="2" t="s">
        <v>14</v>
      </c>
    </row>
    <row r="2716" spans="1:9" x14ac:dyDescent="0.35">
      <c r="A2716" s="2" t="s">
        <v>2754</v>
      </c>
      <c r="B2716" s="3">
        <v>44696</v>
      </c>
      <c r="C2716" s="2" t="s">
        <v>10</v>
      </c>
      <c r="D2716" s="2" t="s">
        <v>23</v>
      </c>
      <c r="E2716" s="2" t="s">
        <v>18</v>
      </c>
      <c r="F2716" s="2">
        <v>1836.53</v>
      </c>
      <c r="G2716" s="2">
        <v>531.70000000000005</v>
      </c>
      <c r="H2716" s="2" t="s">
        <v>19</v>
      </c>
      <c r="I2716" s="2" t="s">
        <v>14</v>
      </c>
    </row>
    <row r="2717" spans="1:9" x14ac:dyDescent="0.35">
      <c r="A2717" s="2" t="s">
        <v>2755</v>
      </c>
      <c r="B2717" s="3">
        <v>45312</v>
      </c>
      <c r="C2717" s="2" t="s">
        <v>16</v>
      </c>
      <c r="D2717" s="2" t="s">
        <v>46</v>
      </c>
      <c r="E2717" s="2" t="s">
        <v>18</v>
      </c>
      <c r="F2717" s="2">
        <v>848.36</v>
      </c>
      <c r="G2717" s="2">
        <v>193.55</v>
      </c>
      <c r="H2717" s="2" t="s">
        <v>28</v>
      </c>
      <c r="I2717" s="2" t="s">
        <v>20</v>
      </c>
    </row>
    <row r="2718" spans="1:9" x14ac:dyDescent="0.35">
      <c r="A2718" s="2" t="s">
        <v>2756</v>
      </c>
      <c r="B2718" s="3">
        <v>45077</v>
      </c>
      <c r="C2718" s="2" t="s">
        <v>25</v>
      </c>
      <c r="D2718" s="2" t="s">
        <v>11</v>
      </c>
      <c r="E2718" s="2" t="s">
        <v>12</v>
      </c>
      <c r="F2718" s="2">
        <v>641.77</v>
      </c>
      <c r="G2718" s="2">
        <v>131.05000000000001</v>
      </c>
      <c r="H2718" s="2" t="s">
        <v>13</v>
      </c>
      <c r="I2718" s="2" t="s">
        <v>34</v>
      </c>
    </row>
    <row r="2719" spans="1:9" x14ac:dyDescent="0.35">
      <c r="A2719" s="2" t="s">
        <v>2757</v>
      </c>
      <c r="B2719" s="3">
        <v>44804</v>
      </c>
      <c r="C2719" s="2" t="s">
        <v>22</v>
      </c>
      <c r="D2719" s="2" t="s">
        <v>57</v>
      </c>
      <c r="E2719" s="2" t="s">
        <v>27</v>
      </c>
      <c r="F2719" s="2">
        <v>933.87</v>
      </c>
      <c r="G2719" s="2">
        <v>259.86</v>
      </c>
      <c r="H2719" s="2" t="s">
        <v>28</v>
      </c>
      <c r="I2719" s="2" t="s">
        <v>34</v>
      </c>
    </row>
    <row r="2720" spans="1:9" x14ac:dyDescent="0.35">
      <c r="A2720" s="2" t="s">
        <v>2758</v>
      </c>
      <c r="B2720" s="3">
        <v>45005</v>
      </c>
      <c r="C2720" s="2" t="s">
        <v>16</v>
      </c>
      <c r="D2720" s="2" t="s">
        <v>17</v>
      </c>
      <c r="E2720" s="2" t="s">
        <v>18</v>
      </c>
      <c r="F2720" s="2">
        <v>359.98</v>
      </c>
      <c r="G2720" s="2">
        <v>86.83</v>
      </c>
      <c r="H2720" s="2" t="s">
        <v>13</v>
      </c>
      <c r="I2720" s="2" t="s">
        <v>14</v>
      </c>
    </row>
    <row r="2721" spans="1:9" x14ac:dyDescent="0.35">
      <c r="A2721" s="2" t="s">
        <v>2759</v>
      </c>
      <c r="B2721" s="3">
        <v>45130</v>
      </c>
      <c r="C2721" s="2" t="s">
        <v>10</v>
      </c>
      <c r="D2721" s="2" t="s">
        <v>38</v>
      </c>
      <c r="E2721" s="2" t="s">
        <v>12</v>
      </c>
      <c r="F2721" s="2">
        <v>1492</v>
      </c>
      <c r="G2721" s="2">
        <v>186.6</v>
      </c>
      <c r="H2721" s="2" t="s">
        <v>19</v>
      </c>
      <c r="I2721" s="2" t="s">
        <v>20</v>
      </c>
    </row>
    <row r="2722" spans="1:9" x14ac:dyDescent="0.35">
      <c r="A2722" s="2" t="s">
        <v>2760</v>
      </c>
      <c r="B2722" s="3">
        <v>44747</v>
      </c>
      <c r="C2722" s="2" t="s">
        <v>10</v>
      </c>
      <c r="D2722" s="2" t="s">
        <v>11</v>
      </c>
      <c r="E2722" s="2" t="s">
        <v>12</v>
      </c>
      <c r="F2722" s="2">
        <v>974.5</v>
      </c>
      <c r="G2722" s="2">
        <v>152.35</v>
      </c>
      <c r="H2722" s="2" t="s">
        <v>13</v>
      </c>
      <c r="I2722" s="2" t="s">
        <v>14</v>
      </c>
    </row>
    <row r="2723" spans="1:9" x14ac:dyDescent="0.35">
      <c r="A2723" s="2" t="s">
        <v>2761</v>
      </c>
      <c r="B2723" s="3">
        <v>45526</v>
      </c>
      <c r="C2723" s="2" t="s">
        <v>16</v>
      </c>
      <c r="D2723" s="2" t="s">
        <v>95</v>
      </c>
      <c r="E2723" s="2" t="s">
        <v>18</v>
      </c>
      <c r="F2723" s="2">
        <v>741.33</v>
      </c>
      <c r="G2723" s="2">
        <v>176.24</v>
      </c>
      <c r="H2723" s="2" t="s">
        <v>13</v>
      </c>
      <c r="I2723" s="2" t="s">
        <v>34</v>
      </c>
    </row>
    <row r="2724" spans="1:9" x14ac:dyDescent="0.35">
      <c r="A2724" s="2" t="s">
        <v>2762</v>
      </c>
      <c r="B2724" s="3">
        <v>45232</v>
      </c>
      <c r="C2724" s="2" t="s">
        <v>22</v>
      </c>
      <c r="D2724" s="2" t="s">
        <v>57</v>
      </c>
      <c r="E2724" s="2" t="s">
        <v>27</v>
      </c>
      <c r="F2724" s="2">
        <v>306.04000000000002</v>
      </c>
      <c r="G2724" s="2">
        <v>23.85</v>
      </c>
      <c r="H2724" s="2" t="s">
        <v>13</v>
      </c>
      <c r="I2724" s="2" t="s">
        <v>34</v>
      </c>
    </row>
    <row r="2725" spans="1:9" x14ac:dyDescent="0.35">
      <c r="A2725" s="2" t="s">
        <v>2763</v>
      </c>
      <c r="B2725" s="3">
        <v>44920</v>
      </c>
      <c r="C2725" s="2" t="s">
        <v>10</v>
      </c>
      <c r="D2725" s="2" t="s">
        <v>26</v>
      </c>
      <c r="E2725" s="2" t="s">
        <v>27</v>
      </c>
      <c r="F2725" s="2">
        <v>1383.36</v>
      </c>
      <c r="G2725" s="2">
        <v>92.23</v>
      </c>
      <c r="H2725" s="2" t="s">
        <v>13</v>
      </c>
      <c r="I2725" s="2" t="s">
        <v>29</v>
      </c>
    </row>
    <row r="2726" spans="1:9" x14ac:dyDescent="0.35">
      <c r="A2726" s="2" t="s">
        <v>2764</v>
      </c>
      <c r="B2726" s="3">
        <v>44902</v>
      </c>
      <c r="C2726" s="2" t="s">
        <v>10</v>
      </c>
      <c r="D2726" s="2" t="s">
        <v>33</v>
      </c>
      <c r="E2726" s="2" t="s">
        <v>18</v>
      </c>
      <c r="F2726" s="2">
        <v>734.6</v>
      </c>
      <c r="G2726" s="2">
        <v>81.569999999999993</v>
      </c>
      <c r="H2726" s="2" t="s">
        <v>13</v>
      </c>
      <c r="I2726" s="2" t="s">
        <v>29</v>
      </c>
    </row>
    <row r="2727" spans="1:9" x14ac:dyDescent="0.35">
      <c r="A2727" s="2" t="s">
        <v>2765</v>
      </c>
      <c r="B2727" s="3">
        <v>45277</v>
      </c>
      <c r="C2727" s="2" t="s">
        <v>16</v>
      </c>
      <c r="D2727" s="2" t="s">
        <v>57</v>
      </c>
      <c r="E2727" s="2" t="s">
        <v>27</v>
      </c>
      <c r="F2727" s="2">
        <v>1557.4</v>
      </c>
      <c r="G2727" s="2">
        <v>221.36</v>
      </c>
      <c r="H2727" s="2" t="s">
        <v>13</v>
      </c>
      <c r="I2727" s="2" t="s">
        <v>14</v>
      </c>
    </row>
    <row r="2728" spans="1:9" x14ac:dyDescent="0.35">
      <c r="A2728" s="2" t="s">
        <v>2766</v>
      </c>
      <c r="B2728" s="3">
        <v>45357</v>
      </c>
      <c r="C2728" s="2" t="s">
        <v>16</v>
      </c>
      <c r="D2728" s="2" t="s">
        <v>41</v>
      </c>
      <c r="E2728" s="2" t="s">
        <v>12</v>
      </c>
      <c r="F2728" s="2">
        <v>1829</v>
      </c>
      <c r="G2728" s="2">
        <v>143.68</v>
      </c>
      <c r="H2728" s="2" t="s">
        <v>19</v>
      </c>
      <c r="I2728" s="2" t="s">
        <v>34</v>
      </c>
    </row>
    <row r="2729" spans="1:9" x14ac:dyDescent="0.35">
      <c r="A2729" s="2" t="s">
        <v>2767</v>
      </c>
      <c r="B2729" s="3">
        <v>44928</v>
      </c>
      <c r="C2729" s="2" t="s">
        <v>25</v>
      </c>
      <c r="D2729" s="2" t="s">
        <v>38</v>
      </c>
      <c r="E2729" s="2" t="s">
        <v>12</v>
      </c>
      <c r="F2729" s="2">
        <v>1718.31</v>
      </c>
      <c r="G2729" s="2">
        <v>312.68</v>
      </c>
      <c r="H2729" s="2" t="s">
        <v>28</v>
      </c>
      <c r="I2729" s="2" t="s">
        <v>34</v>
      </c>
    </row>
    <row r="2730" spans="1:9" x14ac:dyDescent="0.35">
      <c r="A2730" s="2" t="s">
        <v>2768</v>
      </c>
      <c r="B2730" s="3">
        <v>44615</v>
      </c>
      <c r="C2730" s="2" t="s">
        <v>10</v>
      </c>
      <c r="D2730" s="2" t="s">
        <v>46</v>
      </c>
      <c r="E2730" s="2" t="s">
        <v>18</v>
      </c>
      <c r="F2730" s="2">
        <v>1179.3399999999999</v>
      </c>
      <c r="G2730" s="2">
        <v>181.97</v>
      </c>
      <c r="H2730" s="2" t="s">
        <v>19</v>
      </c>
      <c r="I2730" s="2" t="s">
        <v>14</v>
      </c>
    </row>
    <row r="2731" spans="1:9" x14ac:dyDescent="0.35">
      <c r="A2731" s="2" t="s">
        <v>2769</v>
      </c>
      <c r="B2731" s="3">
        <v>44936</v>
      </c>
      <c r="C2731" s="2" t="s">
        <v>10</v>
      </c>
      <c r="D2731" s="2" t="s">
        <v>73</v>
      </c>
      <c r="E2731" s="2" t="s">
        <v>27</v>
      </c>
      <c r="F2731" s="2">
        <v>741.83</v>
      </c>
      <c r="G2731" s="2">
        <v>171.48</v>
      </c>
      <c r="H2731" s="2" t="s">
        <v>13</v>
      </c>
      <c r="I2731" s="2" t="s">
        <v>34</v>
      </c>
    </row>
    <row r="2732" spans="1:9" x14ac:dyDescent="0.35">
      <c r="A2732" s="2" t="s">
        <v>2770</v>
      </c>
      <c r="B2732" s="3">
        <v>45270</v>
      </c>
      <c r="C2732" s="2" t="s">
        <v>10</v>
      </c>
      <c r="D2732" s="2" t="s">
        <v>17</v>
      </c>
      <c r="E2732" s="2" t="s">
        <v>18</v>
      </c>
      <c r="F2732" s="2">
        <v>1358.29</v>
      </c>
      <c r="G2732" s="2">
        <v>387.86</v>
      </c>
      <c r="H2732" s="2" t="s">
        <v>28</v>
      </c>
      <c r="I2732" s="2" t="s">
        <v>14</v>
      </c>
    </row>
    <row r="2733" spans="1:9" x14ac:dyDescent="0.35">
      <c r="A2733" s="2" t="s">
        <v>2771</v>
      </c>
      <c r="B2733" s="3">
        <v>45425</v>
      </c>
      <c r="C2733" s="2" t="s">
        <v>16</v>
      </c>
      <c r="D2733" s="2" t="s">
        <v>38</v>
      </c>
      <c r="E2733" s="2" t="s">
        <v>12</v>
      </c>
      <c r="F2733" s="2">
        <v>117.1</v>
      </c>
      <c r="G2733" s="2">
        <v>7.96</v>
      </c>
      <c r="H2733" s="2" t="s">
        <v>19</v>
      </c>
      <c r="I2733" s="2" t="s">
        <v>34</v>
      </c>
    </row>
    <row r="2734" spans="1:9" x14ac:dyDescent="0.35">
      <c r="A2734" s="2" t="s">
        <v>2772</v>
      </c>
      <c r="B2734" s="3">
        <v>45093</v>
      </c>
      <c r="C2734" s="2" t="s">
        <v>22</v>
      </c>
      <c r="D2734" s="2" t="s">
        <v>95</v>
      </c>
      <c r="E2734" s="2" t="s">
        <v>18</v>
      </c>
      <c r="F2734" s="2">
        <v>1110.6600000000001</v>
      </c>
      <c r="G2734" s="2">
        <v>301.22000000000003</v>
      </c>
      <c r="H2734" s="2" t="s">
        <v>13</v>
      </c>
      <c r="I2734" s="2" t="s">
        <v>29</v>
      </c>
    </row>
    <row r="2735" spans="1:9" x14ac:dyDescent="0.35">
      <c r="A2735" s="2" t="s">
        <v>2773</v>
      </c>
      <c r="B2735" s="3">
        <v>45324</v>
      </c>
      <c r="C2735" s="2" t="s">
        <v>10</v>
      </c>
      <c r="D2735" s="2" t="s">
        <v>26</v>
      </c>
      <c r="E2735" s="2" t="s">
        <v>27</v>
      </c>
      <c r="F2735" s="2">
        <v>1863.71</v>
      </c>
      <c r="G2735" s="2">
        <v>478.36</v>
      </c>
      <c r="H2735" s="2" t="s">
        <v>13</v>
      </c>
      <c r="I2735" s="2" t="s">
        <v>29</v>
      </c>
    </row>
    <row r="2736" spans="1:9" x14ac:dyDescent="0.35">
      <c r="A2736" s="2" t="s">
        <v>2774</v>
      </c>
      <c r="B2736" s="3">
        <v>44611</v>
      </c>
      <c r="C2736" s="2" t="s">
        <v>10</v>
      </c>
      <c r="D2736" s="2" t="s">
        <v>62</v>
      </c>
      <c r="E2736" s="2" t="s">
        <v>27</v>
      </c>
      <c r="F2736" s="2">
        <v>1304.82</v>
      </c>
      <c r="G2736" s="2">
        <v>309.57</v>
      </c>
      <c r="H2736" s="2" t="s">
        <v>13</v>
      </c>
      <c r="I2736" s="2" t="s">
        <v>14</v>
      </c>
    </row>
    <row r="2737" spans="1:9" x14ac:dyDescent="0.35">
      <c r="A2737" s="2" t="s">
        <v>2775</v>
      </c>
      <c r="B2737" s="3">
        <v>45076</v>
      </c>
      <c r="C2737" s="2" t="s">
        <v>22</v>
      </c>
      <c r="D2737" s="2" t="s">
        <v>11</v>
      </c>
      <c r="E2737" s="2" t="s">
        <v>12</v>
      </c>
      <c r="F2737" s="2">
        <v>1376.16</v>
      </c>
      <c r="G2737" s="2">
        <v>303.55</v>
      </c>
      <c r="H2737" s="2" t="s">
        <v>13</v>
      </c>
      <c r="I2737" s="2" t="s">
        <v>29</v>
      </c>
    </row>
    <row r="2738" spans="1:9" x14ac:dyDescent="0.35">
      <c r="A2738" s="2" t="s">
        <v>2776</v>
      </c>
      <c r="B2738" s="3">
        <v>44697</v>
      </c>
      <c r="C2738" s="2" t="s">
        <v>16</v>
      </c>
      <c r="D2738" s="2" t="s">
        <v>97</v>
      </c>
      <c r="E2738" s="2" t="s">
        <v>27</v>
      </c>
      <c r="F2738" s="2">
        <v>1223.51</v>
      </c>
      <c r="G2738" s="2">
        <v>149.69</v>
      </c>
      <c r="H2738" s="2" t="s">
        <v>13</v>
      </c>
      <c r="I2738" s="2" t="s">
        <v>34</v>
      </c>
    </row>
    <row r="2739" spans="1:9" x14ac:dyDescent="0.35">
      <c r="A2739" s="2" t="s">
        <v>2777</v>
      </c>
      <c r="B2739" s="3">
        <v>44873</v>
      </c>
      <c r="C2739" s="2" t="s">
        <v>16</v>
      </c>
      <c r="D2739" s="2" t="s">
        <v>73</v>
      </c>
      <c r="E2739" s="2" t="s">
        <v>27</v>
      </c>
      <c r="F2739" s="2">
        <v>531.23</v>
      </c>
      <c r="G2739" s="2">
        <v>125.3</v>
      </c>
      <c r="H2739" s="2" t="s">
        <v>13</v>
      </c>
      <c r="I2739" s="2" t="s">
        <v>14</v>
      </c>
    </row>
    <row r="2740" spans="1:9" x14ac:dyDescent="0.35">
      <c r="A2740" s="2" t="s">
        <v>2778</v>
      </c>
      <c r="B2740" s="3">
        <v>45654</v>
      </c>
      <c r="C2740" s="2" t="s">
        <v>10</v>
      </c>
      <c r="D2740" s="2" t="s">
        <v>26</v>
      </c>
      <c r="E2740" s="2" t="s">
        <v>27</v>
      </c>
      <c r="F2740" s="2">
        <v>1132.92</v>
      </c>
      <c r="G2740" s="2">
        <v>70.23</v>
      </c>
      <c r="H2740" s="2" t="s">
        <v>19</v>
      </c>
      <c r="I2740" s="2" t="s">
        <v>29</v>
      </c>
    </row>
    <row r="2741" spans="1:9" x14ac:dyDescent="0.35">
      <c r="A2741" s="2" t="s">
        <v>2779</v>
      </c>
      <c r="B2741" s="3">
        <v>45147</v>
      </c>
      <c r="C2741" s="2" t="s">
        <v>10</v>
      </c>
      <c r="D2741" s="2" t="s">
        <v>57</v>
      </c>
      <c r="E2741" s="2" t="s">
        <v>27</v>
      </c>
      <c r="F2741" s="2">
        <v>1173.6500000000001</v>
      </c>
      <c r="G2741" s="2">
        <v>94.55</v>
      </c>
      <c r="H2741" s="2" t="s">
        <v>19</v>
      </c>
      <c r="I2741" s="2" t="s">
        <v>14</v>
      </c>
    </row>
    <row r="2742" spans="1:9" x14ac:dyDescent="0.35">
      <c r="A2742" s="2" t="s">
        <v>2780</v>
      </c>
      <c r="B2742" s="3">
        <v>44933</v>
      </c>
      <c r="C2742" s="2" t="s">
        <v>16</v>
      </c>
      <c r="D2742" s="2" t="s">
        <v>95</v>
      </c>
      <c r="E2742" s="2" t="s">
        <v>18</v>
      </c>
      <c r="F2742" s="2">
        <v>109.3</v>
      </c>
      <c r="G2742" s="2">
        <v>6.46</v>
      </c>
      <c r="H2742" s="2" t="s">
        <v>19</v>
      </c>
      <c r="I2742" s="2" t="s">
        <v>14</v>
      </c>
    </row>
    <row r="2743" spans="1:9" x14ac:dyDescent="0.35">
      <c r="A2743" s="2" t="s">
        <v>2781</v>
      </c>
      <c r="B2743" s="3">
        <v>44827</v>
      </c>
      <c r="C2743" s="2" t="s">
        <v>16</v>
      </c>
      <c r="D2743" s="2" t="s">
        <v>38</v>
      </c>
      <c r="E2743" s="2" t="s">
        <v>12</v>
      </c>
      <c r="F2743" s="2">
        <v>349.84</v>
      </c>
      <c r="G2743" s="2">
        <v>57.24</v>
      </c>
      <c r="H2743" s="2" t="s">
        <v>13</v>
      </c>
      <c r="I2743" s="2" t="s">
        <v>29</v>
      </c>
    </row>
    <row r="2744" spans="1:9" x14ac:dyDescent="0.35">
      <c r="A2744" s="2" t="s">
        <v>2782</v>
      </c>
      <c r="B2744" s="3">
        <v>45523</v>
      </c>
      <c r="C2744" s="2" t="s">
        <v>16</v>
      </c>
      <c r="D2744" s="2" t="s">
        <v>26</v>
      </c>
      <c r="E2744" s="2" t="s">
        <v>27</v>
      </c>
      <c r="F2744" s="2">
        <v>289.55</v>
      </c>
      <c r="G2744" s="2">
        <v>53</v>
      </c>
      <c r="H2744" s="2" t="s">
        <v>28</v>
      </c>
      <c r="I2744" s="2" t="s">
        <v>20</v>
      </c>
    </row>
    <row r="2745" spans="1:9" x14ac:dyDescent="0.35">
      <c r="A2745" s="2" t="s">
        <v>2783</v>
      </c>
      <c r="B2745" s="3">
        <v>45460</v>
      </c>
      <c r="C2745" s="2" t="s">
        <v>10</v>
      </c>
      <c r="D2745" s="2" t="s">
        <v>26</v>
      </c>
      <c r="E2745" s="2" t="s">
        <v>27</v>
      </c>
      <c r="F2745" s="2">
        <v>950.13</v>
      </c>
      <c r="G2745" s="2">
        <v>107.06</v>
      </c>
      <c r="H2745" s="2" t="s">
        <v>13</v>
      </c>
      <c r="I2745" s="2" t="s">
        <v>29</v>
      </c>
    </row>
    <row r="2746" spans="1:9" x14ac:dyDescent="0.35">
      <c r="A2746" s="2" t="s">
        <v>2784</v>
      </c>
      <c r="B2746" s="3">
        <v>45113</v>
      </c>
      <c r="C2746" s="2" t="s">
        <v>10</v>
      </c>
      <c r="D2746" s="2" t="s">
        <v>95</v>
      </c>
      <c r="E2746" s="2" t="s">
        <v>18</v>
      </c>
      <c r="F2746" s="2">
        <v>1256.17</v>
      </c>
      <c r="G2746" s="2">
        <v>168.67</v>
      </c>
      <c r="H2746" s="2" t="s">
        <v>13</v>
      </c>
      <c r="I2746" s="2" t="s">
        <v>29</v>
      </c>
    </row>
    <row r="2747" spans="1:9" x14ac:dyDescent="0.35">
      <c r="A2747" s="2" t="s">
        <v>2785</v>
      </c>
      <c r="B2747" s="3">
        <v>45053</v>
      </c>
      <c r="C2747" s="2" t="s">
        <v>16</v>
      </c>
      <c r="D2747" s="2" t="s">
        <v>46</v>
      </c>
      <c r="E2747" s="2" t="s">
        <v>18</v>
      </c>
      <c r="F2747" s="2">
        <v>461.7</v>
      </c>
      <c r="G2747" s="2">
        <v>31.58</v>
      </c>
      <c r="H2747" s="2" t="s">
        <v>28</v>
      </c>
      <c r="I2747" s="2" t="s">
        <v>29</v>
      </c>
    </row>
    <row r="2748" spans="1:9" x14ac:dyDescent="0.35">
      <c r="A2748" s="2" t="s">
        <v>2786</v>
      </c>
      <c r="B2748" s="3">
        <v>44817</v>
      </c>
      <c r="C2748" s="2" t="s">
        <v>10</v>
      </c>
      <c r="D2748" s="2" t="s">
        <v>23</v>
      </c>
      <c r="E2748" s="2" t="s">
        <v>18</v>
      </c>
      <c r="F2748" s="2">
        <v>641.65</v>
      </c>
      <c r="G2748" s="2">
        <v>156.05000000000001</v>
      </c>
      <c r="H2748" s="2" t="s">
        <v>13</v>
      </c>
      <c r="I2748" s="2" t="s">
        <v>14</v>
      </c>
    </row>
    <row r="2749" spans="1:9" x14ac:dyDescent="0.35">
      <c r="A2749" s="2" t="s">
        <v>2787</v>
      </c>
      <c r="B2749" s="3">
        <v>45534</v>
      </c>
      <c r="C2749" s="2" t="s">
        <v>16</v>
      </c>
      <c r="D2749" s="2" t="s">
        <v>41</v>
      </c>
      <c r="E2749" s="2" t="s">
        <v>12</v>
      </c>
      <c r="F2749" s="2">
        <v>773.28</v>
      </c>
      <c r="G2749" s="2">
        <v>161.25</v>
      </c>
      <c r="H2749" s="2" t="s">
        <v>13</v>
      </c>
      <c r="I2749" s="2" t="s">
        <v>20</v>
      </c>
    </row>
    <row r="2750" spans="1:9" x14ac:dyDescent="0.35">
      <c r="A2750" s="2" t="s">
        <v>2788</v>
      </c>
      <c r="B2750" s="3">
        <v>45231</v>
      </c>
      <c r="C2750" s="2" t="s">
        <v>25</v>
      </c>
      <c r="D2750" s="2" t="s">
        <v>11</v>
      </c>
      <c r="E2750" s="2" t="s">
        <v>12</v>
      </c>
      <c r="F2750" s="2">
        <v>1908.39</v>
      </c>
      <c r="G2750" s="2">
        <v>493.03</v>
      </c>
      <c r="H2750" s="2" t="s">
        <v>19</v>
      </c>
      <c r="I2750" s="2" t="s">
        <v>20</v>
      </c>
    </row>
    <row r="2751" spans="1:9" x14ac:dyDescent="0.35">
      <c r="A2751" s="2" t="s">
        <v>2789</v>
      </c>
      <c r="B2751" s="3">
        <v>45169</v>
      </c>
      <c r="C2751" s="2" t="s">
        <v>25</v>
      </c>
      <c r="D2751" s="2" t="s">
        <v>73</v>
      </c>
      <c r="E2751" s="2" t="s">
        <v>27</v>
      </c>
      <c r="F2751" s="2">
        <v>310.60000000000002</v>
      </c>
      <c r="G2751" s="2">
        <v>67.540000000000006</v>
      </c>
      <c r="H2751" s="2" t="s">
        <v>28</v>
      </c>
      <c r="I2751" s="2" t="s">
        <v>14</v>
      </c>
    </row>
    <row r="2752" spans="1:9" x14ac:dyDescent="0.35">
      <c r="A2752" s="2" t="s">
        <v>2790</v>
      </c>
      <c r="B2752" s="3">
        <v>44887</v>
      </c>
      <c r="C2752" s="2" t="s">
        <v>22</v>
      </c>
      <c r="D2752" s="2" t="s">
        <v>97</v>
      </c>
      <c r="E2752" s="2" t="s">
        <v>27</v>
      </c>
      <c r="F2752" s="2">
        <v>150.26</v>
      </c>
      <c r="G2752" s="2">
        <v>25.91</v>
      </c>
      <c r="H2752" s="2" t="s">
        <v>13</v>
      </c>
      <c r="I2752" s="2" t="s">
        <v>29</v>
      </c>
    </row>
    <row r="2753" spans="1:9" x14ac:dyDescent="0.35">
      <c r="A2753" s="2" t="s">
        <v>2791</v>
      </c>
      <c r="B2753" s="3">
        <v>45338</v>
      </c>
      <c r="C2753" s="2" t="s">
        <v>25</v>
      </c>
      <c r="D2753" s="2" t="s">
        <v>38</v>
      </c>
      <c r="E2753" s="2" t="s">
        <v>12</v>
      </c>
      <c r="F2753" s="2">
        <v>553.67999999999995</v>
      </c>
      <c r="G2753" s="2">
        <v>162.13</v>
      </c>
      <c r="H2753" s="2" t="s">
        <v>28</v>
      </c>
      <c r="I2753" s="2" t="s">
        <v>20</v>
      </c>
    </row>
    <row r="2754" spans="1:9" x14ac:dyDescent="0.35">
      <c r="A2754" s="2" t="s">
        <v>2792</v>
      </c>
      <c r="B2754" s="3">
        <v>44987</v>
      </c>
      <c r="C2754" s="2" t="s">
        <v>10</v>
      </c>
      <c r="D2754" s="2" t="s">
        <v>26</v>
      </c>
      <c r="E2754" s="2" t="s">
        <v>27</v>
      </c>
      <c r="F2754" s="2">
        <v>138.19</v>
      </c>
      <c r="G2754" s="2">
        <v>21.96</v>
      </c>
      <c r="H2754" s="2" t="s">
        <v>13</v>
      </c>
      <c r="I2754" s="2" t="s">
        <v>20</v>
      </c>
    </row>
    <row r="2755" spans="1:9" x14ac:dyDescent="0.35">
      <c r="A2755" s="2" t="s">
        <v>2793</v>
      </c>
      <c r="B2755" s="3">
        <v>44954</v>
      </c>
      <c r="C2755" s="2" t="s">
        <v>25</v>
      </c>
      <c r="D2755" s="2" t="s">
        <v>26</v>
      </c>
      <c r="E2755" s="2" t="s">
        <v>27</v>
      </c>
      <c r="F2755" s="2">
        <v>1741.31</v>
      </c>
      <c r="G2755" s="2">
        <v>500.1</v>
      </c>
      <c r="H2755" s="2" t="s">
        <v>13</v>
      </c>
      <c r="I2755" s="2" t="s">
        <v>29</v>
      </c>
    </row>
    <row r="2756" spans="1:9" x14ac:dyDescent="0.35">
      <c r="A2756" s="2" t="s">
        <v>2794</v>
      </c>
      <c r="B2756" s="3">
        <v>44736</v>
      </c>
      <c r="C2756" s="2" t="s">
        <v>25</v>
      </c>
      <c r="D2756" s="2" t="s">
        <v>73</v>
      </c>
      <c r="E2756" s="2" t="s">
        <v>27</v>
      </c>
      <c r="F2756" s="2">
        <v>409</v>
      </c>
      <c r="G2756" s="2">
        <v>96.67</v>
      </c>
      <c r="H2756" s="2" t="s">
        <v>13</v>
      </c>
      <c r="I2756" s="2" t="s">
        <v>14</v>
      </c>
    </row>
    <row r="2757" spans="1:9" x14ac:dyDescent="0.35">
      <c r="A2757" s="2" t="s">
        <v>2795</v>
      </c>
      <c r="B2757" s="3">
        <v>45006</v>
      </c>
      <c r="C2757" s="2" t="s">
        <v>25</v>
      </c>
      <c r="D2757" s="2" t="s">
        <v>73</v>
      </c>
      <c r="E2757" s="2" t="s">
        <v>27</v>
      </c>
      <c r="F2757" s="2">
        <v>1953.7</v>
      </c>
      <c r="G2757" s="2">
        <v>212.53</v>
      </c>
      <c r="H2757" s="2" t="s">
        <v>28</v>
      </c>
      <c r="I2757" s="2" t="s">
        <v>14</v>
      </c>
    </row>
    <row r="2758" spans="1:9" x14ac:dyDescent="0.35">
      <c r="A2758" s="2" t="s">
        <v>2796</v>
      </c>
      <c r="B2758" s="3">
        <v>44732</v>
      </c>
      <c r="C2758" s="2" t="s">
        <v>10</v>
      </c>
      <c r="D2758" s="2" t="s">
        <v>31</v>
      </c>
      <c r="E2758" s="2" t="s">
        <v>12</v>
      </c>
      <c r="F2758" s="2">
        <v>1469.16</v>
      </c>
      <c r="G2758" s="2">
        <v>415.61</v>
      </c>
      <c r="H2758" s="2" t="s">
        <v>28</v>
      </c>
      <c r="I2758" s="2" t="s">
        <v>20</v>
      </c>
    </row>
    <row r="2759" spans="1:9" x14ac:dyDescent="0.35">
      <c r="A2759" s="2" t="s">
        <v>2797</v>
      </c>
      <c r="B2759" s="3">
        <v>44908</v>
      </c>
      <c r="C2759" s="2" t="s">
        <v>25</v>
      </c>
      <c r="D2759" s="2" t="s">
        <v>46</v>
      </c>
      <c r="E2759" s="2" t="s">
        <v>18</v>
      </c>
      <c r="F2759" s="2">
        <v>114.69</v>
      </c>
      <c r="G2759" s="2">
        <v>12.34</v>
      </c>
      <c r="H2759" s="2" t="s">
        <v>13</v>
      </c>
      <c r="I2759" s="2" t="s">
        <v>14</v>
      </c>
    </row>
    <row r="2760" spans="1:9" x14ac:dyDescent="0.35">
      <c r="A2760" s="2" t="s">
        <v>2798</v>
      </c>
      <c r="B2760" s="3">
        <v>45321</v>
      </c>
      <c r="C2760" s="2" t="s">
        <v>10</v>
      </c>
      <c r="D2760" s="2" t="s">
        <v>38</v>
      </c>
      <c r="E2760" s="2" t="s">
        <v>12</v>
      </c>
      <c r="F2760" s="2">
        <v>233.18</v>
      </c>
      <c r="G2760" s="2">
        <v>26.52</v>
      </c>
      <c r="H2760" s="2" t="s">
        <v>13</v>
      </c>
      <c r="I2760" s="2" t="s">
        <v>14</v>
      </c>
    </row>
    <row r="2761" spans="1:9" x14ac:dyDescent="0.35">
      <c r="A2761" s="2" t="s">
        <v>2799</v>
      </c>
      <c r="B2761" s="3">
        <v>45194</v>
      </c>
      <c r="C2761" s="2" t="s">
        <v>25</v>
      </c>
      <c r="D2761" s="2" t="s">
        <v>17</v>
      </c>
      <c r="E2761" s="2" t="s">
        <v>18</v>
      </c>
      <c r="F2761" s="2">
        <v>194.4</v>
      </c>
      <c r="G2761" s="2">
        <v>27.14</v>
      </c>
      <c r="H2761" s="2" t="s">
        <v>13</v>
      </c>
      <c r="I2761" s="2" t="s">
        <v>34</v>
      </c>
    </row>
    <row r="2762" spans="1:9" x14ac:dyDescent="0.35">
      <c r="A2762" s="2" t="s">
        <v>2801</v>
      </c>
      <c r="B2762" s="3">
        <v>45259</v>
      </c>
      <c r="C2762" s="2" t="s">
        <v>22</v>
      </c>
      <c r="D2762" s="2" t="s">
        <v>50</v>
      </c>
      <c r="E2762" s="2" t="s">
        <v>12</v>
      </c>
      <c r="F2762" s="2">
        <v>558.53</v>
      </c>
      <c r="G2762" s="2">
        <v>163.44999999999999</v>
      </c>
      <c r="H2762" s="2" t="s">
        <v>28</v>
      </c>
      <c r="I2762" s="2" t="s">
        <v>29</v>
      </c>
    </row>
    <row r="2763" spans="1:9" x14ac:dyDescent="0.35">
      <c r="A2763" s="2" t="s">
        <v>2802</v>
      </c>
      <c r="B2763" s="3">
        <v>45174</v>
      </c>
      <c r="C2763" s="2" t="s">
        <v>25</v>
      </c>
      <c r="D2763" s="2" t="s">
        <v>41</v>
      </c>
      <c r="E2763" s="2" t="s">
        <v>12</v>
      </c>
      <c r="F2763" s="2">
        <v>768.49</v>
      </c>
      <c r="G2763" s="2">
        <v>100.79</v>
      </c>
      <c r="H2763" s="2" t="s">
        <v>19</v>
      </c>
      <c r="I2763" s="2" t="s">
        <v>34</v>
      </c>
    </row>
    <row r="2764" spans="1:9" x14ac:dyDescent="0.35">
      <c r="A2764" s="2" t="s">
        <v>2803</v>
      </c>
      <c r="B2764" s="3">
        <v>44829</v>
      </c>
      <c r="C2764" s="2" t="s">
        <v>25</v>
      </c>
      <c r="D2764" s="2" t="s">
        <v>95</v>
      </c>
      <c r="E2764" s="2" t="s">
        <v>18</v>
      </c>
      <c r="F2764" s="2">
        <v>1651.22</v>
      </c>
      <c r="G2764" s="2">
        <v>92.3</v>
      </c>
      <c r="H2764" s="2" t="s">
        <v>19</v>
      </c>
      <c r="I2764" s="2" t="s">
        <v>29</v>
      </c>
    </row>
    <row r="2765" spans="1:9" x14ac:dyDescent="0.35">
      <c r="A2765" s="2" t="s">
        <v>2804</v>
      </c>
      <c r="B2765" s="3">
        <v>44583</v>
      </c>
      <c r="C2765" s="2" t="s">
        <v>16</v>
      </c>
      <c r="D2765" s="2" t="s">
        <v>97</v>
      </c>
      <c r="E2765" s="2" t="s">
        <v>27</v>
      </c>
      <c r="F2765" s="2">
        <v>1073.33</v>
      </c>
      <c r="G2765" s="2">
        <v>145.32</v>
      </c>
      <c r="H2765" s="2" t="s">
        <v>13</v>
      </c>
      <c r="I2765" s="2" t="s">
        <v>20</v>
      </c>
    </row>
    <row r="2766" spans="1:9" x14ac:dyDescent="0.35">
      <c r="A2766" s="2" t="s">
        <v>2805</v>
      </c>
      <c r="B2766" s="3">
        <v>45403</v>
      </c>
      <c r="C2766" s="2" t="s">
        <v>16</v>
      </c>
      <c r="D2766" s="2" t="s">
        <v>73</v>
      </c>
      <c r="E2766" s="2" t="s">
        <v>27</v>
      </c>
      <c r="F2766" s="2">
        <v>601.55999999999995</v>
      </c>
      <c r="G2766" s="2">
        <v>46.71</v>
      </c>
      <c r="H2766" s="2" t="s">
        <v>28</v>
      </c>
      <c r="I2766" s="2" t="s">
        <v>14</v>
      </c>
    </row>
    <row r="2767" spans="1:9" x14ac:dyDescent="0.35">
      <c r="A2767" s="2" t="s">
        <v>2806</v>
      </c>
      <c r="B2767" s="3">
        <v>45027</v>
      </c>
      <c r="C2767" s="2" t="s">
        <v>25</v>
      </c>
      <c r="D2767" s="2" t="s">
        <v>46</v>
      </c>
      <c r="E2767" s="2" t="s">
        <v>18</v>
      </c>
      <c r="F2767" s="2">
        <v>1398.63</v>
      </c>
      <c r="G2767" s="2">
        <v>83.97</v>
      </c>
      <c r="H2767" s="2" t="s">
        <v>28</v>
      </c>
      <c r="I2767" s="2" t="s">
        <v>14</v>
      </c>
    </row>
    <row r="2768" spans="1:9" x14ac:dyDescent="0.35">
      <c r="A2768" s="2" t="s">
        <v>2807</v>
      </c>
      <c r="B2768" s="3">
        <v>45267</v>
      </c>
      <c r="C2768" s="2" t="s">
        <v>25</v>
      </c>
      <c r="D2768" s="2" t="s">
        <v>31</v>
      </c>
      <c r="E2768" s="2" t="s">
        <v>12</v>
      </c>
      <c r="F2768" s="2">
        <v>52.68</v>
      </c>
      <c r="G2768" s="2">
        <v>10.19</v>
      </c>
      <c r="H2768" s="2" t="s">
        <v>19</v>
      </c>
      <c r="I2768" s="2" t="s">
        <v>34</v>
      </c>
    </row>
    <row r="2769" spans="1:9" x14ac:dyDescent="0.35">
      <c r="A2769" s="2" t="s">
        <v>2808</v>
      </c>
      <c r="B2769" s="3">
        <v>45041</v>
      </c>
      <c r="C2769" s="2" t="s">
        <v>10</v>
      </c>
      <c r="D2769" s="2" t="s">
        <v>31</v>
      </c>
      <c r="E2769" s="2" t="s">
        <v>12</v>
      </c>
      <c r="F2769" s="2">
        <v>762.4</v>
      </c>
      <c r="G2769" s="2">
        <v>142.91</v>
      </c>
      <c r="H2769" s="2" t="s">
        <v>19</v>
      </c>
      <c r="I2769" s="2" t="s">
        <v>34</v>
      </c>
    </row>
    <row r="2770" spans="1:9" x14ac:dyDescent="0.35">
      <c r="A2770" s="2" t="s">
        <v>2809</v>
      </c>
      <c r="B2770" s="3">
        <v>45616</v>
      </c>
      <c r="C2770" s="2" t="s">
        <v>25</v>
      </c>
      <c r="D2770" s="2" t="s">
        <v>33</v>
      </c>
      <c r="E2770" s="2" t="s">
        <v>18</v>
      </c>
      <c r="F2770" s="2">
        <v>1606</v>
      </c>
      <c r="G2770" s="2">
        <v>119.59</v>
      </c>
      <c r="H2770" s="2" t="s">
        <v>28</v>
      </c>
      <c r="I2770" s="2" t="s">
        <v>14</v>
      </c>
    </row>
    <row r="2771" spans="1:9" x14ac:dyDescent="0.35">
      <c r="A2771" s="2" t="s">
        <v>2810</v>
      </c>
      <c r="B2771" s="3">
        <v>45534</v>
      </c>
      <c r="C2771" s="2" t="s">
        <v>16</v>
      </c>
      <c r="D2771" s="2" t="s">
        <v>41</v>
      </c>
      <c r="E2771" s="2" t="s">
        <v>12</v>
      </c>
      <c r="F2771" s="2">
        <v>332.97</v>
      </c>
      <c r="G2771" s="2">
        <v>19.25</v>
      </c>
      <c r="H2771" s="2" t="s">
        <v>13</v>
      </c>
      <c r="I2771" s="2" t="s">
        <v>29</v>
      </c>
    </row>
    <row r="2772" spans="1:9" x14ac:dyDescent="0.35">
      <c r="A2772" s="2" t="s">
        <v>2811</v>
      </c>
      <c r="B2772" s="3">
        <v>45409</v>
      </c>
      <c r="C2772" s="2" t="s">
        <v>16</v>
      </c>
      <c r="D2772" s="2" t="s">
        <v>57</v>
      </c>
      <c r="E2772" s="2" t="s">
        <v>27</v>
      </c>
      <c r="F2772" s="2">
        <v>778.96</v>
      </c>
      <c r="G2772" s="2">
        <v>60.04</v>
      </c>
      <c r="H2772" s="2" t="s">
        <v>19</v>
      </c>
      <c r="I2772" s="2" t="s">
        <v>34</v>
      </c>
    </row>
    <row r="2773" spans="1:9" x14ac:dyDescent="0.35">
      <c r="A2773" s="2" t="s">
        <v>2812</v>
      </c>
      <c r="B2773" s="3">
        <v>45122</v>
      </c>
      <c r="C2773" s="2" t="s">
        <v>25</v>
      </c>
      <c r="D2773" s="2" t="s">
        <v>46</v>
      </c>
      <c r="E2773" s="2" t="s">
        <v>18</v>
      </c>
      <c r="F2773" s="2">
        <v>1382.15</v>
      </c>
      <c r="G2773" s="2">
        <v>139.1</v>
      </c>
      <c r="H2773" s="2" t="s">
        <v>13</v>
      </c>
      <c r="I2773" s="2" t="s">
        <v>20</v>
      </c>
    </row>
    <row r="2774" spans="1:9" x14ac:dyDescent="0.35">
      <c r="A2774" s="2" t="s">
        <v>2813</v>
      </c>
      <c r="B2774" s="3">
        <v>44823</v>
      </c>
      <c r="C2774" s="2" t="s">
        <v>16</v>
      </c>
      <c r="D2774" s="2" t="s">
        <v>38</v>
      </c>
      <c r="E2774" s="2" t="s">
        <v>12</v>
      </c>
      <c r="F2774" s="2">
        <v>391.23</v>
      </c>
      <c r="G2774" s="2">
        <v>109.81</v>
      </c>
      <c r="H2774" s="2" t="s">
        <v>28</v>
      </c>
      <c r="I2774" s="2" t="s">
        <v>34</v>
      </c>
    </row>
    <row r="2775" spans="1:9" x14ac:dyDescent="0.35">
      <c r="A2775" s="2" t="s">
        <v>2814</v>
      </c>
      <c r="B2775" s="3">
        <v>45295</v>
      </c>
      <c r="C2775" s="2" t="s">
        <v>22</v>
      </c>
      <c r="D2775" s="2" t="s">
        <v>26</v>
      </c>
      <c r="E2775" s="2" t="s">
        <v>27</v>
      </c>
      <c r="F2775" s="2">
        <v>498.89</v>
      </c>
      <c r="G2775" s="2">
        <v>49.76</v>
      </c>
      <c r="H2775" s="2" t="s">
        <v>19</v>
      </c>
      <c r="I2775" s="2" t="s">
        <v>34</v>
      </c>
    </row>
    <row r="2776" spans="1:9" x14ac:dyDescent="0.35">
      <c r="A2776" s="2" t="s">
        <v>2815</v>
      </c>
      <c r="B2776" s="3">
        <v>45514</v>
      </c>
      <c r="C2776" s="2" t="s">
        <v>22</v>
      </c>
      <c r="D2776" s="2" t="s">
        <v>23</v>
      </c>
      <c r="E2776" s="2" t="s">
        <v>18</v>
      </c>
      <c r="F2776" s="2">
        <v>1844.18</v>
      </c>
      <c r="G2776" s="2">
        <v>464.01</v>
      </c>
      <c r="H2776" s="2" t="s">
        <v>13</v>
      </c>
      <c r="I2776" s="2" t="s">
        <v>29</v>
      </c>
    </row>
    <row r="2777" spans="1:9" x14ac:dyDescent="0.35">
      <c r="A2777" s="2" t="s">
        <v>2816</v>
      </c>
      <c r="B2777" s="3">
        <v>44665</v>
      </c>
      <c r="C2777" s="2" t="s">
        <v>25</v>
      </c>
      <c r="D2777" s="2" t="s">
        <v>97</v>
      </c>
      <c r="E2777" s="2" t="s">
        <v>27</v>
      </c>
      <c r="F2777" s="2">
        <v>1440.18</v>
      </c>
      <c r="G2777" s="2">
        <v>361.77</v>
      </c>
      <c r="H2777" s="2" t="s">
        <v>28</v>
      </c>
      <c r="I2777" s="2" t="s">
        <v>14</v>
      </c>
    </row>
    <row r="2778" spans="1:9" x14ac:dyDescent="0.35">
      <c r="A2778" s="2" t="s">
        <v>2817</v>
      </c>
      <c r="B2778" s="3">
        <v>45331</v>
      </c>
      <c r="C2778" s="2" t="s">
        <v>10</v>
      </c>
      <c r="D2778" s="2" t="s">
        <v>97</v>
      </c>
      <c r="E2778" s="2" t="s">
        <v>27</v>
      </c>
      <c r="F2778" s="2">
        <v>1520.43</v>
      </c>
      <c r="G2778" s="2">
        <v>233.11</v>
      </c>
      <c r="H2778" s="2" t="s">
        <v>28</v>
      </c>
      <c r="I2778" s="2" t="s">
        <v>29</v>
      </c>
    </row>
    <row r="2779" spans="1:9" x14ac:dyDescent="0.35">
      <c r="A2779" s="2" t="s">
        <v>2818</v>
      </c>
      <c r="B2779" s="3">
        <v>45282</v>
      </c>
      <c r="C2779" s="2" t="s">
        <v>25</v>
      </c>
      <c r="D2779" s="2" t="s">
        <v>23</v>
      </c>
      <c r="E2779" s="2" t="s">
        <v>18</v>
      </c>
      <c r="F2779" s="2">
        <v>752.97</v>
      </c>
      <c r="G2779" s="2">
        <v>220.52</v>
      </c>
      <c r="H2779" s="2" t="s">
        <v>28</v>
      </c>
      <c r="I2779" s="2" t="s">
        <v>29</v>
      </c>
    </row>
    <row r="2780" spans="1:9" x14ac:dyDescent="0.35">
      <c r="A2780" s="2" t="s">
        <v>2819</v>
      </c>
      <c r="B2780" s="3">
        <v>45526</v>
      </c>
      <c r="C2780" s="2" t="s">
        <v>16</v>
      </c>
      <c r="D2780" s="2" t="s">
        <v>33</v>
      </c>
      <c r="E2780" s="2" t="s">
        <v>18</v>
      </c>
      <c r="F2780" s="2">
        <v>1496.73</v>
      </c>
      <c r="G2780" s="2">
        <v>95.02</v>
      </c>
      <c r="H2780" s="2" t="s">
        <v>28</v>
      </c>
      <c r="I2780" s="2" t="s">
        <v>14</v>
      </c>
    </row>
    <row r="2781" spans="1:9" x14ac:dyDescent="0.35">
      <c r="A2781" s="2" t="s">
        <v>2820</v>
      </c>
      <c r="B2781" s="3">
        <v>45363</v>
      </c>
      <c r="C2781" s="2" t="s">
        <v>22</v>
      </c>
      <c r="D2781" s="2" t="s">
        <v>97</v>
      </c>
      <c r="E2781" s="2" t="s">
        <v>27</v>
      </c>
      <c r="F2781" s="2">
        <v>1386.11</v>
      </c>
      <c r="G2781" s="2">
        <v>240.81</v>
      </c>
      <c r="H2781" s="2" t="s">
        <v>19</v>
      </c>
      <c r="I2781" s="2" t="s">
        <v>14</v>
      </c>
    </row>
    <row r="2782" spans="1:9" x14ac:dyDescent="0.35">
      <c r="A2782" s="2" t="s">
        <v>2821</v>
      </c>
      <c r="B2782" s="3">
        <v>45278</v>
      </c>
      <c r="C2782" s="2" t="s">
        <v>16</v>
      </c>
      <c r="D2782" s="2" t="s">
        <v>33</v>
      </c>
      <c r="E2782" s="2" t="s">
        <v>18</v>
      </c>
      <c r="F2782" s="2">
        <v>575.94000000000005</v>
      </c>
      <c r="G2782" s="2">
        <v>62.26</v>
      </c>
      <c r="H2782" s="2" t="s">
        <v>28</v>
      </c>
      <c r="I2782" s="2" t="s">
        <v>29</v>
      </c>
    </row>
    <row r="2783" spans="1:9" x14ac:dyDescent="0.35">
      <c r="A2783" s="2" t="s">
        <v>2822</v>
      </c>
      <c r="B2783" s="3">
        <v>45576</v>
      </c>
      <c r="C2783" s="2" t="s">
        <v>10</v>
      </c>
      <c r="D2783" s="2" t="s">
        <v>95</v>
      </c>
      <c r="E2783" s="2" t="s">
        <v>18</v>
      </c>
      <c r="F2783" s="2">
        <v>1168.25</v>
      </c>
      <c r="G2783" s="2">
        <v>320.25</v>
      </c>
      <c r="H2783" s="2" t="s">
        <v>13</v>
      </c>
      <c r="I2783" s="2" t="s">
        <v>29</v>
      </c>
    </row>
    <row r="2784" spans="1:9" x14ac:dyDescent="0.35">
      <c r="A2784" s="2" t="s">
        <v>2823</v>
      </c>
      <c r="B2784" s="3">
        <v>45330</v>
      </c>
      <c r="C2784" s="2" t="s">
        <v>25</v>
      </c>
      <c r="D2784" s="2" t="s">
        <v>73</v>
      </c>
      <c r="E2784" s="2" t="s">
        <v>27</v>
      </c>
      <c r="F2784" s="2">
        <v>1494.43</v>
      </c>
      <c r="G2784" s="2">
        <v>322.52</v>
      </c>
      <c r="H2784" s="2" t="s">
        <v>28</v>
      </c>
      <c r="I2784" s="2" t="s">
        <v>20</v>
      </c>
    </row>
    <row r="2785" spans="1:9" x14ac:dyDescent="0.35">
      <c r="A2785" s="2" t="s">
        <v>2824</v>
      </c>
      <c r="B2785" s="3">
        <v>45368</v>
      </c>
      <c r="C2785" s="2" t="s">
        <v>25</v>
      </c>
      <c r="D2785" s="2" t="s">
        <v>33</v>
      </c>
      <c r="E2785" s="2" t="s">
        <v>18</v>
      </c>
      <c r="F2785" s="2">
        <v>1293.0999999999999</v>
      </c>
      <c r="G2785" s="2">
        <v>317.23</v>
      </c>
      <c r="H2785" s="2" t="s">
        <v>19</v>
      </c>
      <c r="I2785" s="2" t="s">
        <v>20</v>
      </c>
    </row>
    <row r="2786" spans="1:9" x14ac:dyDescent="0.35">
      <c r="A2786" s="2" t="s">
        <v>2825</v>
      </c>
      <c r="B2786" s="3">
        <v>45411</v>
      </c>
      <c r="C2786" s="2" t="s">
        <v>10</v>
      </c>
      <c r="D2786" s="2" t="s">
        <v>57</v>
      </c>
      <c r="E2786" s="2" t="s">
        <v>27</v>
      </c>
      <c r="F2786" s="2">
        <v>527.16</v>
      </c>
      <c r="G2786" s="2">
        <v>103.11</v>
      </c>
      <c r="H2786" s="2" t="s">
        <v>28</v>
      </c>
      <c r="I2786" s="2" t="s">
        <v>29</v>
      </c>
    </row>
    <row r="2787" spans="1:9" x14ac:dyDescent="0.35">
      <c r="A2787" s="2" t="s">
        <v>2826</v>
      </c>
      <c r="B2787" s="3">
        <v>44655</v>
      </c>
      <c r="C2787" s="2" t="s">
        <v>16</v>
      </c>
      <c r="D2787" s="2" t="s">
        <v>26</v>
      </c>
      <c r="E2787" s="2" t="s">
        <v>27</v>
      </c>
      <c r="F2787" s="2">
        <v>342.92</v>
      </c>
      <c r="G2787" s="2">
        <v>80.55</v>
      </c>
      <c r="H2787" s="2" t="s">
        <v>13</v>
      </c>
      <c r="I2787" s="2" t="s">
        <v>20</v>
      </c>
    </row>
    <row r="2788" spans="1:9" x14ac:dyDescent="0.35">
      <c r="A2788" s="2" t="s">
        <v>2827</v>
      </c>
      <c r="B2788" s="3">
        <v>45505</v>
      </c>
      <c r="C2788" s="2" t="s">
        <v>22</v>
      </c>
      <c r="D2788" s="2" t="s">
        <v>50</v>
      </c>
      <c r="E2788" s="2" t="s">
        <v>12</v>
      </c>
      <c r="F2788" s="2">
        <v>386.88</v>
      </c>
      <c r="G2788" s="2">
        <v>26.98</v>
      </c>
      <c r="H2788" s="2" t="s">
        <v>28</v>
      </c>
      <c r="I2788" s="2" t="s">
        <v>14</v>
      </c>
    </row>
    <row r="2789" spans="1:9" x14ac:dyDescent="0.35">
      <c r="A2789" s="2" t="s">
        <v>2828</v>
      </c>
      <c r="B2789" s="3">
        <v>45351</v>
      </c>
      <c r="C2789" s="2" t="s">
        <v>25</v>
      </c>
      <c r="D2789" s="2" t="s">
        <v>38</v>
      </c>
      <c r="E2789" s="2" t="s">
        <v>12</v>
      </c>
      <c r="F2789" s="2">
        <v>1623.67</v>
      </c>
      <c r="G2789" s="2">
        <v>180.09</v>
      </c>
      <c r="H2789" s="2" t="s">
        <v>19</v>
      </c>
      <c r="I2789" s="2" t="s">
        <v>14</v>
      </c>
    </row>
    <row r="2790" spans="1:9" x14ac:dyDescent="0.35">
      <c r="A2790" s="2" t="s">
        <v>2829</v>
      </c>
      <c r="B2790" s="3">
        <v>45401</v>
      </c>
      <c r="C2790" s="2" t="s">
        <v>25</v>
      </c>
      <c r="D2790" s="2" t="s">
        <v>50</v>
      </c>
      <c r="E2790" s="2" t="s">
        <v>12</v>
      </c>
      <c r="F2790" s="2">
        <v>1208.1099999999999</v>
      </c>
      <c r="G2790" s="2">
        <v>118.04</v>
      </c>
      <c r="H2790" s="2" t="s">
        <v>28</v>
      </c>
      <c r="I2790" s="2" t="s">
        <v>14</v>
      </c>
    </row>
    <row r="2791" spans="1:9" x14ac:dyDescent="0.35">
      <c r="A2791" s="2" t="s">
        <v>2830</v>
      </c>
      <c r="B2791" s="3">
        <v>45582</v>
      </c>
      <c r="C2791" s="2" t="s">
        <v>22</v>
      </c>
      <c r="D2791" s="2" t="s">
        <v>41</v>
      </c>
      <c r="E2791" s="2" t="s">
        <v>12</v>
      </c>
      <c r="F2791" s="2">
        <v>714.51</v>
      </c>
      <c r="G2791" s="2">
        <v>76.599999999999994</v>
      </c>
      <c r="H2791" s="2" t="s">
        <v>28</v>
      </c>
      <c r="I2791" s="2" t="s">
        <v>14</v>
      </c>
    </row>
    <row r="2792" spans="1:9" x14ac:dyDescent="0.35">
      <c r="A2792" s="2" t="s">
        <v>2831</v>
      </c>
      <c r="B2792" s="3">
        <v>44987</v>
      </c>
      <c r="C2792" s="2" t="s">
        <v>25</v>
      </c>
      <c r="D2792" s="2" t="s">
        <v>97</v>
      </c>
      <c r="E2792" s="2" t="s">
        <v>27</v>
      </c>
      <c r="F2792" s="2">
        <v>206.04</v>
      </c>
      <c r="G2792" s="2">
        <v>44.75</v>
      </c>
      <c r="H2792" s="2" t="s">
        <v>13</v>
      </c>
      <c r="I2792" s="2" t="s">
        <v>14</v>
      </c>
    </row>
    <row r="2793" spans="1:9" x14ac:dyDescent="0.35">
      <c r="A2793" s="2" t="s">
        <v>2832</v>
      </c>
      <c r="B2793" s="3">
        <v>45073</v>
      </c>
      <c r="C2793" s="2" t="s">
        <v>25</v>
      </c>
      <c r="D2793" s="2" t="s">
        <v>62</v>
      </c>
      <c r="E2793" s="2" t="s">
        <v>27</v>
      </c>
      <c r="F2793" s="2">
        <v>1464.56</v>
      </c>
      <c r="G2793" s="2">
        <v>123.24</v>
      </c>
      <c r="H2793" s="2" t="s">
        <v>13</v>
      </c>
      <c r="I2793" s="2" t="s">
        <v>20</v>
      </c>
    </row>
    <row r="2794" spans="1:9" x14ac:dyDescent="0.35">
      <c r="A2794" s="2" t="s">
        <v>2833</v>
      </c>
      <c r="B2794" s="3">
        <v>45206</v>
      </c>
      <c r="C2794" s="2" t="s">
        <v>10</v>
      </c>
      <c r="D2794" s="2" t="s">
        <v>31</v>
      </c>
      <c r="E2794" s="2" t="s">
        <v>12</v>
      </c>
      <c r="F2794" s="2">
        <v>1697.48</v>
      </c>
      <c r="G2794" s="2">
        <v>211.82</v>
      </c>
      <c r="H2794" s="2" t="s">
        <v>13</v>
      </c>
      <c r="I2794" s="2" t="s">
        <v>34</v>
      </c>
    </row>
    <row r="2795" spans="1:9" x14ac:dyDescent="0.35">
      <c r="A2795" s="2" t="s">
        <v>2834</v>
      </c>
      <c r="B2795" s="3">
        <v>45609</v>
      </c>
      <c r="C2795" s="2" t="s">
        <v>22</v>
      </c>
      <c r="D2795" s="2" t="s">
        <v>17</v>
      </c>
      <c r="E2795" s="2" t="s">
        <v>18</v>
      </c>
      <c r="F2795" s="2">
        <v>790.72</v>
      </c>
      <c r="G2795" s="2">
        <v>192.35</v>
      </c>
      <c r="H2795" s="2" t="s">
        <v>28</v>
      </c>
      <c r="I2795" s="2" t="s">
        <v>20</v>
      </c>
    </row>
    <row r="2796" spans="1:9" x14ac:dyDescent="0.35">
      <c r="A2796" s="2" t="s">
        <v>2835</v>
      </c>
      <c r="B2796" s="3">
        <v>45244</v>
      </c>
      <c r="C2796" s="2" t="s">
        <v>22</v>
      </c>
      <c r="D2796" s="2" t="s">
        <v>57</v>
      </c>
      <c r="E2796" s="2" t="s">
        <v>27</v>
      </c>
      <c r="F2796" s="2">
        <v>1477.57</v>
      </c>
      <c r="G2796" s="2">
        <v>190.07</v>
      </c>
      <c r="H2796" s="2" t="s">
        <v>28</v>
      </c>
      <c r="I2796" s="2" t="s">
        <v>14</v>
      </c>
    </row>
    <row r="2797" spans="1:9" x14ac:dyDescent="0.35">
      <c r="A2797" s="2" t="s">
        <v>2836</v>
      </c>
      <c r="B2797" s="3">
        <v>44709</v>
      </c>
      <c r="C2797" s="2" t="s">
        <v>22</v>
      </c>
      <c r="D2797" s="2" t="s">
        <v>33</v>
      </c>
      <c r="E2797" s="2" t="s">
        <v>18</v>
      </c>
      <c r="F2797" s="2">
        <v>1866.62</v>
      </c>
      <c r="G2797" s="2">
        <v>150.13999999999999</v>
      </c>
      <c r="H2797" s="2" t="s">
        <v>28</v>
      </c>
      <c r="I2797" s="2" t="s">
        <v>14</v>
      </c>
    </row>
    <row r="2798" spans="1:9" x14ac:dyDescent="0.35">
      <c r="A2798" s="2" t="s">
        <v>2837</v>
      </c>
      <c r="B2798" s="3">
        <v>45624</v>
      </c>
      <c r="C2798" s="2" t="s">
        <v>10</v>
      </c>
      <c r="D2798" s="2" t="s">
        <v>95</v>
      </c>
      <c r="E2798" s="2" t="s">
        <v>18</v>
      </c>
      <c r="F2798" s="2">
        <v>1807.76</v>
      </c>
      <c r="G2798" s="2">
        <v>208.54</v>
      </c>
      <c r="H2798" s="2" t="s">
        <v>28</v>
      </c>
      <c r="I2798" s="2" t="s">
        <v>20</v>
      </c>
    </row>
    <row r="2799" spans="1:9" x14ac:dyDescent="0.35">
      <c r="A2799" s="2" t="s">
        <v>2838</v>
      </c>
      <c r="B2799" s="3">
        <v>45239</v>
      </c>
      <c r="C2799" s="2" t="s">
        <v>10</v>
      </c>
      <c r="D2799" s="2" t="s">
        <v>11</v>
      </c>
      <c r="E2799" s="2" t="s">
        <v>12</v>
      </c>
      <c r="F2799" s="2">
        <v>1983.42</v>
      </c>
      <c r="G2799" s="2">
        <v>456.39</v>
      </c>
      <c r="H2799" s="2" t="s">
        <v>28</v>
      </c>
      <c r="I2799" s="2" t="s">
        <v>14</v>
      </c>
    </row>
    <row r="2800" spans="1:9" x14ac:dyDescent="0.35">
      <c r="A2800" s="2" t="s">
        <v>2839</v>
      </c>
      <c r="B2800" s="3">
        <v>45376</v>
      </c>
      <c r="C2800" s="2" t="s">
        <v>10</v>
      </c>
      <c r="D2800" s="2" t="s">
        <v>26</v>
      </c>
      <c r="E2800" s="2" t="s">
        <v>27</v>
      </c>
      <c r="F2800" s="2">
        <v>1543.55</v>
      </c>
      <c r="G2800" s="2">
        <v>414.73</v>
      </c>
      <c r="H2800" s="2" t="s">
        <v>13</v>
      </c>
      <c r="I2800" s="2" t="s">
        <v>34</v>
      </c>
    </row>
    <row r="2801" spans="1:9" x14ac:dyDescent="0.35">
      <c r="A2801" s="2" t="s">
        <v>2840</v>
      </c>
      <c r="B2801" s="3">
        <v>44827</v>
      </c>
      <c r="C2801" s="2" t="s">
        <v>22</v>
      </c>
      <c r="D2801" s="2" t="s">
        <v>33</v>
      </c>
      <c r="E2801" s="2" t="s">
        <v>18</v>
      </c>
      <c r="F2801" s="2">
        <v>1336.47</v>
      </c>
      <c r="G2801" s="2">
        <v>400.57</v>
      </c>
      <c r="H2801" s="2" t="s">
        <v>28</v>
      </c>
      <c r="I2801" s="2" t="s">
        <v>34</v>
      </c>
    </row>
    <row r="2802" spans="1:9" x14ac:dyDescent="0.35">
      <c r="A2802" s="2" t="s">
        <v>2841</v>
      </c>
      <c r="B2802" s="3">
        <v>45275</v>
      </c>
      <c r="C2802" s="2" t="s">
        <v>16</v>
      </c>
      <c r="D2802" s="2" t="s">
        <v>62</v>
      </c>
      <c r="E2802" s="2" t="s">
        <v>27</v>
      </c>
      <c r="F2802" s="2">
        <v>1702.59</v>
      </c>
      <c r="G2802" s="2">
        <v>355.26</v>
      </c>
      <c r="H2802" s="2" t="s">
        <v>19</v>
      </c>
      <c r="I2802" s="2" t="s">
        <v>34</v>
      </c>
    </row>
    <row r="2803" spans="1:9" x14ac:dyDescent="0.35">
      <c r="A2803" s="2" t="s">
        <v>2842</v>
      </c>
      <c r="B2803" s="3">
        <v>44606</v>
      </c>
      <c r="C2803" s="2" t="s">
        <v>25</v>
      </c>
      <c r="D2803" s="2" t="s">
        <v>73</v>
      </c>
      <c r="E2803" s="2" t="s">
        <v>27</v>
      </c>
      <c r="F2803" s="2">
        <v>1994.23</v>
      </c>
      <c r="G2803" s="2">
        <v>317.43</v>
      </c>
      <c r="H2803" s="2" t="s">
        <v>13</v>
      </c>
      <c r="I2803" s="2" t="s">
        <v>14</v>
      </c>
    </row>
    <row r="2804" spans="1:9" x14ac:dyDescent="0.35">
      <c r="A2804" s="2" t="s">
        <v>2843</v>
      </c>
      <c r="B2804" s="3">
        <v>45076</v>
      </c>
      <c r="C2804" s="2" t="s">
        <v>22</v>
      </c>
      <c r="D2804" s="2" t="s">
        <v>97</v>
      </c>
      <c r="E2804" s="2" t="s">
        <v>27</v>
      </c>
      <c r="F2804" s="2">
        <v>692.1</v>
      </c>
      <c r="G2804" s="2">
        <v>37.74</v>
      </c>
      <c r="H2804" s="2" t="s">
        <v>28</v>
      </c>
      <c r="I2804" s="2" t="s">
        <v>29</v>
      </c>
    </row>
    <row r="2805" spans="1:9" x14ac:dyDescent="0.35">
      <c r="A2805" s="2" t="s">
        <v>2844</v>
      </c>
      <c r="B2805" s="3">
        <v>45568</v>
      </c>
      <c r="C2805" s="2" t="s">
        <v>16</v>
      </c>
      <c r="D2805" s="2" t="s">
        <v>97</v>
      </c>
      <c r="E2805" s="2" t="s">
        <v>27</v>
      </c>
      <c r="F2805" s="2">
        <v>1385.19</v>
      </c>
      <c r="G2805" s="2">
        <v>97.28</v>
      </c>
      <c r="H2805" s="2" t="s">
        <v>13</v>
      </c>
      <c r="I2805" s="2" t="s">
        <v>20</v>
      </c>
    </row>
    <row r="2806" spans="1:9" x14ac:dyDescent="0.35">
      <c r="A2806" s="2" t="s">
        <v>2845</v>
      </c>
      <c r="B2806" s="3">
        <v>45526</v>
      </c>
      <c r="C2806" s="2" t="s">
        <v>10</v>
      </c>
      <c r="D2806" s="2" t="s">
        <v>62</v>
      </c>
      <c r="E2806" s="2" t="s">
        <v>27</v>
      </c>
      <c r="F2806" s="2">
        <v>89.44</v>
      </c>
      <c r="G2806" s="2">
        <v>12.17</v>
      </c>
      <c r="H2806" s="2" t="s">
        <v>19</v>
      </c>
      <c r="I2806" s="2" t="s">
        <v>20</v>
      </c>
    </row>
    <row r="2807" spans="1:9" x14ac:dyDescent="0.35">
      <c r="A2807" s="2" t="s">
        <v>2846</v>
      </c>
      <c r="B2807" s="3">
        <v>45284</v>
      </c>
      <c r="C2807" s="2" t="s">
        <v>22</v>
      </c>
      <c r="D2807" s="2" t="s">
        <v>95</v>
      </c>
      <c r="E2807" s="2" t="s">
        <v>18</v>
      </c>
      <c r="F2807" s="2">
        <v>1850.87</v>
      </c>
      <c r="G2807" s="2">
        <v>387.15</v>
      </c>
      <c r="H2807" s="2" t="s">
        <v>19</v>
      </c>
      <c r="I2807" s="2" t="s">
        <v>20</v>
      </c>
    </row>
    <row r="2808" spans="1:9" x14ac:dyDescent="0.35">
      <c r="A2808" s="2" t="s">
        <v>2847</v>
      </c>
      <c r="B2808" s="3">
        <v>44874</v>
      </c>
      <c r="C2808" s="2" t="s">
        <v>22</v>
      </c>
      <c r="D2808" s="2" t="s">
        <v>50</v>
      </c>
      <c r="E2808" s="2" t="s">
        <v>12</v>
      </c>
      <c r="F2808" s="2">
        <v>901.31</v>
      </c>
      <c r="G2808" s="2">
        <v>60.98</v>
      </c>
      <c r="H2808" s="2" t="s">
        <v>28</v>
      </c>
      <c r="I2808" s="2" t="s">
        <v>29</v>
      </c>
    </row>
    <row r="2809" spans="1:9" x14ac:dyDescent="0.35">
      <c r="A2809" s="2" t="s">
        <v>2848</v>
      </c>
      <c r="B2809" s="3">
        <v>45299</v>
      </c>
      <c r="C2809" s="2" t="s">
        <v>16</v>
      </c>
      <c r="D2809" s="2" t="s">
        <v>31</v>
      </c>
      <c r="E2809" s="2" t="s">
        <v>12</v>
      </c>
      <c r="F2809" s="2">
        <v>584.42999999999995</v>
      </c>
      <c r="G2809" s="2">
        <v>90.07</v>
      </c>
      <c r="H2809" s="2" t="s">
        <v>13</v>
      </c>
      <c r="I2809" s="2" t="s">
        <v>14</v>
      </c>
    </row>
    <row r="2810" spans="1:9" x14ac:dyDescent="0.35">
      <c r="A2810" s="2" t="s">
        <v>2849</v>
      </c>
      <c r="B2810" s="3">
        <v>45073</v>
      </c>
      <c r="C2810" s="2" t="s">
        <v>25</v>
      </c>
      <c r="D2810" s="2" t="s">
        <v>31</v>
      </c>
      <c r="E2810" s="2" t="s">
        <v>12</v>
      </c>
      <c r="F2810" s="2">
        <v>1558.89</v>
      </c>
      <c r="G2810" s="2">
        <v>201.85</v>
      </c>
      <c r="H2810" s="2" t="s">
        <v>19</v>
      </c>
      <c r="I2810" s="2" t="s">
        <v>34</v>
      </c>
    </row>
    <row r="2811" spans="1:9" x14ac:dyDescent="0.35">
      <c r="A2811" s="2" t="s">
        <v>2850</v>
      </c>
      <c r="B2811" s="3">
        <v>45441</v>
      </c>
      <c r="C2811" s="2" t="s">
        <v>22</v>
      </c>
      <c r="D2811" s="2" t="s">
        <v>31</v>
      </c>
      <c r="E2811" s="2" t="s">
        <v>12</v>
      </c>
      <c r="F2811" s="2">
        <v>1623.53</v>
      </c>
      <c r="G2811" s="2">
        <v>295.74</v>
      </c>
      <c r="H2811" s="2" t="s">
        <v>13</v>
      </c>
      <c r="I2811" s="2" t="s">
        <v>29</v>
      </c>
    </row>
    <row r="2812" spans="1:9" x14ac:dyDescent="0.35">
      <c r="A2812" s="2" t="s">
        <v>2851</v>
      </c>
      <c r="B2812" s="3">
        <v>45154</v>
      </c>
      <c r="C2812" s="2" t="s">
        <v>22</v>
      </c>
      <c r="D2812" s="2" t="s">
        <v>17</v>
      </c>
      <c r="E2812" s="2" t="s">
        <v>18</v>
      </c>
      <c r="F2812" s="2">
        <v>1086.18</v>
      </c>
      <c r="G2812" s="2">
        <v>291.23</v>
      </c>
      <c r="H2812" s="2" t="s">
        <v>19</v>
      </c>
      <c r="I2812" s="2" t="s">
        <v>34</v>
      </c>
    </row>
    <row r="2813" spans="1:9" x14ac:dyDescent="0.35">
      <c r="A2813" s="2" t="s">
        <v>2852</v>
      </c>
      <c r="B2813" s="3">
        <v>44727</v>
      </c>
      <c r="C2813" s="2" t="s">
        <v>22</v>
      </c>
      <c r="D2813" s="2" t="s">
        <v>31</v>
      </c>
      <c r="E2813" s="2" t="s">
        <v>12</v>
      </c>
      <c r="F2813" s="2">
        <v>1160.72</v>
      </c>
      <c r="G2813" s="2">
        <v>278.86</v>
      </c>
      <c r="H2813" s="2" t="s">
        <v>13</v>
      </c>
      <c r="I2813" s="2" t="s">
        <v>14</v>
      </c>
    </row>
    <row r="2814" spans="1:9" x14ac:dyDescent="0.35">
      <c r="A2814" s="2" t="s">
        <v>2853</v>
      </c>
      <c r="B2814" s="3">
        <v>45649</v>
      </c>
      <c r="C2814" s="2" t="s">
        <v>25</v>
      </c>
      <c r="D2814" s="2" t="s">
        <v>97</v>
      </c>
      <c r="E2814" s="2" t="s">
        <v>27</v>
      </c>
      <c r="F2814" s="2">
        <v>1045.53</v>
      </c>
      <c r="G2814" s="2">
        <v>246.2</v>
      </c>
      <c r="H2814" s="2" t="s">
        <v>19</v>
      </c>
      <c r="I2814" s="2" t="s">
        <v>29</v>
      </c>
    </row>
    <row r="2815" spans="1:9" x14ac:dyDescent="0.35">
      <c r="A2815" s="2" t="s">
        <v>2854</v>
      </c>
      <c r="B2815" s="3">
        <v>44683</v>
      </c>
      <c r="C2815" s="2" t="s">
        <v>22</v>
      </c>
      <c r="D2815" s="2" t="s">
        <v>31</v>
      </c>
      <c r="E2815" s="2" t="s">
        <v>12</v>
      </c>
      <c r="F2815" s="2">
        <v>821.86</v>
      </c>
      <c r="G2815" s="2">
        <v>159.06</v>
      </c>
      <c r="H2815" s="2" t="s">
        <v>19</v>
      </c>
      <c r="I2815" s="2" t="s">
        <v>29</v>
      </c>
    </row>
    <row r="2816" spans="1:9" x14ac:dyDescent="0.35">
      <c r="A2816" s="2" t="s">
        <v>2855</v>
      </c>
      <c r="B2816" s="3">
        <v>45315</v>
      </c>
      <c r="C2816" s="2" t="s">
        <v>22</v>
      </c>
      <c r="D2816" s="2" t="s">
        <v>95</v>
      </c>
      <c r="E2816" s="2" t="s">
        <v>18</v>
      </c>
      <c r="F2816" s="2">
        <v>617.73</v>
      </c>
      <c r="G2816" s="2">
        <v>66.680000000000007</v>
      </c>
      <c r="H2816" s="2" t="s">
        <v>28</v>
      </c>
      <c r="I2816" s="2" t="s">
        <v>20</v>
      </c>
    </row>
    <row r="2817" spans="1:9" x14ac:dyDescent="0.35">
      <c r="A2817" s="2" t="s">
        <v>2856</v>
      </c>
      <c r="B2817" s="3">
        <v>44806</v>
      </c>
      <c r="C2817" s="2" t="s">
        <v>25</v>
      </c>
      <c r="D2817" s="2" t="s">
        <v>57</v>
      </c>
      <c r="E2817" s="2" t="s">
        <v>27</v>
      </c>
      <c r="F2817" s="2">
        <v>1898.69</v>
      </c>
      <c r="G2817" s="2">
        <v>370.23</v>
      </c>
      <c r="H2817" s="2" t="s">
        <v>28</v>
      </c>
      <c r="I2817" s="2" t="s">
        <v>14</v>
      </c>
    </row>
    <row r="2818" spans="1:9" x14ac:dyDescent="0.35">
      <c r="A2818" s="2" t="s">
        <v>2857</v>
      </c>
      <c r="B2818" s="3">
        <v>44720</v>
      </c>
      <c r="C2818" s="2" t="s">
        <v>16</v>
      </c>
      <c r="D2818" s="2" t="s">
        <v>33</v>
      </c>
      <c r="E2818" s="2" t="s">
        <v>18</v>
      </c>
      <c r="F2818" s="2">
        <v>1304.1500000000001</v>
      </c>
      <c r="G2818" s="2">
        <v>73.010000000000005</v>
      </c>
      <c r="H2818" s="2" t="s">
        <v>19</v>
      </c>
      <c r="I2818" s="2" t="s">
        <v>20</v>
      </c>
    </row>
    <row r="2819" spans="1:9" x14ac:dyDescent="0.35">
      <c r="A2819" s="2" t="s">
        <v>2858</v>
      </c>
      <c r="B2819" s="3">
        <v>44856</v>
      </c>
      <c r="C2819" s="2" t="s">
        <v>25</v>
      </c>
      <c r="D2819" s="2" t="s">
        <v>26</v>
      </c>
      <c r="E2819" s="2" t="s">
        <v>27</v>
      </c>
      <c r="F2819" s="2">
        <v>1210.56</v>
      </c>
      <c r="G2819" s="2">
        <v>290.75</v>
      </c>
      <c r="H2819" s="2" t="s">
        <v>13</v>
      </c>
      <c r="I2819" s="2" t="s">
        <v>14</v>
      </c>
    </row>
    <row r="2820" spans="1:9" x14ac:dyDescent="0.35">
      <c r="A2820" s="2" t="s">
        <v>2859</v>
      </c>
      <c r="B2820" s="3">
        <v>45410</v>
      </c>
      <c r="C2820" s="2" t="s">
        <v>22</v>
      </c>
      <c r="D2820" s="2" t="s">
        <v>23</v>
      </c>
      <c r="E2820" s="2" t="s">
        <v>18</v>
      </c>
      <c r="F2820" s="2">
        <v>1222.0999999999999</v>
      </c>
      <c r="G2820" s="2">
        <v>269.57</v>
      </c>
      <c r="H2820" s="2" t="s">
        <v>19</v>
      </c>
      <c r="I2820" s="2" t="s">
        <v>34</v>
      </c>
    </row>
    <row r="2821" spans="1:9" x14ac:dyDescent="0.35">
      <c r="A2821" s="2" t="s">
        <v>2860</v>
      </c>
      <c r="B2821" s="3">
        <v>44597</v>
      </c>
      <c r="C2821" s="2" t="s">
        <v>10</v>
      </c>
      <c r="D2821" s="2" t="s">
        <v>95</v>
      </c>
      <c r="E2821" s="2" t="s">
        <v>18</v>
      </c>
      <c r="F2821" s="2">
        <v>498.93</v>
      </c>
      <c r="G2821" s="2">
        <v>123.38</v>
      </c>
      <c r="H2821" s="2" t="s">
        <v>13</v>
      </c>
      <c r="I2821" s="2" t="s">
        <v>14</v>
      </c>
    </row>
    <row r="2822" spans="1:9" x14ac:dyDescent="0.35">
      <c r="A2822" s="2" t="s">
        <v>2861</v>
      </c>
      <c r="B2822" s="3">
        <v>44711</v>
      </c>
      <c r="C2822" s="2" t="s">
        <v>25</v>
      </c>
      <c r="D2822" s="2" t="s">
        <v>17</v>
      </c>
      <c r="E2822" s="2" t="s">
        <v>18</v>
      </c>
      <c r="F2822" s="2">
        <v>1734.99</v>
      </c>
      <c r="G2822" s="2">
        <v>466.8</v>
      </c>
      <c r="H2822" s="2" t="s">
        <v>13</v>
      </c>
      <c r="I2822" s="2" t="s">
        <v>34</v>
      </c>
    </row>
    <row r="2823" spans="1:9" x14ac:dyDescent="0.35">
      <c r="A2823" s="2" t="s">
        <v>2862</v>
      </c>
      <c r="B2823" s="3">
        <v>44625</v>
      </c>
      <c r="C2823" s="2" t="s">
        <v>16</v>
      </c>
      <c r="D2823" s="2" t="s">
        <v>62</v>
      </c>
      <c r="E2823" s="2" t="s">
        <v>27</v>
      </c>
      <c r="F2823" s="2">
        <v>1831.8</v>
      </c>
      <c r="G2823" s="2">
        <v>462.89</v>
      </c>
      <c r="H2823" s="2" t="s">
        <v>19</v>
      </c>
      <c r="I2823" s="2" t="s">
        <v>14</v>
      </c>
    </row>
    <row r="2824" spans="1:9" x14ac:dyDescent="0.35">
      <c r="A2824" s="2" t="s">
        <v>2863</v>
      </c>
      <c r="B2824" s="3">
        <v>45072</v>
      </c>
      <c r="C2824" s="2" t="s">
        <v>10</v>
      </c>
      <c r="D2824" s="2" t="s">
        <v>50</v>
      </c>
      <c r="E2824" s="2" t="s">
        <v>12</v>
      </c>
      <c r="F2824" s="2">
        <v>368.71</v>
      </c>
      <c r="G2824" s="2">
        <v>48.59</v>
      </c>
      <c r="H2824" s="2" t="s">
        <v>13</v>
      </c>
      <c r="I2824" s="2" t="s">
        <v>20</v>
      </c>
    </row>
    <row r="2825" spans="1:9" x14ac:dyDescent="0.35">
      <c r="A2825" s="2" t="s">
        <v>2864</v>
      </c>
      <c r="B2825" s="3">
        <v>45496</v>
      </c>
      <c r="C2825" s="2" t="s">
        <v>25</v>
      </c>
      <c r="D2825" s="2" t="s">
        <v>11</v>
      </c>
      <c r="E2825" s="2" t="s">
        <v>12</v>
      </c>
      <c r="F2825" s="2">
        <v>1897.99</v>
      </c>
      <c r="G2825" s="2">
        <v>114.58</v>
      </c>
      <c r="H2825" s="2" t="s">
        <v>13</v>
      </c>
      <c r="I2825" s="2" t="s">
        <v>29</v>
      </c>
    </row>
    <row r="2826" spans="1:9" x14ac:dyDescent="0.35">
      <c r="A2826" s="2" t="s">
        <v>2865</v>
      </c>
      <c r="B2826" s="3">
        <v>44713</v>
      </c>
      <c r="C2826" s="2" t="s">
        <v>10</v>
      </c>
      <c r="D2826" s="2" t="s">
        <v>11</v>
      </c>
      <c r="E2826" s="2" t="s">
        <v>12</v>
      </c>
      <c r="F2826" s="2">
        <v>657.63</v>
      </c>
      <c r="G2826" s="2">
        <v>191.3</v>
      </c>
      <c r="H2826" s="2" t="s">
        <v>28</v>
      </c>
      <c r="I2826" s="2" t="s">
        <v>29</v>
      </c>
    </row>
    <row r="2827" spans="1:9" x14ac:dyDescent="0.35">
      <c r="A2827" s="2" t="s">
        <v>2866</v>
      </c>
      <c r="B2827" s="3">
        <v>45189</v>
      </c>
      <c r="C2827" s="2" t="s">
        <v>22</v>
      </c>
      <c r="D2827" s="2" t="s">
        <v>38</v>
      </c>
      <c r="E2827" s="2" t="s">
        <v>12</v>
      </c>
      <c r="F2827" s="2">
        <v>379.12</v>
      </c>
      <c r="G2827" s="2">
        <v>19.989999999999998</v>
      </c>
      <c r="H2827" s="2" t="s">
        <v>13</v>
      </c>
      <c r="I2827" s="2" t="s">
        <v>34</v>
      </c>
    </row>
    <row r="2828" spans="1:9" x14ac:dyDescent="0.35">
      <c r="A2828" s="2" t="s">
        <v>2867</v>
      </c>
      <c r="B2828" s="3">
        <v>45206</v>
      </c>
      <c r="C2828" s="2" t="s">
        <v>10</v>
      </c>
      <c r="D2828" s="2" t="s">
        <v>46</v>
      </c>
      <c r="E2828" s="2" t="s">
        <v>18</v>
      </c>
      <c r="F2828" s="2">
        <v>1515.73</v>
      </c>
      <c r="G2828" s="2">
        <v>286.48</v>
      </c>
      <c r="H2828" s="2" t="s">
        <v>19</v>
      </c>
      <c r="I2828" s="2" t="s">
        <v>20</v>
      </c>
    </row>
    <row r="2829" spans="1:9" x14ac:dyDescent="0.35">
      <c r="A2829" s="2" t="s">
        <v>2868</v>
      </c>
      <c r="B2829" s="3">
        <v>45354</v>
      </c>
      <c r="C2829" s="2" t="s">
        <v>22</v>
      </c>
      <c r="D2829" s="2" t="s">
        <v>97</v>
      </c>
      <c r="E2829" s="2" t="s">
        <v>27</v>
      </c>
      <c r="F2829" s="2">
        <v>175.09</v>
      </c>
      <c r="G2829" s="2">
        <v>39.270000000000003</v>
      </c>
      <c r="H2829" s="2" t="s">
        <v>28</v>
      </c>
      <c r="I2829" s="2" t="s">
        <v>20</v>
      </c>
    </row>
    <row r="2830" spans="1:9" x14ac:dyDescent="0.35">
      <c r="A2830" s="2" t="s">
        <v>2869</v>
      </c>
      <c r="B2830" s="3">
        <v>45318</v>
      </c>
      <c r="C2830" s="2" t="s">
        <v>25</v>
      </c>
      <c r="D2830" s="2" t="s">
        <v>95</v>
      </c>
      <c r="E2830" s="2" t="s">
        <v>18</v>
      </c>
      <c r="F2830" s="2">
        <v>1468.76</v>
      </c>
      <c r="G2830" s="2">
        <v>233.01</v>
      </c>
      <c r="H2830" s="2" t="s">
        <v>19</v>
      </c>
      <c r="I2830" s="2" t="s">
        <v>20</v>
      </c>
    </row>
    <row r="2831" spans="1:9" x14ac:dyDescent="0.35">
      <c r="A2831" s="2" t="s">
        <v>2870</v>
      </c>
      <c r="B2831" s="3">
        <v>45265</v>
      </c>
      <c r="C2831" s="2" t="s">
        <v>16</v>
      </c>
      <c r="D2831" s="2" t="s">
        <v>33</v>
      </c>
      <c r="E2831" s="2" t="s">
        <v>18</v>
      </c>
      <c r="F2831" s="2">
        <v>63.17</v>
      </c>
      <c r="G2831" s="2">
        <v>14.28</v>
      </c>
      <c r="H2831" s="2" t="s">
        <v>28</v>
      </c>
      <c r="I2831" s="2" t="s">
        <v>29</v>
      </c>
    </row>
    <row r="2832" spans="1:9" x14ac:dyDescent="0.35">
      <c r="A2832" s="2" t="s">
        <v>2871</v>
      </c>
      <c r="B2832" s="3">
        <v>44828</v>
      </c>
      <c r="C2832" s="2" t="s">
        <v>22</v>
      </c>
      <c r="D2832" s="2" t="s">
        <v>38</v>
      </c>
      <c r="E2832" s="2" t="s">
        <v>12</v>
      </c>
      <c r="F2832" s="2">
        <v>922.75</v>
      </c>
      <c r="G2832" s="2">
        <v>135.44</v>
      </c>
      <c r="H2832" s="2" t="s">
        <v>13</v>
      </c>
      <c r="I2832" s="2" t="s">
        <v>34</v>
      </c>
    </row>
    <row r="2833" spans="1:9" x14ac:dyDescent="0.35">
      <c r="A2833" s="2" t="s">
        <v>2872</v>
      </c>
      <c r="B2833" s="3">
        <v>45446</v>
      </c>
      <c r="C2833" s="2" t="s">
        <v>22</v>
      </c>
      <c r="D2833" s="2" t="s">
        <v>33</v>
      </c>
      <c r="E2833" s="2" t="s">
        <v>18</v>
      </c>
      <c r="F2833" s="2">
        <v>160.87</v>
      </c>
      <c r="G2833" s="2">
        <v>16.899999999999999</v>
      </c>
      <c r="H2833" s="2" t="s">
        <v>19</v>
      </c>
      <c r="I2833" s="2" t="s">
        <v>29</v>
      </c>
    </row>
    <row r="2834" spans="1:9" x14ac:dyDescent="0.35">
      <c r="A2834" s="2" t="s">
        <v>2873</v>
      </c>
      <c r="B2834" s="3">
        <v>44831</v>
      </c>
      <c r="C2834" s="2" t="s">
        <v>25</v>
      </c>
      <c r="D2834" s="2" t="s">
        <v>17</v>
      </c>
      <c r="E2834" s="2" t="s">
        <v>18</v>
      </c>
      <c r="F2834" s="2">
        <v>1993.54</v>
      </c>
      <c r="G2834" s="2">
        <v>464.89</v>
      </c>
      <c r="H2834" s="2" t="s">
        <v>13</v>
      </c>
      <c r="I2834" s="2" t="s">
        <v>20</v>
      </c>
    </row>
    <row r="2835" spans="1:9" x14ac:dyDescent="0.35">
      <c r="A2835" s="2" t="s">
        <v>2874</v>
      </c>
      <c r="B2835" s="3">
        <v>45331</v>
      </c>
      <c r="C2835" s="2" t="s">
        <v>16</v>
      </c>
      <c r="D2835" s="2" t="s">
        <v>41</v>
      </c>
      <c r="E2835" s="2" t="s">
        <v>12</v>
      </c>
      <c r="F2835" s="2">
        <v>1846.08</v>
      </c>
      <c r="G2835" s="2">
        <v>404.56</v>
      </c>
      <c r="H2835" s="2" t="s">
        <v>28</v>
      </c>
      <c r="I2835" s="2" t="s">
        <v>29</v>
      </c>
    </row>
    <row r="2836" spans="1:9" x14ac:dyDescent="0.35">
      <c r="A2836" s="2" t="s">
        <v>2875</v>
      </c>
      <c r="B2836" s="3">
        <v>45231</v>
      </c>
      <c r="C2836" s="2" t="s">
        <v>22</v>
      </c>
      <c r="D2836" s="2" t="s">
        <v>26</v>
      </c>
      <c r="E2836" s="2" t="s">
        <v>27</v>
      </c>
      <c r="F2836" s="2">
        <v>1643.85</v>
      </c>
      <c r="G2836" s="2">
        <v>483.47</v>
      </c>
      <c r="H2836" s="2" t="s">
        <v>19</v>
      </c>
      <c r="I2836" s="2" t="s">
        <v>34</v>
      </c>
    </row>
    <row r="2837" spans="1:9" x14ac:dyDescent="0.35">
      <c r="A2837" s="2" t="s">
        <v>2876</v>
      </c>
      <c r="B2837" s="3">
        <v>45080</v>
      </c>
      <c r="C2837" s="2" t="s">
        <v>10</v>
      </c>
      <c r="D2837" s="2" t="s">
        <v>95</v>
      </c>
      <c r="E2837" s="2" t="s">
        <v>18</v>
      </c>
      <c r="F2837" s="2">
        <v>818.57</v>
      </c>
      <c r="G2837" s="2">
        <v>210.61</v>
      </c>
      <c r="H2837" s="2" t="s">
        <v>28</v>
      </c>
      <c r="I2837" s="2" t="s">
        <v>20</v>
      </c>
    </row>
    <row r="2838" spans="1:9" x14ac:dyDescent="0.35">
      <c r="A2838" s="2" t="s">
        <v>2877</v>
      </c>
      <c r="B2838" s="3">
        <v>45130</v>
      </c>
      <c r="C2838" s="2" t="s">
        <v>22</v>
      </c>
      <c r="D2838" s="2" t="s">
        <v>97</v>
      </c>
      <c r="E2838" s="2" t="s">
        <v>27</v>
      </c>
      <c r="F2838" s="2">
        <v>1253.53</v>
      </c>
      <c r="G2838" s="2">
        <v>306.76</v>
      </c>
      <c r="H2838" s="2" t="s">
        <v>13</v>
      </c>
      <c r="I2838" s="2" t="s">
        <v>14</v>
      </c>
    </row>
    <row r="2839" spans="1:9" x14ac:dyDescent="0.35">
      <c r="A2839" s="2" t="s">
        <v>2878</v>
      </c>
      <c r="B2839" s="3">
        <v>44929</v>
      </c>
      <c r="C2839" s="2" t="s">
        <v>10</v>
      </c>
      <c r="D2839" s="2" t="s">
        <v>11</v>
      </c>
      <c r="E2839" s="2" t="s">
        <v>12</v>
      </c>
      <c r="F2839" s="2">
        <v>883.04</v>
      </c>
      <c r="G2839" s="2">
        <v>136.22</v>
      </c>
      <c r="H2839" s="2" t="s">
        <v>19</v>
      </c>
      <c r="I2839" s="2" t="s">
        <v>14</v>
      </c>
    </row>
    <row r="2840" spans="1:9" x14ac:dyDescent="0.35">
      <c r="A2840" s="2" t="s">
        <v>2879</v>
      </c>
      <c r="B2840" s="3">
        <v>45368</v>
      </c>
      <c r="C2840" s="2" t="s">
        <v>16</v>
      </c>
      <c r="D2840" s="2" t="s">
        <v>97</v>
      </c>
      <c r="E2840" s="2" t="s">
        <v>27</v>
      </c>
      <c r="F2840" s="2">
        <v>1571.16</v>
      </c>
      <c r="G2840" s="2">
        <v>470.06</v>
      </c>
      <c r="H2840" s="2" t="s">
        <v>19</v>
      </c>
      <c r="I2840" s="2" t="s">
        <v>34</v>
      </c>
    </row>
    <row r="2841" spans="1:9" x14ac:dyDescent="0.35">
      <c r="A2841" s="2" t="s">
        <v>2880</v>
      </c>
      <c r="B2841" s="3">
        <v>45381</v>
      </c>
      <c r="C2841" s="2" t="s">
        <v>10</v>
      </c>
      <c r="D2841" s="2" t="s">
        <v>50</v>
      </c>
      <c r="E2841" s="2" t="s">
        <v>12</v>
      </c>
      <c r="F2841" s="2">
        <v>583.01</v>
      </c>
      <c r="G2841" s="2">
        <v>108.38</v>
      </c>
      <c r="H2841" s="2" t="s">
        <v>13</v>
      </c>
      <c r="I2841" s="2" t="s">
        <v>29</v>
      </c>
    </row>
    <row r="2842" spans="1:9" x14ac:dyDescent="0.35">
      <c r="A2842" s="2" t="s">
        <v>2881</v>
      </c>
      <c r="B2842" s="3">
        <v>45223</v>
      </c>
      <c r="C2842" s="2" t="s">
        <v>25</v>
      </c>
      <c r="D2842" s="2" t="s">
        <v>62</v>
      </c>
      <c r="E2842" s="2" t="s">
        <v>27</v>
      </c>
      <c r="F2842" s="2">
        <v>116.26</v>
      </c>
      <c r="G2842" s="2">
        <v>10.5</v>
      </c>
      <c r="H2842" s="2" t="s">
        <v>19</v>
      </c>
      <c r="I2842" s="2" t="s">
        <v>29</v>
      </c>
    </row>
    <row r="2843" spans="1:9" x14ac:dyDescent="0.35">
      <c r="A2843" s="2" t="s">
        <v>2882</v>
      </c>
      <c r="B2843" s="3">
        <v>45186</v>
      </c>
      <c r="C2843" s="2" t="s">
        <v>22</v>
      </c>
      <c r="D2843" s="2" t="s">
        <v>11</v>
      </c>
      <c r="E2843" s="2" t="s">
        <v>12</v>
      </c>
      <c r="F2843" s="2">
        <v>657.79</v>
      </c>
      <c r="G2843" s="2">
        <v>53.43</v>
      </c>
      <c r="H2843" s="2" t="s">
        <v>19</v>
      </c>
      <c r="I2843" s="2" t="s">
        <v>20</v>
      </c>
    </row>
    <row r="2844" spans="1:9" x14ac:dyDescent="0.35">
      <c r="A2844" s="2" t="s">
        <v>2883</v>
      </c>
      <c r="B2844" s="3">
        <v>45330</v>
      </c>
      <c r="C2844" s="2" t="s">
        <v>16</v>
      </c>
      <c r="D2844" s="2" t="s">
        <v>97</v>
      </c>
      <c r="E2844" s="2" t="s">
        <v>27</v>
      </c>
      <c r="F2844" s="2">
        <v>308.70999999999998</v>
      </c>
      <c r="G2844" s="2">
        <v>18.71</v>
      </c>
      <c r="H2844" s="2" t="s">
        <v>28</v>
      </c>
      <c r="I2844" s="2" t="s">
        <v>29</v>
      </c>
    </row>
    <row r="2845" spans="1:9" x14ac:dyDescent="0.35">
      <c r="A2845" s="2" t="s">
        <v>2884</v>
      </c>
      <c r="B2845" s="3">
        <v>44904</v>
      </c>
      <c r="C2845" s="2" t="s">
        <v>25</v>
      </c>
      <c r="D2845" s="2" t="s">
        <v>57</v>
      </c>
      <c r="E2845" s="2" t="s">
        <v>27</v>
      </c>
      <c r="F2845" s="2">
        <v>1874.36</v>
      </c>
      <c r="G2845" s="2">
        <v>446.71</v>
      </c>
      <c r="H2845" s="2" t="s">
        <v>19</v>
      </c>
      <c r="I2845" s="2" t="s">
        <v>20</v>
      </c>
    </row>
    <row r="2846" spans="1:9" x14ac:dyDescent="0.35">
      <c r="A2846" s="2" t="s">
        <v>2885</v>
      </c>
      <c r="B2846" s="3">
        <v>45043</v>
      </c>
      <c r="C2846" s="2" t="s">
        <v>16</v>
      </c>
      <c r="D2846" s="2" t="s">
        <v>33</v>
      </c>
      <c r="E2846" s="2" t="s">
        <v>18</v>
      </c>
      <c r="F2846" s="2">
        <v>375.75</v>
      </c>
      <c r="G2846" s="2">
        <v>58.66</v>
      </c>
      <c r="H2846" s="2" t="s">
        <v>28</v>
      </c>
      <c r="I2846" s="2" t="s">
        <v>14</v>
      </c>
    </row>
    <row r="2847" spans="1:9" x14ac:dyDescent="0.35">
      <c r="A2847" s="2" t="s">
        <v>2886</v>
      </c>
      <c r="B2847" s="3">
        <v>45011</v>
      </c>
      <c r="C2847" s="2" t="s">
        <v>16</v>
      </c>
      <c r="D2847" s="2" t="s">
        <v>38</v>
      </c>
      <c r="E2847" s="2" t="s">
        <v>12</v>
      </c>
      <c r="F2847" s="2">
        <v>594.94000000000005</v>
      </c>
      <c r="G2847" s="2">
        <v>142.01</v>
      </c>
      <c r="H2847" s="2" t="s">
        <v>13</v>
      </c>
      <c r="I2847" s="2" t="s">
        <v>29</v>
      </c>
    </row>
    <row r="2848" spans="1:9" x14ac:dyDescent="0.35">
      <c r="A2848" s="2" t="s">
        <v>2887</v>
      </c>
      <c r="B2848" s="3">
        <v>45217</v>
      </c>
      <c r="C2848" s="2" t="s">
        <v>22</v>
      </c>
      <c r="D2848" s="2" t="s">
        <v>31</v>
      </c>
      <c r="E2848" s="2" t="s">
        <v>12</v>
      </c>
      <c r="F2848" s="2">
        <v>91.88</v>
      </c>
      <c r="G2848" s="2">
        <v>13.87</v>
      </c>
      <c r="H2848" s="2" t="s">
        <v>28</v>
      </c>
      <c r="I2848" s="2" t="s">
        <v>20</v>
      </c>
    </row>
    <row r="2849" spans="1:9" x14ac:dyDescent="0.35">
      <c r="A2849" s="2" t="s">
        <v>2888</v>
      </c>
      <c r="B2849" s="3">
        <v>44891</v>
      </c>
      <c r="C2849" s="2" t="s">
        <v>25</v>
      </c>
      <c r="D2849" s="2" t="s">
        <v>31</v>
      </c>
      <c r="E2849" s="2" t="s">
        <v>12</v>
      </c>
      <c r="F2849" s="2">
        <v>207.27</v>
      </c>
      <c r="G2849" s="2">
        <v>58.73</v>
      </c>
      <c r="H2849" s="2" t="s">
        <v>28</v>
      </c>
      <c r="I2849" s="2" t="s">
        <v>20</v>
      </c>
    </row>
    <row r="2850" spans="1:9" x14ac:dyDescent="0.35">
      <c r="A2850" s="2" t="s">
        <v>2889</v>
      </c>
      <c r="B2850" s="3">
        <v>44883</v>
      </c>
      <c r="C2850" s="2" t="s">
        <v>10</v>
      </c>
      <c r="D2850" s="2" t="s">
        <v>95</v>
      </c>
      <c r="E2850" s="2" t="s">
        <v>18</v>
      </c>
      <c r="F2850" s="2">
        <v>1426.55</v>
      </c>
      <c r="G2850" s="2">
        <v>345.82</v>
      </c>
      <c r="H2850" s="2" t="s">
        <v>28</v>
      </c>
      <c r="I2850" s="2" t="s">
        <v>20</v>
      </c>
    </row>
    <row r="2851" spans="1:9" x14ac:dyDescent="0.35">
      <c r="A2851" s="2" t="s">
        <v>2890</v>
      </c>
      <c r="B2851" s="3">
        <v>44904</v>
      </c>
      <c r="C2851" s="2" t="s">
        <v>25</v>
      </c>
      <c r="D2851" s="2" t="s">
        <v>41</v>
      </c>
      <c r="E2851" s="2" t="s">
        <v>12</v>
      </c>
      <c r="F2851" s="2">
        <v>1839.87</v>
      </c>
      <c r="G2851" s="2">
        <v>426.47</v>
      </c>
      <c r="H2851" s="2" t="s">
        <v>19</v>
      </c>
      <c r="I2851" s="2" t="s">
        <v>20</v>
      </c>
    </row>
    <row r="2852" spans="1:9" x14ac:dyDescent="0.35">
      <c r="A2852" s="2" t="s">
        <v>2891</v>
      </c>
      <c r="B2852" s="3">
        <v>44871</v>
      </c>
      <c r="C2852" s="2" t="s">
        <v>22</v>
      </c>
      <c r="D2852" s="2" t="s">
        <v>33</v>
      </c>
      <c r="E2852" s="2" t="s">
        <v>18</v>
      </c>
      <c r="F2852" s="2">
        <v>180.57</v>
      </c>
      <c r="G2852" s="2">
        <v>25.79</v>
      </c>
      <c r="H2852" s="2" t="s">
        <v>13</v>
      </c>
      <c r="I2852" s="2" t="s">
        <v>14</v>
      </c>
    </row>
    <row r="2853" spans="1:9" x14ac:dyDescent="0.35">
      <c r="A2853" s="2" t="s">
        <v>2892</v>
      </c>
      <c r="B2853" s="3">
        <v>45627</v>
      </c>
      <c r="C2853" s="2" t="s">
        <v>25</v>
      </c>
      <c r="D2853" s="2" t="s">
        <v>11</v>
      </c>
      <c r="E2853" s="2" t="s">
        <v>12</v>
      </c>
      <c r="F2853" s="2">
        <v>787.25</v>
      </c>
      <c r="G2853" s="2">
        <v>174.04</v>
      </c>
      <c r="H2853" s="2" t="s">
        <v>19</v>
      </c>
      <c r="I2853" s="2" t="s">
        <v>20</v>
      </c>
    </row>
    <row r="2854" spans="1:9" x14ac:dyDescent="0.35">
      <c r="A2854" s="2" t="s">
        <v>2893</v>
      </c>
      <c r="B2854" s="3">
        <v>44932</v>
      </c>
      <c r="C2854" s="2" t="s">
        <v>16</v>
      </c>
      <c r="D2854" s="2" t="s">
        <v>31</v>
      </c>
      <c r="E2854" s="2" t="s">
        <v>12</v>
      </c>
      <c r="F2854" s="2">
        <v>801.8</v>
      </c>
      <c r="G2854" s="2">
        <v>140.94</v>
      </c>
      <c r="H2854" s="2" t="s">
        <v>19</v>
      </c>
      <c r="I2854" s="2" t="s">
        <v>34</v>
      </c>
    </row>
    <row r="2855" spans="1:9" x14ac:dyDescent="0.35">
      <c r="A2855" s="2" t="s">
        <v>2894</v>
      </c>
      <c r="B2855" s="3">
        <v>44959</v>
      </c>
      <c r="C2855" s="2" t="s">
        <v>25</v>
      </c>
      <c r="D2855" s="2" t="s">
        <v>95</v>
      </c>
      <c r="E2855" s="2" t="s">
        <v>18</v>
      </c>
      <c r="F2855" s="2">
        <v>1671.26</v>
      </c>
      <c r="G2855" s="2">
        <v>114</v>
      </c>
      <c r="H2855" s="2" t="s">
        <v>28</v>
      </c>
      <c r="I2855" s="2" t="s">
        <v>20</v>
      </c>
    </row>
    <row r="2856" spans="1:9" x14ac:dyDescent="0.35">
      <c r="A2856" s="2" t="s">
        <v>2895</v>
      </c>
      <c r="B2856" s="3">
        <v>45642</v>
      </c>
      <c r="C2856" s="2" t="s">
        <v>25</v>
      </c>
      <c r="D2856" s="2" t="s">
        <v>97</v>
      </c>
      <c r="E2856" s="2" t="s">
        <v>27</v>
      </c>
      <c r="F2856" s="2">
        <v>1226.92</v>
      </c>
      <c r="G2856" s="2">
        <v>105.22</v>
      </c>
      <c r="H2856" s="2" t="s">
        <v>19</v>
      </c>
      <c r="I2856" s="2" t="s">
        <v>20</v>
      </c>
    </row>
    <row r="2857" spans="1:9" x14ac:dyDescent="0.35">
      <c r="A2857" s="2" t="s">
        <v>2896</v>
      </c>
      <c r="B2857" s="3">
        <v>45549</v>
      </c>
      <c r="C2857" s="2" t="s">
        <v>16</v>
      </c>
      <c r="D2857" s="2" t="s">
        <v>26</v>
      </c>
      <c r="E2857" s="2" t="s">
        <v>27</v>
      </c>
      <c r="F2857" s="2">
        <v>646.72</v>
      </c>
      <c r="G2857" s="2">
        <v>166.24</v>
      </c>
      <c r="H2857" s="2" t="s">
        <v>19</v>
      </c>
      <c r="I2857" s="2" t="s">
        <v>29</v>
      </c>
    </row>
    <row r="2858" spans="1:9" x14ac:dyDescent="0.35">
      <c r="A2858" s="2" t="s">
        <v>2897</v>
      </c>
      <c r="B2858" s="3">
        <v>45287</v>
      </c>
      <c r="C2858" s="2" t="s">
        <v>10</v>
      </c>
      <c r="D2858" s="2" t="s">
        <v>17</v>
      </c>
      <c r="E2858" s="2" t="s">
        <v>18</v>
      </c>
      <c r="F2858" s="2">
        <v>692.88</v>
      </c>
      <c r="G2858" s="2">
        <v>56.71</v>
      </c>
      <c r="H2858" s="2" t="s">
        <v>13</v>
      </c>
      <c r="I2858" s="2" t="s">
        <v>14</v>
      </c>
    </row>
    <row r="2859" spans="1:9" x14ac:dyDescent="0.35">
      <c r="A2859" s="2" t="s">
        <v>2898</v>
      </c>
      <c r="B2859" s="3">
        <v>44694</v>
      </c>
      <c r="C2859" s="2" t="s">
        <v>16</v>
      </c>
      <c r="D2859" s="2" t="s">
        <v>46</v>
      </c>
      <c r="E2859" s="2" t="s">
        <v>18</v>
      </c>
      <c r="F2859" s="2">
        <v>727.63</v>
      </c>
      <c r="G2859" s="2">
        <v>161.91</v>
      </c>
      <c r="H2859" s="2" t="s">
        <v>28</v>
      </c>
      <c r="I2859" s="2" t="s">
        <v>14</v>
      </c>
    </row>
    <row r="2860" spans="1:9" x14ac:dyDescent="0.35">
      <c r="A2860" s="2" t="s">
        <v>2899</v>
      </c>
      <c r="B2860" s="3">
        <v>44706</v>
      </c>
      <c r="C2860" s="2" t="s">
        <v>22</v>
      </c>
      <c r="D2860" s="2" t="s">
        <v>41</v>
      </c>
      <c r="E2860" s="2" t="s">
        <v>12</v>
      </c>
      <c r="F2860" s="2">
        <v>1105.6400000000001</v>
      </c>
      <c r="G2860" s="2">
        <v>79.02</v>
      </c>
      <c r="H2860" s="2" t="s">
        <v>28</v>
      </c>
      <c r="I2860" s="2" t="s">
        <v>29</v>
      </c>
    </row>
    <row r="2861" spans="1:9" x14ac:dyDescent="0.35">
      <c r="A2861" s="2" t="s">
        <v>2900</v>
      </c>
      <c r="B2861" s="3">
        <v>45622</v>
      </c>
      <c r="C2861" s="2" t="s">
        <v>16</v>
      </c>
      <c r="D2861" s="2" t="s">
        <v>62</v>
      </c>
      <c r="E2861" s="2" t="s">
        <v>27</v>
      </c>
      <c r="F2861" s="2">
        <v>1682.83</v>
      </c>
      <c r="G2861" s="2">
        <v>197.07</v>
      </c>
      <c r="H2861" s="2" t="s">
        <v>19</v>
      </c>
      <c r="I2861" s="2" t="s">
        <v>29</v>
      </c>
    </row>
    <row r="2862" spans="1:9" x14ac:dyDescent="0.35">
      <c r="A2862" s="2" t="s">
        <v>2901</v>
      </c>
      <c r="B2862" s="3">
        <v>45187</v>
      </c>
      <c r="C2862" s="2" t="s">
        <v>22</v>
      </c>
      <c r="D2862" s="2" t="s">
        <v>95</v>
      </c>
      <c r="E2862" s="2" t="s">
        <v>18</v>
      </c>
      <c r="F2862" s="2">
        <v>831.78</v>
      </c>
      <c r="G2862" s="2">
        <v>200.35</v>
      </c>
      <c r="H2862" s="2" t="s">
        <v>19</v>
      </c>
      <c r="I2862" s="2" t="s">
        <v>20</v>
      </c>
    </row>
    <row r="2863" spans="1:9" x14ac:dyDescent="0.35">
      <c r="A2863" s="2" t="s">
        <v>2902</v>
      </c>
      <c r="B2863" s="3">
        <v>44964</v>
      </c>
      <c r="C2863" s="2" t="s">
        <v>25</v>
      </c>
      <c r="D2863" s="2" t="s">
        <v>11</v>
      </c>
      <c r="E2863" s="2" t="s">
        <v>12</v>
      </c>
      <c r="F2863" s="2">
        <v>1123.42</v>
      </c>
      <c r="G2863" s="2">
        <v>289.07</v>
      </c>
      <c r="H2863" s="2" t="s">
        <v>28</v>
      </c>
      <c r="I2863" s="2" t="s">
        <v>29</v>
      </c>
    </row>
    <row r="2864" spans="1:9" x14ac:dyDescent="0.35">
      <c r="A2864" s="2" t="s">
        <v>2903</v>
      </c>
      <c r="B2864" s="3">
        <v>45465</v>
      </c>
      <c r="C2864" s="2" t="s">
        <v>10</v>
      </c>
      <c r="D2864" s="2" t="s">
        <v>41</v>
      </c>
      <c r="E2864" s="2" t="s">
        <v>12</v>
      </c>
      <c r="F2864" s="2">
        <v>1863.43</v>
      </c>
      <c r="G2864" s="2">
        <v>499.2</v>
      </c>
      <c r="H2864" s="2" t="s">
        <v>19</v>
      </c>
      <c r="I2864" s="2" t="s">
        <v>34</v>
      </c>
    </row>
    <row r="2865" spans="1:9" x14ac:dyDescent="0.35">
      <c r="A2865" s="2" t="s">
        <v>2904</v>
      </c>
      <c r="B2865" s="3">
        <v>45059</v>
      </c>
      <c r="C2865" s="2" t="s">
        <v>22</v>
      </c>
      <c r="D2865" s="2" t="s">
        <v>95</v>
      </c>
      <c r="E2865" s="2" t="s">
        <v>18</v>
      </c>
      <c r="F2865" s="2">
        <v>1556.65</v>
      </c>
      <c r="G2865" s="2">
        <v>454.31</v>
      </c>
      <c r="H2865" s="2" t="s">
        <v>28</v>
      </c>
      <c r="I2865" s="2" t="s">
        <v>14</v>
      </c>
    </row>
    <row r="2866" spans="1:9" x14ac:dyDescent="0.35">
      <c r="A2866" s="2" t="s">
        <v>2905</v>
      </c>
      <c r="B2866" s="3">
        <v>44584</v>
      </c>
      <c r="C2866" s="2" t="s">
        <v>22</v>
      </c>
      <c r="D2866" s="2" t="s">
        <v>97</v>
      </c>
      <c r="E2866" s="2" t="s">
        <v>27</v>
      </c>
      <c r="F2866" s="2">
        <v>1156.53</v>
      </c>
      <c r="G2866" s="2">
        <v>68.489999999999995</v>
      </c>
      <c r="H2866" s="2" t="s">
        <v>28</v>
      </c>
      <c r="I2866" s="2" t="s">
        <v>34</v>
      </c>
    </row>
    <row r="2867" spans="1:9" x14ac:dyDescent="0.35">
      <c r="A2867" s="2" t="s">
        <v>2906</v>
      </c>
      <c r="B2867" s="3">
        <v>44604</v>
      </c>
      <c r="C2867" s="2" t="s">
        <v>22</v>
      </c>
      <c r="D2867" s="2" t="s">
        <v>41</v>
      </c>
      <c r="E2867" s="2" t="s">
        <v>12</v>
      </c>
      <c r="F2867" s="2">
        <v>1817</v>
      </c>
      <c r="G2867" s="2">
        <v>407.95</v>
      </c>
      <c r="H2867" s="2" t="s">
        <v>19</v>
      </c>
      <c r="I2867" s="2" t="s">
        <v>14</v>
      </c>
    </row>
    <row r="2868" spans="1:9" x14ac:dyDescent="0.35">
      <c r="A2868" s="2" t="s">
        <v>2907</v>
      </c>
      <c r="B2868" s="3">
        <v>45143</v>
      </c>
      <c r="C2868" s="2" t="s">
        <v>25</v>
      </c>
      <c r="D2868" s="2" t="s">
        <v>17</v>
      </c>
      <c r="E2868" s="2" t="s">
        <v>18</v>
      </c>
      <c r="F2868" s="2">
        <v>1928.44</v>
      </c>
      <c r="G2868" s="2">
        <v>548.58000000000004</v>
      </c>
      <c r="H2868" s="2" t="s">
        <v>19</v>
      </c>
      <c r="I2868" s="2" t="s">
        <v>14</v>
      </c>
    </row>
    <row r="2869" spans="1:9" x14ac:dyDescent="0.35">
      <c r="A2869" s="2" t="s">
        <v>2908</v>
      </c>
      <c r="B2869" s="3">
        <v>45117</v>
      </c>
      <c r="C2869" s="2" t="s">
        <v>25</v>
      </c>
      <c r="D2869" s="2" t="s">
        <v>26</v>
      </c>
      <c r="E2869" s="2" t="s">
        <v>27</v>
      </c>
      <c r="F2869" s="2">
        <v>62.57</v>
      </c>
      <c r="G2869" s="2">
        <v>15.04</v>
      </c>
      <c r="H2869" s="2" t="s">
        <v>13</v>
      </c>
      <c r="I2869" s="2" t="s">
        <v>20</v>
      </c>
    </row>
    <row r="2870" spans="1:9" x14ac:dyDescent="0.35">
      <c r="A2870" s="2" t="s">
        <v>2909</v>
      </c>
      <c r="B2870" s="3">
        <v>45348</v>
      </c>
      <c r="C2870" s="2" t="s">
        <v>22</v>
      </c>
      <c r="D2870" s="2" t="s">
        <v>50</v>
      </c>
      <c r="E2870" s="2" t="s">
        <v>12</v>
      </c>
      <c r="F2870" s="2">
        <v>1482.15</v>
      </c>
      <c r="G2870" s="2">
        <v>155.62</v>
      </c>
      <c r="H2870" s="2" t="s">
        <v>13</v>
      </c>
      <c r="I2870" s="2" t="s">
        <v>29</v>
      </c>
    </row>
    <row r="2871" spans="1:9" x14ac:dyDescent="0.35">
      <c r="A2871" s="2" t="s">
        <v>2910</v>
      </c>
      <c r="B2871" s="3">
        <v>44633</v>
      </c>
      <c r="C2871" s="2" t="s">
        <v>22</v>
      </c>
      <c r="D2871" s="2" t="s">
        <v>41</v>
      </c>
      <c r="E2871" s="2" t="s">
        <v>12</v>
      </c>
      <c r="F2871" s="2">
        <v>1633.1</v>
      </c>
      <c r="G2871" s="2">
        <v>87.24</v>
      </c>
      <c r="H2871" s="2" t="s">
        <v>19</v>
      </c>
      <c r="I2871" s="2" t="s">
        <v>20</v>
      </c>
    </row>
    <row r="2872" spans="1:9" x14ac:dyDescent="0.35">
      <c r="A2872" s="2" t="s">
        <v>2911</v>
      </c>
      <c r="B2872" s="3">
        <v>45591</v>
      </c>
      <c r="C2872" s="2" t="s">
        <v>16</v>
      </c>
      <c r="D2872" s="2" t="s">
        <v>26</v>
      </c>
      <c r="E2872" s="2" t="s">
        <v>27</v>
      </c>
      <c r="F2872" s="2">
        <v>252.55</v>
      </c>
      <c r="G2872" s="2">
        <v>58.49</v>
      </c>
      <c r="H2872" s="2" t="s">
        <v>28</v>
      </c>
      <c r="I2872" s="2" t="s">
        <v>34</v>
      </c>
    </row>
    <row r="2873" spans="1:9" x14ac:dyDescent="0.35">
      <c r="A2873" s="2" t="s">
        <v>2912</v>
      </c>
      <c r="B2873" s="3">
        <v>44932</v>
      </c>
      <c r="C2873" s="2" t="s">
        <v>25</v>
      </c>
      <c r="D2873" s="2" t="s">
        <v>38</v>
      </c>
      <c r="E2873" s="2" t="s">
        <v>12</v>
      </c>
      <c r="F2873" s="2">
        <v>1960.22</v>
      </c>
      <c r="G2873" s="2">
        <v>101.16</v>
      </c>
      <c r="H2873" s="2" t="s">
        <v>28</v>
      </c>
      <c r="I2873" s="2" t="s">
        <v>20</v>
      </c>
    </row>
    <row r="2874" spans="1:9" x14ac:dyDescent="0.35">
      <c r="A2874" s="2" t="s">
        <v>2913</v>
      </c>
      <c r="B2874" s="3">
        <v>45601</v>
      </c>
      <c r="C2874" s="2" t="s">
        <v>25</v>
      </c>
      <c r="D2874" s="2" t="s">
        <v>26</v>
      </c>
      <c r="E2874" s="2" t="s">
        <v>27</v>
      </c>
      <c r="F2874" s="2">
        <v>851.64</v>
      </c>
      <c r="G2874" s="2">
        <v>204.72</v>
      </c>
      <c r="H2874" s="2" t="s">
        <v>28</v>
      </c>
      <c r="I2874" s="2" t="s">
        <v>34</v>
      </c>
    </row>
    <row r="2875" spans="1:9" x14ac:dyDescent="0.35">
      <c r="A2875" s="2" t="s">
        <v>2914</v>
      </c>
      <c r="B2875" s="3">
        <v>45253</v>
      </c>
      <c r="C2875" s="2" t="s">
        <v>25</v>
      </c>
      <c r="D2875" s="2" t="s">
        <v>26</v>
      </c>
      <c r="E2875" s="2" t="s">
        <v>27</v>
      </c>
      <c r="F2875" s="2">
        <v>677.22</v>
      </c>
      <c r="G2875" s="2">
        <v>200.85</v>
      </c>
      <c r="H2875" s="2" t="s">
        <v>19</v>
      </c>
      <c r="I2875" s="2" t="s">
        <v>20</v>
      </c>
    </row>
    <row r="2876" spans="1:9" x14ac:dyDescent="0.35">
      <c r="A2876" s="2" t="s">
        <v>2915</v>
      </c>
      <c r="B2876" s="3">
        <v>44896</v>
      </c>
      <c r="C2876" s="2" t="s">
        <v>16</v>
      </c>
      <c r="D2876" s="2" t="s">
        <v>73</v>
      </c>
      <c r="E2876" s="2" t="s">
        <v>27</v>
      </c>
      <c r="F2876" s="2">
        <v>1761.69</v>
      </c>
      <c r="G2876" s="2">
        <v>492.03</v>
      </c>
      <c r="H2876" s="2" t="s">
        <v>19</v>
      </c>
      <c r="I2876" s="2" t="s">
        <v>20</v>
      </c>
    </row>
    <row r="2877" spans="1:9" x14ac:dyDescent="0.35">
      <c r="A2877" s="2" t="s">
        <v>2916</v>
      </c>
      <c r="B2877" s="3">
        <v>44977</v>
      </c>
      <c r="C2877" s="2" t="s">
        <v>16</v>
      </c>
      <c r="D2877" s="2" t="s">
        <v>17</v>
      </c>
      <c r="E2877" s="2" t="s">
        <v>18</v>
      </c>
      <c r="F2877" s="2">
        <v>935.59</v>
      </c>
      <c r="G2877" s="2">
        <v>174.12</v>
      </c>
      <c r="H2877" s="2" t="s">
        <v>13</v>
      </c>
      <c r="I2877" s="2" t="s">
        <v>14</v>
      </c>
    </row>
    <row r="2878" spans="1:9" x14ac:dyDescent="0.35">
      <c r="A2878" s="2" t="s">
        <v>2917</v>
      </c>
      <c r="B2878" s="3">
        <v>45072</v>
      </c>
      <c r="C2878" s="2" t="s">
        <v>22</v>
      </c>
      <c r="D2878" s="2" t="s">
        <v>26</v>
      </c>
      <c r="E2878" s="2" t="s">
        <v>27</v>
      </c>
      <c r="F2878" s="2">
        <v>1098.47</v>
      </c>
      <c r="G2878" s="2">
        <v>111.7</v>
      </c>
      <c r="H2878" s="2" t="s">
        <v>13</v>
      </c>
      <c r="I2878" s="2" t="s">
        <v>34</v>
      </c>
    </row>
    <row r="2879" spans="1:9" x14ac:dyDescent="0.35">
      <c r="A2879" s="2" t="s">
        <v>2918</v>
      </c>
      <c r="B2879" s="3">
        <v>45119</v>
      </c>
      <c r="C2879" s="2" t="s">
        <v>25</v>
      </c>
      <c r="D2879" s="2" t="s">
        <v>33</v>
      </c>
      <c r="E2879" s="2" t="s">
        <v>18</v>
      </c>
      <c r="F2879" s="2">
        <v>1219.03</v>
      </c>
      <c r="G2879" s="2">
        <v>74.39</v>
      </c>
      <c r="H2879" s="2" t="s">
        <v>13</v>
      </c>
      <c r="I2879" s="2" t="s">
        <v>14</v>
      </c>
    </row>
    <row r="2880" spans="1:9" x14ac:dyDescent="0.35">
      <c r="A2880" s="2" t="s">
        <v>2919</v>
      </c>
      <c r="B2880" s="3">
        <v>44734</v>
      </c>
      <c r="C2880" s="2" t="s">
        <v>22</v>
      </c>
      <c r="D2880" s="2" t="s">
        <v>11</v>
      </c>
      <c r="E2880" s="2" t="s">
        <v>12</v>
      </c>
      <c r="F2880" s="2">
        <v>264.8</v>
      </c>
      <c r="G2880" s="2">
        <v>44.09</v>
      </c>
      <c r="H2880" s="2" t="s">
        <v>13</v>
      </c>
      <c r="I2880" s="2" t="s">
        <v>34</v>
      </c>
    </row>
    <row r="2881" spans="1:9" x14ac:dyDescent="0.35">
      <c r="A2881" s="2" t="s">
        <v>2920</v>
      </c>
      <c r="B2881" s="3">
        <v>45646</v>
      </c>
      <c r="C2881" s="2" t="s">
        <v>25</v>
      </c>
      <c r="D2881" s="2" t="s">
        <v>73</v>
      </c>
      <c r="E2881" s="2" t="s">
        <v>27</v>
      </c>
      <c r="F2881" s="2">
        <v>1921.25</v>
      </c>
      <c r="G2881" s="2">
        <v>292.16000000000003</v>
      </c>
      <c r="H2881" s="2" t="s">
        <v>19</v>
      </c>
      <c r="I2881" s="2" t="s">
        <v>20</v>
      </c>
    </row>
    <row r="2882" spans="1:9" x14ac:dyDescent="0.35">
      <c r="A2882" s="2" t="s">
        <v>2921</v>
      </c>
      <c r="B2882" s="3">
        <v>44572</v>
      </c>
      <c r="C2882" s="2" t="s">
        <v>25</v>
      </c>
      <c r="D2882" s="2" t="s">
        <v>97</v>
      </c>
      <c r="E2882" s="2" t="s">
        <v>27</v>
      </c>
      <c r="F2882" s="2">
        <v>1531.07</v>
      </c>
      <c r="G2882" s="2">
        <v>271.87</v>
      </c>
      <c r="H2882" s="2" t="s">
        <v>19</v>
      </c>
      <c r="I2882" s="2" t="s">
        <v>29</v>
      </c>
    </row>
    <row r="2883" spans="1:9" x14ac:dyDescent="0.35">
      <c r="A2883" s="2" t="s">
        <v>2922</v>
      </c>
      <c r="B2883" s="3">
        <v>44780</v>
      </c>
      <c r="C2883" s="2" t="s">
        <v>22</v>
      </c>
      <c r="D2883" s="2" t="s">
        <v>38</v>
      </c>
      <c r="E2883" s="2" t="s">
        <v>12</v>
      </c>
      <c r="F2883" s="2">
        <v>842.98</v>
      </c>
      <c r="G2883" s="2">
        <v>186.22</v>
      </c>
      <c r="H2883" s="2" t="s">
        <v>28</v>
      </c>
      <c r="I2883" s="2" t="s">
        <v>34</v>
      </c>
    </row>
    <row r="2884" spans="1:9" x14ac:dyDescent="0.35">
      <c r="A2884" s="2" t="s">
        <v>2923</v>
      </c>
      <c r="B2884" s="3">
        <v>45432</v>
      </c>
      <c r="C2884" s="2" t="s">
        <v>22</v>
      </c>
      <c r="D2884" s="2" t="s">
        <v>26</v>
      </c>
      <c r="E2884" s="2" t="s">
        <v>27</v>
      </c>
      <c r="F2884" s="2">
        <v>1678.08</v>
      </c>
      <c r="G2884" s="2">
        <v>201.74</v>
      </c>
      <c r="H2884" s="2" t="s">
        <v>28</v>
      </c>
      <c r="I2884" s="2" t="s">
        <v>14</v>
      </c>
    </row>
    <row r="2885" spans="1:9" x14ac:dyDescent="0.35">
      <c r="A2885" s="2" t="s">
        <v>2924</v>
      </c>
      <c r="B2885" s="3">
        <v>45057</v>
      </c>
      <c r="C2885" s="2" t="s">
        <v>25</v>
      </c>
      <c r="D2885" s="2" t="s">
        <v>33</v>
      </c>
      <c r="E2885" s="2" t="s">
        <v>18</v>
      </c>
      <c r="F2885" s="2">
        <v>370.29</v>
      </c>
      <c r="G2885" s="2">
        <v>55.79</v>
      </c>
      <c r="H2885" s="2" t="s">
        <v>28</v>
      </c>
      <c r="I2885" s="2" t="s">
        <v>14</v>
      </c>
    </row>
    <row r="2886" spans="1:9" x14ac:dyDescent="0.35">
      <c r="A2886" s="2" t="s">
        <v>2925</v>
      </c>
      <c r="B2886" s="3">
        <v>44598</v>
      </c>
      <c r="C2886" s="2" t="s">
        <v>25</v>
      </c>
      <c r="D2886" s="2" t="s">
        <v>33</v>
      </c>
      <c r="E2886" s="2" t="s">
        <v>18</v>
      </c>
      <c r="F2886" s="2">
        <v>1494.14</v>
      </c>
      <c r="G2886" s="2">
        <v>373.96</v>
      </c>
      <c r="H2886" s="2" t="s">
        <v>28</v>
      </c>
      <c r="I2886" s="2" t="s">
        <v>29</v>
      </c>
    </row>
    <row r="2887" spans="1:9" x14ac:dyDescent="0.35">
      <c r="A2887" s="2" t="s">
        <v>2926</v>
      </c>
      <c r="B2887" s="3">
        <v>45631</v>
      </c>
      <c r="C2887" s="2" t="s">
        <v>25</v>
      </c>
      <c r="D2887" s="2" t="s">
        <v>62</v>
      </c>
      <c r="E2887" s="2" t="s">
        <v>27</v>
      </c>
      <c r="F2887" s="2">
        <v>1855.58</v>
      </c>
      <c r="G2887" s="2">
        <v>380.28</v>
      </c>
      <c r="H2887" s="2" t="s">
        <v>13</v>
      </c>
      <c r="I2887" s="2" t="s">
        <v>29</v>
      </c>
    </row>
    <row r="2888" spans="1:9" x14ac:dyDescent="0.35">
      <c r="A2888" s="2" t="s">
        <v>2927</v>
      </c>
      <c r="B2888" s="3">
        <v>45219</v>
      </c>
      <c r="C2888" s="2" t="s">
        <v>10</v>
      </c>
      <c r="D2888" s="2" t="s">
        <v>33</v>
      </c>
      <c r="E2888" s="2" t="s">
        <v>18</v>
      </c>
      <c r="F2888" s="2">
        <v>1298.99</v>
      </c>
      <c r="G2888" s="2">
        <v>238.92</v>
      </c>
      <c r="H2888" s="2" t="s">
        <v>13</v>
      </c>
      <c r="I2888" s="2" t="s">
        <v>14</v>
      </c>
    </row>
    <row r="2889" spans="1:9" x14ac:dyDescent="0.35">
      <c r="A2889" s="2" t="s">
        <v>2928</v>
      </c>
      <c r="B2889" s="3">
        <v>44637</v>
      </c>
      <c r="C2889" s="2" t="s">
        <v>16</v>
      </c>
      <c r="D2889" s="2" t="s">
        <v>95</v>
      </c>
      <c r="E2889" s="2" t="s">
        <v>18</v>
      </c>
      <c r="F2889" s="2">
        <v>859.01</v>
      </c>
      <c r="G2889" s="2">
        <v>100.93</v>
      </c>
      <c r="H2889" s="2" t="s">
        <v>28</v>
      </c>
      <c r="I2889" s="2" t="s">
        <v>29</v>
      </c>
    </row>
    <row r="2890" spans="1:9" x14ac:dyDescent="0.35">
      <c r="A2890" s="2" t="s">
        <v>2929</v>
      </c>
      <c r="B2890" s="3">
        <v>44741</v>
      </c>
      <c r="C2890" s="2" t="s">
        <v>22</v>
      </c>
      <c r="D2890" s="2" t="s">
        <v>97</v>
      </c>
      <c r="E2890" s="2" t="s">
        <v>27</v>
      </c>
      <c r="F2890" s="2">
        <v>113.85</v>
      </c>
      <c r="G2890" s="2">
        <v>16.489999999999998</v>
      </c>
      <c r="H2890" s="2" t="s">
        <v>19</v>
      </c>
      <c r="I2890" s="2" t="s">
        <v>34</v>
      </c>
    </row>
    <row r="2891" spans="1:9" x14ac:dyDescent="0.35">
      <c r="A2891" s="2" t="s">
        <v>2930</v>
      </c>
      <c r="B2891" s="3">
        <v>45020</v>
      </c>
      <c r="C2891" s="2" t="s">
        <v>10</v>
      </c>
      <c r="D2891" s="2" t="s">
        <v>46</v>
      </c>
      <c r="E2891" s="2" t="s">
        <v>18</v>
      </c>
      <c r="F2891" s="2">
        <v>294.70999999999998</v>
      </c>
      <c r="G2891" s="2">
        <v>31.38</v>
      </c>
      <c r="H2891" s="2" t="s">
        <v>19</v>
      </c>
      <c r="I2891" s="2" t="s">
        <v>34</v>
      </c>
    </row>
    <row r="2892" spans="1:9" x14ac:dyDescent="0.35">
      <c r="A2892" s="2" t="s">
        <v>2931</v>
      </c>
      <c r="B2892" s="3">
        <v>44677</v>
      </c>
      <c r="C2892" s="2" t="s">
        <v>25</v>
      </c>
      <c r="D2892" s="2" t="s">
        <v>17</v>
      </c>
      <c r="E2892" s="2" t="s">
        <v>18</v>
      </c>
      <c r="F2892" s="2">
        <v>697.9</v>
      </c>
      <c r="G2892" s="2">
        <v>128.32</v>
      </c>
      <c r="H2892" s="2" t="s">
        <v>13</v>
      </c>
      <c r="I2892" s="2" t="s">
        <v>20</v>
      </c>
    </row>
    <row r="2893" spans="1:9" x14ac:dyDescent="0.35">
      <c r="A2893" s="2" t="s">
        <v>2932</v>
      </c>
      <c r="B2893" s="3">
        <v>44816</v>
      </c>
      <c r="C2893" s="2" t="s">
        <v>22</v>
      </c>
      <c r="D2893" s="2" t="s">
        <v>57</v>
      </c>
      <c r="E2893" s="2" t="s">
        <v>27</v>
      </c>
      <c r="F2893" s="2">
        <v>932.43</v>
      </c>
      <c r="G2893" s="2">
        <v>112.75</v>
      </c>
      <c r="H2893" s="2" t="s">
        <v>19</v>
      </c>
      <c r="I2893" s="2" t="s">
        <v>34</v>
      </c>
    </row>
    <row r="2894" spans="1:9" x14ac:dyDescent="0.35">
      <c r="A2894" s="2" t="s">
        <v>2933</v>
      </c>
      <c r="B2894" s="3">
        <v>44683</v>
      </c>
      <c r="C2894" s="2" t="s">
        <v>22</v>
      </c>
      <c r="D2894" s="2" t="s">
        <v>11</v>
      </c>
      <c r="E2894" s="2" t="s">
        <v>12</v>
      </c>
      <c r="F2894" s="2">
        <v>814.84</v>
      </c>
      <c r="G2894" s="2">
        <v>127.81</v>
      </c>
      <c r="H2894" s="2" t="s">
        <v>19</v>
      </c>
      <c r="I2894" s="2" t="s">
        <v>34</v>
      </c>
    </row>
    <row r="2895" spans="1:9" x14ac:dyDescent="0.35">
      <c r="A2895" s="2" t="s">
        <v>2934</v>
      </c>
      <c r="B2895" s="3">
        <v>45503</v>
      </c>
      <c r="C2895" s="2" t="s">
        <v>25</v>
      </c>
      <c r="D2895" s="2" t="s">
        <v>57</v>
      </c>
      <c r="E2895" s="2" t="s">
        <v>27</v>
      </c>
      <c r="F2895" s="2">
        <v>233.48</v>
      </c>
      <c r="G2895" s="2">
        <v>37.72</v>
      </c>
      <c r="H2895" s="2" t="s">
        <v>28</v>
      </c>
      <c r="I2895" s="2" t="s">
        <v>34</v>
      </c>
    </row>
    <row r="2896" spans="1:9" x14ac:dyDescent="0.35">
      <c r="A2896" s="2" t="s">
        <v>2935</v>
      </c>
      <c r="B2896" s="3">
        <v>45063</v>
      </c>
      <c r="C2896" s="2" t="s">
        <v>22</v>
      </c>
      <c r="D2896" s="2" t="s">
        <v>46</v>
      </c>
      <c r="E2896" s="2" t="s">
        <v>18</v>
      </c>
      <c r="F2896" s="2">
        <v>1071.93</v>
      </c>
      <c r="G2896" s="2">
        <v>237.43</v>
      </c>
      <c r="H2896" s="2" t="s">
        <v>19</v>
      </c>
      <c r="I2896" s="2" t="s">
        <v>29</v>
      </c>
    </row>
    <row r="2897" spans="1:9" x14ac:dyDescent="0.35">
      <c r="A2897" s="2" t="s">
        <v>2936</v>
      </c>
      <c r="B2897" s="3">
        <v>45452</v>
      </c>
      <c r="C2897" s="2" t="s">
        <v>22</v>
      </c>
      <c r="D2897" s="2" t="s">
        <v>62</v>
      </c>
      <c r="E2897" s="2" t="s">
        <v>27</v>
      </c>
      <c r="F2897" s="2">
        <v>1761.9</v>
      </c>
      <c r="G2897" s="2">
        <v>195.02</v>
      </c>
      <c r="H2897" s="2" t="s">
        <v>28</v>
      </c>
      <c r="I2897" s="2" t="s">
        <v>29</v>
      </c>
    </row>
    <row r="2898" spans="1:9" x14ac:dyDescent="0.35">
      <c r="A2898" s="2" t="s">
        <v>2937</v>
      </c>
      <c r="B2898" s="3">
        <v>44939</v>
      </c>
      <c r="C2898" s="2" t="s">
        <v>10</v>
      </c>
      <c r="D2898" s="2" t="s">
        <v>95</v>
      </c>
      <c r="E2898" s="2" t="s">
        <v>18</v>
      </c>
      <c r="F2898" s="2">
        <v>1167</v>
      </c>
      <c r="G2898" s="2">
        <v>157.32</v>
      </c>
      <c r="H2898" s="2" t="s">
        <v>19</v>
      </c>
      <c r="I2898" s="2" t="s">
        <v>14</v>
      </c>
    </row>
    <row r="2899" spans="1:9" x14ac:dyDescent="0.35">
      <c r="A2899" s="2" t="s">
        <v>2938</v>
      </c>
      <c r="B2899" s="3">
        <v>44737</v>
      </c>
      <c r="C2899" s="2" t="s">
        <v>25</v>
      </c>
      <c r="D2899" s="2" t="s">
        <v>95</v>
      </c>
      <c r="E2899" s="2" t="s">
        <v>18</v>
      </c>
      <c r="F2899" s="2">
        <v>1255.1600000000001</v>
      </c>
      <c r="G2899" s="2">
        <v>341.86</v>
      </c>
      <c r="H2899" s="2" t="s">
        <v>28</v>
      </c>
      <c r="I2899" s="2" t="s">
        <v>34</v>
      </c>
    </row>
    <row r="2900" spans="1:9" x14ac:dyDescent="0.35">
      <c r="A2900" s="2" t="s">
        <v>2939</v>
      </c>
      <c r="B2900" s="3">
        <v>44689</v>
      </c>
      <c r="C2900" s="2" t="s">
        <v>25</v>
      </c>
      <c r="D2900" s="2" t="s">
        <v>17</v>
      </c>
      <c r="E2900" s="2" t="s">
        <v>18</v>
      </c>
      <c r="F2900" s="2">
        <v>914.56</v>
      </c>
      <c r="G2900" s="2">
        <v>256.39999999999998</v>
      </c>
      <c r="H2900" s="2" t="s">
        <v>13</v>
      </c>
      <c r="I2900" s="2" t="s">
        <v>20</v>
      </c>
    </row>
    <row r="2901" spans="1:9" x14ac:dyDescent="0.35">
      <c r="A2901" s="2" t="s">
        <v>2940</v>
      </c>
      <c r="B2901" s="3">
        <v>44797</v>
      </c>
      <c r="C2901" s="2" t="s">
        <v>10</v>
      </c>
      <c r="D2901" s="2" t="s">
        <v>73</v>
      </c>
      <c r="E2901" s="2" t="s">
        <v>27</v>
      </c>
      <c r="F2901" s="2">
        <v>399.04</v>
      </c>
      <c r="G2901" s="2">
        <v>53.33</v>
      </c>
      <c r="H2901" s="2" t="s">
        <v>19</v>
      </c>
      <c r="I2901" s="2" t="s">
        <v>14</v>
      </c>
    </row>
    <row r="2902" spans="1:9" x14ac:dyDescent="0.35">
      <c r="A2902" s="2" t="s">
        <v>2941</v>
      </c>
      <c r="B2902" s="3">
        <v>45518</v>
      </c>
      <c r="C2902" s="2" t="s">
        <v>25</v>
      </c>
      <c r="D2902" s="2" t="s">
        <v>38</v>
      </c>
      <c r="E2902" s="2" t="s">
        <v>12</v>
      </c>
      <c r="F2902" s="2">
        <v>1297.69</v>
      </c>
      <c r="G2902" s="2">
        <v>107.87</v>
      </c>
      <c r="H2902" s="2" t="s">
        <v>28</v>
      </c>
      <c r="I2902" s="2" t="s">
        <v>14</v>
      </c>
    </row>
    <row r="2903" spans="1:9" x14ac:dyDescent="0.35">
      <c r="A2903" s="2" t="s">
        <v>2942</v>
      </c>
      <c r="B2903" s="3">
        <v>45303</v>
      </c>
      <c r="C2903" s="2" t="s">
        <v>16</v>
      </c>
      <c r="D2903" s="2" t="s">
        <v>11</v>
      </c>
      <c r="E2903" s="2" t="s">
        <v>12</v>
      </c>
      <c r="F2903" s="2">
        <v>828.96</v>
      </c>
      <c r="G2903" s="2">
        <v>174.22</v>
      </c>
      <c r="H2903" s="2" t="s">
        <v>28</v>
      </c>
      <c r="I2903" s="2" t="s">
        <v>20</v>
      </c>
    </row>
    <row r="2904" spans="1:9" x14ac:dyDescent="0.35">
      <c r="A2904" s="2" t="s">
        <v>2943</v>
      </c>
      <c r="B2904" s="3">
        <v>45443</v>
      </c>
      <c r="C2904" s="2" t="s">
        <v>25</v>
      </c>
      <c r="D2904" s="2" t="s">
        <v>73</v>
      </c>
      <c r="E2904" s="2" t="s">
        <v>27</v>
      </c>
      <c r="F2904" s="2">
        <v>858.85</v>
      </c>
      <c r="G2904" s="2">
        <v>147.07</v>
      </c>
      <c r="H2904" s="2" t="s">
        <v>19</v>
      </c>
      <c r="I2904" s="2" t="s">
        <v>14</v>
      </c>
    </row>
    <row r="2905" spans="1:9" x14ac:dyDescent="0.35">
      <c r="A2905" s="2" t="s">
        <v>2944</v>
      </c>
      <c r="B2905" s="3">
        <v>45569</v>
      </c>
      <c r="C2905" s="2" t="s">
        <v>10</v>
      </c>
      <c r="D2905" s="2" t="s">
        <v>26</v>
      </c>
      <c r="E2905" s="2" t="s">
        <v>27</v>
      </c>
      <c r="F2905" s="2">
        <v>322.17</v>
      </c>
      <c r="G2905" s="2">
        <v>44.45</v>
      </c>
      <c r="H2905" s="2" t="s">
        <v>13</v>
      </c>
      <c r="I2905" s="2" t="s">
        <v>34</v>
      </c>
    </row>
    <row r="2906" spans="1:9" x14ac:dyDescent="0.35">
      <c r="A2906" s="2" t="s">
        <v>2945</v>
      </c>
      <c r="B2906" s="3">
        <v>44917</v>
      </c>
      <c r="C2906" s="2" t="s">
        <v>25</v>
      </c>
      <c r="D2906" s="2" t="s">
        <v>23</v>
      </c>
      <c r="E2906" s="2" t="s">
        <v>18</v>
      </c>
      <c r="F2906" s="2">
        <v>1344.5</v>
      </c>
      <c r="G2906" s="2">
        <v>219.25</v>
      </c>
      <c r="H2906" s="2" t="s">
        <v>13</v>
      </c>
      <c r="I2906" s="2" t="s">
        <v>14</v>
      </c>
    </row>
    <row r="2907" spans="1:9" x14ac:dyDescent="0.35">
      <c r="A2907" s="2" t="s">
        <v>2946</v>
      </c>
      <c r="B2907" s="3">
        <v>45653</v>
      </c>
      <c r="C2907" s="2" t="s">
        <v>16</v>
      </c>
      <c r="D2907" s="2" t="s">
        <v>57</v>
      </c>
      <c r="E2907" s="2" t="s">
        <v>27</v>
      </c>
      <c r="F2907" s="2">
        <v>654.9</v>
      </c>
      <c r="G2907" s="2">
        <v>55.24</v>
      </c>
      <c r="H2907" s="2" t="s">
        <v>28</v>
      </c>
      <c r="I2907" s="2" t="s">
        <v>29</v>
      </c>
    </row>
    <row r="2908" spans="1:9" x14ac:dyDescent="0.35">
      <c r="A2908" s="2" t="s">
        <v>2947</v>
      </c>
      <c r="B2908" s="3">
        <v>44689</v>
      </c>
      <c r="C2908" s="2" t="s">
        <v>22</v>
      </c>
      <c r="D2908" s="2" t="s">
        <v>26</v>
      </c>
      <c r="E2908" s="2" t="s">
        <v>27</v>
      </c>
      <c r="F2908" s="2">
        <v>708.95</v>
      </c>
      <c r="G2908" s="2">
        <v>128.07</v>
      </c>
      <c r="H2908" s="2" t="s">
        <v>19</v>
      </c>
      <c r="I2908" s="2" t="s">
        <v>20</v>
      </c>
    </row>
    <row r="2909" spans="1:9" x14ac:dyDescent="0.35">
      <c r="A2909" s="2" t="s">
        <v>2948</v>
      </c>
      <c r="B2909" s="3">
        <v>45307</v>
      </c>
      <c r="C2909" s="2" t="s">
        <v>22</v>
      </c>
      <c r="D2909" s="2" t="s">
        <v>62</v>
      </c>
      <c r="E2909" s="2" t="s">
        <v>27</v>
      </c>
      <c r="F2909" s="2">
        <v>1700.01</v>
      </c>
      <c r="G2909" s="2">
        <v>291.74</v>
      </c>
      <c r="H2909" s="2" t="s">
        <v>28</v>
      </c>
      <c r="I2909" s="2" t="s">
        <v>14</v>
      </c>
    </row>
    <row r="2910" spans="1:9" x14ac:dyDescent="0.35">
      <c r="A2910" s="2" t="s">
        <v>2949</v>
      </c>
      <c r="B2910" s="3">
        <v>45058</v>
      </c>
      <c r="C2910" s="2" t="s">
        <v>10</v>
      </c>
      <c r="D2910" s="2" t="s">
        <v>62</v>
      </c>
      <c r="E2910" s="2" t="s">
        <v>27</v>
      </c>
      <c r="F2910" s="2">
        <v>1254.74</v>
      </c>
      <c r="G2910" s="2">
        <v>170.85</v>
      </c>
      <c r="H2910" s="2" t="s">
        <v>28</v>
      </c>
      <c r="I2910" s="2" t="s">
        <v>34</v>
      </c>
    </row>
    <row r="2911" spans="1:9" x14ac:dyDescent="0.35">
      <c r="A2911" s="2" t="s">
        <v>2950</v>
      </c>
      <c r="B2911" s="3">
        <v>44993</v>
      </c>
      <c r="C2911" s="2" t="s">
        <v>16</v>
      </c>
      <c r="D2911" s="2" t="s">
        <v>38</v>
      </c>
      <c r="E2911" s="2" t="s">
        <v>12</v>
      </c>
      <c r="F2911" s="2">
        <v>1474.34</v>
      </c>
      <c r="G2911" s="2">
        <v>323.62</v>
      </c>
      <c r="H2911" s="2" t="s">
        <v>19</v>
      </c>
      <c r="I2911" s="2" t="s">
        <v>14</v>
      </c>
    </row>
    <row r="2912" spans="1:9" x14ac:dyDescent="0.35">
      <c r="A2912" s="2" t="s">
        <v>2951</v>
      </c>
      <c r="B2912" s="3">
        <v>45471</v>
      </c>
      <c r="C2912" s="2" t="s">
        <v>16</v>
      </c>
      <c r="D2912" s="2" t="s">
        <v>97</v>
      </c>
      <c r="E2912" s="2" t="s">
        <v>27</v>
      </c>
      <c r="F2912" s="2">
        <v>450.93</v>
      </c>
      <c r="G2912" s="2">
        <v>99.82</v>
      </c>
      <c r="H2912" s="2" t="s">
        <v>19</v>
      </c>
      <c r="I2912" s="2" t="s">
        <v>20</v>
      </c>
    </row>
    <row r="2913" spans="1:9" x14ac:dyDescent="0.35">
      <c r="A2913" s="2" t="s">
        <v>2952</v>
      </c>
      <c r="B2913" s="3">
        <v>45163</v>
      </c>
      <c r="C2913" s="2" t="s">
        <v>16</v>
      </c>
      <c r="D2913" s="2" t="s">
        <v>41</v>
      </c>
      <c r="E2913" s="2" t="s">
        <v>12</v>
      </c>
      <c r="F2913" s="2">
        <v>1626.8</v>
      </c>
      <c r="G2913" s="2">
        <v>460.51</v>
      </c>
      <c r="H2913" s="2" t="s">
        <v>19</v>
      </c>
      <c r="I2913" s="2" t="s">
        <v>14</v>
      </c>
    </row>
    <row r="2914" spans="1:9" x14ac:dyDescent="0.35">
      <c r="A2914" s="2" t="s">
        <v>2953</v>
      </c>
      <c r="B2914" s="3">
        <v>45452</v>
      </c>
      <c r="C2914" s="2" t="s">
        <v>25</v>
      </c>
      <c r="D2914" s="2" t="s">
        <v>17</v>
      </c>
      <c r="E2914" s="2" t="s">
        <v>18</v>
      </c>
      <c r="F2914" s="2">
        <v>518.65</v>
      </c>
      <c r="G2914" s="2">
        <v>154.05000000000001</v>
      </c>
      <c r="H2914" s="2" t="s">
        <v>19</v>
      </c>
      <c r="I2914" s="2" t="s">
        <v>14</v>
      </c>
    </row>
    <row r="2915" spans="1:9" x14ac:dyDescent="0.35">
      <c r="A2915" s="2" t="s">
        <v>2954</v>
      </c>
      <c r="B2915" s="3">
        <v>44989</v>
      </c>
      <c r="C2915" s="2" t="s">
        <v>22</v>
      </c>
      <c r="D2915" s="2" t="s">
        <v>57</v>
      </c>
      <c r="E2915" s="2" t="s">
        <v>27</v>
      </c>
      <c r="F2915" s="2">
        <v>213.96</v>
      </c>
      <c r="G2915" s="2">
        <v>51.85</v>
      </c>
      <c r="H2915" s="2" t="s">
        <v>13</v>
      </c>
      <c r="I2915" s="2" t="s">
        <v>34</v>
      </c>
    </row>
    <row r="2916" spans="1:9" x14ac:dyDescent="0.35">
      <c r="A2916" s="2" t="s">
        <v>2955</v>
      </c>
      <c r="B2916" s="3">
        <v>45483</v>
      </c>
      <c r="C2916" s="2" t="s">
        <v>10</v>
      </c>
      <c r="D2916" s="2" t="s">
        <v>26</v>
      </c>
      <c r="E2916" s="2" t="s">
        <v>27</v>
      </c>
      <c r="F2916" s="2">
        <v>330.25</v>
      </c>
      <c r="G2916" s="2">
        <v>21.81</v>
      </c>
      <c r="H2916" s="2" t="s">
        <v>19</v>
      </c>
      <c r="I2916" s="2" t="s">
        <v>29</v>
      </c>
    </row>
    <row r="2917" spans="1:9" x14ac:dyDescent="0.35">
      <c r="A2917" s="2" t="s">
        <v>2956</v>
      </c>
      <c r="B2917" s="3">
        <v>45599</v>
      </c>
      <c r="C2917" s="2" t="s">
        <v>22</v>
      </c>
      <c r="D2917" s="2" t="s">
        <v>26</v>
      </c>
      <c r="E2917" s="2" t="s">
        <v>27</v>
      </c>
      <c r="F2917" s="2">
        <v>285.52</v>
      </c>
      <c r="G2917" s="2">
        <v>80.319999999999993</v>
      </c>
      <c r="H2917" s="2" t="s">
        <v>28</v>
      </c>
      <c r="I2917" s="2" t="s">
        <v>34</v>
      </c>
    </row>
    <row r="2918" spans="1:9" x14ac:dyDescent="0.35">
      <c r="A2918" s="2" t="s">
        <v>2957</v>
      </c>
      <c r="B2918" s="3">
        <v>45381</v>
      </c>
      <c r="C2918" s="2" t="s">
        <v>22</v>
      </c>
      <c r="D2918" s="2" t="s">
        <v>38</v>
      </c>
      <c r="E2918" s="2" t="s">
        <v>12</v>
      </c>
      <c r="F2918" s="2">
        <v>90.3</v>
      </c>
      <c r="G2918" s="2">
        <v>9.0500000000000007</v>
      </c>
      <c r="H2918" s="2" t="s">
        <v>13</v>
      </c>
      <c r="I2918" s="2" t="s">
        <v>34</v>
      </c>
    </row>
    <row r="2919" spans="1:9" x14ac:dyDescent="0.35">
      <c r="A2919" s="2" t="s">
        <v>2958</v>
      </c>
      <c r="B2919" s="3">
        <v>44669</v>
      </c>
      <c r="C2919" s="2" t="s">
        <v>10</v>
      </c>
      <c r="D2919" s="2" t="s">
        <v>41</v>
      </c>
      <c r="E2919" s="2" t="s">
        <v>12</v>
      </c>
      <c r="F2919" s="2">
        <v>703.21</v>
      </c>
      <c r="G2919" s="2">
        <v>195.67</v>
      </c>
      <c r="H2919" s="2" t="s">
        <v>13</v>
      </c>
      <c r="I2919" s="2" t="s">
        <v>29</v>
      </c>
    </row>
    <row r="2920" spans="1:9" x14ac:dyDescent="0.35">
      <c r="A2920" s="2" t="s">
        <v>2959</v>
      </c>
      <c r="B2920" s="3">
        <v>45575</v>
      </c>
      <c r="C2920" s="2" t="s">
        <v>22</v>
      </c>
      <c r="D2920" s="2" t="s">
        <v>73</v>
      </c>
      <c r="E2920" s="2" t="s">
        <v>27</v>
      </c>
      <c r="F2920" s="2">
        <v>1255.1199999999999</v>
      </c>
      <c r="G2920" s="2">
        <v>356.34</v>
      </c>
      <c r="H2920" s="2" t="s">
        <v>13</v>
      </c>
      <c r="I2920" s="2" t="s">
        <v>34</v>
      </c>
    </row>
    <row r="2921" spans="1:9" x14ac:dyDescent="0.35">
      <c r="A2921" s="2" t="s">
        <v>2960</v>
      </c>
      <c r="B2921" s="3">
        <v>44682</v>
      </c>
      <c r="C2921" s="2" t="s">
        <v>16</v>
      </c>
      <c r="D2921" s="2" t="s">
        <v>46</v>
      </c>
      <c r="E2921" s="2" t="s">
        <v>18</v>
      </c>
      <c r="F2921" s="2">
        <v>1303.98</v>
      </c>
      <c r="G2921" s="2">
        <v>359.93</v>
      </c>
      <c r="H2921" s="2" t="s">
        <v>19</v>
      </c>
      <c r="I2921" s="2" t="s">
        <v>29</v>
      </c>
    </row>
    <row r="2922" spans="1:9" x14ac:dyDescent="0.35">
      <c r="A2922" s="2" t="s">
        <v>2961</v>
      </c>
      <c r="B2922" s="3">
        <v>45599</v>
      </c>
      <c r="C2922" s="2" t="s">
        <v>10</v>
      </c>
      <c r="D2922" s="2" t="s">
        <v>73</v>
      </c>
      <c r="E2922" s="2" t="s">
        <v>27</v>
      </c>
      <c r="F2922" s="2">
        <v>1480.3</v>
      </c>
      <c r="G2922" s="2">
        <v>165.41</v>
      </c>
      <c r="H2922" s="2" t="s">
        <v>28</v>
      </c>
      <c r="I2922" s="2" t="s">
        <v>29</v>
      </c>
    </row>
    <row r="2923" spans="1:9" x14ac:dyDescent="0.35">
      <c r="A2923" s="2" t="s">
        <v>2962</v>
      </c>
      <c r="B2923" s="3">
        <v>45076</v>
      </c>
      <c r="C2923" s="2" t="s">
        <v>16</v>
      </c>
      <c r="D2923" s="2" t="s">
        <v>57</v>
      </c>
      <c r="E2923" s="2" t="s">
        <v>27</v>
      </c>
      <c r="F2923" s="2">
        <v>1737.74</v>
      </c>
      <c r="G2923" s="2">
        <v>323.31</v>
      </c>
      <c r="H2923" s="2" t="s">
        <v>28</v>
      </c>
      <c r="I2923" s="2" t="s">
        <v>14</v>
      </c>
    </row>
    <row r="2924" spans="1:9" x14ac:dyDescent="0.35">
      <c r="A2924" s="2" t="s">
        <v>2963</v>
      </c>
      <c r="B2924" s="3">
        <v>45640</v>
      </c>
      <c r="C2924" s="2" t="s">
        <v>25</v>
      </c>
      <c r="D2924" s="2" t="s">
        <v>11</v>
      </c>
      <c r="E2924" s="2" t="s">
        <v>12</v>
      </c>
      <c r="F2924" s="2">
        <v>777.85</v>
      </c>
      <c r="G2924" s="2">
        <v>77.62</v>
      </c>
      <c r="H2924" s="2" t="s">
        <v>19</v>
      </c>
      <c r="I2924" s="2" t="s">
        <v>29</v>
      </c>
    </row>
    <row r="2925" spans="1:9" x14ac:dyDescent="0.35">
      <c r="A2925" s="2" t="s">
        <v>2964</v>
      </c>
      <c r="B2925" s="3">
        <v>45178</v>
      </c>
      <c r="C2925" s="2" t="s">
        <v>10</v>
      </c>
      <c r="D2925" s="2" t="s">
        <v>11</v>
      </c>
      <c r="E2925" s="2" t="s">
        <v>12</v>
      </c>
      <c r="F2925" s="2">
        <v>1937.84</v>
      </c>
      <c r="G2925" s="2">
        <v>539.1</v>
      </c>
      <c r="H2925" s="2" t="s">
        <v>28</v>
      </c>
      <c r="I2925" s="2" t="s">
        <v>14</v>
      </c>
    </row>
    <row r="2926" spans="1:9" x14ac:dyDescent="0.35">
      <c r="A2926" s="2" t="s">
        <v>2965</v>
      </c>
      <c r="B2926" s="3">
        <v>45498</v>
      </c>
      <c r="C2926" s="2" t="s">
        <v>16</v>
      </c>
      <c r="D2926" s="2" t="s">
        <v>97</v>
      </c>
      <c r="E2926" s="2" t="s">
        <v>27</v>
      </c>
      <c r="F2926" s="2">
        <v>176.47</v>
      </c>
      <c r="G2926" s="2">
        <v>43.68</v>
      </c>
      <c r="H2926" s="2" t="s">
        <v>19</v>
      </c>
      <c r="I2926" s="2" t="s">
        <v>29</v>
      </c>
    </row>
    <row r="2927" spans="1:9" x14ac:dyDescent="0.35">
      <c r="A2927" s="2" t="s">
        <v>2966</v>
      </c>
      <c r="B2927" s="3">
        <v>45054</v>
      </c>
      <c r="C2927" s="2" t="s">
        <v>10</v>
      </c>
      <c r="D2927" s="2" t="s">
        <v>46</v>
      </c>
      <c r="E2927" s="2" t="s">
        <v>18</v>
      </c>
      <c r="F2927" s="2">
        <v>522.94000000000005</v>
      </c>
      <c r="G2927" s="2">
        <v>135.63</v>
      </c>
      <c r="H2927" s="2" t="s">
        <v>13</v>
      </c>
      <c r="I2927" s="2" t="s">
        <v>20</v>
      </c>
    </row>
    <row r="2928" spans="1:9" x14ac:dyDescent="0.35">
      <c r="A2928" s="2" t="s">
        <v>2967</v>
      </c>
      <c r="B2928" s="3">
        <v>45336</v>
      </c>
      <c r="C2928" s="2" t="s">
        <v>25</v>
      </c>
      <c r="D2928" s="2" t="s">
        <v>73</v>
      </c>
      <c r="E2928" s="2" t="s">
        <v>27</v>
      </c>
      <c r="F2928" s="2">
        <v>1687.38</v>
      </c>
      <c r="G2928" s="2">
        <v>238.41</v>
      </c>
      <c r="H2928" s="2" t="s">
        <v>13</v>
      </c>
      <c r="I2928" s="2" t="s">
        <v>34</v>
      </c>
    </row>
    <row r="2929" spans="1:9" x14ac:dyDescent="0.35">
      <c r="A2929" s="2" t="s">
        <v>2968</v>
      </c>
      <c r="B2929" s="3">
        <v>44979</v>
      </c>
      <c r="C2929" s="2" t="s">
        <v>16</v>
      </c>
      <c r="D2929" s="2" t="s">
        <v>73</v>
      </c>
      <c r="E2929" s="2" t="s">
        <v>27</v>
      </c>
      <c r="F2929" s="2">
        <v>111.45</v>
      </c>
      <c r="G2929" s="2">
        <v>19.89</v>
      </c>
      <c r="H2929" s="2" t="s">
        <v>13</v>
      </c>
      <c r="I2929" s="2" t="s">
        <v>14</v>
      </c>
    </row>
    <row r="2930" spans="1:9" x14ac:dyDescent="0.35">
      <c r="A2930" s="2" t="s">
        <v>2969</v>
      </c>
      <c r="B2930" s="3">
        <v>45342</v>
      </c>
      <c r="C2930" s="2" t="s">
        <v>25</v>
      </c>
      <c r="D2930" s="2" t="s">
        <v>46</v>
      </c>
      <c r="E2930" s="2" t="s">
        <v>18</v>
      </c>
      <c r="F2930" s="2">
        <v>125.09</v>
      </c>
      <c r="G2930" s="2">
        <v>14.89</v>
      </c>
      <c r="H2930" s="2" t="s">
        <v>13</v>
      </c>
      <c r="I2930" s="2" t="s">
        <v>14</v>
      </c>
    </row>
    <row r="2931" spans="1:9" x14ac:dyDescent="0.35">
      <c r="A2931" s="2" t="s">
        <v>2970</v>
      </c>
      <c r="B2931" s="3">
        <v>45591</v>
      </c>
      <c r="C2931" s="2" t="s">
        <v>16</v>
      </c>
      <c r="D2931" s="2" t="s">
        <v>50</v>
      </c>
      <c r="E2931" s="2" t="s">
        <v>12</v>
      </c>
      <c r="F2931" s="2">
        <v>786.96</v>
      </c>
      <c r="G2931" s="2">
        <v>154.01</v>
      </c>
      <c r="H2931" s="2" t="s">
        <v>28</v>
      </c>
      <c r="I2931" s="2" t="s">
        <v>34</v>
      </c>
    </row>
    <row r="2932" spans="1:9" x14ac:dyDescent="0.35">
      <c r="A2932" s="2" t="s">
        <v>2971</v>
      </c>
      <c r="B2932" s="3">
        <v>45225</v>
      </c>
      <c r="C2932" s="2" t="s">
        <v>16</v>
      </c>
      <c r="D2932" s="2" t="s">
        <v>41</v>
      </c>
      <c r="E2932" s="2" t="s">
        <v>12</v>
      </c>
      <c r="F2932" s="2">
        <v>1019.94</v>
      </c>
      <c r="G2932" s="2">
        <v>90.79</v>
      </c>
      <c r="H2932" s="2" t="s">
        <v>28</v>
      </c>
      <c r="I2932" s="2" t="s">
        <v>14</v>
      </c>
    </row>
    <row r="2933" spans="1:9" x14ac:dyDescent="0.35">
      <c r="A2933" s="2" t="s">
        <v>2972</v>
      </c>
      <c r="B2933" s="3">
        <v>45151</v>
      </c>
      <c r="C2933" s="2" t="s">
        <v>16</v>
      </c>
      <c r="D2933" s="2" t="s">
        <v>33</v>
      </c>
      <c r="E2933" s="2" t="s">
        <v>18</v>
      </c>
      <c r="F2933" s="2">
        <v>1662.73</v>
      </c>
      <c r="G2933" s="2">
        <v>346.28</v>
      </c>
      <c r="H2933" s="2" t="s">
        <v>13</v>
      </c>
      <c r="I2933" s="2" t="s">
        <v>14</v>
      </c>
    </row>
    <row r="2934" spans="1:9" x14ac:dyDescent="0.35">
      <c r="A2934" s="2" t="s">
        <v>2973</v>
      </c>
      <c r="B2934" s="3">
        <v>44711</v>
      </c>
      <c r="C2934" s="2" t="s">
        <v>25</v>
      </c>
      <c r="D2934" s="2" t="s">
        <v>23</v>
      </c>
      <c r="E2934" s="2" t="s">
        <v>18</v>
      </c>
      <c r="F2934" s="2">
        <v>910.3</v>
      </c>
      <c r="G2934" s="2">
        <v>234.41</v>
      </c>
      <c r="H2934" s="2" t="s">
        <v>13</v>
      </c>
      <c r="I2934" s="2" t="s">
        <v>20</v>
      </c>
    </row>
    <row r="2935" spans="1:9" x14ac:dyDescent="0.35">
      <c r="A2935" s="2" t="s">
        <v>2974</v>
      </c>
      <c r="B2935" s="3">
        <v>44934</v>
      </c>
      <c r="C2935" s="2" t="s">
        <v>10</v>
      </c>
      <c r="D2935" s="2" t="s">
        <v>33</v>
      </c>
      <c r="E2935" s="2" t="s">
        <v>18</v>
      </c>
      <c r="F2935" s="2">
        <v>672.34</v>
      </c>
      <c r="G2935" s="2">
        <v>166.31</v>
      </c>
      <c r="H2935" s="2" t="s">
        <v>19</v>
      </c>
      <c r="I2935" s="2" t="s">
        <v>20</v>
      </c>
    </row>
    <row r="2936" spans="1:9" x14ac:dyDescent="0.35">
      <c r="A2936" s="2" t="s">
        <v>2975</v>
      </c>
      <c r="B2936" s="3">
        <v>45655</v>
      </c>
      <c r="C2936" s="2" t="s">
        <v>22</v>
      </c>
      <c r="D2936" s="2" t="s">
        <v>17</v>
      </c>
      <c r="E2936" s="2" t="s">
        <v>18</v>
      </c>
      <c r="F2936" s="2">
        <v>1318.01</v>
      </c>
      <c r="G2936" s="2">
        <v>159.21</v>
      </c>
      <c r="H2936" s="2" t="s">
        <v>28</v>
      </c>
      <c r="I2936" s="2" t="s">
        <v>29</v>
      </c>
    </row>
    <row r="2937" spans="1:9" x14ac:dyDescent="0.35">
      <c r="A2937" s="2" t="s">
        <v>2976</v>
      </c>
      <c r="B2937" s="3">
        <v>45445</v>
      </c>
      <c r="C2937" s="2" t="s">
        <v>16</v>
      </c>
      <c r="D2937" s="2" t="s">
        <v>97</v>
      </c>
      <c r="E2937" s="2" t="s">
        <v>27</v>
      </c>
      <c r="F2937" s="2">
        <v>155.04</v>
      </c>
      <c r="G2937" s="2">
        <v>24.82</v>
      </c>
      <c r="H2937" s="2" t="s">
        <v>19</v>
      </c>
      <c r="I2937" s="2" t="s">
        <v>20</v>
      </c>
    </row>
    <row r="2938" spans="1:9" x14ac:dyDescent="0.35">
      <c r="A2938" s="2" t="s">
        <v>2977</v>
      </c>
      <c r="B2938" s="3">
        <v>45513</v>
      </c>
      <c r="C2938" s="2" t="s">
        <v>22</v>
      </c>
      <c r="D2938" s="2" t="s">
        <v>73</v>
      </c>
      <c r="E2938" s="2" t="s">
        <v>27</v>
      </c>
      <c r="F2938" s="2">
        <v>1964.28</v>
      </c>
      <c r="G2938" s="2">
        <v>571.20000000000005</v>
      </c>
      <c r="H2938" s="2" t="s">
        <v>13</v>
      </c>
      <c r="I2938" s="2" t="s">
        <v>14</v>
      </c>
    </row>
    <row r="2939" spans="1:9" x14ac:dyDescent="0.35">
      <c r="A2939" s="2" t="s">
        <v>2978</v>
      </c>
      <c r="B2939" s="3">
        <v>45621</v>
      </c>
      <c r="C2939" s="2" t="s">
        <v>16</v>
      </c>
      <c r="D2939" s="2" t="s">
        <v>31</v>
      </c>
      <c r="E2939" s="2" t="s">
        <v>12</v>
      </c>
      <c r="F2939" s="2">
        <v>180.21</v>
      </c>
      <c r="G2939" s="2">
        <v>45.38</v>
      </c>
      <c r="H2939" s="2" t="s">
        <v>13</v>
      </c>
      <c r="I2939" s="2" t="s">
        <v>20</v>
      </c>
    </row>
    <row r="2940" spans="1:9" x14ac:dyDescent="0.35">
      <c r="A2940" s="2" t="s">
        <v>2979</v>
      </c>
      <c r="B2940" s="3">
        <v>44872</v>
      </c>
      <c r="C2940" s="2" t="s">
        <v>16</v>
      </c>
      <c r="D2940" s="2" t="s">
        <v>57</v>
      </c>
      <c r="E2940" s="2" t="s">
        <v>27</v>
      </c>
      <c r="F2940" s="2">
        <v>361.83</v>
      </c>
      <c r="G2940" s="2">
        <v>88.99</v>
      </c>
      <c r="H2940" s="2" t="s">
        <v>19</v>
      </c>
      <c r="I2940" s="2" t="s">
        <v>20</v>
      </c>
    </row>
    <row r="2941" spans="1:9" x14ac:dyDescent="0.35">
      <c r="A2941" s="2" t="s">
        <v>2980</v>
      </c>
      <c r="B2941" s="3">
        <v>45093</v>
      </c>
      <c r="C2941" s="2" t="s">
        <v>10</v>
      </c>
      <c r="D2941" s="2" t="s">
        <v>38</v>
      </c>
      <c r="E2941" s="2" t="s">
        <v>12</v>
      </c>
      <c r="F2941" s="2">
        <v>72.510000000000005</v>
      </c>
      <c r="G2941" s="2">
        <v>10.82</v>
      </c>
      <c r="H2941" s="2" t="s">
        <v>13</v>
      </c>
      <c r="I2941" s="2" t="s">
        <v>20</v>
      </c>
    </row>
    <row r="2942" spans="1:9" x14ac:dyDescent="0.35">
      <c r="A2942" s="2" t="s">
        <v>2981</v>
      </c>
      <c r="B2942" s="3">
        <v>45028</v>
      </c>
      <c r="C2942" s="2" t="s">
        <v>22</v>
      </c>
      <c r="D2942" s="2" t="s">
        <v>50</v>
      </c>
      <c r="E2942" s="2" t="s">
        <v>12</v>
      </c>
      <c r="F2942" s="2">
        <v>1368.69</v>
      </c>
      <c r="G2942" s="2">
        <v>73.95</v>
      </c>
      <c r="H2942" s="2" t="s">
        <v>19</v>
      </c>
      <c r="I2942" s="2" t="s">
        <v>20</v>
      </c>
    </row>
    <row r="2943" spans="1:9" x14ac:dyDescent="0.35">
      <c r="A2943" s="2" t="s">
        <v>2982</v>
      </c>
      <c r="B2943" s="3">
        <v>45022</v>
      </c>
      <c r="C2943" s="2" t="s">
        <v>22</v>
      </c>
      <c r="D2943" s="2" t="s">
        <v>62</v>
      </c>
      <c r="E2943" s="2" t="s">
        <v>27</v>
      </c>
      <c r="F2943" s="2">
        <v>642.80999999999995</v>
      </c>
      <c r="G2943" s="2">
        <v>70.680000000000007</v>
      </c>
      <c r="H2943" s="2" t="s">
        <v>28</v>
      </c>
      <c r="I2943" s="2" t="s">
        <v>29</v>
      </c>
    </row>
    <row r="2944" spans="1:9" x14ac:dyDescent="0.35">
      <c r="A2944" s="2" t="s">
        <v>2983</v>
      </c>
      <c r="B2944" s="3">
        <v>45168</v>
      </c>
      <c r="C2944" s="2" t="s">
        <v>22</v>
      </c>
      <c r="D2944" s="2" t="s">
        <v>41</v>
      </c>
      <c r="E2944" s="2" t="s">
        <v>12</v>
      </c>
      <c r="F2944" s="2">
        <v>1259.5999999999999</v>
      </c>
      <c r="G2944" s="2">
        <v>153.74</v>
      </c>
      <c r="H2944" s="2" t="s">
        <v>28</v>
      </c>
      <c r="I2944" s="2" t="s">
        <v>29</v>
      </c>
    </row>
    <row r="2945" spans="1:9" x14ac:dyDescent="0.35">
      <c r="A2945" s="2" t="s">
        <v>2984</v>
      </c>
      <c r="B2945" s="3">
        <v>45595</v>
      </c>
      <c r="C2945" s="2" t="s">
        <v>25</v>
      </c>
      <c r="D2945" s="2" t="s">
        <v>23</v>
      </c>
      <c r="E2945" s="2" t="s">
        <v>18</v>
      </c>
      <c r="F2945" s="2">
        <v>1194.8499999999999</v>
      </c>
      <c r="G2945" s="2">
        <v>228.43</v>
      </c>
      <c r="H2945" s="2" t="s">
        <v>19</v>
      </c>
      <c r="I2945" s="2" t="s">
        <v>34</v>
      </c>
    </row>
    <row r="2946" spans="1:9" x14ac:dyDescent="0.35">
      <c r="A2946" s="2" t="s">
        <v>2985</v>
      </c>
      <c r="B2946" s="3">
        <v>45570</v>
      </c>
      <c r="C2946" s="2" t="s">
        <v>25</v>
      </c>
      <c r="D2946" s="2" t="s">
        <v>38</v>
      </c>
      <c r="E2946" s="2" t="s">
        <v>12</v>
      </c>
      <c r="F2946" s="2">
        <v>872.03</v>
      </c>
      <c r="G2946" s="2">
        <v>150.49</v>
      </c>
      <c r="H2946" s="2" t="s">
        <v>19</v>
      </c>
      <c r="I2946" s="2" t="s">
        <v>20</v>
      </c>
    </row>
    <row r="2947" spans="1:9" x14ac:dyDescent="0.35">
      <c r="A2947" s="2" t="s">
        <v>2986</v>
      </c>
      <c r="B2947" s="3">
        <v>45168</v>
      </c>
      <c r="C2947" s="2" t="s">
        <v>22</v>
      </c>
      <c r="D2947" s="2" t="s">
        <v>46</v>
      </c>
      <c r="E2947" s="2" t="s">
        <v>18</v>
      </c>
      <c r="F2947" s="2">
        <v>1750.1</v>
      </c>
      <c r="G2947" s="2">
        <v>109.15</v>
      </c>
      <c r="H2947" s="2" t="s">
        <v>13</v>
      </c>
      <c r="I2947" s="2" t="s">
        <v>14</v>
      </c>
    </row>
    <row r="2948" spans="1:9" x14ac:dyDescent="0.35">
      <c r="A2948" s="2" t="s">
        <v>2987</v>
      </c>
      <c r="B2948" s="3">
        <v>44678</v>
      </c>
      <c r="C2948" s="2" t="s">
        <v>16</v>
      </c>
      <c r="D2948" s="2" t="s">
        <v>62</v>
      </c>
      <c r="E2948" s="2" t="s">
        <v>27</v>
      </c>
      <c r="F2948" s="2">
        <v>1611.22</v>
      </c>
      <c r="G2948" s="2">
        <v>94.03</v>
      </c>
      <c r="H2948" s="2" t="s">
        <v>19</v>
      </c>
      <c r="I2948" s="2" t="s">
        <v>14</v>
      </c>
    </row>
    <row r="2949" spans="1:9" x14ac:dyDescent="0.35">
      <c r="A2949" s="2" t="s">
        <v>2988</v>
      </c>
      <c r="B2949" s="3">
        <v>44848</v>
      </c>
      <c r="C2949" s="2" t="s">
        <v>25</v>
      </c>
      <c r="D2949" s="2" t="s">
        <v>62</v>
      </c>
      <c r="E2949" s="2" t="s">
        <v>27</v>
      </c>
      <c r="F2949" s="2">
        <v>1162.1400000000001</v>
      </c>
      <c r="G2949" s="2">
        <v>262.44</v>
      </c>
      <c r="H2949" s="2" t="s">
        <v>19</v>
      </c>
      <c r="I2949" s="2" t="s">
        <v>29</v>
      </c>
    </row>
    <row r="2950" spans="1:9" x14ac:dyDescent="0.35">
      <c r="A2950" s="2" t="s">
        <v>2989</v>
      </c>
      <c r="B2950" s="3">
        <v>45617</v>
      </c>
      <c r="C2950" s="2" t="s">
        <v>25</v>
      </c>
      <c r="D2950" s="2" t="s">
        <v>62</v>
      </c>
      <c r="E2950" s="2" t="s">
        <v>27</v>
      </c>
      <c r="F2950" s="2">
        <v>471.8</v>
      </c>
      <c r="G2950" s="2">
        <v>48.79</v>
      </c>
      <c r="H2950" s="2" t="s">
        <v>13</v>
      </c>
      <c r="I2950" s="2" t="s">
        <v>20</v>
      </c>
    </row>
    <row r="2951" spans="1:9" x14ac:dyDescent="0.35">
      <c r="A2951" s="2" t="s">
        <v>2990</v>
      </c>
      <c r="B2951" s="3">
        <v>45308</v>
      </c>
      <c r="C2951" s="2" t="s">
        <v>10</v>
      </c>
      <c r="D2951" s="2" t="s">
        <v>95</v>
      </c>
      <c r="E2951" s="2" t="s">
        <v>18</v>
      </c>
      <c r="F2951" s="2">
        <v>207.82</v>
      </c>
      <c r="G2951" s="2">
        <v>38.65</v>
      </c>
      <c r="H2951" s="2" t="s">
        <v>19</v>
      </c>
      <c r="I2951" s="2" t="s">
        <v>20</v>
      </c>
    </row>
    <row r="2952" spans="1:9" x14ac:dyDescent="0.35">
      <c r="A2952" s="2" t="s">
        <v>2991</v>
      </c>
      <c r="B2952" s="3">
        <v>44817</v>
      </c>
      <c r="C2952" s="2" t="s">
        <v>25</v>
      </c>
      <c r="D2952" s="2" t="s">
        <v>38</v>
      </c>
      <c r="E2952" s="2" t="s">
        <v>12</v>
      </c>
      <c r="F2952" s="2">
        <v>1671.83</v>
      </c>
      <c r="G2952" s="2">
        <v>318.8</v>
      </c>
      <c r="H2952" s="2" t="s">
        <v>13</v>
      </c>
      <c r="I2952" s="2" t="s">
        <v>29</v>
      </c>
    </row>
    <row r="2953" spans="1:9" x14ac:dyDescent="0.35">
      <c r="A2953" s="2" t="s">
        <v>2992</v>
      </c>
      <c r="B2953" s="3">
        <v>44936</v>
      </c>
      <c r="C2953" s="2" t="s">
        <v>10</v>
      </c>
      <c r="D2953" s="2" t="s">
        <v>57</v>
      </c>
      <c r="E2953" s="2" t="s">
        <v>27</v>
      </c>
      <c r="F2953" s="2">
        <v>1787.1</v>
      </c>
      <c r="G2953" s="2">
        <v>321.89</v>
      </c>
      <c r="H2953" s="2" t="s">
        <v>19</v>
      </c>
      <c r="I2953" s="2" t="s">
        <v>29</v>
      </c>
    </row>
    <row r="2954" spans="1:9" x14ac:dyDescent="0.35">
      <c r="A2954" s="2" t="s">
        <v>2993</v>
      </c>
      <c r="B2954" s="3">
        <v>44696</v>
      </c>
      <c r="C2954" s="2" t="s">
        <v>16</v>
      </c>
      <c r="D2954" s="2" t="s">
        <v>62</v>
      </c>
      <c r="E2954" s="2" t="s">
        <v>27</v>
      </c>
      <c r="F2954" s="2">
        <v>862.2</v>
      </c>
      <c r="G2954" s="2">
        <v>130.16</v>
      </c>
      <c r="H2954" s="2" t="s">
        <v>13</v>
      </c>
      <c r="I2954" s="2" t="s">
        <v>29</v>
      </c>
    </row>
    <row r="2955" spans="1:9" x14ac:dyDescent="0.35">
      <c r="A2955" s="2" t="s">
        <v>2994</v>
      </c>
      <c r="B2955" s="3">
        <v>45210</v>
      </c>
      <c r="C2955" s="2" t="s">
        <v>10</v>
      </c>
      <c r="D2955" s="2" t="s">
        <v>46</v>
      </c>
      <c r="E2955" s="2" t="s">
        <v>18</v>
      </c>
      <c r="F2955" s="2">
        <v>294.88</v>
      </c>
      <c r="G2955" s="2">
        <v>35.869999999999997</v>
      </c>
      <c r="H2955" s="2" t="s">
        <v>28</v>
      </c>
      <c r="I2955" s="2" t="s">
        <v>34</v>
      </c>
    </row>
    <row r="2956" spans="1:9" x14ac:dyDescent="0.35">
      <c r="A2956" s="2" t="s">
        <v>2995</v>
      </c>
      <c r="B2956" s="3">
        <v>44782</v>
      </c>
      <c r="C2956" s="2" t="s">
        <v>22</v>
      </c>
      <c r="D2956" s="2" t="s">
        <v>95</v>
      </c>
      <c r="E2956" s="2" t="s">
        <v>18</v>
      </c>
      <c r="F2956" s="2">
        <v>1433.39</v>
      </c>
      <c r="G2956" s="2">
        <v>378.26</v>
      </c>
      <c r="H2956" s="2" t="s">
        <v>13</v>
      </c>
      <c r="I2956" s="2" t="s">
        <v>14</v>
      </c>
    </row>
    <row r="2957" spans="1:9" x14ac:dyDescent="0.35">
      <c r="A2957" s="2" t="s">
        <v>2996</v>
      </c>
      <c r="B2957" s="3">
        <v>45651</v>
      </c>
      <c r="C2957" s="2" t="s">
        <v>22</v>
      </c>
      <c r="D2957" s="2" t="s">
        <v>23</v>
      </c>
      <c r="E2957" s="2" t="s">
        <v>18</v>
      </c>
      <c r="F2957" s="2">
        <v>913.48</v>
      </c>
      <c r="G2957" s="2">
        <v>53.1</v>
      </c>
      <c r="H2957" s="2" t="s">
        <v>13</v>
      </c>
      <c r="I2957" s="2" t="s">
        <v>29</v>
      </c>
    </row>
    <row r="2958" spans="1:9" x14ac:dyDescent="0.35">
      <c r="A2958" s="2" t="s">
        <v>2997</v>
      </c>
      <c r="B2958" s="3">
        <v>45573</v>
      </c>
      <c r="C2958" s="2" t="s">
        <v>10</v>
      </c>
      <c r="D2958" s="2" t="s">
        <v>50</v>
      </c>
      <c r="E2958" s="2" t="s">
        <v>12</v>
      </c>
      <c r="F2958" s="2">
        <v>694.79</v>
      </c>
      <c r="G2958" s="2">
        <v>186.75</v>
      </c>
      <c r="H2958" s="2" t="s">
        <v>28</v>
      </c>
      <c r="I2958" s="2" t="s">
        <v>29</v>
      </c>
    </row>
    <row r="2959" spans="1:9" x14ac:dyDescent="0.35">
      <c r="A2959" s="2" t="s">
        <v>2998</v>
      </c>
      <c r="B2959" s="3">
        <v>45064</v>
      </c>
      <c r="C2959" s="2" t="s">
        <v>16</v>
      </c>
      <c r="D2959" s="2" t="s">
        <v>38</v>
      </c>
      <c r="E2959" s="2" t="s">
        <v>12</v>
      </c>
      <c r="F2959" s="2">
        <v>367.01</v>
      </c>
      <c r="G2959" s="2">
        <v>92.26</v>
      </c>
      <c r="H2959" s="2" t="s">
        <v>28</v>
      </c>
      <c r="I2959" s="2" t="s">
        <v>29</v>
      </c>
    </row>
    <row r="2960" spans="1:9" x14ac:dyDescent="0.35">
      <c r="A2960" s="2" t="s">
        <v>2999</v>
      </c>
      <c r="B2960" s="3">
        <v>44663</v>
      </c>
      <c r="C2960" s="2" t="s">
        <v>10</v>
      </c>
      <c r="D2960" s="2" t="s">
        <v>33</v>
      </c>
      <c r="E2960" s="2" t="s">
        <v>18</v>
      </c>
      <c r="F2960" s="2">
        <v>62.71</v>
      </c>
      <c r="G2960" s="2">
        <v>4.4800000000000004</v>
      </c>
      <c r="H2960" s="2" t="s">
        <v>28</v>
      </c>
      <c r="I2960" s="2" t="s">
        <v>20</v>
      </c>
    </row>
    <row r="2961" spans="1:9" x14ac:dyDescent="0.35">
      <c r="A2961" s="2" t="s">
        <v>3000</v>
      </c>
      <c r="B2961" s="3">
        <v>44710</v>
      </c>
      <c r="C2961" s="2" t="s">
        <v>22</v>
      </c>
      <c r="D2961" s="2" t="s">
        <v>41</v>
      </c>
      <c r="E2961" s="2" t="s">
        <v>12</v>
      </c>
      <c r="F2961" s="2">
        <v>1732.12</v>
      </c>
      <c r="G2961" s="2">
        <v>389.68</v>
      </c>
      <c r="H2961" s="2" t="s">
        <v>28</v>
      </c>
      <c r="I2961" s="2" t="s">
        <v>20</v>
      </c>
    </row>
    <row r="2962" spans="1:9" x14ac:dyDescent="0.35">
      <c r="A2962" s="2" t="s">
        <v>3001</v>
      </c>
      <c r="B2962" s="3">
        <v>44872</v>
      </c>
      <c r="C2962" s="2" t="s">
        <v>22</v>
      </c>
      <c r="D2962" s="2" t="s">
        <v>26</v>
      </c>
      <c r="E2962" s="2" t="s">
        <v>27</v>
      </c>
      <c r="F2962" s="2">
        <v>1744.14</v>
      </c>
      <c r="G2962" s="2">
        <v>269.58</v>
      </c>
      <c r="H2962" s="2" t="s">
        <v>13</v>
      </c>
      <c r="I2962" s="2" t="s">
        <v>29</v>
      </c>
    </row>
    <row r="2963" spans="1:9" x14ac:dyDescent="0.35">
      <c r="A2963" s="2" t="s">
        <v>3002</v>
      </c>
      <c r="B2963" s="3">
        <v>45243</v>
      </c>
      <c r="C2963" s="2" t="s">
        <v>10</v>
      </c>
      <c r="D2963" s="2" t="s">
        <v>17</v>
      </c>
      <c r="E2963" s="2" t="s">
        <v>18</v>
      </c>
      <c r="F2963" s="2">
        <v>1261.6500000000001</v>
      </c>
      <c r="G2963" s="2">
        <v>208.7</v>
      </c>
      <c r="H2963" s="2" t="s">
        <v>13</v>
      </c>
      <c r="I2963" s="2" t="s">
        <v>20</v>
      </c>
    </row>
    <row r="2964" spans="1:9" x14ac:dyDescent="0.35">
      <c r="A2964" s="2" t="s">
        <v>3003</v>
      </c>
      <c r="B2964" s="3">
        <v>45567</v>
      </c>
      <c r="C2964" s="2" t="s">
        <v>25</v>
      </c>
      <c r="D2964" s="2" t="s">
        <v>17</v>
      </c>
      <c r="E2964" s="2" t="s">
        <v>18</v>
      </c>
      <c r="F2964" s="2">
        <v>56.4</v>
      </c>
      <c r="G2964" s="2">
        <v>8.67</v>
      </c>
      <c r="H2964" s="2" t="s">
        <v>13</v>
      </c>
      <c r="I2964" s="2" t="s">
        <v>20</v>
      </c>
    </row>
    <row r="2965" spans="1:9" x14ac:dyDescent="0.35">
      <c r="A2965" s="2" t="s">
        <v>3004</v>
      </c>
      <c r="B2965" s="3">
        <v>45221</v>
      </c>
      <c r="C2965" s="2" t="s">
        <v>25</v>
      </c>
      <c r="D2965" s="2" t="s">
        <v>41</v>
      </c>
      <c r="E2965" s="2" t="s">
        <v>12</v>
      </c>
      <c r="F2965" s="2">
        <v>1472.32</v>
      </c>
      <c r="G2965" s="2">
        <v>247.75</v>
      </c>
      <c r="H2965" s="2" t="s">
        <v>28</v>
      </c>
      <c r="I2965" s="2" t="s">
        <v>14</v>
      </c>
    </row>
    <row r="2966" spans="1:9" x14ac:dyDescent="0.35">
      <c r="A2966" s="2" t="s">
        <v>3005</v>
      </c>
      <c r="B2966" s="3">
        <v>44601</v>
      </c>
      <c r="C2966" s="2" t="s">
        <v>22</v>
      </c>
      <c r="D2966" s="2" t="s">
        <v>46</v>
      </c>
      <c r="E2966" s="2" t="s">
        <v>18</v>
      </c>
      <c r="F2966" s="2">
        <v>119.49</v>
      </c>
      <c r="G2966" s="2">
        <v>6.39</v>
      </c>
      <c r="H2966" s="2" t="s">
        <v>28</v>
      </c>
      <c r="I2966" s="2" t="s">
        <v>20</v>
      </c>
    </row>
    <row r="2967" spans="1:9" x14ac:dyDescent="0.35">
      <c r="A2967" s="2" t="s">
        <v>3006</v>
      </c>
      <c r="B2967" s="3">
        <v>44769</v>
      </c>
      <c r="C2967" s="2" t="s">
        <v>25</v>
      </c>
      <c r="D2967" s="2" t="s">
        <v>62</v>
      </c>
      <c r="E2967" s="2" t="s">
        <v>27</v>
      </c>
      <c r="F2967" s="2">
        <v>748.21</v>
      </c>
      <c r="G2967" s="2">
        <v>141.32</v>
      </c>
      <c r="H2967" s="2" t="s">
        <v>28</v>
      </c>
      <c r="I2967" s="2" t="s">
        <v>20</v>
      </c>
    </row>
    <row r="2968" spans="1:9" x14ac:dyDescent="0.35">
      <c r="A2968" s="2" t="s">
        <v>3007</v>
      </c>
      <c r="B2968" s="3">
        <v>45139</v>
      </c>
      <c r="C2968" s="2" t="s">
        <v>16</v>
      </c>
      <c r="D2968" s="2" t="s">
        <v>11</v>
      </c>
      <c r="E2968" s="2" t="s">
        <v>12</v>
      </c>
      <c r="F2968" s="2">
        <v>558.91</v>
      </c>
      <c r="G2968" s="2">
        <v>45.5</v>
      </c>
      <c r="H2968" s="2" t="s">
        <v>28</v>
      </c>
      <c r="I2968" s="2" t="s">
        <v>29</v>
      </c>
    </row>
    <row r="2969" spans="1:9" x14ac:dyDescent="0.35">
      <c r="A2969" s="2" t="s">
        <v>3008</v>
      </c>
      <c r="B2969" s="3">
        <v>44931</v>
      </c>
      <c r="C2969" s="2" t="s">
        <v>16</v>
      </c>
      <c r="D2969" s="2" t="s">
        <v>23</v>
      </c>
      <c r="E2969" s="2" t="s">
        <v>18</v>
      </c>
      <c r="F2969" s="2">
        <v>1796.03</v>
      </c>
      <c r="G2969" s="2">
        <v>416.36</v>
      </c>
      <c r="H2969" s="2" t="s">
        <v>13</v>
      </c>
      <c r="I2969" s="2" t="s">
        <v>34</v>
      </c>
    </row>
    <row r="2970" spans="1:9" x14ac:dyDescent="0.35">
      <c r="A2970" s="2" t="s">
        <v>3009</v>
      </c>
      <c r="B2970" s="3">
        <v>45642</v>
      </c>
      <c r="C2970" s="2" t="s">
        <v>25</v>
      </c>
      <c r="D2970" s="2" t="s">
        <v>95</v>
      </c>
      <c r="E2970" s="2" t="s">
        <v>18</v>
      </c>
      <c r="F2970" s="2">
        <v>965.58</v>
      </c>
      <c r="G2970" s="2">
        <v>251.85</v>
      </c>
      <c r="H2970" s="2" t="s">
        <v>13</v>
      </c>
      <c r="I2970" s="2" t="s">
        <v>14</v>
      </c>
    </row>
    <row r="2971" spans="1:9" x14ac:dyDescent="0.35">
      <c r="A2971" s="2" t="s">
        <v>3010</v>
      </c>
      <c r="B2971" s="3">
        <v>45021</v>
      </c>
      <c r="C2971" s="2" t="s">
        <v>25</v>
      </c>
      <c r="D2971" s="2" t="s">
        <v>17</v>
      </c>
      <c r="E2971" s="2" t="s">
        <v>18</v>
      </c>
      <c r="F2971" s="2">
        <v>1634.57</v>
      </c>
      <c r="G2971" s="2">
        <v>168.18</v>
      </c>
      <c r="H2971" s="2" t="s">
        <v>13</v>
      </c>
      <c r="I2971" s="2" t="s">
        <v>34</v>
      </c>
    </row>
    <row r="2972" spans="1:9" x14ac:dyDescent="0.35">
      <c r="A2972" s="2" t="s">
        <v>3011</v>
      </c>
      <c r="B2972" s="3">
        <v>44999</v>
      </c>
      <c r="C2972" s="2" t="s">
        <v>22</v>
      </c>
      <c r="D2972" s="2" t="s">
        <v>31</v>
      </c>
      <c r="E2972" s="2" t="s">
        <v>12</v>
      </c>
      <c r="F2972" s="2">
        <v>497.58</v>
      </c>
      <c r="G2972" s="2">
        <v>93.1</v>
      </c>
      <c r="H2972" s="2" t="s">
        <v>28</v>
      </c>
      <c r="I2972" s="2" t="s">
        <v>29</v>
      </c>
    </row>
    <row r="2973" spans="1:9" x14ac:dyDescent="0.35">
      <c r="A2973" s="2" t="s">
        <v>3012</v>
      </c>
      <c r="B2973" s="3">
        <v>45273</v>
      </c>
      <c r="C2973" s="2" t="s">
        <v>10</v>
      </c>
      <c r="D2973" s="2" t="s">
        <v>57</v>
      </c>
      <c r="E2973" s="2" t="s">
        <v>27</v>
      </c>
      <c r="F2973" s="2">
        <v>627.63</v>
      </c>
      <c r="G2973" s="2">
        <v>58.69</v>
      </c>
      <c r="H2973" s="2" t="s">
        <v>28</v>
      </c>
      <c r="I2973" s="2" t="s">
        <v>29</v>
      </c>
    </row>
    <row r="2974" spans="1:9" x14ac:dyDescent="0.35">
      <c r="A2974" s="2" t="s">
        <v>3013</v>
      </c>
      <c r="B2974" s="3">
        <v>44950</v>
      </c>
      <c r="C2974" s="2" t="s">
        <v>25</v>
      </c>
      <c r="D2974" s="2" t="s">
        <v>31</v>
      </c>
      <c r="E2974" s="2" t="s">
        <v>12</v>
      </c>
      <c r="F2974" s="2">
        <v>1116.1600000000001</v>
      </c>
      <c r="G2974" s="2">
        <v>201.1</v>
      </c>
      <c r="H2974" s="2" t="s">
        <v>28</v>
      </c>
      <c r="I2974" s="2" t="s">
        <v>34</v>
      </c>
    </row>
    <row r="2975" spans="1:9" x14ac:dyDescent="0.35">
      <c r="A2975" s="2" t="s">
        <v>3014</v>
      </c>
      <c r="B2975" s="3">
        <v>45263</v>
      </c>
      <c r="C2975" s="2" t="s">
        <v>10</v>
      </c>
      <c r="D2975" s="2" t="s">
        <v>46</v>
      </c>
      <c r="E2975" s="2" t="s">
        <v>18</v>
      </c>
      <c r="F2975" s="2">
        <v>1724.47</v>
      </c>
      <c r="G2975" s="2">
        <v>280.85000000000002</v>
      </c>
      <c r="H2975" s="2" t="s">
        <v>28</v>
      </c>
      <c r="I2975" s="2" t="s">
        <v>29</v>
      </c>
    </row>
    <row r="2976" spans="1:9" x14ac:dyDescent="0.35">
      <c r="A2976" s="2" t="s">
        <v>3015</v>
      </c>
      <c r="B2976" s="3">
        <v>45091</v>
      </c>
      <c r="C2976" s="2" t="s">
        <v>10</v>
      </c>
      <c r="D2976" s="2" t="s">
        <v>46</v>
      </c>
      <c r="E2976" s="2" t="s">
        <v>18</v>
      </c>
      <c r="F2976" s="2">
        <v>1555.33</v>
      </c>
      <c r="G2976" s="2">
        <v>224.88</v>
      </c>
      <c r="H2976" s="2" t="s">
        <v>19</v>
      </c>
      <c r="I2976" s="2" t="s">
        <v>29</v>
      </c>
    </row>
    <row r="2977" spans="1:9" x14ac:dyDescent="0.35">
      <c r="A2977" s="2" t="s">
        <v>3016</v>
      </c>
      <c r="B2977" s="3">
        <v>45404</v>
      </c>
      <c r="C2977" s="2" t="s">
        <v>22</v>
      </c>
      <c r="D2977" s="2" t="s">
        <v>57</v>
      </c>
      <c r="E2977" s="2" t="s">
        <v>27</v>
      </c>
      <c r="F2977" s="2">
        <v>1308.53</v>
      </c>
      <c r="G2977" s="2">
        <v>82.52</v>
      </c>
      <c r="H2977" s="2" t="s">
        <v>13</v>
      </c>
      <c r="I2977" s="2" t="s">
        <v>14</v>
      </c>
    </row>
    <row r="2978" spans="1:9" x14ac:dyDescent="0.35">
      <c r="A2978" s="2" t="s">
        <v>3017</v>
      </c>
      <c r="B2978" s="3">
        <v>45492</v>
      </c>
      <c r="C2978" s="2" t="s">
        <v>22</v>
      </c>
      <c r="D2978" s="2" t="s">
        <v>97</v>
      </c>
      <c r="E2978" s="2" t="s">
        <v>27</v>
      </c>
      <c r="F2978" s="2">
        <v>1648.66</v>
      </c>
      <c r="G2978" s="2">
        <v>450.1</v>
      </c>
      <c r="H2978" s="2" t="s">
        <v>28</v>
      </c>
      <c r="I2978" s="2" t="s">
        <v>34</v>
      </c>
    </row>
    <row r="2979" spans="1:9" x14ac:dyDescent="0.35">
      <c r="A2979" s="2" t="s">
        <v>3018</v>
      </c>
      <c r="B2979" s="3">
        <v>45317</v>
      </c>
      <c r="C2979" s="2" t="s">
        <v>25</v>
      </c>
      <c r="D2979" s="2" t="s">
        <v>50</v>
      </c>
      <c r="E2979" s="2" t="s">
        <v>12</v>
      </c>
      <c r="F2979" s="2">
        <v>1353.39</v>
      </c>
      <c r="G2979" s="2">
        <v>362.35</v>
      </c>
      <c r="H2979" s="2" t="s">
        <v>28</v>
      </c>
      <c r="I2979" s="2" t="s">
        <v>29</v>
      </c>
    </row>
    <row r="2980" spans="1:9" x14ac:dyDescent="0.35">
      <c r="A2980" s="2" t="s">
        <v>3019</v>
      </c>
      <c r="B2980" s="3">
        <v>44933</v>
      </c>
      <c r="C2980" s="2" t="s">
        <v>25</v>
      </c>
      <c r="D2980" s="2" t="s">
        <v>97</v>
      </c>
      <c r="E2980" s="2" t="s">
        <v>27</v>
      </c>
      <c r="F2980" s="2">
        <v>168.99</v>
      </c>
      <c r="G2980" s="2">
        <v>30.71</v>
      </c>
      <c r="H2980" s="2" t="s">
        <v>28</v>
      </c>
      <c r="I2980" s="2" t="s">
        <v>29</v>
      </c>
    </row>
    <row r="2981" spans="1:9" x14ac:dyDescent="0.35">
      <c r="A2981" s="2" t="s">
        <v>3020</v>
      </c>
      <c r="B2981" s="3">
        <v>45650</v>
      </c>
      <c r="C2981" s="2" t="s">
        <v>16</v>
      </c>
      <c r="D2981" s="2" t="s">
        <v>50</v>
      </c>
      <c r="E2981" s="2" t="s">
        <v>12</v>
      </c>
      <c r="F2981" s="2">
        <v>1716.79</v>
      </c>
      <c r="G2981" s="2">
        <v>213.61</v>
      </c>
      <c r="H2981" s="2" t="s">
        <v>13</v>
      </c>
      <c r="I2981" s="2" t="s">
        <v>20</v>
      </c>
    </row>
    <row r="2982" spans="1:9" x14ac:dyDescent="0.35">
      <c r="A2982" s="2" t="s">
        <v>3021</v>
      </c>
      <c r="B2982" s="3">
        <v>45380</v>
      </c>
      <c r="C2982" s="2" t="s">
        <v>16</v>
      </c>
      <c r="D2982" s="2" t="s">
        <v>38</v>
      </c>
      <c r="E2982" s="2" t="s">
        <v>12</v>
      </c>
      <c r="F2982" s="2">
        <v>732.83</v>
      </c>
      <c r="G2982" s="2">
        <v>187.88</v>
      </c>
      <c r="H2982" s="2" t="s">
        <v>19</v>
      </c>
      <c r="I2982" s="2" t="s">
        <v>14</v>
      </c>
    </row>
    <row r="2983" spans="1:9" x14ac:dyDescent="0.35">
      <c r="A2983" s="2" t="s">
        <v>3022</v>
      </c>
      <c r="B2983" s="3">
        <v>45353</v>
      </c>
      <c r="C2983" s="2" t="s">
        <v>16</v>
      </c>
      <c r="D2983" s="2" t="s">
        <v>97</v>
      </c>
      <c r="E2983" s="2" t="s">
        <v>27</v>
      </c>
      <c r="F2983" s="2">
        <v>1703.85</v>
      </c>
      <c r="G2983" s="2">
        <v>476.86</v>
      </c>
      <c r="H2983" s="2" t="s">
        <v>13</v>
      </c>
      <c r="I2983" s="2" t="s">
        <v>34</v>
      </c>
    </row>
    <row r="2984" spans="1:9" x14ac:dyDescent="0.35">
      <c r="A2984" s="2" t="s">
        <v>3023</v>
      </c>
      <c r="B2984" s="3">
        <v>44838</v>
      </c>
      <c r="C2984" s="2" t="s">
        <v>10</v>
      </c>
      <c r="D2984" s="2" t="s">
        <v>11</v>
      </c>
      <c r="E2984" s="2" t="s">
        <v>12</v>
      </c>
      <c r="F2984" s="2">
        <v>593.97</v>
      </c>
      <c r="G2984" s="2">
        <v>70.62</v>
      </c>
      <c r="H2984" s="2" t="s">
        <v>28</v>
      </c>
      <c r="I2984" s="2" t="s">
        <v>14</v>
      </c>
    </row>
    <row r="2985" spans="1:9" x14ac:dyDescent="0.35">
      <c r="A2985" s="2" t="s">
        <v>3024</v>
      </c>
      <c r="B2985" s="3">
        <v>45117</v>
      </c>
      <c r="C2985" s="2" t="s">
        <v>25</v>
      </c>
      <c r="D2985" s="2" t="s">
        <v>46</v>
      </c>
      <c r="E2985" s="2" t="s">
        <v>18</v>
      </c>
      <c r="F2985" s="2">
        <v>1258.29</v>
      </c>
      <c r="G2985" s="2">
        <v>121.01</v>
      </c>
      <c r="H2985" s="2" t="s">
        <v>19</v>
      </c>
      <c r="I2985" s="2" t="s">
        <v>29</v>
      </c>
    </row>
    <row r="2986" spans="1:9" x14ac:dyDescent="0.35">
      <c r="A2986" s="2" t="s">
        <v>3025</v>
      </c>
      <c r="B2986" s="3">
        <v>45424</v>
      </c>
      <c r="C2986" s="2" t="s">
        <v>10</v>
      </c>
      <c r="D2986" s="2" t="s">
        <v>41</v>
      </c>
      <c r="E2986" s="2" t="s">
        <v>12</v>
      </c>
      <c r="F2986" s="2">
        <v>1786.36</v>
      </c>
      <c r="G2986" s="2">
        <v>111.35</v>
      </c>
      <c r="H2986" s="2" t="s">
        <v>13</v>
      </c>
      <c r="I2986" s="2" t="s">
        <v>20</v>
      </c>
    </row>
    <row r="2987" spans="1:9" x14ac:dyDescent="0.35">
      <c r="A2987" s="2" t="s">
        <v>3026</v>
      </c>
      <c r="B2987" s="3">
        <v>45041</v>
      </c>
      <c r="C2987" s="2" t="s">
        <v>10</v>
      </c>
      <c r="D2987" s="2" t="s">
        <v>62</v>
      </c>
      <c r="E2987" s="2" t="s">
        <v>27</v>
      </c>
      <c r="F2987" s="2">
        <v>1927.94</v>
      </c>
      <c r="G2987" s="2">
        <v>536.28</v>
      </c>
      <c r="H2987" s="2" t="s">
        <v>13</v>
      </c>
      <c r="I2987" s="2" t="s">
        <v>34</v>
      </c>
    </row>
    <row r="2988" spans="1:9" x14ac:dyDescent="0.35">
      <c r="A2988" s="2" t="s">
        <v>3027</v>
      </c>
      <c r="B2988" s="3">
        <v>44830</v>
      </c>
      <c r="C2988" s="2" t="s">
        <v>16</v>
      </c>
      <c r="D2988" s="2" t="s">
        <v>11</v>
      </c>
      <c r="E2988" s="2" t="s">
        <v>12</v>
      </c>
      <c r="F2988" s="2">
        <v>1650.94</v>
      </c>
      <c r="G2988" s="2">
        <v>389.06</v>
      </c>
      <c r="H2988" s="2" t="s">
        <v>19</v>
      </c>
      <c r="I2988" s="2" t="s">
        <v>29</v>
      </c>
    </row>
    <row r="2989" spans="1:9" x14ac:dyDescent="0.35">
      <c r="A2989" s="2" t="s">
        <v>3028</v>
      </c>
      <c r="B2989" s="3">
        <v>44932</v>
      </c>
      <c r="C2989" s="2" t="s">
        <v>10</v>
      </c>
      <c r="D2989" s="2" t="s">
        <v>17</v>
      </c>
      <c r="E2989" s="2" t="s">
        <v>18</v>
      </c>
      <c r="F2989" s="2">
        <v>513.33000000000004</v>
      </c>
      <c r="G2989" s="2">
        <v>104.25</v>
      </c>
      <c r="H2989" s="2" t="s">
        <v>13</v>
      </c>
      <c r="I2989" s="2" t="s">
        <v>34</v>
      </c>
    </row>
    <row r="2990" spans="1:9" x14ac:dyDescent="0.35">
      <c r="A2990" s="2" t="s">
        <v>3029</v>
      </c>
      <c r="B2990" s="3">
        <v>45333</v>
      </c>
      <c r="C2990" s="2" t="s">
        <v>25</v>
      </c>
      <c r="D2990" s="2" t="s">
        <v>50</v>
      </c>
      <c r="E2990" s="2" t="s">
        <v>12</v>
      </c>
      <c r="F2990" s="2">
        <v>330.26</v>
      </c>
      <c r="G2990" s="2">
        <v>31.52</v>
      </c>
      <c r="H2990" s="2" t="s">
        <v>19</v>
      </c>
      <c r="I2990" s="2" t="s">
        <v>14</v>
      </c>
    </row>
    <row r="2991" spans="1:9" x14ac:dyDescent="0.35">
      <c r="A2991" s="2" t="s">
        <v>3030</v>
      </c>
      <c r="B2991" s="3">
        <v>44850</v>
      </c>
      <c r="C2991" s="2" t="s">
        <v>25</v>
      </c>
      <c r="D2991" s="2" t="s">
        <v>62</v>
      </c>
      <c r="E2991" s="2" t="s">
        <v>27</v>
      </c>
      <c r="F2991" s="2">
        <v>1767.85</v>
      </c>
      <c r="G2991" s="2">
        <v>372.7</v>
      </c>
      <c r="H2991" s="2" t="s">
        <v>28</v>
      </c>
      <c r="I2991" s="2" t="s">
        <v>14</v>
      </c>
    </row>
    <row r="2992" spans="1:9" x14ac:dyDescent="0.35">
      <c r="A2992" s="2" t="s">
        <v>3031</v>
      </c>
      <c r="B2992" s="3">
        <v>45292</v>
      </c>
      <c r="C2992" s="2" t="s">
        <v>16</v>
      </c>
      <c r="D2992" s="2" t="s">
        <v>50</v>
      </c>
      <c r="E2992" s="2" t="s">
        <v>12</v>
      </c>
      <c r="F2992" s="2">
        <v>1928.04</v>
      </c>
      <c r="G2992" s="2">
        <v>115.11</v>
      </c>
      <c r="H2992" s="2" t="s">
        <v>19</v>
      </c>
      <c r="I2992" s="2" t="s">
        <v>34</v>
      </c>
    </row>
    <row r="2993" spans="1:9" x14ac:dyDescent="0.35">
      <c r="A2993" s="2" t="s">
        <v>3032</v>
      </c>
      <c r="B2993" s="3">
        <v>44889</v>
      </c>
      <c r="C2993" s="2" t="s">
        <v>22</v>
      </c>
      <c r="D2993" s="2" t="s">
        <v>50</v>
      </c>
      <c r="E2993" s="2" t="s">
        <v>12</v>
      </c>
      <c r="F2993" s="2">
        <v>354.16</v>
      </c>
      <c r="G2993" s="2">
        <v>32.25</v>
      </c>
      <c r="H2993" s="2" t="s">
        <v>19</v>
      </c>
      <c r="I2993" s="2" t="s">
        <v>14</v>
      </c>
    </row>
    <row r="2994" spans="1:9" x14ac:dyDescent="0.35">
      <c r="A2994" s="2" t="s">
        <v>3033</v>
      </c>
      <c r="B2994" s="3">
        <v>45186</v>
      </c>
      <c r="C2994" s="2" t="s">
        <v>10</v>
      </c>
      <c r="D2994" s="2" t="s">
        <v>97</v>
      </c>
      <c r="E2994" s="2" t="s">
        <v>27</v>
      </c>
      <c r="F2994" s="2">
        <v>180.98</v>
      </c>
      <c r="G2994" s="2">
        <v>22.08</v>
      </c>
      <c r="H2994" s="2" t="s">
        <v>28</v>
      </c>
      <c r="I2994" s="2" t="s">
        <v>14</v>
      </c>
    </row>
    <row r="2995" spans="1:9" x14ac:dyDescent="0.35">
      <c r="A2995" s="2" t="s">
        <v>3034</v>
      </c>
      <c r="B2995" s="3">
        <v>44971</v>
      </c>
      <c r="C2995" s="2" t="s">
        <v>10</v>
      </c>
      <c r="D2995" s="2" t="s">
        <v>95</v>
      </c>
      <c r="E2995" s="2" t="s">
        <v>18</v>
      </c>
      <c r="F2995" s="2">
        <v>1962.3</v>
      </c>
      <c r="G2995" s="2">
        <v>227.53</v>
      </c>
      <c r="H2995" s="2" t="s">
        <v>28</v>
      </c>
      <c r="I2995" s="2" t="s">
        <v>34</v>
      </c>
    </row>
    <row r="2996" spans="1:9" x14ac:dyDescent="0.35">
      <c r="A2996" s="2" t="s">
        <v>3035</v>
      </c>
      <c r="B2996" s="3">
        <v>45627</v>
      </c>
      <c r="C2996" s="2" t="s">
        <v>16</v>
      </c>
      <c r="D2996" s="2" t="s">
        <v>41</v>
      </c>
      <c r="E2996" s="2" t="s">
        <v>12</v>
      </c>
      <c r="F2996" s="2">
        <v>967.81</v>
      </c>
      <c r="G2996" s="2">
        <v>59.49</v>
      </c>
      <c r="H2996" s="2" t="s">
        <v>13</v>
      </c>
      <c r="I2996" s="2" t="s">
        <v>29</v>
      </c>
    </row>
    <row r="2997" spans="1:9" x14ac:dyDescent="0.35">
      <c r="A2997" s="2" t="s">
        <v>3036</v>
      </c>
      <c r="B2997" s="3">
        <v>45554</v>
      </c>
      <c r="C2997" s="2" t="s">
        <v>22</v>
      </c>
      <c r="D2997" s="2" t="s">
        <v>31</v>
      </c>
      <c r="E2997" s="2" t="s">
        <v>12</v>
      </c>
      <c r="F2997" s="2">
        <v>1246.78</v>
      </c>
      <c r="G2997" s="2">
        <v>333.01</v>
      </c>
      <c r="H2997" s="2" t="s">
        <v>19</v>
      </c>
      <c r="I2997" s="2" t="s">
        <v>14</v>
      </c>
    </row>
    <row r="2998" spans="1:9" x14ac:dyDescent="0.35">
      <c r="A2998" s="2" t="s">
        <v>3037</v>
      </c>
      <c r="B2998" s="3">
        <v>45164</v>
      </c>
      <c r="C2998" s="2" t="s">
        <v>22</v>
      </c>
      <c r="D2998" s="2" t="s">
        <v>23</v>
      </c>
      <c r="E2998" s="2" t="s">
        <v>18</v>
      </c>
      <c r="F2998" s="2">
        <v>438.12</v>
      </c>
      <c r="G2998" s="2">
        <v>59.13</v>
      </c>
      <c r="H2998" s="2" t="s">
        <v>13</v>
      </c>
      <c r="I2998" s="2" t="s">
        <v>14</v>
      </c>
    </row>
    <row r="2999" spans="1:9" x14ac:dyDescent="0.35">
      <c r="A2999" s="2" t="s">
        <v>3038</v>
      </c>
      <c r="B2999" s="3">
        <v>45395</v>
      </c>
      <c r="C2999" s="2" t="s">
        <v>10</v>
      </c>
      <c r="D2999" s="2" t="s">
        <v>41</v>
      </c>
      <c r="E2999" s="2" t="s">
        <v>12</v>
      </c>
      <c r="F2999" s="2">
        <v>414.3</v>
      </c>
      <c r="G2999" s="2">
        <v>29.71</v>
      </c>
      <c r="H2999" s="2" t="s">
        <v>28</v>
      </c>
      <c r="I2999" s="2" t="s">
        <v>14</v>
      </c>
    </row>
    <row r="3000" spans="1:9" x14ac:dyDescent="0.35">
      <c r="A3000" s="2" t="s">
        <v>3039</v>
      </c>
      <c r="B3000" s="3">
        <v>44808</v>
      </c>
      <c r="C3000" s="2" t="s">
        <v>25</v>
      </c>
      <c r="D3000" s="2" t="s">
        <v>23</v>
      </c>
      <c r="E3000" s="2" t="s">
        <v>18</v>
      </c>
      <c r="F3000" s="2">
        <v>1629.71</v>
      </c>
      <c r="G3000" s="2">
        <v>146.6</v>
      </c>
      <c r="H3000" s="2" t="s">
        <v>19</v>
      </c>
      <c r="I3000" s="2" t="s">
        <v>14</v>
      </c>
    </row>
    <row r="3001" spans="1:9" x14ac:dyDescent="0.35">
      <c r="A3001" s="2" t="s">
        <v>3040</v>
      </c>
      <c r="B3001" s="3">
        <v>45158</v>
      </c>
      <c r="C3001" s="2" t="s">
        <v>16</v>
      </c>
      <c r="D3001" s="2" t="s">
        <v>23</v>
      </c>
      <c r="E3001" s="2" t="s">
        <v>18</v>
      </c>
      <c r="F3001" s="2">
        <v>1097.8800000000001</v>
      </c>
      <c r="G3001" s="2">
        <v>135.02000000000001</v>
      </c>
      <c r="H3001" s="2" t="s">
        <v>19</v>
      </c>
      <c r="I3001" s="2" t="s">
        <v>34</v>
      </c>
    </row>
    <row r="3002" spans="1:9" x14ac:dyDescent="0.35">
      <c r="A3002" s="2" t="s">
        <v>3041</v>
      </c>
      <c r="B3002" s="3">
        <v>45613</v>
      </c>
      <c r="C3002" s="2" t="s">
        <v>22</v>
      </c>
      <c r="D3002" s="2" t="s">
        <v>73</v>
      </c>
      <c r="E3002" s="2" t="s">
        <v>27</v>
      </c>
      <c r="F3002" s="2">
        <v>1381.1</v>
      </c>
      <c r="G3002" s="2">
        <v>76.760000000000005</v>
      </c>
      <c r="H3002" s="2" t="s">
        <v>13</v>
      </c>
      <c r="I3002" s="2" t="s">
        <v>20</v>
      </c>
    </row>
    <row r="3003" spans="1:9" x14ac:dyDescent="0.35">
      <c r="A3003" s="2" t="s">
        <v>3042</v>
      </c>
      <c r="B3003" s="3">
        <v>44694</v>
      </c>
      <c r="C3003" s="2" t="s">
        <v>22</v>
      </c>
      <c r="D3003" s="2" t="s">
        <v>26</v>
      </c>
      <c r="E3003" s="2" t="s">
        <v>27</v>
      </c>
      <c r="F3003" s="2">
        <v>1523.26</v>
      </c>
      <c r="G3003" s="2">
        <v>180.24</v>
      </c>
      <c r="H3003" s="2" t="s">
        <v>28</v>
      </c>
      <c r="I3003" s="2" t="s">
        <v>14</v>
      </c>
    </row>
    <row r="3004" spans="1:9" x14ac:dyDescent="0.35">
      <c r="A3004" s="2" t="s">
        <v>3043</v>
      </c>
      <c r="B3004" s="3">
        <v>44587</v>
      </c>
      <c r="C3004" s="2" t="s">
        <v>10</v>
      </c>
      <c r="D3004" s="2" t="s">
        <v>73</v>
      </c>
      <c r="E3004" s="2" t="s">
        <v>27</v>
      </c>
      <c r="F3004" s="2">
        <v>1305.1199999999999</v>
      </c>
      <c r="G3004" s="2">
        <v>371.75</v>
      </c>
      <c r="H3004" s="2" t="s">
        <v>13</v>
      </c>
      <c r="I3004" s="2" t="s">
        <v>34</v>
      </c>
    </row>
    <row r="3005" spans="1:9" x14ac:dyDescent="0.35">
      <c r="A3005" s="2" t="s">
        <v>3044</v>
      </c>
      <c r="B3005" s="3">
        <v>45590</v>
      </c>
      <c r="C3005" s="2" t="s">
        <v>10</v>
      </c>
      <c r="D3005" s="2" t="s">
        <v>50</v>
      </c>
      <c r="E3005" s="2" t="s">
        <v>12</v>
      </c>
      <c r="F3005" s="2">
        <v>1218.04</v>
      </c>
      <c r="G3005" s="2">
        <v>327.87</v>
      </c>
      <c r="H3005" s="2" t="s">
        <v>19</v>
      </c>
      <c r="I3005" s="2" t="s">
        <v>14</v>
      </c>
    </row>
    <row r="3006" spans="1:9" x14ac:dyDescent="0.35">
      <c r="A3006" s="2" t="s">
        <v>3045</v>
      </c>
      <c r="B3006" s="3">
        <v>45325</v>
      </c>
      <c r="C3006" s="2" t="s">
        <v>16</v>
      </c>
      <c r="D3006" s="2" t="s">
        <v>11</v>
      </c>
      <c r="E3006" s="2" t="s">
        <v>12</v>
      </c>
      <c r="F3006" s="2">
        <v>67.430000000000007</v>
      </c>
      <c r="G3006" s="2">
        <v>9.5399999999999991</v>
      </c>
      <c r="H3006" s="2" t="s">
        <v>19</v>
      </c>
      <c r="I3006" s="2" t="s">
        <v>34</v>
      </c>
    </row>
    <row r="3007" spans="1:9" x14ac:dyDescent="0.35">
      <c r="A3007" s="2" t="s">
        <v>3046</v>
      </c>
      <c r="B3007" s="3">
        <v>45591</v>
      </c>
      <c r="C3007" s="2" t="s">
        <v>25</v>
      </c>
      <c r="D3007" s="2" t="s">
        <v>57</v>
      </c>
      <c r="E3007" s="2" t="s">
        <v>27</v>
      </c>
      <c r="F3007" s="2">
        <v>342.34</v>
      </c>
      <c r="G3007" s="2">
        <v>40.56</v>
      </c>
      <c r="H3007" s="2" t="s">
        <v>19</v>
      </c>
      <c r="I3007" s="2" t="s">
        <v>20</v>
      </c>
    </row>
    <row r="3008" spans="1:9" x14ac:dyDescent="0.35">
      <c r="A3008" s="2" t="s">
        <v>3047</v>
      </c>
      <c r="B3008" s="3">
        <v>44644</v>
      </c>
      <c r="C3008" s="2" t="s">
        <v>16</v>
      </c>
      <c r="D3008" s="2" t="s">
        <v>33</v>
      </c>
      <c r="E3008" s="2" t="s">
        <v>18</v>
      </c>
      <c r="F3008" s="2">
        <v>183.13</v>
      </c>
      <c r="G3008" s="2">
        <v>16.52</v>
      </c>
      <c r="H3008" s="2" t="s">
        <v>13</v>
      </c>
      <c r="I3008" s="2" t="s">
        <v>14</v>
      </c>
    </row>
    <row r="3009" spans="1:9" x14ac:dyDescent="0.35">
      <c r="A3009" s="2" t="s">
        <v>3048</v>
      </c>
      <c r="B3009" s="3">
        <v>45382</v>
      </c>
      <c r="C3009" s="2" t="s">
        <v>10</v>
      </c>
      <c r="D3009" s="2" t="s">
        <v>57</v>
      </c>
      <c r="E3009" s="2" t="s">
        <v>27</v>
      </c>
      <c r="F3009" s="2">
        <v>1586.67</v>
      </c>
      <c r="G3009" s="2">
        <v>420.04</v>
      </c>
      <c r="H3009" s="2" t="s">
        <v>19</v>
      </c>
      <c r="I3009" s="2" t="s">
        <v>34</v>
      </c>
    </row>
    <row r="3010" spans="1:9" x14ac:dyDescent="0.35">
      <c r="A3010" s="2" t="s">
        <v>3049</v>
      </c>
      <c r="B3010" s="3">
        <v>45497</v>
      </c>
      <c r="C3010" s="2" t="s">
        <v>10</v>
      </c>
      <c r="D3010" s="2" t="s">
        <v>11</v>
      </c>
      <c r="E3010" s="2" t="s">
        <v>12</v>
      </c>
      <c r="F3010" s="2">
        <v>1790.54</v>
      </c>
      <c r="G3010" s="2">
        <v>437.44</v>
      </c>
      <c r="H3010" s="2" t="s">
        <v>13</v>
      </c>
      <c r="I3010" s="2" t="s">
        <v>29</v>
      </c>
    </row>
    <row r="3011" spans="1:9" x14ac:dyDescent="0.35">
      <c r="A3011" s="2" t="s">
        <v>3050</v>
      </c>
      <c r="B3011" s="3">
        <v>44786</v>
      </c>
      <c r="C3011" s="2" t="s">
        <v>25</v>
      </c>
      <c r="D3011" s="2" t="s">
        <v>73</v>
      </c>
      <c r="E3011" s="2" t="s">
        <v>27</v>
      </c>
      <c r="F3011" s="2">
        <v>1876.55</v>
      </c>
      <c r="G3011" s="2">
        <v>421.51</v>
      </c>
      <c r="H3011" s="2" t="s">
        <v>19</v>
      </c>
      <c r="I3011" s="2" t="s">
        <v>34</v>
      </c>
    </row>
    <row r="3012" spans="1:9" x14ac:dyDescent="0.35">
      <c r="A3012" s="2" t="s">
        <v>3051</v>
      </c>
      <c r="B3012" s="3">
        <v>45180</v>
      </c>
      <c r="C3012" s="2" t="s">
        <v>22</v>
      </c>
      <c r="D3012" s="2" t="s">
        <v>41</v>
      </c>
      <c r="E3012" s="2" t="s">
        <v>12</v>
      </c>
      <c r="F3012" s="2">
        <v>738.31</v>
      </c>
      <c r="G3012" s="2">
        <v>137.91</v>
      </c>
      <c r="H3012" s="2" t="s">
        <v>19</v>
      </c>
      <c r="I3012" s="2" t="s">
        <v>34</v>
      </c>
    </row>
    <row r="3013" spans="1:9" x14ac:dyDescent="0.35">
      <c r="A3013" s="2" t="s">
        <v>3052</v>
      </c>
      <c r="B3013" s="3">
        <v>44686</v>
      </c>
      <c r="C3013" s="2" t="s">
        <v>16</v>
      </c>
      <c r="D3013" s="2" t="s">
        <v>46</v>
      </c>
      <c r="E3013" s="2" t="s">
        <v>18</v>
      </c>
      <c r="F3013" s="2">
        <v>1710.71</v>
      </c>
      <c r="G3013" s="2">
        <v>415.84</v>
      </c>
      <c r="H3013" s="2" t="s">
        <v>13</v>
      </c>
      <c r="I3013" s="2" t="s">
        <v>20</v>
      </c>
    </row>
    <row r="3014" spans="1:9" x14ac:dyDescent="0.35">
      <c r="A3014" s="2" t="s">
        <v>3053</v>
      </c>
      <c r="B3014" s="3">
        <v>45393</v>
      </c>
      <c r="C3014" s="2" t="s">
        <v>16</v>
      </c>
      <c r="D3014" s="2" t="s">
        <v>46</v>
      </c>
      <c r="E3014" s="2" t="s">
        <v>18</v>
      </c>
      <c r="F3014" s="2">
        <v>394.88</v>
      </c>
      <c r="G3014" s="2">
        <v>58.89</v>
      </c>
      <c r="H3014" s="2" t="s">
        <v>28</v>
      </c>
      <c r="I3014" s="2" t="s">
        <v>29</v>
      </c>
    </row>
    <row r="3015" spans="1:9" x14ac:dyDescent="0.35">
      <c r="A3015" s="2" t="s">
        <v>3054</v>
      </c>
      <c r="B3015" s="3">
        <v>45332</v>
      </c>
      <c r="C3015" s="2" t="s">
        <v>22</v>
      </c>
      <c r="D3015" s="2" t="s">
        <v>17</v>
      </c>
      <c r="E3015" s="2" t="s">
        <v>18</v>
      </c>
      <c r="F3015" s="2">
        <v>1394.19</v>
      </c>
      <c r="G3015" s="2">
        <v>212.95</v>
      </c>
      <c r="H3015" s="2" t="s">
        <v>19</v>
      </c>
      <c r="I3015" s="2" t="s">
        <v>29</v>
      </c>
    </row>
    <row r="3016" spans="1:9" x14ac:dyDescent="0.35">
      <c r="A3016" s="2" t="s">
        <v>3055</v>
      </c>
      <c r="B3016" s="3">
        <v>45422</v>
      </c>
      <c r="C3016" s="2" t="s">
        <v>16</v>
      </c>
      <c r="D3016" s="2" t="s">
        <v>41</v>
      </c>
      <c r="E3016" s="2" t="s">
        <v>12</v>
      </c>
      <c r="F3016" s="2">
        <v>1591.82</v>
      </c>
      <c r="G3016" s="2">
        <v>95.11</v>
      </c>
      <c r="H3016" s="2" t="s">
        <v>19</v>
      </c>
      <c r="I3016" s="2" t="s">
        <v>14</v>
      </c>
    </row>
    <row r="3017" spans="1:9" x14ac:dyDescent="0.35">
      <c r="A3017" s="2" t="s">
        <v>3056</v>
      </c>
      <c r="B3017" s="3">
        <v>45293</v>
      </c>
      <c r="C3017" s="2" t="s">
        <v>16</v>
      </c>
      <c r="D3017" s="2" t="s">
        <v>33</v>
      </c>
      <c r="E3017" s="2" t="s">
        <v>18</v>
      </c>
      <c r="F3017" s="2">
        <v>223.31</v>
      </c>
      <c r="G3017" s="2">
        <v>16.809999999999999</v>
      </c>
      <c r="H3017" s="2" t="s">
        <v>13</v>
      </c>
      <c r="I3017" s="2" t="s">
        <v>14</v>
      </c>
    </row>
    <row r="3018" spans="1:9" x14ac:dyDescent="0.35">
      <c r="A3018" s="2" t="s">
        <v>3057</v>
      </c>
      <c r="B3018" s="3">
        <v>44750</v>
      </c>
      <c r="C3018" s="2" t="s">
        <v>16</v>
      </c>
      <c r="D3018" s="2" t="s">
        <v>95</v>
      </c>
      <c r="E3018" s="2" t="s">
        <v>18</v>
      </c>
      <c r="F3018" s="2">
        <v>923.42</v>
      </c>
      <c r="G3018" s="2">
        <v>263.66000000000003</v>
      </c>
      <c r="H3018" s="2" t="s">
        <v>28</v>
      </c>
      <c r="I3018" s="2" t="s">
        <v>34</v>
      </c>
    </row>
    <row r="3019" spans="1:9" x14ac:dyDescent="0.35">
      <c r="A3019" s="2" t="s">
        <v>3058</v>
      </c>
      <c r="B3019" s="3">
        <v>45263</v>
      </c>
      <c r="C3019" s="2" t="s">
        <v>22</v>
      </c>
      <c r="D3019" s="2" t="s">
        <v>95</v>
      </c>
      <c r="E3019" s="2" t="s">
        <v>18</v>
      </c>
      <c r="F3019" s="2">
        <v>1756.11</v>
      </c>
      <c r="G3019" s="2">
        <v>315.66000000000003</v>
      </c>
      <c r="H3019" s="2" t="s">
        <v>28</v>
      </c>
      <c r="I3019" s="2" t="s">
        <v>34</v>
      </c>
    </row>
    <row r="3020" spans="1:9" x14ac:dyDescent="0.35">
      <c r="A3020" s="2" t="s">
        <v>3059</v>
      </c>
      <c r="B3020" s="3">
        <v>44632</v>
      </c>
      <c r="C3020" s="2" t="s">
        <v>22</v>
      </c>
      <c r="D3020" s="2" t="s">
        <v>26</v>
      </c>
      <c r="E3020" s="2" t="s">
        <v>27</v>
      </c>
      <c r="F3020" s="2">
        <v>1231.27</v>
      </c>
      <c r="G3020" s="2">
        <v>319.26</v>
      </c>
      <c r="H3020" s="2" t="s">
        <v>13</v>
      </c>
      <c r="I3020" s="2" t="s">
        <v>20</v>
      </c>
    </row>
    <row r="3021" spans="1:9" x14ac:dyDescent="0.35">
      <c r="A3021" s="2" t="s">
        <v>3060</v>
      </c>
      <c r="B3021" s="3">
        <v>44895</v>
      </c>
      <c r="C3021" s="2" t="s">
        <v>25</v>
      </c>
      <c r="D3021" s="2" t="s">
        <v>31</v>
      </c>
      <c r="E3021" s="2" t="s">
        <v>12</v>
      </c>
      <c r="F3021" s="2">
        <v>132.13999999999999</v>
      </c>
      <c r="G3021" s="2">
        <v>34.340000000000003</v>
      </c>
      <c r="H3021" s="2" t="s">
        <v>28</v>
      </c>
      <c r="I3021" s="2" t="s">
        <v>29</v>
      </c>
    </row>
    <row r="3022" spans="1:9" x14ac:dyDescent="0.35">
      <c r="A3022" s="2" t="s">
        <v>3061</v>
      </c>
      <c r="B3022" s="3">
        <v>45485</v>
      </c>
      <c r="C3022" s="2" t="s">
        <v>22</v>
      </c>
      <c r="D3022" s="2" t="s">
        <v>31</v>
      </c>
      <c r="E3022" s="2" t="s">
        <v>12</v>
      </c>
      <c r="F3022" s="2">
        <v>849.27</v>
      </c>
      <c r="G3022" s="2">
        <v>157.24</v>
      </c>
      <c r="H3022" s="2" t="s">
        <v>19</v>
      </c>
      <c r="I3022" s="2" t="s">
        <v>29</v>
      </c>
    </row>
    <row r="3023" spans="1:9" x14ac:dyDescent="0.35">
      <c r="A3023" s="2" t="s">
        <v>3062</v>
      </c>
      <c r="B3023" s="3">
        <v>45166</v>
      </c>
      <c r="C3023" s="2" t="s">
        <v>25</v>
      </c>
      <c r="D3023" s="2" t="s">
        <v>11</v>
      </c>
      <c r="E3023" s="2" t="s">
        <v>12</v>
      </c>
      <c r="F3023" s="2">
        <v>1199.52</v>
      </c>
      <c r="G3023" s="2">
        <v>181.07</v>
      </c>
      <c r="H3023" s="2" t="s">
        <v>28</v>
      </c>
      <c r="I3023" s="2" t="s">
        <v>14</v>
      </c>
    </row>
    <row r="3024" spans="1:9" x14ac:dyDescent="0.35">
      <c r="A3024" s="2" t="s">
        <v>3063</v>
      </c>
      <c r="B3024" s="3">
        <v>44699</v>
      </c>
      <c r="C3024" s="2" t="s">
        <v>22</v>
      </c>
      <c r="D3024" s="2" t="s">
        <v>46</v>
      </c>
      <c r="E3024" s="2" t="s">
        <v>18</v>
      </c>
      <c r="F3024" s="2">
        <v>1411.07</v>
      </c>
      <c r="G3024" s="2">
        <v>154.79</v>
      </c>
      <c r="H3024" s="2" t="s">
        <v>19</v>
      </c>
      <c r="I3024" s="2" t="s">
        <v>20</v>
      </c>
    </row>
    <row r="3025" spans="1:9" x14ac:dyDescent="0.35">
      <c r="A3025" s="2" t="s">
        <v>3064</v>
      </c>
      <c r="B3025" s="3">
        <v>45027</v>
      </c>
      <c r="C3025" s="2" t="s">
        <v>16</v>
      </c>
      <c r="D3025" s="2" t="s">
        <v>33</v>
      </c>
      <c r="E3025" s="2" t="s">
        <v>18</v>
      </c>
      <c r="F3025" s="2">
        <v>1831.26</v>
      </c>
      <c r="G3025" s="2">
        <v>544.55999999999995</v>
      </c>
      <c r="H3025" s="2" t="s">
        <v>19</v>
      </c>
      <c r="I3025" s="2" t="s">
        <v>34</v>
      </c>
    </row>
    <row r="3026" spans="1:9" x14ac:dyDescent="0.35">
      <c r="A3026" s="2" t="s">
        <v>3065</v>
      </c>
      <c r="B3026" s="3">
        <v>45210</v>
      </c>
      <c r="C3026" s="2" t="s">
        <v>16</v>
      </c>
      <c r="D3026" s="2" t="s">
        <v>41</v>
      </c>
      <c r="E3026" s="2" t="s">
        <v>12</v>
      </c>
      <c r="F3026" s="2">
        <v>240.88</v>
      </c>
      <c r="G3026" s="2">
        <v>52.43</v>
      </c>
      <c r="H3026" s="2" t="s">
        <v>28</v>
      </c>
      <c r="I3026" s="2" t="s">
        <v>34</v>
      </c>
    </row>
    <row r="3027" spans="1:9" x14ac:dyDescent="0.35">
      <c r="A3027" s="2" t="s">
        <v>3066</v>
      </c>
      <c r="B3027" s="3">
        <v>45021</v>
      </c>
      <c r="C3027" s="2" t="s">
        <v>16</v>
      </c>
      <c r="D3027" s="2" t="s">
        <v>97</v>
      </c>
      <c r="E3027" s="2" t="s">
        <v>27</v>
      </c>
      <c r="F3027" s="2">
        <v>1718.56</v>
      </c>
      <c r="G3027" s="2">
        <v>334.85</v>
      </c>
      <c r="H3027" s="2" t="s">
        <v>28</v>
      </c>
      <c r="I3027" s="2" t="s">
        <v>29</v>
      </c>
    </row>
    <row r="3028" spans="1:9" x14ac:dyDescent="0.35">
      <c r="A3028" s="2" t="s">
        <v>3067</v>
      </c>
      <c r="B3028" s="3">
        <v>45341</v>
      </c>
      <c r="C3028" s="2" t="s">
        <v>10</v>
      </c>
      <c r="D3028" s="2" t="s">
        <v>73</v>
      </c>
      <c r="E3028" s="2" t="s">
        <v>27</v>
      </c>
      <c r="F3028" s="2">
        <v>945.45</v>
      </c>
      <c r="G3028" s="2">
        <v>244.73</v>
      </c>
      <c r="H3028" s="2" t="s">
        <v>13</v>
      </c>
      <c r="I3028" s="2" t="s">
        <v>14</v>
      </c>
    </row>
    <row r="3029" spans="1:9" x14ac:dyDescent="0.35">
      <c r="A3029" s="2" t="s">
        <v>3068</v>
      </c>
      <c r="B3029" s="3">
        <v>45508</v>
      </c>
      <c r="C3029" s="2" t="s">
        <v>25</v>
      </c>
      <c r="D3029" s="2" t="s">
        <v>31</v>
      </c>
      <c r="E3029" s="2" t="s">
        <v>12</v>
      </c>
      <c r="F3029" s="2">
        <v>140.05000000000001</v>
      </c>
      <c r="G3029" s="2">
        <v>30.74</v>
      </c>
      <c r="H3029" s="2" t="s">
        <v>19</v>
      </c>
      <c r="I3029" s="2" t="s">
        <v>34</v>
      </c>
    </row>
    <row r="3030" spans="1:9" x14ac:dyDescent="0.35">
      <c r="A3030" s="2" t="s">
        <v>3069</v>
      </c>
      <c r="B3030" s="3">
        <v>45195</v>
      </c>
      <c r="C3030" s="2" t="s">
        <v>10</v>
      </c>
      <c r="D3030" s="2" t="s">
        <v>33</v>
      </c>
      <c r="E3030" s="2" t="s">
        <v>18</v>
      </c>
      <c r="F3030" s="2">
        <v>1687.01</v>
      </c>
      <c r="G3030" s="2">
        <v>442.15</v>
      </c>
      <c r="H3030" s="2" t="s">
        <v>28</v>
      </c>
      <c r="I3030" s="2" t="s">
        <v>20</v>
      </c>
    </row>
    <row r="3031" spans="1:9" x14ac:dyDescent="0.35">
      <c r="A3031" s="2" t="s">
        <v>3070</v>
      </c>
      <c r="B3031" s="3">
        <v>44941</v>
      </c>
      <c r="C3031" s="2" t="s">
        <v>10</v>
      </c>
      <c r="D3031" s="2" t="s">
        <v>97</v>
      </c>
      <c r="E3031" s="2" t="s">
        <v>27</v>
      </c>
      <c r="F3031" s="2">
        <v>534.29999999999995</v>
      </c>
      <c r="G3031" s="2">
        <v>111.36</v>
      </c>
      <c r="H3031" s="2" t="s">
        <v>28</v>
      </c>
      <c r="I3031" s="2" t="s">
        <v>34</v>
      </c>
    </row>
    <row r="3032" spans="1:9" x14ac:dyDescent="0.35">
      <c r="A3032" s="2" t="s">
        <v>3071</v>
      </c>
      <c r="B3032" s="3">
        <v>44977</v>
      </c>
      <c r="C3032" s="2" t="s">
        <v>25</v>
      </c>
      <c r="D3032" s="2" t="s">
        <v>26</v>
      </c>
      <c r="E3032" s="2" t="s">
        <v>27</v>
      </c>
      <c r="F3032" s="2">
        <v>789.53</v>
      </c>
      <c r="G3032" s="2">
        <v>99.89</v>
      </c>
      <c r="H3032" s="2" t="s">
        <v>13</v>
      </c>
      <c r="I3032" s="2" t="s">
        <v>20</v>
      </c>
    </row>
    <row r="3033" spans="1:9" x14ac:dyDescent="0.35">
      <c r="A3033" s="2" t="s">
        <v>3072</v>
      </c>
      <c r="B3033" s="3">
        <v>45124</v>
      </c>
      <c r="C3033" s="2" t="s">
        <v>25</v>
      </c>
      <c r="D3033" s="2" t="s">
        <v>23</v>
      </c>
      <c r="E3033" s="2" t="s">
        <v>18</v>
      </c>
      <c r="F3033" s="2">
        <v>701.66</v>
      </c>
      <c r="G3033" s="2">
        <v>134.77000000000001</v>
      </c>
      <c r="H3033" s="2" t="s">
        <v>28</v>
      </c>
      <c r="I3033" s="2" t="s">
        <v>34</v>
      </c>
    </row>
    <row r="3034" spans="1:9" x14ac:dyDescent="0.35">
      <c r="A3034" s="2" t="s">
        <v>3073</v>
      </c>
      <c r="B3034" s="3">
        <v>45465</v>
      </c>
      <c r="C3034" s="2" t="s">
        <v>16</v>
      </c>
      <c r="D3034" s="2" t="s">
        <v>97</v>
      </c>
      <c r="E3034" s="2" t="s">
        <v>27</v>
      </c>
      <c r="F3034" s="2">
        <v>1292.32</v>
      </c>
      <c r="G3034" s="2">
        <v>185.59</v>
      </c>
      <c r="H3034" s="2" t="s">
        <v>28</v>
      </c>
      <c r="I3034" s="2" t="s">
        <v>20</v>
      </c>
    </row>
    <row r="3035" spans="1:9" x14ac:dyDescent="0.35">
      <c r="A3035" s="2" t="s">
        <v>3074</v>
      </c>
      <c r="B3035" s="3">
        <v>45041</v>
      </c>
      <c r="C3035" s="2" t="s">
        <v>25</v>
      </c>
      <c r="D3035" s="2" t="s">
        <v>31</v>
      </c>
      <c r="E3035" s="2" t="s">
        <v>12</v>
      </c>
      <c r="F3035" s="2">
        <v>1898.78</v>
      </c>
      <c r="G3035" s="2">
        <v>119.03</v>
      </c>
      <c r="H3035" s="2" t="s">
        <v>28</v>
      </c>
      <c r="I3035" s="2" t="s">
        <v>34</v>
      </c>
    </row>
    <row r="3036" spans="1:9" x14ac:dyDescent="0.35">
      <c r="A3036" s="2" t="s">
        <v>3075</v>
      </c>
      <c r="B3036" s="3">
        <v>44909</v>
      </c>
      <c r="C3036" s="2" t="s">
        <v>25</v>
      </c>
      <c r="D3036" s="2" t="s">
        <v>95</v>
      </c>
      <c r="E3036" s="2" t="s">
        <v>18</v>
      </c>
      <c r="F3036" s="2">
        <v>1597.12</v>
      </c>
      <c r="G3036" s="2">
        <v>122.5</v>
      </c>
      <c r="H3036" s="2" t="s">
        <v>13</v>
      </c>
      <c r="I3036" s="2" t="s">
        <v>20</v>
      </c>
    </row>
    <row r="3037" spans="1:9" x14ac:dyDescent="0.35">
      <c r="A3037" s="2" t="s">
        <v>3076</v>
      </c>
      <c r="B3037" s="3">
        <v>45107</v>
      </c>
      <c r="C3037" s="2" t="s">
        <v>25</v>
      </c>
      <c r="D3037" s="2" t="s">
        <v>73</v>
      </c>
      <c r="E3037" s="2" t="s">
        <v>27</v>
      </c>
      <c r="F3037" s="2">
        <v>199.88</v>
      </c>
      <c r="G3037" s="2">
        <v>43.53</v>
      </c>
      <c r="H3037" s="2" t="s">
        <v>19</v>
      </c>
      <c r="I3037" s="2" t="s">
        <v>29</v>
      </c>
    </row>
    <row r="3038" spans="1:9" x14ac:dyDescent="0.35">
      <c r="A3038" s="2" t="s">
        <v>3077</v>
      </c>
      <c r="B3038" s="3">
        <v>45435</v>
      </c>
      <c r="C3038" s="2" t="s">
        <v>16</v>
      </c>
      <c r="D3038" s="2" t="s">
        <v>33</v>
      </c>
      <c r="E3038" s="2" t="s">
        <v>18</v>
      </c>
      <c r="F3038" s="2">
        <v>1935.32</v>
      </c>
      <c r="G3038" s="2">
        <v>439.53</v>
      </c>
      <c r="H3038" s="2" t="s">
        <v>28</v>
      </c>
      <c r="I3038" s="2" t="s">
        <v>34</v>
      </c>
    </row>
    <row r="3039" spans="1:9" x14ac:dyDescent="0.35">
      <c r="A3039" s="2" t="s">
        <v>3078</v>
      </c>
      <c r="B3039" s="3">
        <v>44772</v>
      </c>
      <c r="C3039" s="2" t="s">
        <v>10</v>
      </c>
      <c r="D3039" s="2" t="s">
        <v>95</v>
      </c>
      <c r="E3039" s="2" t="s">
        <v>18</v>
      </c>
      <c r="F3039" s="2">
        <v>853.81</v>
      </c>
      <c r="G3039" s="2">
        <v>206.21</v>
      </c>
      <c r="H3039" s="2" t="s">
        <v>19</v>
      </c>
      <c r="I3039" s="2" t="s">
        <v>20</v>
      </c>
    </row>
    <row r="3040" spans="1:9" x14ac:dyDescent="0.35">
      <c r="A3040" s="2" t="s">
        <v>3079</v>
      </c>
      <c r="B3040" s="3">
        <v>44888</v>
      </c>
      <c r="C3040" s="2" t="s">
        <v>10</v>
      </c>
      <c r="D3040" s="2" t="s">
        <v>11</v>
      </c>
      <c r="E3040" s="2" t="s">
        <v>12</v>
      </c>
      <c r="F3040" s="2">
        <v>1888.77</v>
      </c>
      <c r="G3040" s="2">
        <v>531.09</v>
      </c>
      <c r="H3040" s="2" t="s">
        <v>13</v>
      </c>
      <c r="I3040" s="2" t="s">
        <v>14</v>
      </c>
    </row>
    <row r="3041" spans="1:9" x14ac:dyDescent="0.35">
      <c r="A3041" s="2" t="s">
        <v>3080</v>
      </c>
      <c r="B3041" s="3">
        <v>45383</v>
      </c>
      <c r="C3041" s="2" t="s">
        <v>16</v>
      </c>
      <c r="D3041" s="2" t="s">
        <v>31</v>
      </c>
      <c r="E3041" s="2" t="s">
        <v>12</v>
      </c>
      <c r="F3041" s="2">
        <v>157.96</v>
      </c>
      <c r="G3041" s="2">
        <v>8.07</v>
      </c>
      <c r="H3041" s="2" t="s">
        <v>13</v>
      </c>
      <c r="I3041" s="2" t="s">
        <v>29</v>
      </c>
    </row>
    <row r="3042" spans="1:9" x14ac:dyDescent="0.35">
      <c r="A3042" s="2" t="s">
        <v>3081</v>
      </c>
      <c r="B3042" s="3">
        <v>44631</v>
      </c>
      <c r="C3042" s="2" t="s">
        <v>25</v>
      </c>
      <c r="D3042" s="2" t="s">
        <v>46</v>
      </c>
      <c r="E3042" s="2" t="s">
        <v>18</v>
      </c>
      <c r="F3042" s="2">
        <v>645.32000000000005</v>
      </c>
      <c r="G3042" s="2">
        <v>86.52</v>
      </c>
      <c r="H3042" s="2" t="s">
        <v>13</v>
      </c>
      <c r="I3042" s="2" t="s">
        <v>20</v>
      </c>
    </row>
    <row r="3043" spans="1:9" x14ac:dyDescent="0.35">
      <c r="A3043" s="2" t="s">
        <v>3082</v>
      </c>
      <c r="B3043" s="3">
        <v>44605</v>
      </c>
      <c r="C3043" s="2" t="s">
        <v>25</v>
      </c>
      <c r="D3043" s="2" t="s">
        <v>62</v>
      </c>
      <c r="E3043" s="2" t="s">
        <v>27</v>
      </c>
      <c r="F3043" s="2">
        <v>1650.9</v>
      </c>
      <c r="G3043" s="2">
        <v>229.23</v>
      </c>
      <c r="H3043" s="2" t="s">
        <v>19</v>
      </c>
      <c r="I3043" s="2" t="s">
        <v>29</v>
      </c>
    </row>
    <row r="3044" spans="1:9" x14ac:dyDescent="0.35">
      <c r="A3044" s="2" t="s">
        <v>3083</v>
      </c>
      <c r="B3044" s="3">
        <v>45168</v>
      </c>
      <c r="C3044" s="2" t="s">
        <v>22</v>
      </c>
      <c r="D3044" s="2" t="s">
        <v>50</v>
      </c>
      <c r="E3044" s="2" t="s">
        <v>12</v>
      </c>
      <c r="F3044" s="2">
        <v>152.16</v>
      </c>
      <c r="G3044" s="2">
        <v>11.47</v>
      </c>
      <c r="H3044" s="2" t="s">
        <v>13</v>
      </c>
      <c r="I3044" s="2" t="s">
        <v>29</v>
      </c>
    </row>
    <row r="3045" spans="1:9" x14ac:dyDescent="0.35">
      <c r="A3045" s="2" t="s">
        <v>3084</v>
      </c>
      <c r="B3045" s="3">
        <v>45041</v>
      </c>
      <c r="C3045" s="2" t="s">
        <v>10</v>
      </c>
      <c r="D3045" s="2" t="s">
        <v>23</v>
      </c>
      <c r="E3045" s="2" t="s">
        <v>18</v>
      </c>
      <c r="F3045" s="2">
        <v>689.53</v>
      </c>
      <c r="G3045" s="2">
        <v>189.12</v>
      </c>
      <c r="H3045" s="2" t="s">
        <v>28</v>
      </c>
      <c r="I3045" s="2" t="s">
        <v>14</v>
      </c>
    </row>
    <row r="3046" spans="1:9" x14ac:dyDescent="0.35">
      <c r="A3046" s="2" t="s">
        <v>3085</v>
      </c>
      <c r="B3046" s="3">
        <v>45552</v>
      </c>
      <c r="C3046" s="2" t="s">
        <v>22</v>
      </c>
      <c r="D3046" s="2" t="s">
        <v>23</v>
      </c>
      <c r="E3046" s="2" t="s">
        <v>18</v>
      </c>
      <c r="F3046" s="2">
        <v>1270.46</v>
      </c>
      <c r="G3046" s="2">
        <v>137.04</v>
      </c>
      <c r="H3046" s="2" t="s">
        <v>19</v>
      </c>
      <c r="I3046" s="2" t="s">
        <v>34</v>
      </c>
    </row>
    <row r="3047" spans="1:9" x14ac:dyDescent="0.35">
      <c r="A3047" s="2" t="s">
        <v>3086</v>
      </c>
      <c r="B3047" s="3">
        <v>44766</v>
      </c>
      <c r="C3047" s="2" t="s">
        <v>22</v>
      </c>
      <c r="D3047" s="2" t="s">
        <v>95</v>
      </c>
      <c r="E3047" s="2" t="s">
        <v>18</v>
      </c>
      <c r="F3047" s="2">
        <v>1582.01</v>
      </c>
      <c r="G3047" s="2">
        <v>471.99</v>
      </c>
      <c r="H3047" s="2" t="s">
        <v>19</v>
      </c>
      <c r="I3047" s="2" t="s">
        <v>34</v>
      </c>
    </row>
    <row r="3048" spans="1:9" x14ac:dyDescent="0.35">
      <c r="A3048" s="2" t="s">
        <v>3087</v>
      </c>
      <c r="B3048" s="3">
        <v>44587</v>
      </c>
      <c r="C3048" s="2" t="s">
        <v>10</v>
      </c>
      <c r="D3048" s="2" t="s">
        <v>73</v>
      </c>
      <c r="E3048" s="2" t="s">
        <v>27</v>
      </c>
      <c r="F3048" s="2">
        <v>329.42</v>
      </c>
      <c r="G3048" s="2">
        <v>21.11</v>
      </c>
      <c r="H3048" s="2" t="s">
        <v>28</v>
      </c>
      <c r="I3048" s="2" t="s">
        <v>20</v>
      </c>
    </row>
    <row r="3049" spans="1:9" x14ac:dyDescent="0.35">
      <c r="A3049" s="2" t="s">
        <v>3088</v>
      </c>
      <c r="B3049" s="3">
        <v>45603</v>
      </c>
      <c r="C3049" s="2" t="s">
        <v>10</v>
      </c>
      <c r="D3049" s="2" t="s">
        <v>26</v>
      </c>
      <c r="E3049" s="2" t="s">
        <v>27</v>
      </c>
      <c r="F3049" s="2">
        <v>1122.26</v>
      </c>
      <c r="G3049" s="2">
        <v>113.95</v>
      </c>
      <c r="H3049" s="2" t="s">
        <v>28</v>
      </c>
      <c r="I3049" s="2" t="s">
        <v>20</v>
      </c>
    </row>
    <row r="3050" spans="1:9" x14ac:dyDescent="0.35">
      <c r="A3050" s="2" t="s">
        <v>3089</v>
      </c>
      <c r="B3050" s="3">
        <v>45311</v>
      </c>
      <c r="C3050" s="2" t="s">
        <v>22</v>
      </c>
      <c r="D3050" s="2" t="s">
        <v>95</v>
      </c>
      <c r="E3050" s="2" t="s">
        <v>18</v>
      </c>
      <c r="F3050" s="2">
        <v>621.69000000000005</v>
      </c>
      <c r="G3050" s="2">
        <v>112.83</v>
      </c>
      <c r="H3050" s="2" t="s">
        <v>19</v>
      </c>
      <c r="I3050" s="2" t="s">
        <v>20</v>
      </c>
    </row>
    <row r="3051" spans="1:9" x14ac:dyDescent="0.35">
      <c r="A3051" s="2" t="s">
        <v>3090</v>
      </c>
      <c r="B3051" s="3">
        <v>45278</v>
      </c>
      <c r="C3051" s="2" t="s">
        <v>16</v>
      </c>
      <c r="D3051" s="2" t="s">
        <v>38</v>
      </c>
      <c r="E3051" s="2" t="s">
        <v>12</v>
      </c>
      <c r="F3051" s="2">
        <v>143.54</v>
      </c>
      <c r="G3051" s="2">
        <v>40.14</v>
      </c>
      <c r="H3051" s="2" t="s">
        <v>28</v>
      </c>
      <c r="I3051" s="2" t="s">
        <v>14</v>
      </c>
    </row>
    <row r="3052" spans="1:9" x14ac:dyDescent="0.35">
      <c r="A3052" s="2" t="s">
        <v>3091</v>
      </c>
      <c r="B3052" s="3">
        <v>45174</v>
      </c>
      <c r="C3052" s="2" t="s">
        <v>10</v>
      </c>
      <c r="D3052" s="2" t="s">
        <v>38</v>
      </c>
      <c r="E3052" s="2" t="s">
        <v>12</v>
      </c>
      <c r="F3052" s="2">
        <v>657.95</v>
      </c>
      <c r="G3052" s="2">
        <v>176.84</v>
      </c>
      <c r="H3052" s="2" t="s">
        <v>13</v>
      </c>
      <c r="I3052" s="2" t="s">
        <v>14</v>
      </c>
    </row>
    <row r="3053" spans="1:9" x14ac:dyDescent="0.35">
      <c r="A3053" s="2" t="s">
        <v>3093</v>
      </c>
      <c r="B3053" s="3">
        <v>44571</v>
      </c>
      <c r="C3053" s="2" t="s">
        <v>16</v>
      </c>
      <c r="D3053" s="2" t="s">
        <v>46</v>
      </c>
      <c r="E3053" s="2" t="s">
        <v>18</v>
      </c>
      <c r="F3053" s="2">
        <v>1828.33</v>
      </c>
      <c r="G3053" s="2">
        <v>328.59</v>
      </c>
      <c r="H3053" s="2" t="s">
        <v>28</v>
      </c>
      <c r="I3053" s="2" t="s">
        <v>20</v>
      </c>
    </row>
    <row r="3054" spans="1:9" x14ac:dyDescent="0.35">
      <c r="A3054" s="2" t="s">
        <v>3094</v>
      </c>
      <c r="B3054" s="3">
        <v>44627</v>
      </c>
      <c r="C3054" s="2" t="s">
        <v>22</v>
      </c>
      <c r="D3054" s="2" t="s">
        <v>57</v>
      </c>
      <c r="E3054" s="2" t="s">
        <v>27</v>
      </c>
      <c r="F3054" s="2">
        <v>1102.7</v>
      </c>
      <c r="G3054" s="2">
        <v>185.09</v>
      </c>
      <c r="H3054" s="2" t="s">
        <v>19</v>
      </c>
      <c r="I3054" s="2" t="s">
        <v>14</v>
      </c>
    </row>
    <row r="3055" spans="1:9" x14ac:dyDescent="0.35">
      <c r="A3055" s="2" t="s">
        <v>3095</v>
      </c>
      <c r="B3055" s="3">
        <v>45508</v>
      </c>
      <c r="C3055" s="2" t="s">
        <v>25</v>
      </c>
      <c r="D3055" s="2" t="s">
        <v>11</v>
      </c>
      <c r="E3055" s="2" t="s">
        <v>12</v>
      </c>
      <c r="F3055" s="2">
        <v>181.72</v>
      </c>
      <c r="G3055" s="2">
        <v>12.72</v>
      </c>
      <c r="H3055" s="2" t="s">
        <v>19</v>
      </c>
      <c r="I3055" s="2" t="s">
        <v>14</v>
      </c>
    </row>
    <row r="3056" spans="1:9" x14ac:dyDescent="0.35">
      <c r="A3056" s="2" t="s">
        <v>3096</v>
      </c>
      <c r="B3056" s="3">
        <v>45208</v>
      </c>
      <c r="C3056" s="2" t="s">
        <v>10</v>
      </c>
      <c r="D3056" s="2" t="s">
        <v>41</v>
      </c>
      <c r="E3056" s="2" t="s">
        <v>12</v>
      </c>
      <c r="F3056" s="2">
        <v>460.93</v>
      </c>
      <c r="G3056" s="2">
        <v>52.3</v>
      </c>
      <c r="H3056" s="2" t="s">
        <v>28</v>
      </c>
      <c r="I3056" s="2" t="s">
        <v>29</v>
      </c>
    </row>
    <row r="3057" spans="1:9" x14ac:dyDescent="0.35">
      <c r="A3057" s="2" t="s">
        <v>3097</v>
      </c>
      <c r="B3057" s="3">
        <v>45002</v>
      </c>
      <c r="C3057" s="2" t="s">
        <v>10</v>
      </c>
      <c r="D3057" s="2" t="s">
        <v>46</v>
      </c>
      <c r="E3057" s="2" t="s">
        <v>18</v>
      </c>
      <c r="F3057" s="2">
        <v>580.70000000000005</v>
      </c>
      <c r="G3057" s="2">
        <v>95.47</v>
      </c>
      <c r="H3057" s="2" t="s">
        <v>19</v>
      </c>
      <c r="I3057" s="2" t="s">
        <v>29</v>
      </c>
    </row>
    <row r="3058" spans="1:9" x14ac:dyDescent="0.35">
      <c r="A3058" s="2" t="s">
        <v>3098</v>
      </c>
      <c r="B3058" s="3">
        <v>45565</v>
      </c>
      <c r="C3058" s="2" t="s">
        <v>16</v>
      </c>
      <c r="D3058" s="2" t="s">
        <v>33</v>
      </c>
      <c r="E3058" s="2" t="s">
        <v>18</v>
      </c>
      <c r="F3058" s="2">
        <v>1368.71</v>
      </c>
      <c r="G3058" s="2">
        <v>245.11</v>
      </c>
      <c r="H3058" s="2" t="s">
        <v>28</v>
      </c>
      <c r="I3058" s="2" t="s">
        <v>14</v>
      </c>
    </row>
    <row r="3059" spans="1:9" x14ac:dyDescent="0.35">
      <c r="A3059" s="2" t="s">
        <v>3099</v>
      </c>
      <c r="B3059" s="3">
        <v>45329</v>
      </c>
      <c r="C3059" s="2" t="s">
        <v>25</v>
      </c>
      <c r="D3059" s="2" t="s">
        <v>11</v>
      </c>
      <c r="E3059" s="2" t="s">
        <v>12</v>
      </c>
      <c r="F3059" s="2">
        <v>456.29</v>
      </c>
      <c r="G3059" s="2">
        <v>47.81</v>
      </c>
      <c r="H3059" s="2" t="s">
        <v>19</v>
      </c>
      <c r="I3059" s="2" t="s">
        <v>14</v>
      </c>
    </row>
    <row r="3060" spans="1:9" x14ac:dyDescent="0.35">
      <c r="A3060" s="2" t="s">
        <v>3100</v>
      </c>
      <c r="B3060" s="3">
        <v>45312</v>
      </c>
      <c r="C3060" s="2" t="s">
        <v>22</v>
      </c>
      <c r="D3060" s="2" t="s">
        <v>46</v>
      </c>
      <c r="E3060" s="2" t="s">
        <v>18</v>
      </c>
      <c r="F3060" s="2">
        <v>1724.21</v>
      </c>
      <c r="G3060" s="2">
        <v>89.47</v>
      </c>
      <c r="H3060" s="2" t="s">
        <v>13</v>
      </c>
      <c r="I3060" s="2" t="s">
        <v>20</v>
      </c>
    </row>
    <row r="3061" spans="1:9" x14ac:dyDescent="0.35">
      <c r="A3061" s="2" t="s">
        <v>3101</v>
      </c>
      <c r="B3061" s="3">
        <v>44961</v>
      </c>
      <c r="C3061" s="2" t="s">
        <v>22</v>
      </c>
      <c r="D3061" s="2" t="s">
        <v>50</v>
      </c>
      <c r="E3061" s="2" t="s">
        <v>12</v>
      </c>
      <c r="F3061" s="2">
        <v>425.07</v>
      </c>
      <c r="G3061" s="2">
        <v>105.99</v>
      </c>
      <c r="H3061" s="2" t="s">
        <v>19</v>
      </c>
      <c r="I3061" s="2" t="s">
        <v>20</v>
      </c>
    </row>
    <row r="3062" spans="1:9" x14ac:dyDescent="0.35">
      <c r="A3062" s="2" t="s">
        <v>3102</v>
      </c>
      <c r="B3062" s="3">
        <v>44707</v>
      </c>
      <c r="C3062" s="2" t="s">
        <v>10</v>
      </c>
      <c r="D3062" s="2" t="s">
        <v>41</v>
      </c>
      <c r="E3062" s="2" t="s">
        <v>12</v>
      </c>
      <c r="F3062" s="2">
        <v>510.32</v>
      </c>
      <c r="G3062" s="2">
        <v>91.44</v>
      </c>
      <c r="H3062" s="2" t="s">
        <v>19</v>
      </c>
      <c r="I3062" s="2" t="s">
        <v>34</v>
      </c>
    </row>
    <row r="3063" spans="1:9" x14ac:dyDescent="0.35">
      <c r="A3063" s="2" t="s">
        <v>3103</v>
      </c>
      <c r="B3063" s="3">
        <v>45490</v>
      </c>
      <c r="C3063" s="2" t="s">
        <v>22</v>
      </c>
      <c r="D3063" s="2" t="s">
        <v>41</v>
      </c>
      <c r="E3063" s="2" t="s">
        <v>12</v>
      </c>
      <c r="F3063" s="2">
        <v>455.15</v>
      </c>
      <c r="G3063" s="2">
        <v>50.64</v>
      </c>
      <c r="H3063" s="2" t="s">
        <v>28</v>
      </c>
      <c r="I3063" s="2" t="s">
        <v>14</v>
      </c>
    </row>
    <row r="3064" spans="1:9" x14ac:dyDescent="0.35">
      <c r="A3064" s="2" t="s">
        <v>3104</v>
      </c>
      <c r="B3064" s="3">
        <v>45516</v>
      </c>
      <c r="C3064" s="2" t="s">
        <v>10</v>
      </c>
      <c r="D3064" s="2" t="s">
        <v>11</v>
      </c>
      <c r="E3064" s="2" t="s">
        <v>12</v>
      </c>
      <c r="F3064" s="2">
        <v>1712.96</v>
      </c>
      <c r="G3064" s="2">
        <v>228.98</v>
      </c>
      <c r="H3064" s="2" t="s">
        <v>19</v>
      </c>
      <c r="I3064" s="2" t="s">
        <v>14</v>
      </c>
    </row>
    <row r="3065" spans="1:9" x14ac:dyDescent="0.35">
      <c r="A3065" s="2" t="s">
        <v>3105</v>
      </c>
      <c r="B3065" s="3">
        <v>45245</v>
      </c>
      <c r="C3065" s="2" t="s">
        <v>22</v>
      </c>
      <c r="D3065" s="2" t="s">
        <v>26</v>
      </c>
      <c r="E3065" s="2" t="s">
        <v>27</v>
      </c>
      <c r="F3065" s="2">
        <v>1934.49</v>
      </c>
      <c r="G3065" s="2">
        <v>133.54</v>
      </c>
      <c r="H3065" s="2" t="s">
        <v>19</v>
      </c>
      <c r="I3065" s="2" t="s">
        <v>34</v>
      </c>
    </row>
    <row r="3066" spans="1:9" x14ac:dyDescent="0.35">
      <c r="A3066" s="2" t="s">
        <v>3106</v>
      </c>
      <c r="B3066" s="3">
        <v>45539</v>
      </c>
      <c r="C3066" s="2" t="s">
        <v>25</v>
      </c>
      <c r="D3066" s="2" t="s">
        <v>41</v>
      </c>
      <c r="E3066" s="2" t="s">
        <v>12</v>
      </c>
      <c r="F3066" s="2">
        <v>644.6</v>
      </c>
      <c r="G3066" s="2">
        <v>138.12</v>
      </c>
      <c r="H3066" s="2" t="s">
        <v>13</v>
      </c>
      <c r="I3066" s="2" t="s">
        <v>34</v>
      </c>
    </row>
    <row r="3067" spans="1:9" x14ac:dyDescent="0.35">
      <c r="A3067" s="2" t="s">
        <v>3107</v>
      </c>
      <c r="B3067" s="3">
        <v>45626</v>
      </c>
      <c r="C3067" s="2" t="s">
        <v>16</v>
      </c>
      <c r="D3067" s="2" t="s">
        <v>38</v>
      </c>
      <c r="E3067" s="2" t="s">
        <v>12</v>
      </c>
      <c r="F3067" s="2">
        <v>1369.93</v>
      </c>
      <c r="G3067" s="2">
        <v>344.86</v>
      </c>
      <c r="H3067" s="2" t="s">
        <v>19</v>
      </c>
      <c r="I3067" s="2" t="s">
        <v>29</v>
      </c>
    </row>
    <row r="3068" spans="1:9" x14ac:dyDescent="0.35">
      <c r="A3068" s="2" t="s">
        <v>3108</v>
      </c>
      <c r="B3068" s="3">
        <v>44649</v>
      </c>
      <c r="C3068" s="2" t="s">
        <v>25</v>
      </c>
      <c r="D3068" s="2" t="s">
        <v>31</v>
      </c>
      <c r="E3068" s="2" t="s">
        <v>12</v>
      </c>
      <c r="F3068" s="2">
        <v>192.75</v>
      </c>
      <c r="G3068" s="2">
        <v>28.9</v>
      </c>
      <c r="H3068" s="2" t="s">
        <v>19</v>
      </c>
      <c r="I3068" s="2" t="s">
        <v>20</v>
      </c>
    </row>
    <row r="3069" spans="1:9" x14ac:dyDescent="0.35">
      <c r="A3069" s="2" t="s">
        <v>3109</v>
      </c>
      <c r="B3069" s="3">
        <v>45498</v>
      </c>
      <c r="C3069" s="2" t="s">
        <v>25</v>
      </c>
      <c r="D3069" s="2" t="s">
        <v>33</v>
      </c>
      <c r="E3069" s="2" t="s">
        <v>18</v>
      </c>
      <c r="F3069" s="2">
        <v>738.57</v>
      </c>
      <c r="G3069" s="2">
        <v>99.55</v>
      </c>
      <c r="H3069" s="2" t="s">
        <v>19</v>
      </c>
      <c r="I3069" s="2" t="s">
        <v>14</v>
      </c>
    </row>
    <row r="3070" spans="1:9" x14ac:dyDescent="0.35">
      <c r="A3070" s="2" t="s">
        <v>3110</v>
      </c>
      <c r="B3070" s="3">
        <v>45421</v>
      </c>
      <c r="C3070" s="2" t="s">
        <v>25</v>
      </c>
      <c r="D3070" s="2" t="s">
        <v>50</v>
      </c>
      <c r="E3070" s="2" t="s">
        <v>12</v>
      </c>
      <c r="F3070" s="2">
        <v>1341.63</v>
      </c>
      <c r="G3070" s="2">
        <v>182.43</v>
      </c>
      <c r="H3070" s="2" t="s">
        <v>19</v>
      </c>
      <c r="I3070" s="2" t="s">
        <v>29</v>
      </c>
    </row>
    <row r="3071" spans="1:9" x14ac:dyDescent="0.35">
      <c r="A3071" s="2" t="s">
        <v>3111</v>
      </c>
      <c r="B3071" s="3">
        <v>44918</v>
      </c>
      <c r="C3071" s="2" t="s">
        <v>22</v>
      </c>
      <c r="D3071" s="2" t="s">
        <v>33</v>
      </c>
      <c r="E3071" s="2" t="s">
        <v>18</v>
      </c>
      <c r="F3071" s="2">
        <v>276.02999999999997</v>
      </c>
      <c r="G3071" s="2">
        <v>49.26</v>
      </c>
      <c r="H3071" s="2" t="s">
        <v>28</v>
      </c>
      <c r="I3071" s="2" t="s">
        <v>20</v>
      </c>
    </row>
    <row r="3072" spans="1:9" x14ac:dyDescent="0.35">
      <c r="A3072" s="2" t="s">
        <v>3112</v>
      </c>
      <c r="B3072" s="3">
        <v>44882</v>
      </c>
      <c r="C3072" s="2" t="s">
        <v>25</v>
      </c>
      <c r="D3072" s="2" t="s">
        <v>62</v>
      </c>
      <c r="E3072" s="2" t="s">
        <v>27</v>
      </c>
      <c r="F3072" s="2">
        <v>1327.22</v>
      </c>
      <c r="G3072" s="2">
        <v>332.17</v>
      </c>
      <c r="H3072" s="2" t="s">
        <v>19</v>
      </c>
      <c r="I3072" s="2" t="s">
        <v>29</v>
      </c>
    </row>
    <row r="3073" spans="1:9" x14ac:dyDescent="0.35">
      <c r="A3073" s="2" t="s">
        <v>3113</v>
      </c>
      <c r="B3073" s="3">
        <v>45516</v>
      </c>
      <c r="C3073" s="2" t="s">
        <v>25</v>
      </c>
      <c r="D3073" s="2" t="s">
        <v>31</v>
      </c>
      <c r="E3073" s="2" t="s">
        <v>12</v>
      </c>
      <c r="F3073" s="2">
        <v>592.95000000000005</v>
      </c>
      <c r="G3073" s="2">
        <v>121.87</v>
      </c>
      <c r="H3073" s="2" t="s">
        <v>19</v>
      </c>
      <c r="I3073" s="2" t="s">
        <v>20</v>
      </c>
    </row>
    <row r="3074" spans="1:9" x14ac:dyDescent="0.35">
      <c r="A3074" s="2" t="s">
        <v>3114</v>
      </c>
      <c r="B3074" s="3">
        <v>44842</v>
      </c>
      <c r="C3074" s="2" t="s">
        <v>16</v>
      </c>
      <c r="D3074" s="2" t="s">
        <v>31</v>
      </c>
      <c r="E3074" s="2" t="s">
        <v>12</v>
      </c>
      <c r="F3074" s="2">
        <v>171.94</v>
      </c>
      <c r="G3074" s="2">
        <v>15.17</v>
      </c>
      <c r="H3074" s="2" t="s">
        <v>13</v>
      </c>
      <c r="I3074" s="2" t="s">
        <v>29</v>
      </c>
    </row>
    <row r="3075" spans="1:9" x14ac:dyDescent="0.35">
      <c r="A3075" s="2" t="s">
        <v>3115</v>
      </c>
      <c r="B3075" s="3">
        <v>45172</v>
      </c>
      <c r="C3075" s="2" t="s">
        <v>16</v>
      </c>
      <c r="D3075" s="2" t="s">
        <v>23</v>
      </c>
      <c r="E3075" s="2" t="s">
        <v>18</v>
      </c>
      <c r="F3075" s="2">
        <v>128.66</v>
      </c>
      <c r="G3075" s="2">
        <v>16.18</v>
      </c>
      <c r="H3075" s="2" t="s">
        <v>19</v>
      </c>
      <c r="I3075" s="2" t="s">
        <v>14</v>
      </c>
    </row>
    <row r="3076" spans="1:9" x14ac:dyDescent="0.35">
      <c r="A3076" s="2" t="s">
        <v>3116</v>
      </c>
      <c r="B3076" s="3">
        <v>45528</v>
      </c>
      <c r="C3076" s="2" t="s">
        <v>10</v>
      </c>
      <c r="D3076" s="2" t="s">
        <v>11</v>
      </c>
      <c r="E3076" s="2" t="s">
        <v>12</v>
      </c>
      <c r="F3076" s="2">
        <v>213.57</v>
      </c>
      <c r="G3076" s="2">
        <v>44.45</v>
      </c>
      <c r="H3076" s="2" t="s">
        <v>13</v>
      </c>
      <c r="I3076" s="2" t="s">
        <v>29</v>
      </c>
    </row>
    <row r="3077" spans="1:9" x14ac:dyDescent="0.35">
      <c r="A3077" s="2" t="s">
        <v>3117</v>
      </c>
      <c r="B3077" s="3">
        <v>44642</v>
      </c>
      <c r="C3077" s="2" t="s">
        <v>25</v>
      </c>
      <c r="D3077" s="2" t="s">
        <v>31</v>
      </c>
      <c r="E3077" s="2" t="s">
        <v>12</v>
      </c>
      <c r="F3077" s="2">
        <v>898.19</v>
      </c>
      <c r="G3077" s="2">
        <v>150.25</v>
      </c>
      <c r="H3077" s="2" t="s">
        <v>28</v>
      </c>
      <c r="I3077" s="2" t="s">
        <v>14</v>
      </c>
    </row>
    <row r="3078" spans="1:9" x14ac:dyDescent="0.35">
      <c r="A3078" s="2" t="s">
        <v>3118</v>
      </c>
      <c r="B3078" s="3">
        <v>45327</v>
      </c>
      <c r="C3078" s="2" t="s">
        <v>25</v>
      </c>
      <c r="D3078" s="2" t="s">
        <v>97</v>
      </c>
      <c r="E3078" s="2" t="s">
        <v>27</v>
      </c>
      <c r="F3078" s="2">
        <v>1689.16</v>
      </c>
      <c r="G3078" s="2">
        <v>298.64</v>
      </c>
      <c r="H3078" s="2" t="s">
        <v>13</v>
      </c>
      <c r="I3078" s="2" t="s">
        <v>34</v>
      </c>
    </row>
    <row r="3079" spans="1:9" x14ac:dyDescent="0.35">
      <c r="A3079" s="2" t="s">
        <v>3119</v>
      </c>
      <c r="B3079" s="3">
        <v>45116</v>
      </c>
      <c r="C3079" s="2" t="s">
        <v>16</v>
      </c>
      <c r="D3079" s="2" t="s">
        <v>11</v>
      </c>
      <c r="E3079" s="2" t="s">
        <v>12</v>
      </c>
      <c r="F3079" s="2">
        <v>427.3</v>
      </c>
      <c r="G3079" s="2">
        <v>109.13</v>
      </c>
      <c r="H3079" s="2" t="s">
        <v>28</v>
      </c>
      <c r="I3079" s="2" t="s">
        <v>20</v>
      </c>
    </row>
    <row r="3080" spans="1:9" x14ac:dyDescent="0.35">
      <c r="A3080" s="2" t="s">
        <v>3120</v>
      </c>
      <c r="B3080" s="3">
        <v>45453</v>
      </c>
      <c r="C3080" s="2" t="s">
        <v>22</v>
      </c>
      <c r="D3080" s="2" t="s">
        <v>17</v>
      </c>
      <c r="E3080" s="2" t="s">
        <v>18</v>
      </c>
      <c r="F3080" s="2">
        <v>970.3</v>
      </c>
      <c r="G3080" s="2">
        <v>67.69</v>
      </c>
      <c r="H3080" s="2" t="s">
        <v>28</v>
      </c>
      <c r="I3080" s="2" t="s">
        <v>20</v>
      </c>
    </row>
    <row r="3081" spans="1:9" x14ac:dyDescent="0.35">
      <c r="A3081" s="2" t="s">
        <v>3121</v>
      </c>
      <c r="B3081" s="3">
        <v>45041</v>
      </c>
      <c r="C3081" s="2" t="s">
        <v>25</v>
      </c>
      <c r="D3081" s="2" t="s">
        <v>57</v>
      </c>
      <c r="E3081" s="2" t="s">
        <v>27</v>
      </c>
      <c r="F3081" s="2">
        <v>1148.98</v>
      </c>
      <c r="G3081" s="2">
        <v>147.99</v>
      </c>
      <c r="H3081" s="2" t="s">
        <v>28</v>
      </c>
      <c r="I3081" s="2" t="s">
        <v>20</v>
      </c>
    </row>
    <row r="3082" spans="1:9" x14ac:dyDescent="0.35">
      <c r="A3082" s="2" t="s">
        <v>3122</v>
      </c>
      <c r="B3082" s="3">
        <v>44770</v>
      </c>
      <c r="C3082" s="2" t="s">
        <v>10</v>
      </c>
      <c r="D3082" s="2" t="s">
        <v>33</v>
      </c>
      <c r="E3082" s="2" t="s">
        <v>18</v>
      </c>
      <c r="F3082" s="2">
        <v>1718.21</v>
      </c>
      <c r="G3082" s="2">
        <v>474.06</v>
      </c>
      <c r="H3082" s="2" t="s">
        <v>13</v>
      </c>
      <c r="I3082" s="2" t="s">
        <v>14</v>
      </c>
    </row>
    <row r="3083" spans="1:9" x14ac:dyDescent="0.35">
      <c r="A3083" s="2" t="s">
        <v>3123</v>
      </c>
      <c r="B3083" s="3">
        <v>44595</v>
      </c>
      <c r="C3083" s="2" t="s">
        <v>16</v>
      </c>
      <c r="D3083" s="2" t="s">
        <v>97</v>
      </c>
      <c r="E3083" s="2" t="s">
        <v>27</v>
      </c>
      <c r="F3083" s="2">
        <v>1493.14</v>
      </c>
      <c r="G3083" s="2">
        <v>332.81</v>
      </c>
      <c r="H3083" s="2" t="s">
        <v>28</v>
      </c>
      <c r="I3083" s="2" t="s">
        <v>20</v>
      </c>
    </row>
    <row r="3084" spans="1:9" x14ac:dyDescent="0.35">
      <c r="A3084" s="2" t="s">
        <v>3124</v>
      </c>
      <c r="B3084" s="3">
        <v>44578</v>
      </c>
      <c r="C3084" s="2" t="s">
        <v>25</v>
      </c>
      <c r="D3084" s="2" t="s">
        <v>26</v>
      </c>
      <c r="E3084" s="2" t="s">
        <v>27</v>
      </c>
      <c r="F3084" s="2">
        <v>216.61</v>
      </c>
      <c r="G3084" s="2">
        <v>51.99</v>
      </c>
      <c r="H3084" s="2" t="s">
        <v>28</v>
      </c>
      <c r="I3084" s="2" t="s">
        <v>20</v>
      </c>
    </row>
    <row r="3085" spans="1:9" x14ac:dyDescent="0.35">
      <c r="A3085" s="2" t="s">
        <v>3125</v>
      </c>
      <c r="B3085" s="3">
        <v>45473</v>
      </c>
      <c r="C3085" s="2" t="s">
        <v>22</v>
      </c>
      <c r="D3085" s="2" t="s">
        <v>38</v>
      </c>
      <c r="E3085" s="2" t="s">
        <v>12</v>
      </c>
      <c r="F3085" s="2">
        <v>627.29999999999995</v>
      </c>
      <c r="G3085" s="2">
        <v>93.15</v>
      </c>
      <c r="H3085" s="2" t="s">
        <v>13</v>
      </c>
      <c r="I3085" s="2" t="s">
        <v>29</v>
      </c>
    </row>
    <row r="3086" spans="1:9" x14ac:dyDescent="0.35">
      <c r="A3086" s="2" t="s">
        <v>3126</v>
      </c>
      <c r="B3086" s="3">
        <v>44961</v>
      </c>
      <c r="C3086" s="2" t="s">
        <v>25</v>
      </c>
      <c r="D3086" s="2" t="s">
        <v>23</v>
      </c>
      <c r="E3086" s="2" t="s">
        <v>18</v>
      </c>
      <c r="F3086" s="2">
        <v>1323.75</v>
      </c>
      <c r="G3086" s="2">
        <v>309.44</v>
      </c>
      <c r="H3086" s="2" t="s">
        <v>13</v>
      </c>
      <c r="I3086" s="2" t="s">
        <v>34</v>
      </c>
    </row>
    <row r="3087" spans="1:9" x14ac:dyDescent="0.35">
      <c r="A3087" s="2" t="s">
        <v>3127</v>
      </c>
      <c r="B3087" s="3">
        <v>45313</v>
      </c>
      <c r="C3087" s="2" t="s">
        <v>16</v>
      </c>
      <c r="D3087" s="2" t="s">
        <v>41</v>
      </c>
      <c r="E3087" s="2" t="s">
        <v>12</v>
      </c>
      <c r="F3087" s="2">
        <v>827.85</v>
      </c>
      <c r="G3087" s="2">
        <v>93.2</v>
      </c>
      <c r="H3087" s="2" t="s">
        <v>19</v>
      </c>
      <c r="I3087" s="2" t="s">
        <v>29</v>
      </c>
    </row>
    <row r="3088" spans="1:9" x14ac:dyDescent="0.35">
      <c r="A3088" s="2" t="s">
        <v>3128</v>
      </c>
      <c r="B3088" s="3">
        <v>45540</v>
      </c>
      <c r="C3088" s="2" t="s">
        <v>25</v>
      </c>
      <c r="D3088" s="2" t="s">
        <v>41</v>
      </c>
      <c r="E3088" s="2" t="s">
        <v>12</v>
      </c>
      <c r="F3088" s="2">
        <v>195.9</v>
      </c>
      <c r="G3088" s="2">
        <v>54.71</v>
      </c>
      <c r="H3088" s="2" t="s">
        <v>19</v>
      </c>
      <c r="I3088" s="2" t="s">
        <v>29</v>
      </c>
    </row>
    <row r="3089" spans="1:9" x14ac:dyDescent="0.35">
      <c r="A3089" s="2" t="s">
        <v>3129</v>
      </c>
      <c r="B3089" s="3">
        <v>45506</v>
      </c>
      <c r="C3089" s="2" t="s">
        <v>25</v>
      </c>
      <c r="D3089" s="2" t="s">
        <v>50</v>
      </c>
      <c r="E3089" s="2" t="s">
        <v>12</v>
      </c>
      <c r="F3089" s="2">
        <v>1590.49</v>
      </c>
      <c r="G3089" s="2">
        <v>129.16999999999999</v>
      </c>
      <c r="H3089" s="2" t="s">
        <v>28</v>
      </c>
      <c r="I3089" s="2" t="s">
        <v>20</v>
      </c>
    </row>
    <row r="3090" spans="1:9" x14ac:dyDescent="0.35">
      <c r="A3090" s="2" t="s">
        <v>3130</v>
      </c>
      <c r="B3090" s="3">
        <v>45155</v>
      </c>
      <c r="C3090" s="2" t="s">
        <v>22</v>
      </c>
      <c r="D3090" s="2" t="s">
        <v>73</v>
      </c>
      <c r="E3090" s="2" t="s">
        <v>27</v>
      </c>
      <c r="F3090" s="2">
        <v>1593.69</v>
      </c>
      <c r="G3090" s="2">
        <v>337.25</v>
      </c>
      <c r="H3090" s="2" t="s">
        <v>19</v>
      </c>
      <c r="I3090" s="2" t="s">
        <v>14</v>
      </c>
    </row>
    <row r="3091" spans="1:9" x14ac:dyDescent="0.35">
      <c r="A3091" s="2" t="s">
        <v>3131</v>
      </c>
      <c r="B3091" s="3">
        <v>45152</v>
      </c>
      <c r="C3091" s="2" t="s">
        <v>16</v>
      </c>
      <c r="D3091" s="2" t="s">
        <v>95</v>
      </c>
      <c r="E3091" s="2" t="s">
        <v>18</v>
      </c>
      <c r="F3091" s="2">
        <v>110.09</v>
      </c>
      <c r="G3091" s="2">
        <v>28.99</v>
      </c>
      <c r="H3091" s="2" t="s">
        <v>19</v>
      </c>
      <c r="I3091" s="2" t="s">
        <v>14</v>
      </c>
    </row>
    <row r="3092" spans="1:9" x14ac:dyDescent="0.35">
      <c r="A3092" s="2" t="s">
        <v>3132</v>
      </c>
      <c r="B3092" s="3">
        <v>45018</v>
      </c>
      <c r="C3092" s="2" t="s">
        <v>16</v>
      </c>
      <c r="D3092" s="2" t="s">
        <v>57</v>
      </c>
      <c r="E3092" s="2" t="s">
        <v>27</v>
      </c>
      <c r="F3092" s="2">
        <v>1362.71</v>
      </c>
      <c r="G3092" s="2">
        <v>240.17</v>
      </c>
      <c r="H3092" s="2" t="s">
        <v>19</v>
      </c>
      <c r="I3092" s="2" t="s">
        <v>20</v>
      </c>
    </row>
    <row r="3093" spans="1:9" x14ac:dyDescent="0.35">
      <c r="A3093" s="2" t="s">
        <v>3133</v>
      </c>
      <c r="B3093" s="3">
        <v>44709</v>
      </c>
      <c r="C3093" s="2" t="s">
        <v>16</v>
      </c>
      <c r="D3093" s="2" t="s">
        <v>97</v>
      </c>
      <c r="E3093" s="2" t="s">
        <v>27</v>
      </c>
      <c r="F3093" s="2">
        <v>1617.84</v>
      </c>
      <c r="G3093" s="2">
        <v>375.66</v>
      </c>
      <c r="H3093" s="2" t="s">
        <v>13</v>
      </c>
      <c r="I3093" s="2" t="s">
        <v>29</v>
      </c>
    </row>
    <row r="3094" spans="1:9" x14ac:dyDescent="0.35">
      <c r="A3094" s="2" t="s">
        <v>3134</v>
      </c>
      <c r="B3094" s="3">
        <v>44846</v>
      </c>
      <c r="C3094" s="2" t="s">
        <v>25</v>
      </c>
      <c r="D3094" s="2" t="s">
        <v>23</v>
      </c>
      <c r="E3094" s="2" t="s">
        <v>18</v>
      </c>
      <c r="F3094" s="2">
        <v>1473.65</v>
      </c>
      <c r="G3094" s="2">
        <v>295.7</v>
      </c>
      <c r="H3094" s="2" t="s">
        <v>28</v>
      </c>
      <c r="I3094" s="2" t="s">
        <v>14</v>
      </c>
    </row>
    <row r="3095" spans="1:9" x14ac:dyDescent="0.35">
      <c r="A3095" s="2" t="s">
        <v>3135</v>
      </c>
      <c r="B3095" s="3">
        <v>44756</v>
      </c>
      <c r="C3095" s="2" t="s">
        <v>22</v>
      </c>
      <c r="D3095" s="2" t="s">
        <v>41</v>
      </c>
      <c r="E3095" s="2" t="s">
        <v>12</v>
      </c>
      <c r="F3095" s="2">
        <v>352.2</v>
      </c>
      <c r="G3095" s="2">
        <v>67.55</v>
      </c>
      <c r="H3095" s="2" t="s">
        <v>28</v>
      </c>
      <c r="I3095" s="2" t="s">
        <v>29</v>
      </c>
    </row>
    <row r="3096" spans="1:9" x14ac:dyDescent="0.35">
      <c r="A3096" s="2" t="s">
        <v>3136</v>
      </c>
      <c r="B3096" s="3">
        <v>45389</v>
      </c>
      <c r="C3096" s="2" t="s">
        <v>16</v>
      </c>
      <c r="D3096" s="2" t="s">
        <v>57</v>
      </c>
      <c r="E3096" s="2" t="s">
        <v>27</v>
      </c>
      <c r="F3096" s="2">
        <v>1906.36</v>
      </c>
      <c r="G3096" s="2">
        <v>272.54000000000002</v>
      </c>
      <c r="H3096" s="2" t="s">
        <v>19</v>
      </c>
      <c r="I3096" s="2" t="s">
        <v>34</v>
      </c>
    </row>
    <row r="3097" spans="1:9" x14ac:dyDescent="0.35">
      <c r="A3097" s="2" t="s">
        <v>3137</v>
      </c>
      <c r="B3097" s="3">
        <v>44812</v>
      </c>
      <c r="C3097" s="2" t="s">
        <v>10</v>
      </c>
      <c r="D3097" s="2" t="s">
        <v>46</v>
      </c>
      <c r="E3097" s="2" t="s">
        <v>18</v>
      </c>
      <c r="F3097" s="2">
        <v>510.79</v>
      </c>
      <c r="G3097" s="2">
        <v>40.380000000000003</v>
      </c>
      <c r="H3097" s="2" t="s">
        <v>19</v>
      </c>
      <c r="I3097" s="2" t="s">
        <v>14</v>
      </c>
    </row>
    <row r="3098" spans="1:9" x14ac:dyDescent="0.35">
      <c r="A3098" s="2" t="s">
        <v>3138</v>
      </c>
      <c r="B3098" s="3">
        <v>45509</v>
      </c>
      <c r="C3098" s="2" t="s">
        <v>22</v>
      </c>
      <c r="D3098" s="2" t="s">
        <v>46</v>
      </c>
      <c r="E3098" s="2" t="s">
        <v>18</v>
      </c>
      <c r="F3098" s="2">
        <v>1805.26</v>
      </c>
      <c r="G3098" s="2">
        <v>486.8</v>
      </c>
      <c r="H3098" s="2" t="s">
        <v>28</v>
      </c>
      <c r="I3098" s="2" t="s">
        <v>34</v>
      </c>
    </row>
    <row r="3099" spans="1:9" x14ac:dyDescent="0.35">
      <c r="A3099" s="2" t="s">
        <v>3139</v>
      </c>
      <c r="B3099" s="3">
        <v>45098</v>
      </c>
      <c r="C3099" s="2" t="s">
        <v>16</v>
      </c>
      <c r="D3099" s="2" t="s">
        <v>11</v>
      </c>
      <c r="E3099" s="2" t="s">
        <v>12</v>
      </c>
      <c r="F3099" s="2">
        <v>109.7</v>
      </c>
      <c r="G3099" s="2">
        <v>7.15</v>
      </c>
      <c r="H3099" s="2" t="s">
        <v>19</v>
      </c>
      <c r="I3099" s="2" t="s">
        <v>14</v>
      </c>
    </row>
    <row r="3100" spans="1:9" x14ac:dyDescent="0.35">
      <c r="A3100" s="2" t="s">
        <v>3140</v>
      </c>
      <c r="B3100" s="3">
        <v>45560</v>
      </c>
      <c r="C3100" s="2" t="s">
        <v>25</v>
      </c>
      <c r="D3100" s="2" t="s">
        <v>50</v>
      </c>
      <c r="E3100" s="2" t="s">
        <v>12</v>
      </c>
      <c r="F3100" s="2">
        <v>1210.57</v>
      </c>
      <c r="G3100" s="2">
        <v>321.5</v>
      </c>
      <c r="H3100" s="2" t="s">
        <v>19</v>
      </c>
      <c r="I3100" s="2" t="s">
        <v>20</v>
      </c>
    </row>
    <row r="3101" spans="1:9" x14ac:dyDescent="0.35">
      <c r="A3101" s="2" t="s">
        <v>3141</v>
      </c>
      <c r="B3101" s="3">
        <v>45564</v>
      </c>
      <c r="C3101" s="2" t="s">
        <v>10</v>
      </c>
      <c r="D3101" s="2" t="s">
        <v>50</v>
      </c>
      <c r="E3101" s="2" t="s">
        <v>12</v>
      </c>
      <c r="F3101" s="2">
        <v>812.8</v>
      </c>
      <c r="G3101" s="2">
        <v>190.1</v>
      </c>
      <c r="H3101" s="2" t="s">
        <v>13</v>
      </c>
      <c r="I3101" s="2" t="s">
        <v>34</v>
      </c>
    </row>
    <row r="3102" spans="1:9" x14ac:dyDescent="0.35">
      <c r="A3102" s="2" t="s">
        <v>3142</v>
      </c>
      <c r="B3102" s="3">
        <v>45552</v>
      </c>
      <c r="C3102" s="2" t="s">
        <v>25</v>
      </c>
      <c r="D3102" s="2" t="s">
        <v>31</v>
      </c>
      <c r="E3102" s="2" t="s">
        <v>12</v>
      </c>
      <c r="F3102" s="2">
        <v>1705.71</v>
      </c>
      <c r="G3102" s="2">
        <v>192.05</v>
      </c>
      <c r="H3102" s="2" t="s">
        <v>13</v>
      </c>
      <c r="I3102" s="2" t="s">
        <v>34</v>
      </c>
    </row>
    <row r="3103" spans="1:9" x14ac:dyDescent="0.35">
      <c r="A3103" s="2" t="s">
        <v>3143</v>
      </c>
      <c r="B3103" s="3">
        <v>45650</v>
      </c>
      <c r="C3103" s="2" t="s">
        <v>22</v>
      </c>
      <c r="D3103" s="2" t="s">
        <v>50</v>
      </c>
      <c r="E3103" s="2" t="s">
        <v>12</v>
      </c>
      <c r="F3103" s="2">
        <v>1111.52</v>
      </c>
      <c r="G3103" s="2">
        <v>64.41</v>
      </c>
      <c r="H3103" s="2" t="s">
        <v>13</v>
      </c>
      <c r="I3103" s="2" t="s">
        <v>34</v>
      </c>
    </row>
    <row r="3104" spans="1:9" x14ac:dyDescent="0.35">
      <c r="A3104" s="2" t="s">
        <v>3144</v>
      </c>
      <c r="B3104" s="3">
        <v>45136</v>
      </c>
      <c r="C3104" s="2" t="s">
        <v>22</v>
      </c>
      <c r="D3104" s="2" t="s">
        <v>33</v>
      </c>
      <c r="E3104" s="2" t="s">
        <v>18</v>
      </c>
      <c r="F3104" s="2">
        <v>664.89</v>
      </c>
      <c r="G3104" s="2">
        <v>47.73</v>
      </c>
      <c r="H3104" s="2" t="s">
        <v>13</v>
      </c>
      <c r="I3104" s="2" t="s">
        <v>29</v>
      </c>
    </row>
    <row r="3105" spans="1:9" x14ac:dyDescent="0.35">
      <c r="A3105" s="2" t="s">
        <v>3145</v>
      </c>
      <c r="B3105" s="3">
        <v>44695</v>
      </c>
      <c r="C3105" s="2" t="s">
        <v>25</v>
      </c>
      <c r="D3105" s="2" t="s">
        <v>62</v>
      </c>
      <c r="E3105" s="2" t="s">
        <v>27</v>
      </c>
      <c r="F3105" s="2">
        <v>1219.71</v>
      </c>
      <c r="G3105" s="2">
        <v>240.19</v>
      </c>
      <c r="H3105" s="2" t="s">
        <v>13</v>
      </c>
      <c r="I3105" s="2" t="s">
        <v>20</v>
      </c>
    </row>
    <row r="3106" spans="1:9" x14ac:dyDescent="0.35">
      <c r="A3106" s="2" t="s">
        <v>3146</v>
      </c>
      <c r="B3106" s="3">
        <v>45262</v>
      </c>
      <c r="C3106" s="2" t="s">
        <v>10</v>
      </c>
      <c r="D3106" s="2" t="s">
        <v>11</v>
      </c>
      <c r="E3106" s="2" t="s">
        <v>12</v>
      </c>
      <c r="F3106" s="2">
        <v>1606.3</v>
      </c>
      <c r="G3106" s="2">
        <v>439.45</v>
      </c>
      <c r="H3106" s="2" t="s">
        <v>13</v>
      </c>
      <c r="I3106" s="2" t="s">
        <v>14</v>
      </c>
    </row>
    <row r="3107" spans="1:9" x14ac:dyDescent="0.35">
      <c r="A3107" s="2" t="s">
        <v>3147</v>
      </c>
      <c r="B3107" s="3">
        <v>44691</v>
      </c>
      <c r="C3107" s="2" t="s">
        <v>16</v>
      </c>
      <c r="D3107" s="2" t="s">
        <v>38</v>
      </c>
      <c r="E3107" s="2" t="s">
        <v>12</v>
      </c>
      <c r="F3107" s="2">
        <v>1702.79</v>
      </c>
      <c r="G3107" s="2">
        <v>378.68</v>
      </c>
      <c r="H3107" s="2" t="s">
        <v>19</v>
      </c>
      <c r="I3107" s="2" t="s">
        <v>20</v>
      </c>
    </row>
    <row r="3108" spans="1:9" x14ac:dyDescent="0.35">
      <c r="A3108" s="2" t="s">
        <v>3148</v>
      </c>
      <c r="B3108" s="3">
        <v>45100</v>
      </c>
      <c r="C3108" s="2" t="s">
        <v>22</v>
      </c>
      <c r="D3108" s="2" t="s">
        <v>26</v>
      </c>
      <c r="E3108" s="2" t="s">
        <v>27</v>
      </c>
      <c r="F3108" s="2">
        <v>816.79</v>
      </c>
      <c r="G3108" s="2">
        <v>58.98</v>
      </c>
      <c r="H3108" s="2" t="s">
        <v>28</v>
      </c>
      <c r="I3108" s="2" t="s">
        <v>14</v>
      </c>
    </row>
    <row r="3109" spans="1:9" x14ac:dyDescent="0.35">
      <c r="A3109" s="2" t="s">
        <v>3149</v>
      </c>
      <c r="B3109" s="3">
        <v>44660</v>
      </c>
      <c r="C3109" s="2" t="s">
        <v>22</v>
      </c>
      <c r="D3109" s="2" t="s">
        <v>95</v>
      </c>
      <c r="E3109" s="2" t="s">
        <v>18</v>
      </c>
      <c r="F3109" s="2">
        <v>1294.8399999999999</v>
      </c>
      <c r="G3109" s="2">
        <v>69.66</v>
      </c>
      <c r="H3109" s="2" t="s">
        <v>13</v>
      </c>
      <c r="I3109" s="2" t="s">
        <v>29</v>
      </c>
    </row>
    <row r="3110" spans="1:9" x14ac:dyDescent="0.35">
      <c r="A3110" s="2" t="s">
        <v>3150</v>
      </c>
      <c r="B3110" s="3">
        <v>45382</v>
      </c>
      <c r="C3110" s="2" t="s">
        <v>16</v>
      </c>
      <c r="D3110" s="2" t="s">
        <v>38</v>
      </c>
      <c r="E3110" s="2" t="s">
        <v>12</v>
      </c>
      <c r="F3110" s="2">
        <v>704.37</v>
      </c>
      <c r="G3110" s="2">
        <v>92.64</v>
      </c>
      <c r="H3110" s="2" t="s">
        <v>13</v>
      </c>
      <c r="I3110" s="2" t="s">
        <v>29</v>
      </c>
    </row>
    <row r="3111" spans="1:9" x14ac:dyDescent="0.35">
      <c r="A3111" s="2" t="s">
        <v>3151</v>
      </c>
      <c r="B3111" s="3">
        <v>45232</v>
      </c>
      <c r="C3111" s="2" t="s">
        <v>10</v>
      </c>
      <c r="D3111" s="2" t="s">
        <v>17</v>
      </c>
      <c r="E3111" s="2" t="s">
        <v>18</v>
      </c>
      <c r="F3111" s="2">
        <v>428.94</v>
      </c>
      <c r="G3111" s="2">
        <v>57.74</v>
      </c>
      <c r="H3111" s="2" t="s">
        <v>19</v>
      </c>
      <c r="I3111" s="2" t="s">
        <v>29</v>
      </c>
    </row>
    <row r="3112" spans="1:9" x14ac:dyDescent="0.35">
      <c r="A3112" s="2" t="s">
        <v>3152</v>
      </c>
      <c r="B3112" s="3">
        <v>44669</v>
      </c>
      <c r="C3112" s="2" t="s">
        <v>10</v>
      </c>
      <c r="D3112" s="2" t="s">
        <v>95</v>
      </c>
      <c r="E3112" s="2" t="s">
        <v>18</v>
      </c>
      <c r="F3112" s="2">
        <v>1489.85</v>
      </c>
      <c r="G3112" s="2">
        <v>153.58000000000001</v>
      </c>
      <c r="H3112" s="2" t="s">
        <v>28</v>
      </c>
      <c r="I3112" s="2" t="s">
        <v>34</v>
      </c>
    </row>
    <row r="3113" spans="1:9" x14ac:dyDescent="0.35">
      <c r="A3113" s="2" t="s">
        <v>3153</v>
      </c>
      <c r="B3113" s="3">
        <v>45537</v>
      </c>
      <c r="C3113" s="2" t="s">
        <v>25</v>
      </c>
      <c r="D3113" s="2" t="s">
        <v>62</v>
      </c>
      <c r="E3113" s="2" t="s">
        <v>27</v>
      </c>
      <c r="F3113" s="2">
        <v>238.33</v>
      </c>
      <c r="G3113" s="2">
        <v>39.520000000000003</v>
      </c>
      <c r="H3113" s="2" t="s">
        <v>19</v>
      </c>
      <c r="I3113" s="2" t="s">
        <v>14</v>
      </c>
    </row>
    <row r="3114" spans="1:9" x14ac:dyDescent="0.35">
      <c r="A3114" s="2" t="s">
        <v>3154</v>
      </c>
      <c r="B3114" s="3">
        <v>45326</v>
      </c>
      <c r="C3114" s="2" t="s">
        <v>16</v>
      </c>
      <c r="D3114" s="2" t="s">
        <v>23</v>
      </c>
      <c r="E3114" s="2" t="s">
        <v>18</v>
      </c>
      <c r="F3114" s="2">
        <v>1457.71</v>
      </c>
      <c r="G3114" s="2">
        <v>238.43</v>
      </c>
      <c r="H3114" s="2" t="s">
        <v>13</v>
      </c>
      <c r="I3114" s="2" t="s">
        <v>34</v>
      </c>
    </row>
    <row r="3115" spans="1:9" x14ac:dyDescent="0.35">
      <c r="A3115" s="2" t="s">
        <v>3155</v>
      </c>
      <c r="B3115" s="3">
        <v>45597</v>
      </c>
      <c r="C3115" s="2" t="s">
        <v>22</v>
      </c>
      <c r="D3115" s="2" t="s">
        <v>46</v>
      </c>
      <c r="E3115" s="2" t="s">
        <v>18</v>
      </c>
      <c r="F3115" s="2">
        <v>1116.27</v>
      </c>
      <c r="G3115" s="2">
        <v>334.03</v>
      </c>
      <c r="H3115" s="2" t="s">
        <v>13</v>
      </c>
      <c r="I3115" s="2" t="s">
        <v>29</v>
      </c>
    </row>
    <row r="3116" spans="1:9" x14ac:dyDescent="0.35">
      <c r="A3116" s="2" t="s">
        <v>3156</v>
      </c>
      <c r="B3116" s="3">
        <v>44589</v>
      </c>
      <c r="C3116" s="2" t="s">
        <v>22</v>
      </c>
      <c r="D3116" s="2" t="s">
        <v>31</v>
      </c>
      <c r="E3116" s="2" t="s">
        <v>12</v>
      </c>
      <c r="F3116" s="2">
        <v>245.34</v>
      </c>
      <c r="G3116" s="2">
        <v>25.6</v>
      </c>
      <c r="H3116" s="2" t="s">
        <v>28</v>
      </c>
      <c r="I3116" s="2" t="s">
        <v>14</v>
      </c>
    </row>
    <row r="3117" spans="1:9" x14ac:dyDescent="0.35">
      <c r="A3117" s="2" t="s">
        <v>3157</v>
      </c>
      <c r="B3117" s="3">
        <v>45436</v>
      </c>
      <c r="C3117" s="2" t="s">
        <v>16</v>
      </c>
      <c r="D3117" s="2" t="s">
        <v>41</v>
      </c>
      <c r="E3117" s="2" t="s">
        <v>12</v>
      </c>
      <c r="F3117" s="2">
        <v>883.96</v>
      </c>
      <c r="G3117" s="2">
        <v>166.7</v>
      </c>
      <c r="H3117" s="2" t="s">
        <v>13</v>
      </c>
      <c r="I3117" s="2" t="s">
        <v>29</v>
      </c>
    </row>
    <row r="3118" spans="1:9" x14ac:dyDescent="0.35">
      <c r="A3118" s="2" t="s">
        <v>3158</v>
      </c>
      <c r="B3118" s="3">
        <v>45290</v>
      </c>
      <c r="C3118" s="2" t="s">
        <v>25</v>
      </c>
      <c r="D3118" s="2" t="s">
        <v>23</v>
      </c>
      <c r="E3118" s="2" t="s">
        <v>18</v>
      </c>
      <c r="F3118" s="2">
        <v>1840.98</v>
      </c>
      <c r="G3118" s="2">
        <v>461.5</v>
      </c>
      <c r="H3118" s="2" t="s">
        <v>19</v>
      </c>
      <c r="I3118" s="2" t="s">
        <v>34</v>
      </c>
    </row>
    <row r="3119" spans="1:9" x14ac:dyDescent="0.35">
      <c r="A3119" s="2" t="s">
        <v>3159</v>
      </c>
      <c r="B3119" s="3">
        <v>45006</v>
      </c>
      <c r="C3119" s="2" t="s">
        <v>25</v>
      </c>
      <c r="D3119" s="2" t="s">
        <v>62</v>
      </c>
      <c r="E3119" s="2" t="s">
        <v>27</v>
      </c>
      <c r="F3119" s="2">
        <v>1535.57</v>
      </c>
      <c r="G3119" s="2">
        <v>428.84</v>
      </c>
      <c r="H3119" s="2" t="s">
        <v>28</v>
      </c>
      <c r="I3119" s="2" t="s">
        <v>14</v>
      </c>
    </row>
    <row r="3120" spans="1:9" x14ac:dyDescent="0.35">
      <c r="A3120" s="2" t="s">
        <v>3160</v>
      </c>
      <c r="B3120" s="3">
        <v>45522</v>
      </c>
      <c r="C3120" s="2" t="s">
        <v>25</v>
      </c>
      <c r="D3120" s="2" t="s">
        <v>31</v>
      </c>
      <c r="E3120" s="2" t="s">
        <v>12</v>
      </c>
      <c r="F3120" s="2">
        <v>415.32</v>
      </c>
      <c r="G3120" s="2">
        <v>89.43</v>
      </c>
      <c r="H3120" s="2" t="s">
        <v>13</v>
      </c>
      <c r="I3120" s="2" t="s">
        <v>34</v>
      </c>
    </row>
    <row r="3121" spans="1:9" x14ac:dyDescent="0.35">
      <c r="A3121" s="2" t="s">
        <v>3161</v>
      </c>
      <c r="B3121" s="3">
        <v>44917</v>
      </c>
      <c r="C3121" s="2" t="s">
        <v>25</v>
      </c>
      <c r="D3121" s="2" t="s">
        <v>38</v>
      </c>
      <c r="E3121" s="2" t="s">
        <v>12</v>
      </c>
      <c r="F3121" s="2">
        <v>741.63</v>
      </c>
      <c r="G3121" s="2">
        <v>57.63</v>
      </c>
      <c r="H3121" s="2" t="s">
        <v>28</v>
      </c>
      <c r="I3121" s="2" t="s">
        <v>34</v>
      </c>
    </row>
    <row r="3122" spans="1:9" x14ac:dyDescent="0.35">
      <c r="A3122" s="2" t="s">
        <v>3162</v>
      </c>
      <c r="B3122" s="3">
        <v>44577</v>
      </c>
      <c r="C3122" s="2" t="s">
        <v>16</v>
      </c>
      <c r="D3122" s="2" t="s">
        <v>26</v>
      </c>
      <c r="E3122" s="2" t="s">
        <v>27</v>
      </c>
      <c r="F3122" s="2">
        <v>1803.02</v>
      </c>
      <c r="G3122" s="2">
        <v>173.75</v>
      </c>
      <c r="H3122" s="2" t="s">
        <v>13</v>
      </c>
      <c r="I3122" s="2" t="s">
        <v>14</v>
      </c>
    </row>
    <row r="3123" spans="1:9" x14ac:dyDescent="0.35">
      <c r="A3123" s="2" t="s">
        <v>3163</v>
      </c>
      <c r="B3123" s="3">
        <v>44851</v>
      </c>
      <c r="C3123" s="2" t="s">
        <v>16</v>
      </c>
      <c r="D3123" s="2" t="s">
        <v>11</v>
      </c>
      <c r="E3123" s="2" t="s">
        <v>12</v>
      </c>
      <c r="F3123" s="2">
        <v>1609.67</v>
      </c>
      <c r="G3123" s="2">
        <v>302.95999999999998</v>
      </c>
      <c r="H3123" s="2" t="s">
        <v>13</v>
      </c>
      <c r="I3123" s="2" t="s">
        <v>34</v>
      </c>
    </row>
    <row r="3124" spans="1:9" x14ac:dyDescent="0.35">
      <c r="A3124" s="2" t="s">
        <v>3164</v>
      </c>
      <c r="B3124" s="3">
        <v>44974</v>
      </c>
      <c r="C3124" s="2" t="s">
        <v>10</v>
      </c>
      <c r="D3124" s="2" t="s">
        <v>57</v>
      </c>
      <c r="E3124" s="2" t="s">
        <v>27</v>
      </c>
      <c r="F3124" s="2">
        <v>1530.7</v>
      </c>
      <c r="G3124" s="2">
        <v>194.01</v>
      </c>
      <c r="H3124" s="2" t="s">
        <v>19</v>
      </c>
      <c r="I3124" s="2" t="s">
        <v>14</v>
      </c>
    </row>
    <row r="3125" spans="1:9" x14ac:dyDescent="0.35">
      <c r="A3125" s="2" t="s">
        <v>3165</v>
      </c>
      <c r="B3125" s="3">
        <v>44769</v>
      </c>
      <c r="C3125" s="2" t="s">
        <v>16</v>
      </c>
      <c r="D3125" s="2" t="s">
        <v>95</v>
      </c>
      <c r="E3125" s="2" t="s">
        <v>18</v>
      </c>
      <c r="F3125" s="2">
        <v>1122.6300000000001</v>
      </c>
      <c r="G3125" s="2">
        <v>79.709999999999994</v>
      </c>
      <c r="H3125" s="2" t="s">
        <v>28</v>
      </c>
      <c r="I3125" s="2" t="s">
        <v>34</v>
      </c>
    </row>
    <row r="3126" spans="1:9" x14ac:dyDescent="0.35">
      <c r="A3126" s="2" t="s">
        <v>3166</v>
      </c>
      <c r="B3126" s="3">
        <v>45529</v>
      </c>
      <c r="C3126" s="2" t="s">
        <v>22</v>
      </c>
      <c r="D3126" s="2" t="s">
        <v>73</v>
      </c>
      <c r="E3126" s="2" t="s">
        <v>27</v>
      </c>
      <c r="F3126" s="2">
        <v>694.1</v>
      </c>
      <c r="G3126" s="2">
        <v>91.39</v>
      </c>
      <c r="H3126" s="2" t="s">
        <v>28</v>
      </c>
      <c r="I3126" s="2" t="s">
        <v>14</v>
      </c>
    </row>
    <row r="3127" spans="1:9" x14ac:dyDescent="0.35">
      <c r="A3127" s="2" t="s">
        <v>3167</v>
      </c>
      <c r="B3127" s="3">
        <v>44978</v>
      </c>
      <c r="C3127" s="2" t="s">
        <v>10</v>
      </c>
      <c r="D3127" s="2" t="s">
        <v>26</v>
      </c>
      <c r="E3127" s="2" t="s">
        <v>27</v>
      </c>
      <c r="F3127" s="2">
        <v>1404.26</v>
      </c>
      <c r="G3127" s="2">
        <v>145.77000000000001</v>
      </c>
      <c r="H3127" s="2" t="s">
        <v>13</v>
      </c>
      <c r="I3127" s="2" t="s">
        <v>14</v>
      </c>
    </row>
    <row r="3128" spans="1:9" x14ac:dyDescent="0.35">
      <c r="A3128" s="2" t="s">
        <v>3168</v>
      </c>
      <c r="B3128" s="3">
        <v>45127</v>
      </c>
      <c r="C3128" s="2" t="s">
        <v>22</v>
      </c>
      <c r="D3128" s="2" t="s">
        <v>95</v>
      </c>
      <c r="E3128" s="2" t="s">
        <v>18</v>
      </c>
      <c r="F3128" s="2">
        <v>837.62</v>
      </c>
      <c r="G3128" s="2">
        <v>154.88</v>
      </c>
      <c r="H3128" s="2" t="s">
        <v>19</v>
      </c>
      <c r="I3128" s="2" t="s">
        <v>14</v>
      </c>
    </row>
    <row r="3129" spans="1:9" x14ac:dyDescent="0.35">
      <c r="A3129" s="2" t="s">
        <v>3169</v>
      </c>
      <c r="B3129" s="3">
        <v>45522</v>
      </c>
      <c r="C3129" s="2" t="s">
        <v>16</v>
      </c>
      <c r="D3129" s="2" t="s">
        <v>38</v>
      </c>
      <c r="E3129" s="2" t="s">
        <v>12</v>
      </c>
      <c r="F3129" s="2">
        <v>756.52</v>
      </c>
      <c r="G3129" s="2">
        <v>187.65</v>
      </c>
      <c r="H3129" s="2" t="s">
        <v>13</v>
      </c>
      <c r="I3129" s="2" t="s">
        <v>20</v>
      </c>
    </row>
    <row r="3130" spans="1:9" x14ac:dyDescent="0.35">
      <c r="A3130" s="2" t="s">
        <v>3170</v>
      </c>
      <c r="B3130" s="3">
        <v>45011</v>
      </c>
      <c r="C3130" s="2" t="s">
        <v>16</v>
      </c>
      <c r="D3130" s="2" t="s">
        <v>41</v>
      </c>
      <c r="E3130" s="2" t="s">
        <v>12</v>
      </c>
      <c r="F3130" s="2">
        <v>1018.23</v>
      </c>
      <c r="G3130" s="2">
        <v>265.3</v>
      </c>
      <c r="H3130" s="2" t="s">
        <v>19</v>
      </c>
      <c r="I3130" s="2" t="s">
        <v>34</v>
      </c>
    </row>
    <row r="3131" spans="1:9" x14ac:dyDescent="0.35">
      <c r="A3131" s="2" t="s">
        <v>3171</v>
      </c>
      <c r="B3131" s="3">
        <v>45455</v>
      </c>
      <c r="C3131" s="2" t="s">
        <v>22</v>
      </c>
      <c r="D3131" s="2" t="s">
        <v>50</v>
      </c>
      <c r="E3131" s="2" t="s">
        <v>12</v>
      </c>
      <c r="F3131" s="2">
        <v>1898.64</v>
      </c>
      <c r="G3131" s="2">
        <v>161.94</v>
      </c>
      <c r="H3131" s="2" t="s">
        <v>19</v>
      </c>
      <c r="I3131" s="2" t="s">
        <v>20</v>
      </c>
    </row>
    <row r="3132" spans="1:9" x14ac:dyDescent="0.35">
      <c r="A3132" s="2" t="s">
        <v>3172</v>
      </c>
      <c r="B3132" s="3">
        <v>45514</v>
      </c>
      <c r="C3132" s="2" t="s">
        <v>10</v>
      </c>
      <c r="D3132" s="2" t="s">
        <v>17</v>
      </c>
      <c r="E3132" s="2" t="s">
        <v>18</v>
      </c>
      <c r="F3132" s="2">
        <v>629.85</v>
      </c>
      <c r="G3132" s="2">
        <v>69.290000000000006</v>
      </c>
      <c r="H3132" s="2" t="s">
        <v>28</v>
      </c>
      <c r="I3132" s="2" t="s">
        <v>14</v>
      </c>
    </row>
    <row r="3133" spans="1:9" x14ac:dyDescent="0.35">
      <c r="A3133" s="2" t="s">
        <v>3173</v>
      </c>
      <c r="B3133" s="3">
        <v>44983</v>
      </c>
      <c r="C3133" s="2" t="s">
        <v>10</v>
      </c>
      <c r="D3133" s="2" t="s">
        <v>62</v>
      </c>
      <c r="E3133" s="2" t="s">
        <v>27</v>
      </c>
      <c r="F3133" s="2">
        <v>137.33000000000001</v>
      </c>
      <c r="G3133" s="2">
        <v>19.78</v>
      </c>
      <c r="H3133" s="2" t="s">
        <v>28</v>
      </c>
      <c r="I3133" s="2" t="s">
        <v>29</v>
      </c>
    </row>
    <row r="3134" spans="1:9" x14ac:dyDescent="0.35">
      <c r="A3134" s="2" t="s">
        <v>3174</v>
      </c>
      <c r="B3134" s="3">
        <v>44681</v>
      </c>
      <c r="C3134" s="2" t="s">
        <v>22</v>
      </c>
      <c r="D3134" s="2" t="s">
        <v>11</v>
      </c>
      <c r="E3134" s="2" t="s">
        <v>12</v>
      </c>
      <c r="F3134" s="2">
        <v>1703.8</v>
      </c>
      <c r="G3134" s="2">
        <v>327.02999999999997</v>
      </c>
      <c r="H3134" s="2" t="s">
        <v>28</v>
      </c>
      <c r="I3134" s="2" t="s">
        <v>14</v>
      </c>
    </row>
    <row r="3135" spans="1:9" x14ac:dyDescent="0.35">
      <c r="A3135" s="2" t="s">
        <v>3175</v>
      </c>
      <c r="B3135" s="3">
        <v>45311</v>
      </c>
      <c r="C3135" s="2" t="s">
        <v>10</v>
      </c>
      <c r="D3135" s="2" t="s">
        <v>50</v>
      </c>
      <c r="E3135" s="2" t="s">
        <v>12</v>
      </c>
      <c r="F3135" s="2">
        <v>469.63</v>
      </c>
      <c r="G3135" s="2">
        <v>69.400000000000006</v>
      </c>
      <c r="H3135" s="2" t="s">
        <v>19</v>
      </c>
      <c r="I3135" s="2" t="s">
        <v>20</v>
      </c>
    </row>
    <row r="3136" spans="1:9" x14ac:dyDescent="0.35">
      <c r="A3136" s="2" t="s">
        <v>3176</v>
      </c>
      <c r="B3136" s="3">
        <v>44718</v>
      </c>
      <c r="C3136" s="2" t="s">
        <v>22</v>
      </c>
      <c r="D3136" s="2" t="s">
        <v>95</v>
      </c>
      <c r="E3136" s="2" t="s">
        <v>18</v>
      </c>
      <c r="F3136" s="2">
        <v>1876.07</v>
      </c>
      <c r="G3136" s="2">
        <v>268.56</v>
      </c>
      <c r="H3136" s="2" t="s">
        <v>19</v>
      </c>
      <c r="I3136" s="2" t="s">
        <v>29</v>
      </c>
    </row>
    <row r="3137" spans="1:9" x14ac:dyDescent="0.35">
      <c r="A3137" s="2" t="s">
        <v>3177</v>
      </c>
      <c r="B3137" s="3">
        <v>44853</v>
      </c>
      <c r="C3137" s="2" t="s">
        <v>25</v>
      </c>
      <c r="D3137" s="2" t="s">
        <v>11</v>
      </c>
      <c r="E3137" s="2" t="s">
        <v>12</v>
      </c>
      <c r="F3137" s="2">
        <v>274.33999999999997</v>
      </c>
      <c r="G3137" s="2">
        <v>45.98</v>
      </c>
      <c r="H3137" s="2" t="s">
        <v>19</v>
      </c>
      <c r="I3137" s="2" t="s">
        <v>14</v>
      </c>
    </row>
    <row r="3138" spans="1:9" x14ac:dyDescent="0.35">
      <c r="A3138" s="2" t="s">
        <v>3178</v>
      </c>
      <c r="B3138" s="3">
        <v>45175</v>
      </c>
      <c r="C3138" s="2" t="s">
        <v>10</v>
      </c>
      <c r="D3138" s="2" t="s">
        <v>57</v>
      </c>
      <c r="E3138" s="2" t="s">
        <v>27</v>
      </c>
      <c r="F3138" s="2">
        <v>87.13</v>
      </c>
      <c r="G3138" s="2">
        <v>10.74</v>
      </c>
      <c r="H3138" s="2" t="s">
        <v>13</v>
      </c>
      <c r="I3138" s="2" t="s">
        <v>14</v>
      </c>
    </row>
    <row r="3139" spans="1:9" x14ac:dyDescent="0.35">
      <c r="A3139" s="2" t="s">
        <v>3179</v>
      </c>
      <c r="B3139" s="3">
        <v>44684</v>
      </c>
      <c r="C3139" s="2" t="s">
        <v>25</v>
      </c>
      <c r="D3139" s="2" t="s">
        <v>26</v>
      </c>
      <c r="E3139" s="2" t="s">
        <v>27</v>
      </c>
      <c r="F3139" s="2">
        <v>323.92</v>
      </c>
      <c r="G3139" s="2">
        <v>91.71</v>
      </c>
      <c r="H3139" s="2" t="s">
        <v>28</v>
      </c>
      <c r="I3139" s="2" t="s">
        <v>20</v>
      </c>
    </row>
    <row r="3140" spans="1:9" x14ac:dyDescent="0.35">
      <c r="A3140" s="2" t="s">
        <v>3180</v>
      </c>
      <c r="B3140" s="3">
        <v>45200</v>
      </c>
      <c r="C3140" s="2" t="s">
        <v>22</v>
      </c>
      <c r="D3140" s="2" t="s">
        <v>46</v>
      </c>
      <c r="E3140" s="2" t="s">
        <v>18</v>
      </c>
      <c r="F3140" s="2">
        <v>905</v>
      </c>
      <c r="G3140" s="2">
        <v>184.41</v>
      </c>
      <c r="H3140" s="2" t="s">
        <v>13</v>
      </c>
      <c r="I3140" s="2" t="s">
        <v>29</v>
      </c>
    </row>
    <row r="3141" spans="1:9" x14ac:dyDescent="0.35">
      <c r="A3141" s="2" t="s">
        <v>3181</v>
      </c>
      <c r="B3141" s="3">
        <v>44651</v>
      </c>
      <c r="C3141" s="2" t="s">
        <v>16</v>
      </c>
      <c r="D3141" s="2" t="s">
        <v>38</v>
      </c>
      <c r="E3141" s="2" t="s">
        <v>12</v>
      </c>
      <c r="F3141" s="2">
        <v>647.96</v>
      </c>
      <c r="G3141" s="2">
        <v>185.61</v>
      </c>
      <c r="H3141" s="2" t="s">
        <v>19</v>
      </c>
      <c r="I3141" s="2" t="s">
        <v>34</v>
      </c>
    </row>
    <row r="3142" spans="1:9" x14ac:dyDescent="0.35">
      <c r="A3142" s="2" t="s">
        <v>3182</v>
      </c>
      <c r="B3142" s="3">
        <v>45606</v>
      </c>
      <c r="C3142" s="2" t="s">
        <v>22</v>
      </c>
      <c r="D3142" s="2" t="s">
        <v>23</v>
      </c>
      <c r="E3142" s="2" t="s">
        <v>18</v>
      </c>
      <c r="F3142" s="2">
        <v>1033.31</v>
      </c>
      <c r="G3142" s="2">
        <v>127.04</v>
      </c>
      <c r="H3142" s="2" t="s">
        <v>28</v>
      </c>
      <c r="I3142" s="2" t="s">
        <v>34</v>
      </c>
    </row>
    <row r="3143" spans="1:9" x14ac:dyDescent="0.35">
      <c r="A3143" s="2" t="s">
        <v>3183</v>
      </c>
      <c r="B3143" s="3">
        <v>45566</v>
      </c>
      <c r="C3143" s="2" t="s">
        <v>10</v>
      </c>
      <c r="D3143" s="2" t="s">
        <v>26</v>
      </c>
      <c r="E3143" s="2" t="s">
        <v>27</v>
      </c>
      <c r="F3143" s="2">
        <v>898.51</v>
      </c>
      <c r="G3143" s="2">
        <v>176.26</v>
      </c>
      <c r="H3143" s="2" t="s">
        <v>28</v>
      </c>
      <c r="I3143" s="2" t="s">
        <v>34</v>
      </c>
    </row>
    <row r="3144" spans="1:9" x14ac:dyDescent="0.35">
      <c r="A3144" s="2" t="s">
        <v>3184</v>
      </c>
      <c r="B3144" s="3">
        <v>45014</v>
      </c>
      <c r="C3144" s="2" t="s">
        <v>25</v>
      </c>
      <c r="D3144" s="2" t="s">
        <v>50</v>
      </c>
      <c r="E3144" s="2" t="s">
        <v>12</v>
      </c>
      <c r="F3144" s="2">
        <v>359.45</v>
      </c>
      <c r="G3144" s="2">
        <v>51.96</v>
      </c>
      <c r="H3144" s="2" t="s">
        <v>28</v>
      </c>
      <c r="I3144" s="2" t="s">
        <v>34</v>
      </c>
    </row>
    <row r="3145" spans="1:9" x14ac:dyDescent="0.35">
      <c r="A3145" s="2" t="s">
        <v>3185</v>
      </c>
      <c r="B3145" s="3">
        <v>45305</v>
      </c>
      <c r="C3145" s="2" t="s">
        <v>16</v>
      </c>
      <c r="D3145" s="2" t="s">
        <v>33</v>
      </c>
      <c r="E3145" s="2" t="s">
        <v>18</v>
      </c>
      <c r="F3145" s="2">
        <v>1779.34</v>
      </c>
      <c r="G3145" s="2">
        <v>507.96</v>
      </c>
      <c r="H3145" s="2" t="s">
        <v>19</v>
      </c>
      <c r="I3145" s="2" t="s">
        <v>29</v>
      </c>
    </row>
    <row r="3146" spans="1:9" x14ac:dyDescent="0.35">
      <c r="A3146" s="2" t="s">
        <v>3186</v>
      </c>
      <c r="B3146" s="3">
        <v>44796</v>
      </c>
      <c r="C3146" s="2" t="s">
        <v>16</v>
      </c>
      <c r="D3146" s="2" t="s">
        <v>11</v>
      </c>
      <c r="E3146" s="2" t="s">
        <v>12</v>
      </c>
      <c r="F3146" s="2">
        <v>1978.24</v>
      </c>
      <c r="G3146" s="2">
        <v>356.1</v>
      </c>
      <c r="H3146" s="2" t="s">
        <v>13</v>
      </c>
      <c r="I3146" s="2" t="s">
        <v>34</v>
      </c>
    </row>
    <row r="3147" spans="1:9" x14ac:dyDescent="0.35">
      <c r="A3147" s="2" t="s">
        <v>3187</v>
      </c>
      <c r="B3147" s="3">
        <v>45583</v>
      </c>
      <c r="C3147" s="2" t="s">
        <v>22</v>
      </c>
      <c r="D3147" s="2" t="s">
        <v>97</v>
      </c>
      <c r="E3147" s="2" t="s">
        <v>27</v>
      </c>
      <c r="F3147" s="2">
        <v>1466.37</v>
      </c>
      <c r="G3147" s="2">
        <v>191.91</v>
      </c>
      <c r="H3147" s="2" t="s">
        <v>28</v>
      </c>
      <c r="I3147" s="2" t="s">
        <v>34</v>
      </c>
    </row>
    <row r="3148" spans="1:9" x14ac:dyDescent="0.35">
      <c r="A3148" s="2" t="s">
        <v>3188</v>
      </c>
      <c r="B3148" s="3">
        <v>45171</v>
      </c>
      <c r="C3148" s="2" t="s">
        <v>16</v>
      </c>
      <c r="D3148" s="2" t="s">
        <v>62</v>
      </c>
      <c r="E3148" s="2" t="s">
        <v>27</v>
      </c>
      <c r="F3148" s="2">
        <v>1103.0999999999999</v>
      </c>
      <c r="G3148" s="2">
        <v>170.62</v>
      </c>
      <c r="H3148" s="2" t="s">
        <v>19</v>
      </c>
      <c r="I3148" s="2" t="s">
        <v>29</v>
      </c>
    </row>
    <row r="3149" spans="1:9" x14ac:dyDescent="0.35">
      <c r="A3149" s="2" t="s">
        <v>3189</v>
      </c>
      <c r="B3149" s="3">
        <v>45319</v>
      </c>
      <c r="C3149" s="2" t="s">
        <v>16</v>
      </c>
      <c r="D3149" s="2" t="s">
        <v>17</v>
      </c>
      <c r="E3149" s="2" t="s">
        <v>18</v>
      </c>
      <c r="F3149" s="2">
        <v>358.67</v>
      </c>
      <c r="G3149" s="2">
        <v>43.09</v>
      </c>
      <c r="H3149" s="2" t="s">
        <v>28</v>
      </c>
      <c r="I3149" s="2" t="s">
        <v>29</v>
      </c>
    </row>
    <row r="3150" spans="1:9" x14ac:dyDescent="0.35">
      <c r="A3150" s="2" t="s">
        <v>3190</v>
      </c>
      <c r="B3150" s="3">
        <v>45178</v>
      </c>
      <c r="C3150" s="2" t="s">
        <v>22</v>
      </c>
      <c r="D3150" s="2" t="s">
        <v>26</v>
      </c>
      <c r="E3150" s="2" t="s">
        <v>27</v>
      </c>
      <c r="F3150" s="2">
        <v>976.65</v>
      </c>
      <c r="G3150" s="2">
        <v>277.72000000000003</v>
      </c>
      <c r="H3150" s="2" t="s">
        <v>19</v>
      </c>
      <c r="I3150" s="2" t="s">
        <v>20</v>
      </c>
    </row>
    <row r="3151" spans="1:9" x14ac:dyDescent="0.35">
      <c r="A3151" s="2" t="s">
        <v>3192</v>
      </c>
      <c r="B3151" s="3">
        <v>44866</v>
      </c>
      <c r="C3151" s="2" t="s">
        <v>22</v>
      </c>
      <c r="D3151" s="2" t="s">
        <v>31</v>
      </c>
      <c r="E3151" s="2" t="s">
        <v>12</v>
      </c>
      <c r="F3151" s="2">
        <v>1177.07</v>
      </c>
      <c r="G3151" s="2">
        <v>316.38</v>
      </c>
      <c r="H3151" s="2" t="s">
        <v>28</v>
      </c>
      <c r="I3151" s="2" t="s">
        <v>29</v>
      </c>
    </row>
    <row r="3152" spans="1:9" x14ac:dyDescent="0.35">
      <c r="A3152" s="2" t="s">
        <v>3193</v>
      </c>
      <c r="B3152" s="3">
        <v>45293</v>
      </c>
      <c r="C3152" s="2" t="s">
        <v>16</v>
      </c>
      <c r="D3152" s="2" t="s">
        <v>26</v>
      </c>
      <c r="E3152" s="2" t="s">
        <v>27</v>
      </c>
      <c r="F3152" s="2">
        <v>606.85</v>
      </c>
      <c r="G3152" s="2">
        <v>63.6</v>
      </c>
      <c r="H3152" s="2" t="s">
        <v>13</v>
      </c>
      <c r="I3152" s="2" t="s">
        <v>14</v>
      </c>
    </row>
    <row r="3153" spans="1:9" x14ac:dyDescent="0.35">
      <c r="A3153" s="2" t="s">
        <v>3194</v>
      </c>
      <c r="B3153" s="3">
        <v>44881</v>
      </c>
      <c r="C3153" s="2" t="s">
        <v>22</v>
      </c>
      <c r="D3153" s="2" t="s">
        <v>31</v>
      </c>
      <c r="E3153" s="2" t="s">
        <v>12</v>
      </c>
      <c r="F3153" s="2">
        <v>1010.99</v>
      </c>
      <c r="G3153" s="2">
        <v>81.73</v>
      </c>
      <c r="H3153" s="2" t="s">
        <v>13</v>
      </c>
      <c r="I3153" s="2" t="s">
        <v>34</v>
      </c>
    </row>
    <row r="3154" spans="1:9" x14ac:dyDescent="0.35">
      <c r="A3154" s="2" t="s">
        <v>3195</v>
      </c>
      <c r="B3154" s="3">
        <v>45280</v>
      </c>
      <c r="C3154" s="2" t="s">
        <v>10</v>
      </c>
      <c r="D3154" s="2" t="s">
        <v>31</v>
      </c>
      <c r="E3154" s="2" t="s">
        <v>12</v>
      </c>
      <c r="F3154" s="2">
        <v>1904.66</v>
      </c>
      <c r="G3154" s="2">
        <v>474.54</v>
      </c>
      <c r="H3154" s="2" t="s">
        <v>28</v>
      </c>
      <c r="I3154" s="2" t="s">
        <v>20</v>
      </c>
    </row>
    <row r="3155" spans="1:9" x14ac:dyDescent="0.35">
      <c r="A3155" s="2" t="s">
        <v>3196</v>
      </c>
      <c r="B3155" s="3">
        <v>45457</v>
      </c>
      <c r="C3155" s="2" t="s">
        <v>22</v>
      </c>
      <c r="D3155" s="2" t="s">
        <v>46</v>
      </c>
      <c r="E3155" s="2" t="s">
        <v>18</v>
      </c>
      <c r="F3155" s="2">
        <v>1746.44</v>
      </c>
      <c r="G3155" s="2">
        <v>393.2</v>
      </c>
      <c r="H3155" s="2" t="s">
        <v>13</v>
      </c>
      <c r="I3155" s="2" t="s">
        <v>20</v>
      </c>
    </row>
    <row r="3156" spans="1:9" x14ac:dyDescent="0.35">
      <c r="A3156" s="2" t="s">
        <v>3197</v>
      </c>
      <c r="B3156" s="3">
        <v>45148</v>
      </c>
      <c r="C3156" s="2" t="s">
        <v>16</v>
      </c>
      <c r="D3156" s="2" t="s">
        <v>38</v>
      </c>
      <c r="E3156" s="2" t="s">
        <v>12</v>
      </c>
      <c r="F3156" s="2">
        <v>1991.25</v>
      </c>
      <c r="G3156" s="2">
        <v>414.21</v>
      </c>
      <c r="H3156" s="2" t="s">
        <v>19</v>
      </c>
      <c r="I3156" s="2" t="s">
        <v>20</v>
      </c>
    </row>
    <row r="3157" spans="1:9" x14ac:dyDescent="0.35">
      <c r="A3157" s="2" t="s">
        <v>3198</v>
      </c>
      <c r="B3157" s="3">
        <v>44851</v>
      </c>
      <c r="C3157" s="2" t="s">
        <v>10</v>
      </c>
      <c r="D3157" s="2" t="s">
        <v>11</v>
      </c>
      <c r="E3157" s="2" t="s">
        <v>12</v>
      </c>
      <c r="F3157" s="2">
        <v>1735.54</v>
      </c>
      <c r="G3157" s="2">
        <v>142.5</v>
      </c>
      <c r="H3157" s="2" t="s">
        <v>28</v>
      </c>
      <c r="I3157" s="2" t="s">
        <v>29</v>
      </c>
    </row>
    <row r="3158" spans="1:9" x14ac:dyDescent="0.35">
      <c r="A3158" s="2" t="s">
        <v>3199</v>
      </c>
      <c r="B3158" s="3">
        <v>45618</v>
      </c>
      <c r="C3158" s="2" t="s">
        <v>25</v>
      </c>
      <c r="D3158" s="2" t="s">
        <v>23</v>
      </c>
      <c r="E3158" s="2" t="s">
        <v>18</v>
      </c>
      <c r="F3158" s="2">
        <v>1721.87</v>
      </c>
      <c r="G3158" s="2">
        <v>136.03</v>
      </c>
      <c r="H3158" s="2" t="s">
        <v>28</v>
      </c>
      <c r="I3158" s="2" t="s">
        <v>29</v>
      </c>
    </row>
    <row r="3159" spans="1:9" x14ac:dyDescent="0.35">
      <c r="A3159" s="2" t="s">
        <v>3200</v>
      </c>
      <c r="B3159" s="3">
        <v>45042</v>
      </c>
      <c r="C3159" s="2" t="s">
        <v>25</v>
      </c>
      <c r="D3159" s="2" t="s">
        <v>57</v>
      </c>
      <c r="E3159" s="2" t="s">
        <v>27</v>
      </c>
      <c r="F3159" s="2">
        <v>1315.7</v>
      </c>
      <c r="G3159" s="2">
        <v>100.8</v>
      </c>
      <c r="H3159" s="2" t="s">
        <v>13</v>
      </c>
      <c r="I3159" s="2" t="s">
        <v>20</v>
      </c>
    </row>
    <row r="3160" spans="1:9" x14ac:dyDescent="0.35">
      <c r="A3160" s="2" t="s">
        <v>3201</v>
      </c>
      <c r="B3160" s="3">
        <v>45124</v>
      </c>
      <c r="C3160" s="2" t="s">
        <v>16</v>
      </c>
      <c r="D3160" s="2" t="s">
        <v>26</v>
      </c>
      <c r="E3160" s="2" t="s">
        <v>27</v>
      </c>
      <c r="F3160" s="2">
        <v>1114.04</v>
      </c>
      <c r="G3160" s="2">
        <v>222.62</v>
      </c>
      <c r="H3160" s="2" t="s">
        <v>28</v>
      </c>
      <c r="I3160" s="2" t="s">
        <v>29</v>
      </c>
    </row>
    <row r="3161" spans="1:9" x14ac:dyDescent="0.35">
      <c r="A3161" s="2" t="s">
        <v>3202</v>
      </c>
      <c r="B3161" s="3">
        <v>45329</v>
      </c>
      <c r="C3161" s="2" t="s">
        <v>22</v>
      </c>
      <c r="D3161" s="2" t="s">
        <v>23</v>
      </c>
      <c r="E3161" s="2" t="s">
        <v>18</v>
      </c>
      <c r="F3161" s="2">
        <v>1029.01</v>
      </c>
      <c r="G3161" s="2">
        <v>97.24</v>
      </c>
      <c r="H3161" s="2" t="s">
        <v>19</v>
      </c>
      <c r="I3161" s="2" t="s">
        <v>20</v>
      </c>
    </row>
    <row r="3162" spans="1:9" x14ac:dyDescent="0.35">
      <c r="A3162" s="2" t="s">
        <v>3203</v>
      </c>
      <c r="B3162" s="3">
        <v>44790</v>
      </c>
      <c r="C3162" s="2" t="s">
        <v>10</v>
      </c>
      <c r="D3162" s="2" t="s">
        <v>57</v>
      </c>
      <c r="E3162" s="2" t="s">
        <v>27</v>
      </c>
      <c r="F3162" s="2">
        <v>674.72</v>
      </c>
      <c r="G3162" s="2">
        <v>125.2</v>
      </c>
      <c r="H3162" s="2" t="s">
        <v>28</v>
      </c>
      <c r="I3162" s="2" t="s">
        <v>34</v>
      </c>
    </row>
    <row r="3163" spans="1:9" x14ac:dyDescent="0.35">
      <c r="A3163" s="2" t="s">
        <v>3204</v>
      </c>
      <c r="B3163" s="3">
        <v>44726</v>
      </c>
      <c r="C3163" s="2" t="s">
        <v>16</v>
      </c>
      <c r="D3163" s="2" t="s">
        <v>26</v>
      </c>
      <c r="E3163" s="2" t="s">
        <v>27</v>
      </c>
      <c r="F3163" s="2">
        <v>493.94</v>
      </c>
      <c r="G3163" s="2">
        <v>34.840000000000003</v>
      </c>
      <c r="H3163" s="2" t="s">
        <v>13</v>
      </c>
      <c r="I3163" s="2" t="s">
        <v>20</v>
      </c>
    </row>
    <row r="3164" spans="1:9" x14ac:dyDescent="0.35">
      <c r="A3164" s="2" t="s">
        <v>3205</v>
      </c>
      <c r="B3164" s="3">
        <v>45429</v>
      </c>
      <c r="C3164" s="2" t="s">
        <v>22</v>
      </c>
      <c r="D3164" s="2" t="s">
        <v>26</v>
      </c>
      <c r="E3164" s="2" t="s">
        <v>27</v>
      </c>
      <c r="F3164" s="2">
        <v>102.63</v>
      </c>
      <c r="G3164" s="2">
        <v>12.43</v>
      </c>
      <c r="H3164" s="2" t="s">
        <v>13</v>
      </c>
      <c r="I3164" s="2" t="s">
        <v>20</v>
      </c>
    </row>
    <row r="3165" spans="1:9" x14ac:dyDescent="0.35">
      <c r="A3165" s="2" t="s">
        <v>3206</v>
      </c>
      <c r="B3165" s="3">
        <v>45195</v>
      </c>
      <c r="C3165" s="2" t="s">
        <v>10</v>
      </c>
      <c r="D3165" s="2" t="s">
        <v>46</v>
      </c>
      <c r="E3165" s="2" t="s">
        <v>18</v>
      </c>
      <c r="F3165" s="2">
        <v>859.3</v>
      </c>
      <c r="G3165" s="2">
        <v>229.69</v>
      </c>
      <c r="H3165" s="2" t="s">
        <v>28</v>
      </c>
      <c r="I3165" s="2" t="s">
        <v>29</v>
      </c>
    </row>
    <row r="3166" spans="1:9" x14ac:dyDescent="0.35">
      <c r="A3166" s="2" t="s">
        <v>3207</v>
      </c>
      <c r="B3166" s="3">
        <v>45108</v>
      </c>
      <c r="C3166" s="2" t="s">
        <v>16</v>
      </c>
      <c r="D3166" s="2" t="s">
        <v>38</v>
      </c>
      <c r="E3166" s="2" t="s">
        <v>12</v>
      </c>
      <c r="F3166" s="2">
        <v>130.09</v>
      </c>
      <c r="G3166" s="2">
        <v>14.61</v>
      </c>
      <c r="H3166" s="2" t="s">
        <v>19</v>
      </c>
      <c r="I3166" s="2" t="s">
        <v>34</v>
      </c>
    </row>
    <row r="3167" spans="1:9" x14ac:dyDescent="0.35">
      <c r="A3167" s="2" t="s">
        <v>3208</v>
      </c>
      <c r="B3167" s="3">
        <v>45516</v>
      </c>
      <c r="C3167" s="2" t="s">
        <v>25</v>
      </c>
      <c r="D3167" s="2" t="s">
        <v>17</v>
      </c>
      <c r="E3167" s="2" t="s">
        <v>18</v>
      </c>
      <c r="F3167" s="2">
        <v>1519.54</v>
      </c>
      <c r="G3167" s="2">
        <v>176.83</v>
      </c>
      <c r="H3167" s="2" t="s">
        <v>13</v>
      </c>
      <c r="I3167" s="2" t="s">
        <v>14</v>
      </c>
    </row>
    <row r="3168" spans="1:9" x14ac:dyDescent="0.35">
      <c r="A3168" s="2" t="s">
        <v>3209</v>
      </c>
      <c r="B3168" s="3">
        <v>44635</v>
      </c>
      <c r="C3168" s="2" t="s">
        <v>16</v>
      </c>
      <c r="D3168" s="2" t="s">
        <v>73</v>
      </c>
      <c r="E3168" s="2" t="s">
        <v>27</v>
      </c>
      <c r="F3168" s="2">
        <v>1515.98</v>
      </c>
      <c r="G3168" s="2">
        <v>332.22</v>
      </c>
      <c r="H3168" s="2" t="s">
        <v>19</v>
      </c>
      <c r="I3168" s="2" t="s">
        <v>20</v>
      </c>
    </row>
    <row r="3169" spans="1:9" x14ac:dyDescent="0.35">
      <c r="A3169" s="2" t="s">
        <v>3210</v>
      </c>
      <c r="B3169" s="3">
        <v>45539</v>
      </c>
      <c r="C3169" s="2" t="s">
        <v>10</v>
      </c>
      <c r="D3169" s="2" t="s">
        <v>46</v>
      </c>
      <c r="E3169" s="2" t="s">
        <v>18</v>
      </c>
      <c r="F3169" s="2">
        <v>1501.81</v>
      </c>
      <c r="G3169" s="2">
        <v>367.43</v>
      </c>
      <c r="H3169" s="2" t="s">
        <v>13</v>
      </c>
      <c r="I3169" s="2" t="s">
        <v>29</v>
      </c>
    </row>
    <row r="3170" spans="1:9" x14ac:dyDescent="0.35">
      <c r="A3170" s="2" t="s">
        <v>3211</v>
      </c>
      <c r="B3170" s="3">
        <v>44974</v>
      </c>
      <c r="C3170" s="2" t="s">
        <v>16</v>
      </c>
      <c r="D3170" s="2" t="s">
        <v>62</v>
      </c>
      <c r="E3170" s="2" t="s">
        <v>27</v>
      </c>
      <c r="F3170" s="2">
        <v>242.05</v>
      </c>
      <c r="G3170" s="2">
        <v>47.61</v>
      </c>
      <c r="H3170" s="2" t="s">
        <v>13</v>
      </c>
      <c r="I3170" s="2" t="s">
        <v>20</v>
      </c>
    </row>
    <row r="3171" spans="1:9" x14ac:dyDescent="0.35">
      <c r="A3171" s="2" t="s">
        <v>3212</v>
      </c>
      <c r="B3171" s="3">
        <v>45360</v>
      </c>
      <c r="C3171" s="2" t="s">
        <v>10</v>
      </c>
      <c r="D3171" s="2" t="s">
        <v>50</v>
      </c>
      <c r="E3171" s="2" t="s">
        <v>12</v>
      </c>
      <c r="F3171" s="2">
        <v>622.19000000000005</v>
      </c>
      <c r="G3171" s="2">
        <v>48.73</v>
      </c>
      <c r="H3171" s="2" t="s">
        <v>13</v>
      </c>
      <c r="I3171" s="2" t="s">
        <v>14</v>
      </c>
    </row>
    <row r="3172" spans="1:9" x14ac:dyDescent="0.35">
      <c r="A3172" s="2" t="s">
        <v>3213</v>
      </c>
      <c r="B3172" s="3">
        <v>45195</v>
      </c>
      <c r="C3172" s="2" t="s">
        <v>22</v>
      </c>
      <c r="D3172" s="2" t="s">
        <v>31</v>
      </c>
      <c r="E3172" s="2" t="s">
        <v>12</v>
      </c>
      <c r="F3172" s="2">
        <v>1621.72</v>
      </c>
      <c r="G3172" s="2">
        <v>483.49</v>
      </c>
      <c r="H3172" s="2" t="s">
        <v>28</v>
      </c>
      <c r="I3172" s="2" t="s">
        <v>34</v>
      </c>
    </row>
    <row r="3173" spans="1:9" x14ac:dyDescent="0.35">
      <c r="A3173" s="2" t="s">
        <v>3214</v>
      </c>
      <c r="B3173" s="3">
        <v>45109</v>
      </c>
      <c r="C3173" s="2" t="s">
        <v>25</v>
      </c>
      <c r="D3173" s="2" t="s">
        <v>50</v>
      </c>
      <c r="E3173" s="2" t="s">
        <v>12</v>
      </c>
      <c r="F3173" s="2">
        <v>658.02</v>
      </c>
      <c r="G3173" s="2">
        <v>162.59</v>
      </c>
      <c r="H3173" s="2" t="s">
        <v>28</v>
      </c>
      <c r="I3173" s="2" t="s">
        <v>20</v>
      </c>
    </row>
    <row r="3174" spans="1:9" x14ac:dyDescent="0.35">
      <c r="A3174" s="2" t="s">
        <v>3215</v>
      </c>
      <c r="B3174" s="3">
        <v>45417</v>
      </c>
      <c r="C3174" s="2" t="s">
        <v>25</v>
      </c>
      <c r="D3174" s="2" t="s">
        <v>31</v>
      </c>
      <c r="E3174" s="2" t="s">
        <v>12</v>
      </c>
      <c r="F3174" s="2">
        <v>502.7</v>
      </c>
      <c r="G3174" s="2">
        <v>39.520000000000003</v>
      </c>
      <c r="H3174" s="2" t="s">
        <v>13</v>
      </c>
      <c r="I3174" s="2" t="s">
        <v>34</v>
      </c>
    </row>
    <row r="3175" spans="1:9" x14ac:dyDescent="0.35">
      <c r="A3175" s="2" t="s">
        <v>3216</v>
      </c>
      <c r="B3175" s="3">
        <v>45424</v>
      </c>
      <c r="C3175" s="2" t="s">
        <v>25</v>
      </c>
      <c r="D3175" s="2" t="s">
        <v>38</v>
      </c>
      <c r="E3175" s="2" t="s">
        <v>12</v>
      </c>
      <c r="F3175" s="2">
        <v>374.88</v>
      </c>
      <c r="G3175" s="2">
        <v>22.03</v>
      </c>
      <c r="H3175" s="2" t="s">
        <v>19</v>
      </c>
      <c r="I3175" s="2" t="s">
        <v>14</v>
      </c>
    </row>
    <row r="3176" spans="1:9" x14ac:dyDescent="0.35">
      <c r="A3176" s="2" t="s">
        <v>3217</v>
      </c>
      <c r="B3176" s="3">
        <v>44610</v>
      </c>
      <c r="C3176" s="2" t="s">
        <v>25</v>
      </c>
      <c r="D3176" s="2" t="s">
        <v>31</v>
      </c>
      <c r="E3176" s="2" t="s">
        <v>12</v>
      </c>
      <c r="F3176" s="2">
        <v>169.03</v>
      </c>
      <c r="G3176" s="2">
        <v>31.53</v>
      </c>
      <c r="H3176" s="2" t="s">
        <v>13</v>
      </c>
      <c r="I3176" s="2" t="s">
        <v>29</v>
      </c>
    </row>
    <row r="3177" spans="1:9" x14ac:dyDescent="0.35">
      <c r="A3177" s="2" t="s">
        <v>3218</v>
      </c>
      <c r="B3177" s="3">
        <v>44579</v>
      </c>
      <c r="C3177" s="2" t="s">
        <v>25</v>
      </c>
      <c r="D3177" s="2" t="s">
        <v>46</v>
      </c>
      <c r="E3177" s="2" t="s">
        <v>18</v>
      </c>
      <c r="F3177" s="2">
        <v>1888.56</v>
      </c>
      <c r="G3177" s="2">
        <v>309.79000000000002</v>
      </c>
      <c r="H3177" s="2" t="s">
        <v>13</v>
      </c>
      <c r="I3177" s="2" t="s">
        <v>14</v>
      </c>
    </row>
    <row r="3178" spans="1:9" x14ac:dyDescent="0.35">
      <c r="A3178" s="2" t="s">
        <v>3219</v>
      </c>
      <c r="B3178" s="3">
        <v>45620</v>
      </c>
      <c r="C3178" s="2" t="s">
        <v>25</v>
      </c>
      <c r="D3178" s="2" t="s">
        <v>46</v>
      </c>
      <c r="E3178" s="2" t="s">
        <v>18</v>
      </c>
      <c r="F3178" s="2">
        <v>128.09</v>
      </c>
      <c r="G3178" s="2">
        <v>16.079999999999998</v>
      </c>
      <c r="H3178" s="2" t="s">
        <v>19</v>
      </c>
      <c r="I3178" s="2" t="s">
        <v>29</v>
      </c>
    </row>
    <row r="3179" spans="1:9" x14ac:dyDescent="0.35">
      <c r="A3179" s="2" t="s">
        <v>3220</v>
      </c>
      <c r="B3179" s="3">
        <v>45402</v>
      </c>
      <c r="C3179" s="2" t="s">
        <v>10</v>
      </c>
      <c r="D3179" s="2" t="s">
        <v>33</v>
      </c>
      <c r="E3179" s="2" t="s">
        <v>18</v>
      </c>
      <c r="F3179" s="2">
        <v>1362.61</v>
      </c>
      <c r="G3179" s="2">
        <v>339.06</v>
      </c>
      <c r="H3179" s="2" t="s">
        <v>13</v>
      </c>
      <c r="I3179" s="2" t="s">
        <v>29</v>
      </c>
    </row>
    <row r="3180" spans="1:9" x14ac:dyDescent="0.35">
      <c r="A3180" s="2" t="s">
        <v>3221</v>
      </c>
      <c r="B3180" s="3">
        <v>45155</v>
      </c>
      <c r="C3180" s="2" t="s">
        <v>10</v>
      </c>
      <c r="D3180" s="2" t="s">
        <v>73</v>
      </c>
      <c r="E3180" s="2" t="s">
        <v>27</v>
      </c>
      <c r="F3180" s="2">
        <v>1016.94</v>
      </c>
      <c r="G3180" s="2">
        <v>146.44</v>
      </c>
      <c r="H3180" s="2" t="s">
        <v>13</v>
      </c>
      <c r="I3180" s="2" t="s">
        <v>29</v>
      </c>
    </row>
    <row r="3181" spans="1:9" x14ac:dyDescent="0.35">
      <c r="A3181" s="2" t="s">
        <v>3222</v>
      </c>
      <c r="B3181" s="3">
        <v>45238</v>
      </c>
      <c r="C3181" s="2" t="s">
        <v>25</v>
      </c>
      <c r="D3181" s="2" t="s">
        <v>62</v>
      </c>
      <c r="E3181" s="2" t="s">
        <v>27</v>
      </c>
      <c r="F3181" s="2">
        <v>1339.24</v>
      </c>
      <c r="G3181" s="2">
        <v>172.61</v>
      </c>
      <c r="H3181" s="2" t="s">
        <v>13</v>
      </c>
      <c r="I3181" s="2" t="s">
        <v>34</v>
      </c>
    </row>
    <row r="3182" spans="1:9" x14ac:dyDescent="0.35">
      <c r="A3182" s="2" t="s">
        <v>3223</v>
      </c>
      <c r="B3182" s="3">
        <v>44893</v>
      </c>
      <c r="C3182" s="2" t="s">
        <v>25</v>
      </c>
      <c r="D3182" s="2" t="s">
        <v>73</v>
      </c>
      <c r="E3182" s="2" t="s">
        <v>27</v>
      </c>
      <c r="F3182" s="2">
        <v>1678.74</v>
      </c>
      <c r="G3182" s="2">
        <v>200.22</v>
      </c>
      <c r="H3182" s="2" t="s">
        <v>28</v>
      </c>
      <c r="I3182" s="2" t="s">
        <v>20</v>
      </c>
    </row>
    <row r="3183" spans="1:9" x14ac:dyDescent="0.35">
      <c r="A3183" s="2" t="s">
        <v>3225</v>
      </c>
      <c r="B3183" s="3">
        <v>45509</v>
      </c>
      <c r="C3183" s="2" t="s">
        <v>16</v>
      </c>
      <c r="D3183" s="2" t="s">
        <v>50</v>
      </c>
      <c r="E3183" s="2" t="s">
        <v>12</v>
      </c>
      <c r="F3183" s="2">
        <v>585.02</v>
      </c>
      <c r="G3183" s="2">
        <v>170.37</v>
      </c>
      <c r="H3183" s="2" t="s">
        <v>13</v>
      </c>
      <c r="I3183" s="2" t="s">
        <v>34</v>
      </c>
    </row>
    <row r="3184" spans="1:9" x14ac:dyDescent="0.35">
      <c r="A3184" s="2" t="s">
        <v>3226</v>
      </c>
      <c r="B3184" s="3">
        <v>44864</v>
      </c>
      <c r="C3184" s="2" t="s">
        <v>10</v>
      </c>
      <c r="D3184" s="2" t="s">
        <v>33</v>
      </c>
      <c r="E3184" s="2" t="s">
        <v>18</v>
      </c>
      <c r="F3184" s="2">
        <v>464.16</v>
      </c>
      <c r="G3184" s="2">
        <v>96.32</v>
      </c>
      <c r="H3184" s="2" t="s">
        <v>13</v>
      </c>
      <c r="I3184" s="2" t="s">
        <v>20</v>
      </c>
    </row>
    <row r="3185" spans="1:9" x14ac:dyDescent="0.35">
      <c r="A3185" s="2" t="s">
        <v>3227</v>
      </c>
      <c r="B3185" s="3">
        <v>45635</v>
      </c>
      <c r="C3185" s="2" t="s">
        <v>16</v>
      </c>
      <c r="D3185" s="2" t="s">
        <v>46</v>
      </c>
      <c r="E3185" s="2" t="s">
        <v>18</v>
      </c>
      <c r="F3185" s="2">
        <v>1440.97</v>
      </c>
      <c r="G3185" s="2">
        <v>123.38</v>
      </c>
      <c r="H3185" s="2" t="s">
        <v>13</v>
      </c>
      <c r="I3185" s="2" t="s">
        <v>29</v>
      </c>
    </row>
    <row r="3186" spans="1:9" x14ac:dyDescent="0.35">
      <c r="A3186" s="2" t="s">
        <v>3228</v>
      </c>
      <c r="B3186" s="3">
        <v>45242</v>
      </c>
      <c r="C3186" s="2" t="s">
        <v>22</v>
      </c>
      <c r="D3186" s="2" t="s">
        <v>38</v>
      </c>
      <c r="E3186" s="2" t="s">
        <v>12</v>
      </c>
      <c r="F3186" s="2">
        <v>569.51</v>
      </c>
      <c r="G3186" s="2">
        <v>169.75</v>
      </c>
      <c r="H3186" s="2" t="s">
        <v>19</v>
      </c>
      <c r="I3186" s="2" t="s">
        <v>20</v>
      </c>
    </row>
    <row r="3187" spans="1:9" x14ac:dyDescent="0.35">
      <c r="A3187" s="2" t="s">
        <v>3229</v>
      </c>
      <c r="B3187" s="3">
        <v>44636</v>
      </c>
      <c r="C3187" s="2" t="s">
        <v>16</v>
      </c>
      <c r="D3187" s="2" t="s">
        <v>50</v>
      </c>
      <c r="E3187" s="2" t="s">
        <v>12</v>
      </c>
      <c r="F3187" s="2">
        <v>927.19</v>
      </c>
      <c r="G3187" s="2">
        <v>81.45</v>
      </c>
      <c r="H3187" s="2" t="s">
        <v>19</v>
      </c>
      <c r="I3187" s="2" t="s">
        <v>14</v>
      </c>
    </row>
    <row r="3188" spans="1:9" x14ac:dyDescent="0.35">
      <c r="A3188" s="2" t="s">
        <v>3231</v>
      </c>
      <c r="B3188" s="3">
        <v>44667</v>
      </c>
      <c r="C3188" s="2" t="s">
        <v>16</v>
      </c>
      <c r="D3188" s="2" t="s">
        <v>97</v>
      </c>
      <c r="E3188" s="2" t="s">
        <v>27</v>
      </c>
      <c r="F3188" s="2">
        <v>1440.26</v>
      </c>
      <c r="G3188" s="2">
        <v>189.71</v>
      </c>
      <c r="H3188" s="2" t="s">
        <v>28</v>
      </c>
      <c r="I3188" s="2" t="s">
        <v>14</v>
      </c>
    </row>
    <row r="3189" spans="1:9" x14ac:dyDescent="0.35">
      <c r="A3189" s="2" t="s">
        <v>3232</v>
      </c>
      <c r="B3189" s="3">
        <v>45047</v>
      </c>
      <c r="C3189" s="2" t="s">
        <v>25</v>
      </c>
      <c r="D3189" s="2" t="s">
        <v>46</v>
      </c>
      <c r="E3189" s="2" t="s">
        <v>18</v>
      </c>
      <c r="F3189" s="2">
        <v>900.94</v>
      </c>
      <c r="G3189" s="2">
        <v>219.18</v>
      </c>
      <c r="H3189" s="2" t="s">
        <v>19</v>
      </c>
      <c r="I3189" s="2" t="s">
        <v>29</v>
      </c>
    </row>
    <row r="3190" spans="1:9" x14ac:dyDescent="0.35">
      <c r="A3190" s="2" t="s">
        <v>3233</v>
      </c>
      <c r="B3190" s="3">
        <v>44660</v>
      </c>
      <c r="C3190" s="2" t="s">
        <v>22</v>
      </c>
      <c r="D3190" s="2" t="s">
        <v>57</v>
      </c>
      <c r="E3190" s="2" t="s">
        <v>27</v>
      </c>
      <c r="F3190" s="2">
        <v>1318.07</v>
      </c>
      <c r="G3190" s="2">
        <v>80.150000000000006</v>
      </c>
      <c r="H3190" s="2" t="s">
        <v>28</v>
      </c>
      <c r="I3190" s="2" t="s">
        <v>29</v>
      </c>
    </row>
    <row r="3191" spans="1:9" x14ac:dyDescent="0.35">
      <c r="A3191" s="2" t="s">
        <v>3234</v>
      </c>
      <c r="B3191" s="3">
        <v>44660</v>
      </c>
      <c r="C3191" s="2" t="s">
        <v>10</v>
      </c>
      <c r="D3191" s="2" t="s">
        <v>95</v>
      </c>
      <c r="E3191" s="2" t="s">
        <v>18</v>
      </c>
      <c r="F3191" s="2">
        <v>61.59</v>
      </c>
      <c r="G3191" s="2">
        <v>4.41</v>
      </c>
      <c r="H3191" s="2" t="s">
        <v>19</v>
      </c>
      <c r="I3191" s="2" t="s">
        <v>34</v>
      </c>
    </row>
    <row r="3192" spans="1:9" x14ac:dyDescent="0.35">
      <c r="A3192" s="2" t="s">
        <v>3235</v>
      </c>
      <c r="B3192" s="3">
        <v>44791</v>
      </c>
      <c r="C3192" s="2" t="s">
        <v>16</v>
      </c>
      <c r="D3192" s="2" t="s">
        <v>41</v>
      </c>
      <c r="E3192" s="2" t="s">
        <v>12</v>
      </c>
      <c r="F3192" s="2">
        <v>235</v>
      </c>
      <c r="G3192" s="2">
        <v>42.29</v>
      </c>
      <c r="H3192" s="2" t="s">
        <v>13</v>
      </c>
      <c r="I3192" s="2" t="s">
        <v>34</v>
      </c>
    </row>
    <row r="3193" spans="1:9" x14ac:dyDescent="0.35">
      <c r="A3193" s="2" t="s">
        <v>3236</v>
      </c>
      <c r="B3193" s="3">
        <v>45294</v>
      </c>
      <c r="C3193" s="2" t="s">
        <v>25</v>
      </c>
      <c r="D3193" s="2" t="s">
        <v>73</v>
      </c>
      <c r="E3193" s="2" t="s">
        <v>27</v>
      </c>
      <c r="F3193" s="2">
        <v>1514.6</v>
      </c>
      <c r="G3193" s="2">
        <v>211.1</v>
      </c>
      <c r="H3193" s="2" t="s">
        <v>19</v>
      </c>
      <c r="I3193" s="2" t="s">
        <v>34</v>
      </c>
    </row>
    <row r="3194" spans="1:9" x14ac:dyDescent="0.35">
      <c r="A3194" s="2" t="s">
        <v>3237</v>
      </c>
      <c r="B3194" s="3">
        <v>44923</v>
      </c>
      <c r="C3194" s="2" t="s">
        <v>16</v>
      </c>
      <c r="D3194" s="2" t="s">
        <v>57</v>
      </c>
      <c r="E3194" s="2" t="s">
        <v>27</v>
      </c>
      <c r="F3194" s="2">
        <v>959.37</v>
      </c>
      <c r="G3194" s="2">
        <v>281.18</v>
      </c>
      <c r="H3194" s="2" t="s">
        <v>13</v>
      </c>
      <c r="I3194" s="2" t="s">
        <v>20</v>
      </c>
    </row>
    <row r="3195" spans="1:9" x14ac:dyDescent="0.35">
      <c r="A3195" s="2" t="s">
        <v>3238</v>
      </c>
      <c r="B3195" s="3">
        <v>45512</v>
      </c>
      <c r="C3195" s="2" t="s">
        <v>16</v>
      </c>
      <c r="D3195" s="2" t="s">
        <v>46</v>
      </c>
      <c r="E3195" s="2" t="s">
        <v>18</v>
      </c>
      <c r="F3195" s="2">
        <v>1029.8599999999999</v>
      </c>
      <c r="G3195" s="2">
        <v>73.680000000000007</v>
      </c>
      <c r="H3195" s="2" t="s">
        <v>28</v>
      </c>
      <c r="I3195" s="2" t="s">
        <v>29</v>
      </c>
    </row>
    <row r="3196" spans="1:9" x14ac:dyDescent="0.35">
      <c r="A3196" s="2" t="s">
        <v>3239</v>
      </c>
      <c r="B3196" s="3">
        <v>45409</v>
      </c>
      <c r="C3196" s="2" t="s">
        <v>16</v>
      </c>
      <c r="D3196" s="2" t="s">
        <v>50</v>
      </c>
      <c r="E3196" s="2" t="s">
        <v>12</v>
      </c>
      <c r="F3196" s="2">
        <v>593.05999999999995</v>
      </c>
      <c r="G3196" s="2">
        <v>167.39</v>
      </c>
      <c r="H3196" s="2" t="s">
        <v>13</v>
      </c>
      <c r="I3196" s="2" t="s">
        <v>34</v>
      </c>
    </row>
    <row r="3197" spans="1:9" x14ac:dyDescent="0.35">
      <c r="A3197" s="2" t="s">
        <v>3240</v>
      </c>
      <c r="B3197" s="3">
        <v>45213</v>
      </c>
      <c r="C3197" s="2" t="s">
        <v>22</v>
      </c>
      <c r="D3197" s="2" t="s">
        <v>23</v>
      </c>
      <c r="E3197" s="2" t="s">
        <v>18</v>
      </c>
      <c r="F3197" s="2">
        <v>127.5</v>
      </c>
      <c r="G3197" s="2">
        <v>30.14</v>
      </c>
      <c r="H3197" s="2" t="s">
        <v>28</v>
      </c>
      <c r="I3197" s="2" t="s">
        <v>29</v>
      </c>
    </row>
    <row r="3198" spans="1:9" x14ac:dyDescent="0.35">
      <c r="A3198" s="2" t="s">
        <v>3241</v>
      </c>
      <c r="B3198" s="3">
        <v>44702</v>
      </c>
      <c r="C3198" s="2" t="s">
        <v>25</v>
      </c>
      <c r="D3198" s="2" t="s">
        <v>38</v>
      </c>
      <c r="E3198" s="2" t="s">
        <v>12</v>
      </c>
      <c r="F3198" s="2">
        <v>1189.31</v>
      </c>
      <c r="G3198" s="2">
        <v>149.41999999999999</v>
      </c>
      <c r="H3198" s="2" t="s">
        <v>13</v>
      </c>
      <c r="I3198" s="2" t="s">
        <v>29</v>
      </c>
    </row>
    <row r="3199" spans="1:9" x14ac:dyDescent="0.35">
      <c r="A3199" s="2" t="s">
        <v>3242</v>
      </c>
      <c r="B3199" s="3">
        <v>44589</v>
      </c>
      <c r="C3199" s="2" t="s">
        <v>10</v>
      </c>
      <c r="D3199" s="2" t="s">
        <v>38</v>
      </c>
      <c r="E3199" s="2" t="s">
        <v>12</v>
      </c>
      <c r="F3199" s="2">
        <v>304.69</v>
      </c>
      <c r="G3199" s="2">
        <v>52.15</v>
      </c>
      <c r="H3199" s="2" t="s">
        <v>13</v>
      </c>
      <c r="I3199" s="2" t="s">
        <v>34</v>
      </c>
    </row>
    <row r="3200" spans="1:9" x14ac:dyDescent="0.35">
      <c r="A3200" s="2" t="s">
        <v>3243</v>
      </c>
      <c r="B3200" s="3">
        <v>45394</v>
      </c>
      <c r="C3200" s="2" t="s">
        <v>22</v>
      </c>
      <c r="D3200" s="2" t="s">
        <v>97</v>
      </c>
      <c r="E3200" s="2" t="s">
        <v>27</v>
      </c>
      <c r="F3200" s="2">
        <v>1829.54</v>
      </c>
      <c r="G3200" s="2">
        <v>216.37</v>
      </c>
      <c r="H3200" s="2" t="s">
        <v>28</v>
      </c>
      <c r="I3200" s="2" t="s">
        <v>14</v>
      </c>
    </row>
    <row r="3201" spans="1:9" x14ac:dyDescent="0.35">
      <c r="A3201" s="2" t="s">
        <v>3244</v>
      </c>
      <c r="B3201" s="3">
        <v>44820</v>
      </c>
      <c r="C3201" s="2" t="s">
        <v>16</v>
      </c>
      <c r="D3201" s="2" t="s">
        <v>97</v>
      </c>
      <c r="E3201" s="2" t="s">
        <v>27</v>
      </c>
      <c r="F3201" s="2">
        <v>716.96</v>
      </c>
      <c r="G3201" s="2">
        <v>49.5</v>
      </c>
      <c r="H3201" s="2" t="s">
        <v>13</v>
      </c>
      <c r="I3201" s="2" t="s">
        <v>29</v>
      </c>
    </row>
    <row r="3202" spans="1:9" x14ac:dyDescent="0.35">
      <c r="A3202" s="2" t="s">
        <v>3245</v>
      </c>
      <c r="B3202" s="3">
        <v>44902</v>
      </c>
      <c r="C3202" s="2" t="s">
        <v>16</v>
      </c>
      <c r="D3202" s="2" t="s">
        <v>31</v>
      </c>
      <c r="E3202" s="2" t="s">
        <v>12</v>
      </c>
      <c r="F3202" s="2">
        <v>1939.3</v>
      </c>
      <c r="G3202" s="2">
        <v>537.97</v>
      </c>
      <c r="H3202" s="2" t="s">
        <v>13</v>
      </c>
      <c r="I3202" s="2" t="s">
        <v>14</v>
      </c>
    </row>
    <row r="3203" spans="1:9" x14ac:dyDescent="0.35">
      <c r="A3203" s="2" t="s">
        <v>3246</v>
      </c>
      <c r="B3203" s="3">
        <v>45511</v>
      </c>
      <c r="C3203" s="2" t="s">
        <v>22</v>
      </c>
      <c r="D3203" s="2" t="s">
        <v>11</v>
      </c>
      <c r="E3203" s="2" t="s">
        <v>12</v>
      </c>
      <c r="F3203" s="2">
        <v>1040.71</v>
      </c>
      <c r="G3203" s="2">
        <v>301.24</v>
      </c>
      <c r="H3203" s="2" t="s">
        <v>19</v>
      </c>
      <c r="I3203" s="2" t="s">
        <v>14</v>
      </c>
    </row>
    <row r="3204" spans="1:9" x14ac:dyDescent="0.35">
      <c r="A3204" s="2" t="s">
        <v>3247</v>
      </c>
      <c r="B3204" s="3">
        <v>45060</v>
      </c>
      <c r="C3204" s="2" t="s">
        <v>22</v>
      </c>
      <c r="D3204" s="2" t="s">
        <v>33</v>
      </c>
      <c r="E3204" s="2" t="s">
        <v>18</v>
      </c>
      <c r="F3204" s="2">
        <v>1203.8599999999999</v>
      </c>
      <c r="G3204" s="2">
        <v>95.58</v>
      </c>
      <c r="H3204" s="2" t="s">
        <v>28</v>
      </c>
      <c r="I3204" s="2" t="s">
        <v>29</v>
      </c>
    </row>
    <row r="3205" spans="1:9" x14ac:dyDescent="0.35">
      <c r="A3205" s="2" t="s">
        <v>3248</v>
      </c>
      <c r="B3205" s="3">
        <v>44698</v>
      </c>
      <c r="C3205" s="2" t="s">
        <v>10</v>
      </c>
      <c r="D3205" s="2" t="s">
        <v>23</v>
      </c>
      <c r="E3205" s="2" t="s">
        <v>18</v>
      </c>
      <c r="F3205" s="2">
        <v>290.51</v>
      </c>
      <c r="G3205" s="2">
        <v>69.5</v>
      </c>
      <c r="H3205" s="2" t="s">
        <v>13</v>
      </c>
      <c r="I3205" s="2" t="s">
        <v>34</v>
      </c>
    </row>
    <row r="3206" spans="1:9" x14ac:dyDescent="0.35">
      <c r="A3206" s="2" t="s">
        <v>3249</v>
      </c>
      <c r="B3206" s="3">
        <v>45032</v>
      </c>
      <c r="C3206" s="2" t="s">
        <v>10</v>
      </c>
      <c r="D3206" s="2" t="s">
        <v>38</v>
      </c>
      <c r="E3206" s="2" t="s">
        <v>12</v>
      </c>
      <c r="F3206" s="2">
        <v>1893.13</v>
      </c>
      <c r="G3206" s="2">
        <v>239.57</v>
      </c>
      <c r="H3206" s="2" t="s">
        <v>19</v>
      </c>
      <c r="I3206" s="2" t="s">
        <v>34</v>
      </c>
    </row>
    <row r="3207" spans="1:9" x14ac:dyDescent="0.35">
      <c r="A3207" s="2" t="s">
        <v>3250</v>
      </c>
      <c r="B3207" s="3">
        <v>45568</v>
      </c>
      <c r="C3207" s="2" t="s">
        <v>16</v>
      </c>
      <c r="D3207" s="2" t="s">
        <v>97</v>
      </c>
      <c r="E3207" s="2" t="s">
        <v>27</v>
      </c>
      <c r="F3207" s="2">
        <v>1693.37</v>
      </c>
      <c r="G3207" s="2">
        <v>304.48</v>
      </c>
      <c r="H3207" s="2" t="s">
        <v>28</v>
      </c>
      <c r="I3207" s="2" t="s">
        <v>34</v>
      </c>
    </row>
    <row r="3208" spans="1:9" x14ac:dyDescent="0.35">
      <c r="A3208" s="2" t="s">
        <v>3251</v>
      </c>
      <c r="B3208" s="3">
        <v>45285</v>
      </c>
      <c r="C3208" s="2" t="s">
        <v>10</v>
      </c>
      <c r="D3208" s="2" t="s">
        <v>62</v>
      </c>
      <c r="E3208" s="2" t="s">
        <v>27</v>
      </c>
      <c r="F3208" s="2">
        <v>1713.87</v>
      </c>
      <c r="G3208" s="2">
        <v>394.65</v>
      </c>
      <c r="H3208" s="2" t="s">
        <v>28</v>
      </c>
      <c r="I3208" s="2" t="s">
        <v>20</v>
      </c>
    </row>
    <row r="3209" spans="1:9" x14ac:dyDescent="0.35">
      <c r="A3209" s="2" t="s">
        <v>3252</v>
      </c>
      <c r="B3209" s="3">
        <v>45391</v>
      </c>
      <c r="C3209" s="2" t="s">
        <v>16</v>
      </c>
      <c r="D3209" s="2" t="s">
        <v>50</v>
      </c>
      <c r="E3209" s="2" t="s">
        <v>12</v>
      </c>
      <c r="F3209" s="2">
        <v>249.47</v>
      </c>
      <c r="G3209" s="2">
        <v>37.21</v>
      </c>
      <c r="H3209" s="2" t="s">
        <v>28</v>
      </c>
      <c r="I3209" s="2" t="s">
        <v>34</v>
      </c>
    </row>
    <row r="3210" spans="1:9" x14ac:dyDescent="0.35">
      <c r="A3210" s="2" t="s">
        <v>3253</v>
      </c>
      <c r="B3210" s="3">
        <v>44815</v>
      </c>
      <c r="C3210" s="2" t="s">
        <v>25</v>
      </c>
      <c r="D3210" s="2" t="s">
        <v>11</v>
      </c>
      <c r="E3210" s="2" t="s">
        <v>12</v>
      </c>
      <c r="F3210" s="2">
        <v>1195.6199999999999</v>
      </c>
      <c r="G3210" s="2">
        <v>234.63</v>
      </c>
      <c r="H3210" s="2" t="s">
        <v>13</v>
      </c>
      <c r="I3210" s="2" t="s">
        <v>29</v>
      </c>
    </row>
    <row r="3211" spans="1:9" x14ac:dyDescent="0.35">
      <c r="A3211" s="2" t="s">
        <v>3254</v>
      </c>
      <c r="B3211" s="3">
        <v>44579</v>
      </c>
      <c r="C3211" s="2" t="s">
        <v>25</v>
      </c>
      <c r="D3211" s="2" t="s">
        <v>95</v>
      </c>
      <c r="E3211" s="2" t="s">
        <v>18</v>
      </c>
      <c r="F3211" s="2">
        <v>1447.13</v>
      </c>
      <c r="G3211" s="2">
        <v>293.19</v>
      </c>
      <c r="H3211" s="2" t="s">
        <v>19</v>
      </c>
      <c r="I3211" s="2" t="s">
        <v>14</v>
      </c>
    </row>
    <row r="3212" spans="1:9" x14ac:dyDescent="0.35">
      <c r="A3212" s="2" t="s">
        <v>3255</v>
      </c>
      <c r="B3212" s="3">
        <v>44929</v>
      </c>
      <c r="C3212" s="2" t="s">
        <v>25</v>
      </c>
      <c r="D3212" s="2" t="s">
        <v>33</v>
      </c>
      <c r="E3212" s="2" t="s">
        <v>18</v>
      </c>
      <c r="F3212" s="2">
        <v>1259.95</v>
      </c>
      <c r="G3212" s="2">
        <v>324.39</v>
      </c>
      <c r="H3212" s="2" t="s">
        <v>28</v>
      </c>
      <c r="I3212" s="2" t="s">
        <v>29</v>
      </c>
    </row>
    <row r="3213" spans="1:9" x14ac:dyDescent="0.35">
      <c r="A3213" s="2" t="s">
        <v>3256</v>
      </c>
      <c r="B3213" s="3">
        <v>44741</v>
      </c>
      <c r="C3213" s="2" t="s">
        <v>25</v>
      </c>
      <c r="D3213" s="2" t="s">
        <v>97</v>
      </c>
      <c r="E3213" s="2" t="s">
        <v>27</v>
      </c>
      <c r="F3213" s="2">
        <v>953.43</v>
      </c>
      <c r="G3213" s="2">
        <v>103.29</v>
      </c>
      <c r="H3213" s="2" t="s">
        <v>28</v>
      </c>
      <c r="I3213" s="2" t="s">
        <v>29</v>
      </c>
    </row>
    <row r="3214" spans="1:9" x14ac:dyDescent="0.35">
      <c r="A3214" s="2" t="s">
        <v>3257</v>
      </c>
      <c r="B3214" s="3">
        <v>45159</v>
      </c>
      <c r="C3214" s="2" t="s">
        <v>22</v>
      </c>
      <c r="D3214" s="2" t="s">
        <v>33</v>
      </c>
      <c r="E3214" s="2" t="s">
        <v>18</v>
      </c>
      <c r="F3214" s="2">
        <v>724.23</v>
      </c>
      <c r="G3214" s="2">
        <v>166.98</v>
      </c>
      <c r="H3214" s="2" t="s">
        <v>19</v>
      </c>
      <c r="I3214" s="2" t="s">
        <v>20</v>
      </c>
    </row>
    <row r="3215" spans="1:9" x14ac:dyDescent="0.35">
      <c r="A3215" s="2" t="s">
        <v>3258</v>
      </c>
      <c r="B3215" s="3">
        <v>45374</v>
      </c>
      <c r="C3215" s="2" t="s">
        <v>22</v>
      </c>
      <c r="D3215" s="2" t="s">
        <v>38</v>
      </c>
      <c r="E3215" s="2" t="s">
        <v>12</v>
      </c>
      <c r="F3215" s="2">
        <v>1897.63</v>
      </c>
      <c r="G3215" s="2">
        <v>169.57</v>
      </c>
      <c r="H3215" s="2" t="s">
        <v>28</v>
      </c>
      <c r="I3215" s="2" t="s">
        <v>14</v>
      </c>
    </row>
    <row r="3216" spans="1:9" x14ac:dyDescent="0.35">
      <c r="A3216" s="2" t="s">
        <v>3259</v>
      </c>
      <c r="B3216" s="3">
        <v>44596</v>
      </c>
      <c r="C3216" s="2" t="s">
        <v>10</v>
      </c>
      <c r="D3216" s="2" t="s">
        <v>97</v>
      </c>
      <c r="E3216" s="2" t="s">
        <v>27</v>
      </c>
      <c r="F3216" s="2">
        <v>314.93</v>
      </c>
      <c r="G3216" s="2">
        <v>56.99</v>
      </c>
      <c r="H3216" s="2" t="s">
        <v>19</v>
      </c>
      <c r="I3216" s="2" t="s">
        <v>29</v>
      </c>
    </row>
    <row r="3217" spans="1:9" x14ac:dyDescent="0.35">
      <c r="A3217" s="2" t="s">
        <v>3260</v>
      </c>
      <c r="B3217" s="3">
        <v>44952</v>
      </c>
      <c r="C3217" s="2" t="s">
        <v>10</v>
      </c>
      <c r="D3217" s="2" t="s">
        <v>95</v>
      </c>
      <c r="E3217" s="2" t="s">
        <v>18</v>
      </c>
      <c r="F3217" s="2">
        <v>1375.11</v>
      </c>
      <c r="G3217" s="2">
        <v>380.35</v>
      </c>
      <c r="H3217" s="2" t="s">
        <v>19</v>
      </c>
      <c r="I3217" s="2" t="s">
        <v>34</v>
      </c>
    </row>
    <row r="3218" spans="1:9" x14ac:dyDescent="0.35">
      <c r="A3218" s="2" t="s">
        <v>3261</v>
      </c>
      <c r="B3218" s="3">
        <v>45514</v>
      </c>
      <c r="C3218" s="2" t="s">
        <v>25</v>
      </c>
      <c r="D3218" s="2" t="s">
        <v>95</v>
      </c>
      <c r="E3218" s="2" t="s">
        <v>18</v>
      </c>
      <c r="F3218" s="2">
        <v>88.3</v>
      </c>
      <c r="G3218" s="2">
        <v>4.88</v>
      </c>
      <c r="H3218" s="2" t="s">
        <v>19</v>
      </c>
      <c r="I3218" s="2" t="s">
        <v>34</v>
      </c>
    </row>
    <row r="3219" spans="1:9" x14ac:dyDescent="0.35">
      <c r="A3219" s="2" t="s">
        <v>3262</v>
      </c>
      <c r="B3219" s="3">
        <v>44746</v>
      </c>
      <c r="C3219" s="2" t="s">
        <v>10</v>
      </c>
      <c r="D3219" s="2" t="s">
        <v>57</v>
      </c>
      <c r="E3219" s="2" t="s">
        <v>27</v>
      </c>
      <c r="F3219" s="2">
        <v>355.2</v>
      </c>
      <c r="G3219" s="2">
        <v>23.65</v>
      </c>
      <c r="H3219" s="2" t="s">
        <v>28</v>
      </c>
      <c r="I3219" s="2" t="s">
        <v>29</v>
      </c>
    </row>
    <row r="3220" spans="1:9" x14ac:dyDescent="0.35">
      <c r="A3220" s="2" t="s">
        <v>3263</v>
      </c>
      <c r="B3220" s="3">
        <v>44998</v>
      </c>
      <c r="C3220" s="2" t="s">
        <v>16</v>
      </c>
      <c r="D3220" s="2" t="s">
        <v>31</v>
      </c>
      <c r="E3220" s="2" t="s">
        <v>12</v>
      </c>
      <c r="F3220" s="2">
        <v>1785.9</v>
      </c>
      <c r="G3220" s="2">
        <v>318.3</v>
      </c>
      <c r="H3220" s="2" t="s">
        <v>19</v>
      </c>
      <c r="I3220" s="2" t="s">
        <v>14</v>
      </c>
    </row>
    <row r="3221" spans="1:9" x14ac:dyDescent="0.35">
      <c r="A3221" s="2" t="s">
        <v>3264</v>
      </c>
      <c r="B3221" s="3">
        <v>44943</v>
      </c>
      <c r="C3221" s="2" t="s">
        <v>16</v>
      </c>
      <c r="D3221" s="2" t="s">
        <v>11</v>
      </c>
      <c r="E3221" s="2" t="s">
        <v>12</v>
      </c>
      <c r="F3221" s="2">
        <v>1252.07</v>
      </c>
      <c r="G3221" s="2">
        <v>137.79</v>
      </c>
      <c r="H3221" s="2" t="s">
        <v>19</v>
      </c>
      <c r="I3221" s="2" t="s">
        <v>20</v>
      </c>
    </row>
    <row r="3222" spans="1:9" x14ac:dyDescent="0.35">
      <c r="A3222" s="2" t="s">
        <v>3265</v>
      </c>
      <c r="B3222" s="3">
        <v>45094</v>
      </c>
      <c r="C3222" s="2" t="s">
        <v>16</v>
      </c>
      <c r="D3222" s="2" t="s">
        <v>95</v>
      </c>
      <c r="E3222" s="2" t="s">
        <v>18</v>
      </c>
      <c r="F3222" s="2">
        <v>1755.84</v>
      </c>
      <c r="G3222" s="2">
        <v>95.12</v>
      </c>
      <c r="H3222" s="2" t="s">
        <v>19</v>
      </c>
      <c r="I3222" s="2" t="s">
        <v>14</v>
      </c>
    </row>
    <row r="3223" spans="1:9" x14ac:dyDescent="0.35">
      <c r="A3223" s="2" t="s">
        <v>3266</v>
      </c>
      <c r="B3223" s="3">
        <v>44999</v>
      </c>
      <c r="C3223" s="2" t="s">
        <v>25</v>
      </c>
      <c r="D3223" s="2" t="s">
        <v>38</v>
      </c>
      <c r="E3223" s="2" t="s">
        <v>12</v>
      </c>
      <c r="F3223" s="2">
        <v>570.83000000000004</v>
      </c>
      <c r="G3223" s="2">
        <v>125.78</v>
      </c>
      <c r="H3223" s="2" t="s">
        <v>19</v>
      </c>
      <c r="I3223" s="2" t="s">
        <v>20</v>
      </c>
    </row>
    <row r="3224" spans="1:9" x14ac:dyDescent="0.35">
      <c r="A3224" s="2" t="s">
        <v>3267</v>
      </c>
      <c r="B3224" s="3">
        <v>44941</v>
      </c>
      <c r="C3224" s="2" t="s">
        <v>22</v>
      </c>
      <c r="D3224" s="2" t="s">
        <v>26</v>
      </c>
      <c r="E3224" s="2" t="s">
        <v>27</v>
      </c>
      <c r="F3224" s="2">
        <v>379.75</v>
      </c>
      <c r="G3224" s="2">
        <v>72.33</v>
      </c>
      <c r="H3224" s="2" t="s">
        <v>19</v>
      </c>
      <c r="I3224" s="2" t="s">
        <v>29</v>
      </c>
    </row>
    <row r="3225" spans="1:9" x14ac:dyDescent="0.35">
      <c r="A3225" s="2" t="s">
        <v>3268</v>
      </c>
      <c r="B3225" s="3">
        <v>45049</v>
      </c>
      <c r="C3225" s="2" t="s">
        <v>22</v>
      </c>
      <c r="D3225" s="2" t="s">
        <v>73</v>
      </c>
      <c r="E3225" s="2" t="s">
        <v>27</v>
      </c>
      <c r="F3225" s="2">
        <v>893.66</v>
      </c>
      <c r="G3225" s="2">
        <v>92.23</v>
      </c>
      <c r="H3225" s="2" t="s">
        <v>13</v>
      </c>
      <c r="I3225" s="2" t="s">
        <v>14</v>
      </c>
    </row>
    <row r="3226" spans="1:9" x14ac:dyDescent="0.35">
      <c r="A3226" s="2" t="s">
        <v>3269</v>
      </c>
      <c r="B3226" s="3">
        <v>45409</v>
      </c>
      <c r="C3226" s="2" t="s">
        <v>22</v>
      </c>
      <c r="D3226" s="2" t="s">
        <v>31</v>
      </c>
      <c r="E3226" s="2" t="s">
        <v>12</v>
      </c>
      <c r="F3226" s="2">
        <v>1536.36</v>
      </c>
      <c r="G3226" s="2">
        <v>276.43</v>
      </c>
      <c r="H3226" s="2" t="s">
        <v>28</v>
      </c>
      <c r="I3226" s="2" t="s">
        <v>14</v>
      </c>
    </row>
    <row r="3227" spans="1:9" x14ac:dyDescent="0.35">
      <c r="A3227" s="2" t="s">
        <v>3270</v>
      </c>
      <c r="B3227" s="3">
        <v>45249</v>
      </c>
      <c r="C3227" s="2" t="s">
        <v>22</v>
      </c>
      <c r="D3227" s="2" t="s">
        <v>38</v>
      </c>
      <c r="E3227" s="2" t="s">
        <v>12</v>
      </c>
      <c r="F3227" s="2">
        <v>138.43</v>
      </c>
      <c r="G3227" s="2">
        <v>32.619999999999997</v>
      </c>
      <c r="H3227" s="2" t="s">
        <v>13</v>
      </c>
      <c r="I3227" s="2" t="s">
        <v>34</v>
      </c>
    </row>
    <row r="3228" spans="1:9" x14ac:dyDescent="0.35">
      <c r="A3228" s="2" t="s">
        <v>3271</v>
      </c>
      <c r="B3228" s="3">
        <v>44638</v>
      </c>
      <c r="C3228" s="2" t="s">
        <v>16</v>
      </c>
      <c r="D3228" s="2" t="s">
        <v>57</v>
      </c>
      <c r="E3228" s="2" t="s">
        <v>27</v>
      </c>
      <c r="F3228" s="2">
        <v>1136.82</v>
      </c>
      <c r="G3228" s="2">
        <v>199.93</v>
      </c>
      <c r="H3228" s="2" t="s">
        <v>13</v>
      </c>
      <c r="I3228" s="2" t="s">
        <v>29</v>
      </c>
    </row>
    <row r="3229" spans="1:9" x14ac:dyDescent="0.35">
      <c r="A3229" s="2" t="s">
        <v>3272</v>
      </c>
      <c r="B3229" s="3">
        <v>44869</v>
      </c>
      <c r="C3229" s="2" t="s">
        <v>16</v>
      </c>
      <c r="D3229" s="2" t="s">
        <v>95</v>
      </c>
      <c r="E3229" s="2" t="s">
        <v>18</v>
      </c>
      <c r="F3229" s="2">
        <v>550.73</v>
      </c>
      <c r="G3229" s="2">
        <v>63.72</v>
      </c>
      <c r="H3229" s="2" t="s">
        <v>19</v>
      </c>
      <c r="I3229" s="2" t="s">
        <v>29</v>
      </c>
    </row>
    <row r="3230" spans="1:9" x14ac:dyDescent="0.35">
      <c r="A3230" s="2" t="s">
        <v>3273</v>
      </c>
      <c r="B3230" s="3">
        <v>45219</v>
      </c>
      <c r="C3230" s="2" t="s">
        <v>22</v>
      </c>
      <c r="D3230" s="2" t="s">
        <v>46</v>
      </c>
      <c r="E3230" s="2" t="s">
        <v>18</v>
      </c>
      <c r="F3230" s="2">
        <v>1716.15</v>
      </c>
      <c r="G3230" s="2">
        <v>204.51</v>
      </c>
      <c r="H3230" s="2" t="s">
        <v>28</v>
      </c>
      <c r="I3230" s="2" t="s">
        <v>34</v>
      </c>
    </row>
    <row r="3231" spans="1:9" x14ac:dyDescent="0.35">
      <c r="A3231" s="2" t="s">
        <v>3274</v>
      </c>
      <c r="B3231" s="3">
        <v>44653</v>
      </c>
      <c r="C3231" s="2" t="s">
        <v>16</v>
      </c>
      <c r="D3231" s="2" t="s">
        <v>95</v>
      </c>
      <c r="E3231" s="2" t="s">
        <v>18</v>
      </c>
      <c r="F3231" s="2">
        <v>1525.14</v>
      </c>
      <c r="G3231" s="2">
        <v>108.86</v>
      </c>
      <c r="H3231" s="2" t="s">
        <v>28</v>
      </c>
      <c r="I3231" s="2" t="s">
        <v>34</v>
      </c>
    </row>
    <row r="3232" spans="1:9" x14ac:dyDescent="0.35">
      <c r="A3232" s="2" t="s">
        <v>3275</v>
      </c>
      <c r="B3232" s="3">
        <v>44973</v>
      </c>
      <c r="C3232" s="2" t="s">
        <v>22</v>
      </c>
      <c r="D3232" s="2" t="s">
        <v>57</v>
      </c>
      <c r="E3232" s="2" t="s">
        <v>27</v>
      </c>
      <c r="F3232" s="2">
        <v>822.34</v>
      </c>
      <c r="G3232" s="2">
        <v>135.58000000000001</v>
      </c>
      <c r="H3232" s="2" t="s">
        <v>19</v>
      </c>
      <c r="I3232" s="2" t="s">
        <v>29</v>
      </c>
    </row>
    <row r="3233" spans="1:9" x14ac:dyDescent="0.35">
      <c r="A3233" s="2" t="s">
        <v>3276</v>
      </c>
      <c r="B3233" s="3">
        <v>44954</v>
      </c>
      <c r="C3233" s="2" t="s">
        <v>16</v>
      </c>
      <c r="D3233" s="2" t="s">
        <v>95</v>
      </c>
      <c r="E3233" s="2" t="s">
        <v>18</v>
      </c>
      <c r="F3233" s="2">
        <v>1572.82</v>
      </c>
      <c r="G3233" s="2">
        <v>180.35</v>
      </c>
      <c r="H3233" s="2" t="s">
        <v>19</v>
      </c>
      <c r="I3233" s="2" t="s">
        <v>20</v>
      </c>
    </row>
    <row r="3234" spans="1:9" x14ac:dyDescent="0.35">
      <c r="A3234" s="2" t="s">
        <v>3277</v>
      </c>
      <c r="B3234" s="3">
        <v>45312</v>
      </c>
      <c r="C3234" s="2" t="s">
        <v>25</v>
      </c>
      <c r="D3234" s="2" t="s">
        <v>46</v>
      </c>
      <c r="E3234" s="2" t="s">
        <v>18</v>
      </c>
      <c r="F3234" s="2">
        <v>930.78</v>
      </c>
      <c r="G3234" s="2">
        <v>151.9</v>
      </c>
      <c r="H3234" s="2" t="s">
        <v>28</v>
      </c>
      <c r="I3234" s="2" t="s">
        <v>29</v>
      </c>
    </row>
    <row r="3235" spans="1:9" x14ac:dyDescent="0.35">
      <c r="A3235" s="2" t="s">
        <v>3278</v>
      </c>
      <c r="B3235" s="3">
        <v>45269</v>
      </c>
      <c r="C3235" s="2" t="s">
        <v>25</v>
      </c>
      <c r="D3235" s="2" t="s">
        <v>26</v>
      </c>
      <c r="E3235" s="2" t="s">
        <v>27</v>
      </c>
      <c r="F3235" s="2">
        <v>325.27999999999997</v>
      </c>
      <c r="G3235" s="2">
        <v>54.05</v>
      </c>
      <c r="H3235" s="2" t="s">
        <v>13</v>
      </c>
      <c r="I3235" s="2" t="s">
        <v>20</v>
      </c>
    </row>
    <row r="3236" spans="1:9" x14ac:dyDescent="0.35">
      <c r="A3236" s="2" t="s">
        <v>3279</v>
      </c>
      <c r="B3236" s="3">
        <v>44644</v>
      </c>
      <c r="C3236" s="2" t="s">
        <v>22</v>
      </c>
      <c r="D3236" s="2" t="s">
        <v>31</v>
      </c>
      <c r="E3236" s="2" t="s">
        <v>12</v>
      </c>
      <c r="F3236" s="2">
        <v>597.65</v>
      </c>
      <c r="G3236" s="2">
        <v>144.94</v>
      </c>
      <c r="H3236" s="2" t="s">
        <v>19</v>
      </c>
      <c r="I3236" s="2" t="s">
        <v>29</v>
      </c>
    </row>
    <row r="3237" spans="1:9" x14ac:dyDescent="0.35">
      <c r="A3237" s="2" t="s">
        <v>3280</v>
      </c>
      <c r="B3237" s="3">
        <v>44579</v>
      </c>
      <c r="C3237" s="2" t="s">
        <v>16</v>
      </c>
      <c r="D3237" s="2" t="s">
        <v>38</v>
      </c>
      <c r="E3237" s="2" t="s">
        <v>12</v>
      </c>
      <c r="F3237" s="2">
        <v>407.17</v>
      </c>
      <c r="G3237" s="2">
        <v>67.989999999999995</v>
      </c>
      <c r="H3237" s="2" t="s">
        <v>28</v>
      </c>
      <c r="I3237" s="2" t="s">
        <v>29</v>
      </c>
    </row>
    <row r="3238" spans="1:9" x14ac:dyDescent="0.35">
      <c r="A3238" s="2" t="s">
        <v>3281</v>
      </c>
      <c r="B3238" s="3">
        <v>44882</v>
      </c>
      <c r="C3238" s="2" t="s">
        <v>22</v>
      </c>
      <c r="D3238" s="2" t="s">
        <v>46</v>
      </c>
      <c r="E3238" s="2" t="s">
        <v>18</v>
      </c>
      <c r="F3238" s="2">
        <v>309.45</v>
      </c>
      <c r="G3238" s="2">
        <v>75.44</v>
      </c>
      <c r="H3238" s="2" t="s">
        <v>28</v>
      </c>
      <c r="I3238" s="2" t="s">
        <v>34</v>
      </c>
    </row>
    <row r="3239" spans="1:9" x14ac:dyDescent="0.35">
      <c r="A3239" s="2" t="s">
        <v>3282</v>
      </c>
      <c r="B3239" s="3">
        <v>45184</v>
      </c>
      <c r="C3239" s="2" t="s">
        <v>22</v>
      </c>
      <c r="D3239" s="2" t="s">
        <v>97</v>
      </c>
      <c r="E3239" s="2" t="s">
        <v>27</v>
      </c>
      <c r="F3239" s="2">
        <v>1140.47</v>
      </c>
      <c r="G3239" s="2">
        <v>263.45</v>
      </c>
      <c r="H3239" s="2" t="s">
        <v>13</v>
      </c>
      <c r="I3239" s="2" t="s">
        <v>14</v>
      </c>
    </row>
    <row r="3240" spans="1:9" x14ac:dyDescent="0.35">
      <c r="A3240" s="2" t="s">
        <v>3283</v>
      </c>
      <c r="B3240" s="3">
        <v>45555</v>
      </c>
      <c r="C3240" s="2" t="s">
        <v>22</v>
      </c>
      <c r="D3240" s="2" t="s">
        <v>95</v>
      </c>
      <c r="E3240" s="2" t="s">
        <v>18</v>
      </c>
      <c r="F3240" s="2">
        <v>114.64</v>
      </c>
      <c r="G3240" s="2">
        <v>5.81</v>
      </c>
      <c r="H3240" s="2" t="s">
        <v>28</v>
      </c>
      <c r="I3240" s="2" t="s">
        <v>29</v>
      </c>
    </row>
    <row r="3241" spans="1:9" x14ac:dyDescent="0.35">
      <c r="A3241" s="2" t="s">
        <v>3284</v>
      </c>
      <c r="B3241" s="3">
        <v>45528</v>
      </c>
      <c r="C3241" s="2" t="s">
        <v>25</v>
      </c>
      <c r="D3241" s="2" t="s">
        <v>23</v>
      </c>
      <c r="E3241" s="2" t="s">
        <v>18</v>
      </c>
      <c r="F3241" s="2">
        <v>1939.22</v>
      </c>
      <c r="G3241" s="2">
        <v>418.49</v>
      </c>
      <c r="H3241" s="2" t="s">
        <v>19</v>
      </c>
      <c r="I3241" s="2" t="s">
        <v>29</v>
      </c>
    </row>
    <row r="3242" spans="1:9" x14ac:dyDescent="0.35">
      <c r="A3242" s="2" t="s">
        <v>3285</v>
      </c>
      <c r="B3242" s="3">
        <v>45582</v>
      </c>
      <c r="C3242" s="2" t="s">
        <v>25</v>
      </c>
      <c r="D3242" s="2" t="s">
        <v>38</v>
      </c>
      <c r="E3242" s="2" t="s">
        <v>12</v>
      </c>
      <c r="F3242" s="2">
        <v>281.73</v>
      </c>
      <c r="G3242" s="2">
        <v>40.26</v>
      </c>
      <c r="H3242" s="2" t="s">
        <v>28</v>
      </c>
      <c r="I3242" s="2" t="s">
        <v>29</v>
      </c>
    </row>
    <row r="3243" spans="1:9" x14ac:dyDescent="0.35">
      <c r="A3243" s="2" t="s">
        <v>3286</v>
      </c>
      <c r="B3243" s="3">
        <v>45446</v>
      </c>
      <c r="C3243" s="2" t="s">
        <v>16</v>
      </c>
      <c r="D3243" s="2" t="s">
        <v>11</v>
      </c>
      <c r="E3243" s="2" t="s">
        <v>12</v>
      </c>
      <c r="F3243" s="2">
        <v>1344.49</v>
      </c>
      <c r="G3243" s="2">
        <v>210.67</v>
      </c>
      <c r="H3243" s="2" t="s">
        <v>13</v>
      </c>
      <c r="I3243" s="2" t="s">
        <v>34</v>
      </c>
    </row>
    <row r="3244" spans="1:9" x14ac:dyDescent="0.35">
      <c r="A3244" s="2" t="s">
        <v>3287</v>
      </c>
      <c r="B3244" s="3">
        <v>44592</v>
      </c>
      <c r="C3244" s="2" t="s">
        <v>25</v>
      </c>
      <c r="D3244" s="2" t="s">
        <v>33</v>
      </c>
      <c r="E3244" s="2" t="s">
        <v>18</v>
      </c>
      <c r="F3244" s="2">
        <v>1825.09</v>
      </c>
      <c r="G3244" s="2">
        <v>255.35</v>
      </c>
      <c r="H3244" s="2" t="s">
        <v>28</v>
      </c>
      <c r="I3244" s="2" t="s">
        <v>34</v>
      </c>
    </row>
    <row r="3245" spans="1:9" x14ac:dyDescent="0.35">
      <c r="A3245" s="2" t="s">
        <v>3288</v>
      </c>
      <c r="B3245" s="3">
        <v>45054</v>
      </c>
      <c r="C3245" s="2" t="s">
        <v>10</v>
      </c>
      <c r="D3245" s="2" t="s">
        <v>62</v>
      </c>
      <c r="E3245" s="2" t="s">
        <v>27</v>
      </c>
      <c r="F3245" s="2">
        <v>1866.71</v>
      </c>
      <c r="G3245" s="2">
        <v>401.35</v>
      </c>
      <c r="H3245" s="2" t="s">
        <v>28</v>
      </c>
      <c r="I3245" s="2" t="s">
        <v>20</v>
      </c>
    </row>
    <row r="3246" spans="1:9" x14ac:dyDescent="0.35">
      <c r="A3246" s="2" t="s">
        <v>3289</v>
      </c>
      <c r="B3246" s="3">
        <v>44651</v>
      </c>
      <c r="C3246" s="2" t="s">
        <v>22</v>
      </c>
      <c r="D3246" s="2" t="s">
        <v>41</v>
      </c>
      <c r="E3246" s="2" t="s">
        <v>12</v>
      </c>
      <c r="F3246" s="2">
        <v>1038.33</v>
      </c>
      <c r="G3246" s="2">
        <v>185.97</v>
      </c>
      <c r="H3246" s="2" t="s">
        <v>13</v>
      </c>
      <c r="I3246" s="2" t="s">
        <v>20</v>
      </c>
    </row>
    <row r="3247" spans="1:9" x14ac:dyDescent="0.35">
      <c r="A3247" s="2" t="s">
        <v>3290</v>
      </c>
      <c r="B3247" s="3">
        <v>45166</v>
      </c>
      <c r="C3247" s="2" t="s">
        <v>25</v>
      </c>
      <c r="D3247" s="2" t="s">
        <v>50</v>
      </c>
      <c r="E3247" s="2" t="s">
        <v>12</v>
      </c>
      <c r="F3247" s="2">
        <v>1951.8</v>
      </c>
      <c r="G3247" s="2">
        <v>465.46</v>
      </c>
      <c r="H3247" s="2" t="s">
        <v>19</v>
      </c>
      <c r="I3247" s="2" t="s">
        <v>34</v>
      </c>
    </row>
    <row r="3248" spans="1:9" x14ac:dyDescent="0.35">
      <c r="A3248" s="2" t="s">
        <v>3291</v>
      </c>
      <c r="B3248" s="3">
        <v>45326</v>
      </c>
      <c r="C3248" s="2" t="s">
        <v>22</v>
      </c>
      <c r="D3248" s="2" t="s">
        <v>50</v>
      </c>
      <c r="E3248" s="2" t="s">
        <v>12</v>
      </c>
      <c r="F3248" s="2">
        <v>275.25</v>
      </c>
      <c r="G3248" s="2">
        <v>43.23</v>
      </c>
      <c r="H3248" s="2" t="s">
        <v>28</v>
      </c>
      <c r="I3248" s="2" t="s">
        <v>20</v>
      </c>
    </row>
    <row r="3249" spans="1:9" x14ac:dyDescent="0.35">
      <c r="A3249" s="2" t="s">
        <v>3292</v>
      </c>
      <c r="B3249" s="3">
        <v>45396</v>
      </c>
      <c r="C3249" s="2" t="s">
        <v>16</v>
      </c>
      <c r="D3249" s="2" t="s">
        <v>26</v>
      </c>
      <c r="E3249" s="2" t="s">
        <v>27</v>
      </c>
      <c r="F3249" s="2">
        <v>375.94</v>
      </c>
      <c r="G3249" s="2">
        <v>52.48</v>
      </c>
      <c r="H3249" s="2" t="s">
        <v>13</v>
      </c>
      <c r="I3249" s="2" t="s">
        <v>20</v>
      </c>
    </row>
    <row r="3250" spans="1:9" x14ac:dyDescent="0.35">
      <c r="A3250" s="2" t="s">
        <v>3293</v>
      </c>
      <c r="B3250" s="3">
        <v>45300</v>
      </c>
      <c r="C3250" s="2" t="s">
        <v>22</v>
      </c>
      <c r="D3250" s="2" t="s">
        <v>23</v>
      </c>
      <c r="E3250" s="2" t="s">
        <v>18</v>
      </c>
      <c r="F3250" s="2">
        <v>1697.19</v>
      </c>
      <c r="G3250" s="2">
        <v>171.8</v>
      </c>
      <c r="H3250" s="2" t="s">
        <v>19</v>
      </c>
      <c r="I3250" s="2" t="s">
        <v>20</v>
      </c>
    </row>
    <row r="3251" spans="1:9" x14ac:dyDescent="0.35">
      <c r="A3251" s="2" t="s">
        <v>3294</v>
      </c>
      <c r="B3251" s="3">
        <v>44661</v>
      </c>
      <c r="C3251" s="2" t="s">
        <v>16</v>
      </c>
      <c r="D3251" s="2" t="s">
        <v>97</v>
      </c>
      <c r="E3251" s="2" t="s">
        <v>27</v>
      </c>
      <c r="F3251" s="2">
        <v>813.61</v>
      </c>
      <c r="G3251" s="2">
        <v>235.02</v>
      </c>
      <c r="H3251" s="2" t="s">
        <v>13</v>
      </c>
      <c r="I3251" s="2" t="s">
        <v>14</v>
      </c>
    </row>
    <row r="3252" spans="1:9" x14ac:dyDescent="0.35">
      <c r="A3252" s="2" t="s">
        <v>3295</v>
      </c>
      <c r="B3252" s="3">
        <v>45113</v>
      </c>
      <c r="C3252" s="2" t="s">
        <v>10</v>
      </c>
      <c r="D3252" s="2" t="s">
        <v>31</v>
      </c>
      <c r="E3252" s="2" t="s">
        <v>12</v>
      </c>
      <c r="F3252" s="2">
        <v>170.85</v>
      </c>
      <c r="G3252" s="2">
        <v>31.11</v>
      </c>
      <c r="H3252" s="2" t="s">
        <v>19</v>
      </c>
      <c r="I3252" s="2" t="s">
        <v>14</v>
      </c>
    </row>
    <row r="3253" spans="1:9" x14ac:dyDescent="0.35">
      <c r="A3253" s="2" t="s">
        <v>3296</v>
      </c>
      <c r="B3253" s="3">
        <v>45109</v>
      </c>
      <c r="C3253" s="2" t="s">
        <v>16</v>
      </c>
      <c r="D3253" s="2" t="s">
        <v>62</v>
      </c>
      <c r="E3253" s="2" t="s">
        <v>27</v>
      </c>
      <c r="F3253" s="2">
        <v>200.05</v>
      </c>
      <c r="G3253" s="2">
        <v>12.06</v>
      </c>
      <c r="H3253" s="2" t="s">
        <v>13</v>
      </c>
      <c r="I3253" s="2" t="s">
        <v>20</v>
      </c>
    </row>
    <row r="3254" spans="1:9" x14ac:dyDescent="0.35">
      <c r="A3254" s="2" t="s">
        <v>3297</v>
      </c>
      <c r="B3254" s="3">
        <v>45599</v>
      </c>
      <c r="C3254" s="2" t="s">
        <v>16</v>
      </c>
      <c r="D3254" s="2" t="s">
        <v>50</v>
      </c>
      <c r="E3254" s="2" t="s">
        <v>12</v>
      </c>
      <c r="F3254" s="2">
        <v>1672.14</v>
      </c>
      <c r="G3254" s="2">
        <v>443.28</v>
      </c>
      <c r="H3254" s="2" t="s">
        <v>13</v>
      </c>
      <c r="I3254" s="2" t="s">
        <v>29</v>
      </c>
    </row>
    <row r="3255" spans="1:9" x14ac:dyDescent="0.35">
      <c r="A3255" s="2" t="s">
        <v>3298</v>
      </c>
      <c r="B3255" s="3">
        <v>45256</v>
      </c>
      <c r="C3255" s="2" t="s">
        <v>10</v>
      </c>
      <c r="D3255" s="2" t="s">
        <v>57</v>
      </c>
      <c r="E3255" s="2" t="s">
        <v>27</v>
      </c>
      <c r="F3255" s="2">
        <v>1797.42</v>
      </c>
      <c r="G3255" s="2">
        <v>405.81</v>
      </c>
      <c r="H3255" s="2" t="s">
        <v>28</v>
      </c>
      <c r="I3255" s="2" t="s">
        <v>14</v>
      </c>
    </row>
    <row r="3256" spans="1:9" x14ac:dyDescent="0.35">
      <c r="A3256" s="2" t="s">
        <v>3299</v>
      </c>
      <c r="B3256" s="3">
        <v>45542</v>
      </c>
      <c r="C3256" s="2" t="s">
        <v>10</v>
      </c>
      <c r="D3256" s="2" t="s">
        <v>95</v>
      </c>
      <c r="E3256" s="2" t="s">
        <v>18</v>
      </c>
      <c r="F3256" s="2">
        <v>1536.53</v>
      </c>
      <c r="G3256" s="2">
        <v>304.70999999999998</v>
      </c>
      <c r="H3256" s="2" t="s">
        <v>13</v>
      </c>
      <c r="I3256" s="2" t="s">
        <v>14</v>
      </c>
    </row>
    <row r="3257" spans="1:9" x14ac:dyDescent="0.35">
      <c r="A3257" s="2" t="s">
        <v>3300</v>
      </c>
      <c r="B3257" s="3">
        <v>45174</v>
      </c>
      <c r="C3257" s="2" t="s">
        <v>25</v>
      </c>
      <c r="D3257" s="2" t="s">
        <v>11</v>
      </c>
      <c r="E3257" s="2" t="s">
        <v>12</v>
      </c>
      <c r="F3257" s="2">
        <v>505.45</v>
      </c>
      <c r="G3257" s="2">
        <v>74.180000000000007</v>
      </c>
      <c r="H3257" s="2" t="s">
        <v>13</v>
      </c>
      <c r="I3257" s="2" t="s">
        <v>20</v>
      </c>
    </row>
    <row r="3258" spans="1:9" x14ac:dyDescent="0.35">
      <c r="A3258" s="2" t="s">
        <v>3301</v>
      </c>
      <c r="B3258" s="3">
        <v>44954</v>
      </c>
      <c r="C3258" s="2" t="s">
        <v>16</v>
      </c>
      <c r="D3258" s="2" t="s">
        <v>62</v>
      </c>
      <c r="E3258" s="2" t="s">
        <v>27</v>
      </c>
      <c r="F3258" s="2">
        <v>947.25</v>
      </c>
      <c r="G3258" s="2">
        <v>145.79</v>
      </c>
      <c r="H3258" s="2" t="s">
        <v>19</v>
      </c>
      <c r="I3258" s="2" t="s">
        <v>14</v>
      </c>
    </row>
    <row r="3259" spans="1:9" x14ac:dyDescent="0.35">
      <c r="A3259" s="2" t="s">
        <v>3302</v>
      </c>
      <c r="B3259" s="3">
        <v>44908</v>
      </c>
      <c r="C3259" s="2" t="s">
        <v>10</v>
      </c>
      <c r="D3259" s="2" t="s">
        <v>31</v>
      </c>
      <c r="E3259" s="2" t="s">
        <v>12</v>
      </c>
      <c r="F3259" s="2">
        <v>544.55999999999995</v>
      </c>
      <c r="G3259" s="2">
        <v>46.44</v>
      </c>
      <c r="H3259" s="2" t="s">
        <v>19</v>
      </c>
      <c r="I3259" s="2" t="s">
        <v>14</v>
      </c>
    </row>
    <row r="3260" spans="1:9" x14ac:dyDescent="0.35">
      <c r="A3260" s="2" t="s">
        <v>3303</v>
      </c>
      <c r="B3260" s="3">
        <v>44995</v>
      </c>
      <c r="C3260" s="2" t="s">
        <v>22</v>
      </c>
      <c r="D3260" s="2" t="s">
        <v>41</v>
      </c>
      <c r="E3260" s="2" t="s">
        <v>12</v>
      </c>
      <c r="F3260" s="2">
        <v>1096.93</v>
      </c>
      <c r="G3260" s="2">
        <v>317.04000000000002</v>
      </c>
      <c r="H3260" s="2" t="s">
        <v>13</v>
      </c>
      <c r="I3260" s="2" t="s">
        <v>20</v>
      </c>
    </row>
    <row r="3261" spans="1:9" x14ac:dyDescent="0.35">
      <c r="A3261" s="2" t="s">
        <v>3304</v>
      </c>
      <c r="B3261" s="3">
        <v>45518</v>
      </c>
      <c r="C3261" s="2" t="s">
        <v>16</v>
      </c>
      <c r="D3261" s="2" t="s">
        <v>33</v>
      </c>
      <c r="E3261" s="2" t="s">
        <v>18</v>
      </c>
      <c r="F3261" s="2">
        <v>69.73</v>
      </c>
      <c r="G3261" s="2">
        <v>6.75</v>
      </c>
      <c r="H3261" s="2" t="s">
        <v>28</v>
      </c>
      <c r="I3261" s="2" t="s">
        <v>14</v>
      </c>
    </row>
    <row r="3262" spans="1:9" x14ac:dyDescent="0.35">
      <c r="A3262" s="2" t="s">
        <v>3305</v>
      </c>
      <c r="B3262" s="3">
        <v>44746</v>
      </c>
      <c r="C3262" s="2" t="s">
        <v>10</v>
      </c>
      <c r="D3262" s="2" t="s">
        <v>73</v>
      </c>
      <c r="E3262" s="2" t="s">
        <v>27</v>
      </c>
      <c r="F3262" s="2">
        <v>1744.92</v>
      </c>
      <c r="G3262" s="2">
        <v>229.78</v>
      </c>
      <c r="H3262" s="2" t="s">
        <v>28</v>
      </c>
      <c r="I3262" s="2" t="s">
        <v>34</v>
      </c>
    </row>
    <row r="3263" spans="1:9" x14ac:dyDescent="0.35">
      <c r="A3263" s="2" t="s">
        <v>3306</v>
      </c>
      <c r="B3263" s="3">
        <v>45635</v>
      </c>
      <c r="C3263" s="2" t="s">
        <v>16</v>
      </c>
      <c r="D3263" s="2" t="s">
        <v>31</v>
      </c>
      <c r="E3263" s="2" t="s">
        <v>12</v>
      </c>
      <c r="F3263" s="2">
        <v>1259.56</v>
      </c>
      <c r="G3263" s="2">
        <v>312.23</v>
      </c>
      <c r="H3263" s="2" t="s">
        <v>19</v>
      </c>
      <c r="I3263" s="2" t="s">
        <v>14</v>
      </c>
    </row>
    <row r="3264" spans="1:9" x14ac:dyDescent="0.35">
      <c r="A3264" s="2" t="s">
        <v>3307</v>
      </c>
      <c r="B3264" s="3">
        <v>45254</v>
      </c>
      <c r="C3264" s="2" t="s">
        <v>16</v>
      </c>
      <c r="D3264" s="2" t="s">
        <v>31</v>
      </c>
      <c r="E3264" s="2" t="s">
        <v>12</v>
      </c>
      <c r="F3264" s="2">
        <v>1010.87</v>
      </c>
      <c r="G3264" s="2">
        <v>94.09</v>
      </c>
      <c r="H3264" s="2" t="s">
        <v>13</v>
      </c>
      <c r="I3264" s="2" t="s">
        <v>14</v>
      </c>
    </row>
    <row r="3265" spans="1:9" x14ac:dyDescent="0.35">
      <c r="A3265" s="2" t="s">
        <v>3308</v>
      </c>
      <c r="B3265" s="3">
        <v>45062</v>
      </c>
      <c r="C3265" s="2" t="s">
        <v>10</v>
      </c>
      <c r="D3265" s="2" t="s">
        <v>95</v>
      </c>
      <c r="E3265" s="2" t="s">
        <v>18</v>
      </c>
      <c r="F3265" s="2">
        <v>558.66</v>
      </c>
      <c r="G3265" s="2">
        <v>131.36000000000001</v>
      </c>
      <c r="H3265" s="2" t="s">
        <v>28</v>
      </c>
      <c r="I3265" s="2" t="s">
        <v>20</v>
      </c>
    </row>
    <row r="3266" spans="1:9" x14ac:dyDescent="0.35">
      <c r="A3266" s="2" t="s">
        <v>3309</v>
      </c>
      <c r="B3266" s="3">
        <v>44750</v>
      </c>
      <c r="C3266" s="2" t="s">
        <v>10</v>
      </c>
      <c r="D3266" s="2" t="s">
        <v>57</v>
      </c>
      <c r="E3266" s="2" t="s">
        <v>27</v>
      </c>
      <c r="F3266" s="2">
        <v>804.45</v>
      </c>
      <c r="G3266" s="2">
        <v>199.04</v>
      </c>
      <c r="H3266" s="2" t="s">
        <v>13</v>
      </c>
      <c r="I3266" s="2" t="s">
        <v>34</v>
      </c>
    </row>
    <row r="3267" spans="1:9" x14ac:dyDescent="0.35">
      <c r="A3267" s="2" t="s">
        <v>3310</v>
      </c>
      <c r="B3267" s="3">
        <v>44929</v>
      </c>
      <c r="C3267" s="2" t="s">
        <v>16</v>
      </c>
      <c r="D3267" s="2" t="s">
        <v>73</v>
      </c>
      <c r="E3267" s="2" t="s">
        <v>27</v>
      </c>
      <c r="F3267" s="2">
        <v>758.27</v>
      </c>
      <c r="G3267" s="2">
        <v>53.23</v>
      </c>
      <c r="H3267" s="2" t="s">
        <v>28</v>
      </c>
      <c r="I3267" s="2" t="s">
        <v>34</v>
      </c>
    </row>
    <row r="3268" spans="1:9" x14ac:dyDescent="0.35">
      <c r="A3268" s="2" t="s">
        <v>3311</v>
      </c>
      <c r="B3268" s="3">
        <v>44804</v>
      </c>
      <c r="C3268" s="2" t="s">
        <v>22</v>
      </c>
      <c r="D3268" s="2" t="s">
        <v>50</v>
      </c>
      <c r="E3268" s="2" t="s">
        <v>12</v>
      </c>
      <c r="F3268" s="2">
        <v>1597.76</v>
      </c>
      <c r="G3268" s="2">
        <v>289.58</v>
      </c>
      <c r="H3268" s="2" t="s">
        <v>13</v>
      </c>
      <c r="I3268" s="2" t="s">
        <v>34</v>
      </c>
    </row>
    <row r="3269" spans="1:9" x14ac:dyDescent="0.35">
      <c r="A3269" s="2" t="s">
        <v>3312</v>
      </c>
      <c r="B3269" s="3">
        <v>44583</v>
      </c>
      <c r="C3269" s="2" t="s">
        <v>16</v>
      </c>
      <c r="D3269" s="2" t="s">
        <v>62</v>
      </c>
      <c r="E3269" s="2" t="s">
        <v>27</v>
      </c>
      <c r="F3269" s="2">
        <v>825.45</v>
      </c>
      <c r="G3269" s="2">
        <v>179.09</v>
      </c>
      <c r="H3269" s="2" t="s">
        <v>28</v>
      </c>
      <c r="I3269" s="2" t="s">
        <v>20</v>
      </c>
    </row>
    <row r="3270" spans="1:9" x14ac:dyDescent="0.35">
      <c r="A3270" s="2" t="s">
        <v>3313</v>
      </c>
      <c r="B3270" s="3">
        <v>45212</v>
      </c>
      <c r="C3270" s="2" t="s">
        <v>16</v>
      </c>
      <c r="D3270" s="2" t="s">
        <v>41</v>
      </c>
      <c r="E3270" s="2" t="s">
        <v>12</v>
      </c>
      <c r="F3270" s="2">
        <v>1506.04</v>
      </c>
      <c r="G3270" s="2">
        <v>234.81</v>
      </c>
      <c r="H3270" s="2" t="s">
        <v>19</v>
      </c>
      <c r="I3270" s="2" t="s">
        <v>14</v>
      </c>
    </row>
    <row r="3271" spans="1:9" x14ac:dyDescent="0.35">
      <c r="A3271" s="2" t="s">
        <v>3314</v>
      </c>
      <c r="B3271" s="3">
        <v>44678</v>
      </c>
      <c r="C3271" s="2" t="s">
        <v>10</v>
      </c>
      <c r="D3271" s="2" t="s">
        <v>50</v>
      </c>
      <c r="E3271" s="2" t="s">
        <v>12</v>
      </c>
      <c r="F3271" s="2">
        <v>1961.54</v>
      </c>
      <c r="G3271" s="2">
        <v>431.17</v>
      </c>
      <c r="H3271" s="2" t="s">
        <v>13</v>
      </c>
      <c r="I3271" s="2" t="s">
        <v>14</v>
      </c>
    </row>
    <row r="3272" spans="1:9" x14ac:dyDescent="0.35">
      <c r="A3272" s="2" t="s">
        <v>3315</v>
      </c>
      <c r="B3272" s="3">
        <v>45142</v>
      </c>
      <c r="C3272" s="2" t="s">
        <v>25</v>
      </c>
      <c r="D3272" s="2" t="s">
        <v>97</v>
      </c>
      <c r="E3272" s="2" t="s">
        <v>27</v>
      </c>
      <c r="F3272" s="2">
        <v>1835.13</v>
      </c>
      <c r="G3272" s="2">
        <v>491.78</v>
      </c>
      <c r="H3272" s="2" t="s">
        <v>28</v>
      </c>
      <c r="I3272" s="2" t="s">
        <v>20</v>
      </c>
    </row>
    <row r="3273" spans="1:9" x14ac:dyDescent="0.35">
      <c r="A3273" s="2" t="s">
        <v>3316</v>
      </c>
      <c r="B3273" s="3">
        <v>44903</v>
      </c>
      <c r="C3273" s="2" t="s">
        <v>16</v>
      </c>
      <c r="D3273" s="2" t="s">
        <v>33</v>
      </c>
      <c r="E3273" s="2" t="s">
        <v>18</v>
      </c>
      <c r="F3273" s="2">
        <v>62.96</v>
      </c>
      <c r="G3273" s="2">
        <v>17.100000000000001</v>
      </c>
      <c r="H3273" s="2" t="s">
        <v>13</v>
      </c>
      <c r="I3273" s="2" t="s">
        <v>29</v>
      </c>
    </row>
    <row r="3274" spans="1:9" x14ac:dyDescent="0.35">
      <c r="A3274" s="2" t="s">
        <v>3317</v>
      </c>
      <c r="B3274" s="3">
        <v>44590</v>
      </c>
      <c r="C3274" s="2" t="s">
        <v>16</v>
      </c>
      <c r="D3274" s="2" t="s">
        <v>57</v>
      </c>
      <c r="E3274" s="2" t="s">
        <v>27</v>
      </c>
      <c r="F3274" s="2">
        <v>135.22999999999999</v>
      </c>
      <c r="G3274" s="2">
        <v>39.26</v>
      </c>
      <c r="H3274" s="2" t="s">
        <v>28</v>
      </c>
      <c r="I3274" s="2" t="s">
        <v>34</v>
      </c>
    </row>
    <row r="3275" spans="1:9" x14ac:dyDescent="0.35">
      <c r="A3275" s="2" t="s">
        <v>3318</v>
      </c>
      <c r="B3275" s="3">
        <v>44936</v>
      </c>
      <c r="C3275" s="2" t="s">
        <v>16</v>
      </c>
      <c r="D3275" s="2" t="s">
        <v>73</v>
      </c>
      <c r="E3275" s="2" t="s">
        <v>27</v>
      </c>
      <c r="F3275" s="2">
        <v>1271.7</v>
      </c>
      <c r="G3275" s="2">
        <v>225.78</v>
      </c>
      <c r="H3275" s="2" t="s">
        <v>13</v>
      </c>
      <c r="I3275" s="2" t="s">
        <v>14</v>
      </c>
    </row>
    <row r="3276" spans="1:9" x14ac:dyDescent="0.35">
      <c r="A3276" s="2" t="s">
        <v>3319</v>
      </c>
      <c r="B3276" s="3">
        <v>45450</v>
      </c>
      <c r="C3276" s="2" t="s">
        <v>10</v>
      </c>
      <c r="D3276" s="2" t="s">
        <v>95</v>
      </c>
      <c r="E3276" s="2" t="s">
        <v>18</v>
      </c>
      <c r="F3276" s="2">
        <v>1654.41</v>
      </c>
      <c r="G3276" s="2">
        <v>126.19</v>
      </c>
      <c r="H3276" s="2" t="s">
        <v>19</v>
      </c>
      <c r="I3276" s="2" t="s">
        <v>20</v>
      </c>
    </row>
    <row r="3277" spans="1:9" x14ac:dyDescent="0.35">
      <c r="A3277" s="2" t="s">
        <v>3320</v>
      </c>
      <c r="B3277" s="3">
        <v>45394</v>
      </c>
      <c r="C3277" s="2" t="s">
        <v>25</v>
      </c>
      <c r="D3277" s="2" t="s">
        <v>97</v>
      </c>
      <c r="E3277" s="2" t="s">
        <v>27</v>
      </c>
      <c r="F3277" s="2">
        <v>999.37</v>
      </c>
      <c r="G3277" s="2">
        <v>257.7</v>
      </c>
      <c r="H3277" s="2" t="s">
        <v>19</v>
      </c>
      <c r="I3277" s="2" t="s">
        <v>20</v>
      </c>
    </row>
    <row r="3278" spans="1:9" x14ac:dyDescent="0.35">
      <c r="A3278" s="2" t="s">
        <v>3321</v>
      </c>
      <c r="B3278" s="3">
        <v>44999</v>
      </c>
      <c r="C3278" s="2" t="s">
        <v>22</v>
      </c>
      <c r="D3278" s="2" t="s">
        <v>31</v>
      </c>
      <c r="E3278" s="2" t="s">
        <v>12</v>
      </c>
      <c r="F3278" s="2">
        <v>1272.76</v>
      </c>
      <c r="G3278" s="2">
        <v>126.24</v>
      </c>
      <c r="H3278" s="2" t="s">
        <v>28</v>
      </c>
      <c r="I3278" s="2" t="s">
        <v>14</v>
      </c>
    </row>
    <row r="3279" spans="1:9" x14ac:dyDescent="0.35">
      <c r="A3279" s="2" t="s">
        <v>3322</v>
      </c>
      <c r="B3279" s="3">
        <v>45225</v>
      </c>
      <c r="C3279" s="2" t="s">
        <v>16</v>
      </c>
      <c r="D3279" s="2" t="s">
        <v>41</v>
      </c>
      <c r="E3279" s="2" t="s">
        <v>12</v>
      </c>
      <c r="F3279" s="2">
        <v>757.24</v>
      </c>
      <c r="G3279" s="2">
        <v>37.979999999999997</v>
      </c>
      <c r="H3279" s="2" t="s">
        <v>13</v>
      </c>
      <c r="I3279" s="2" t="s">
        <v>34</v>
      </c>
    </row>
    <row r="3280" spans="1:9" x14ac:dyDescent="0.35">
      <c r="A3280" s="2" t="s">
        <v>3323</v>
      </c>
      <c r="B3280" s="3">
        <v>44994</v>
      </c>
      <c r="C3280" s="2" t="s">
        <v>10</v>
      </c>
      <c r="D3280" s="2" t="s">
        <v>62</v>
      </c>
      <c r="E3280" s="2" t="s">
        <v>27</v>
      </c>
      <c r="F3280" s="2">
        <v>1297.52</v>
      </c>
      <c r="G3280" s="2">
        <v>377.95</v>
      </c>
      <c r="H3280" s="2" t="s">
        <v>19</v>
      </c>
      <c r="I3280" s="2" t="s">
        <v>29</v>
      </c>
    </row>
    <row r="3281" spans="1:9" x14ac:dyDescent="0.35">
      <c r="A3281" s="2" t="s">
        <v>3324</v>
      </c>
      <c r="B3281" s="3">
        <v>45165</v>
      </c>
      <c r="C3281" s="2" t="s">
        <v>10</v>
      </c>
      <c r="D3281" s="2" t="s">
        <v>62</v>
      </c>
      <c r="E3281" s="2" t="s">
        <v>27</v>
      </c>
      <c r="F3281" s="2">
        <v>1800.34</v>
      </c>
      <c r="G3281" s="2">
        <v>145.96</v>
      </c>
      <c r="H3281" s="2" t="s">
        <v>19</v>
      </c>
      <c r="I3281" s="2" t="s">
        <v>29</v>
      </c>
    </row>
    <row r="3282" spans="1:9" x14ac:dyDescent="0.35">
      <c r="A3282" s="2" t="s">
        <v>3325</v>
      </c>
      <c r="B3282" s="3">
        <v>44845</v>
      </c>
      <c r="C3282" s="2" t="s">
        <v>10</v>
      </c>
      <c r="D3282" s="2" t="s">
        <v>73</v>
      </c>
      <c r="E3282" s="2" t="s">
        <v>27</v>
      </c>
      <c r="F3282" s="2">
        <v>399.52</v>
      </c>
      <c r="G3282" s="2">
        <v>111.75</v>
      </c>
      <c r="H3282" s="2" t="s">
        <v>19</v>
      </c>
      <c r="I3282" s="2" t="s">
        <v>20</v>
      </c>
    </row>
    <row r="3283" spans="1:9" x14ac:dyDescent="0.35">
      <c r="A3283" s="2" t="s">
        <v>3326</v>
      </c>
      <c r="B3283" s="3">
        <v>44904</v>
      </c>
      <c r="C3283" s="2" t="s">
        <v>22</v>
      </c>
      <c r="D3283" s="2" t="s">
        <v>57</v>
      </c>
      <c r="E3283" s="2" t="s">
        <v>27</v>
      </c>
      <c r="F3283" s="2">
        <v>1472.24</v>
      </c>
      <c r="G3283" s="2">
        <v>134.80000000000001</v>
      </c>
      <c r="H3283" s="2" t="s">
        <v>28</v>
      </c>
      <c r="I3283" s="2" t="s">
        <v>14</v>
      </c>
    </row>
    <row r="3284" spans="1:9" x14ac:dyDescent="0.35">
      <c r="A3284" s="2" t="s">
        <v>3327</v>
      </c>
      <c r="B3284" s="3">
        <v>45376</v>
      </c>
      <c r="C3284" s="2" t="s">
        <v>10</v>
      </c>
      <c r="D3284" s="2" t="s">
        <v>33</v>
      </c>
      <c r="E3284" s="2" t="s">
        <v>18</v>
      </c>
      <c r="F3284" s="2">
        <v>1248.08</v>
      </c>
      <c r="G3284" s="2">
        <v>337.9</v>
      </c>
      <c r="H3284" s="2" t="s">
        <v>19</v>
      </c>
      <c r="I3284" s="2" t="s">
        <v>20</v>
      </c>
    </row>
    <row r="3285" spans="1:9" x14ac:dyDescent="0.35">
      <c r="A3285" s="2" t="s">
        <v>3328</v>
      </c>
      <c r="B3285" s="3">
        <v>44906</v>
      </c>
      <c r="C3285" s="2" t="s">
        <v>25</v>
      </c>
      <c r="D3285" s="2" t="s">
        <v>73</v>
      </c>
      <c r="E3285" s="2" t="s">
        <v>27</v>
      </c>
      <c r="F3285" s="2">
        <v>937.51</v>
      </c>
      <c r="G3285" s="2">
        <v>176.93</v>
      </c>
      <c r="H3285" s="2" t="s">
        <v>28</v>
      </c>
      <c r="I3285" s="2" t="s">
        <v>20</v>
      </c>
    </row>
    <row r="3286" spans="1:9" x14ac:dyDescent="0.35">
      <c r="A3286" s="2" t="s">
        <v>3329</v>
      </c>
      <c r="B3286" s="3">
        <v>45522</v>
      </c>
      <c r="C3286" s="2" t="s">
        <v>22</v>
      </c>
      <c r="D3286" s="2" t="s">
        <v>31</v>
      </c>
      <c r="E3286" s="2" t="s">
        <v>12</v>
      </c>
      <c r="F3286" s="2">
        <v>1671.75</v>
      </c>
      <c r="G3286" s="2">
        <v>147.13999999999999</v>
      </c>
      <c r="H3286" s="2" t="s">
        <v>19</v>
      </c>
      <c r="I3286" s="2" t="s">
        <v>20</v>
      </c>
    </row>
    <row r="3287" spans="1:9" x14ac:dyDescent="0.35">
      <c r="A3287" s="2" t="s">
        <v>3330</v>
      </c>
      <c r="B3287" s="3">
        <v>45074</v>
      </c>
      <c r="C3287" s="2" t="s">
        <v>16</v>
      </c>
      <c r="D3287" s="2" t="s">
        <v>17</v>
      </c>
      <c r="E3287" s="2" t="s">
        <v>18</v>
      </c>
      <c r="F3287" s="2">
        <v>1151.1400000000001</v>
      </c>
      <c r="G3287" s="2">
        <v>303.61</v>
      </c>
      <c r="H3287" s="2" t="s">
        <v>28</v>
      </c>
      <c r="I3287" s="2" t="s">
        <v>29</v>
      </c>
    </row>
    <row r="3288" spans="1:9" x14ac:dyDescent="0.35">
      <c r="A3288" s="2" t="s">
        <v>3331</v>
      </c>
      <c r="B3288" s="3">
        <v>45321</v>
      </c>
      <c r="C3288" s="2" t="s">
        <v>16</v>
      </c>
      <c r="D3288" s="2" t="s">
        <v>33</v>
      </c>
      <c r="E3288" s="2" t="s">
        <v>18</v>
      </c>
      <c r="F3288" s="2">
        <v>1992.27</v>
      </c>
      <c r="G3288" s="2">
        <v>280.66000000000003</v>
      </c>
      <c r="H3288" s="2" t="s">
        <v>19</v>
      </c>
      <c r="I3288" s="2" t="s">
        <v>34</v>
      </c>
    </row>
    <row r="3289" spans="1:9" x14ac:dyDescent="0.35">
      <c r="A3289" s="2" t="s">
        <v>3332</v>
      </c>
      <c r="B3289" s="3">
        <v>44859</v>
      </c>
      <c r="C3289" s="2" t="s">
        <v>25</v>
      </c>
      <c r="D3289" s="2" t="s">
        <v>73</v>
      </c>
      <c r="E3289" s="2" t="s">
        <v>27</v>
      </c>
      <c r="F3289" s="2">
        <v>1881.81</v>
      </c>
      <c r="G3289" s="2">
        <v>363.26</v>
      </c>
      <c r="H3289" s="2" t="s">
        <v>19</v>
      </c>
      <c r="I3289" s="2" t="s">
        <v>14</v>
      </c>
    </row>
    <row r="3290" spans="1:9" x14ac:dyDescent="0.35">
      <c r="A3290" s="2" t="s">
        <v>3333</v>
      </c>
      <c r="B3290" s="3">
        <v>44895</v>
      </c>
      <c r="C3290" s="2" t="s">
        <v>16</v>
      </c>
      <c r="D3290" s="2" t="s">
        <v>97</v>
      </c>
      <c r="E3290" s="2" t="s">
        <v>27</v>
      </c>
      <c r="F3290" s="2">
        <v>1351.09</v>
      </c>
      <c r="G3290" s="2">
        <v>70.099999999999994</v>
      </c>
      <c r="H3290" s="2" t="s">
        <v>13</v>
      </c>
      <c r="I3290" s="2" t="s">
        <v>20</v>
      </c>
    </row>
    <row r="3291" spans="1:9" x14ac:dyDescent="0.35">
      <c r="A3291" s="2" t="s">
        <v>3334</v>
      </c>
      <c r="B3291" s="3">
        <v>45355</v>
      </c>
      <c r="C3291" s="2" t="s">
        <v>16</v>
      </c>
      <c r="D3291" s="2" t="s">
        <v>17</v>
      </c>
      <c r="E3291" s="2" t="s">
        <v>18</v>
      </c>
      <c r="F3291" s="2">
        <v>1696.62</v>
      </c>
      <c r="G3291" s="2">
        <v>114.7</v>
      </c>
      <c r="H3291" s="2" t="s">
        <v>13</v>
      </c>
      <c r="I3291" s="2" t="s">
        <v>29</v>
      </c>
    </row>
    <row r="3292" spans="1:9" x14ac:dyDescent="0.35">
      <c r="A3292" s="2" t="s">
        <v>3335</v>
      </c>
      <c r="B3292" s="3">
        <v>44598</v>
      </c>
      <c r="C3292" s="2" t="s">
        <v>25</v>
      </c>
      <c r="D3292" s="2" t="s">
        <v>33</v>
      </c>
      <c r="E3292" s="2" t="s">
        <v>18</v>
      </c>
      <c r="F3292" s="2">
        <v>500.04</v>
      </c>
      <c r="G3292" s="2">
        <v>77.61</v>
      </c>
      <c r="H3292" s="2" t="s">
        <v>19</v>
      </c>
      <c r="I3292" s="2" t="s">
        <v>29</v>
      </c>
    </row>
    <row r="3293" spans="1:9" x14ac:dyDescent="0.35">
      <c r="A3293" s="2" t="s">
        <v>3336</v>
      </c>
      <c r="B3293" s="3">
        <v>45086</v>
      </c>
      <c r="C3293" s="2" t="s">
        <v>22</v>
      </c>
      <c r="D3293" s="2" t="s">
        <v>41</v>
      </c>
      <c r="E3293" s="2" t="s">
        <v>12</v>
      </c>
      <c r="F3293" s="2">
        <v>399.52</v>
      </c>
      <c r="G3293" s="2">
        <v>114.24</v>
      </c>
      <c r="H3293" s="2" t="s">
        <v>19</v>
      </c>
      <c r="I3293" s="2" t="s">
        <v>14</v>
      </c>
    </row>
    <row r="3294" spans="1:9" x14ac:dyDescent="0.35">
      <c r="A3294" s="2" t="s">
        <v>3337</v>
      </c>
      <c r="B3294" s="3">
        <v>44602</v>
      </c>
      <c r="C3294" s="2" t="s">
        <v>22</v>
      </c>
      <c r="D3294" s="2" t="s">
        <v>95</v>
      </c>
      <c r="E3294" s="2" t="s">
        <v>18</v>
      </c>
      <c r="F3294" s="2">
        <v>191.39</v>
      </c>
      <c r="G3294" s="2">
        <v>46.05</v>
      </c>
      <c r="H3294" s="2" t="s">
        <v>13</v>
      </c>
      <c r="I3294" s="2" t="s">
        <v>14</v>
      </c>
    </row>
    <row r="3295" spans="1:9" x14ac:dyDescent="0.35">
      <c r="A3295" s="2" t="s">
        <v>3338</v>
      </c>
      <c r="B3295" s="3">
        <v>45200</v>
      </c>
      <c r="C3295" s="2" t="s">
        <v>10</v>
      </c>
      <c r="D3295" s="2" t="s">
        <v>26</v>
      </c>
      <c r="E3295" s="2" t="s">
        <v>27</v>
      </c>
      <c r="F3295" s="2">
        <v>288.02</v>
      </c>
      <c r="G3295" s="2">
        <v>52.12</v>
      </c>
      <c r="H3295" s="2" t="s">
        <v>28</v>
      </c>
      <c r="I3295" s="2" t="s">
        <v>29</v>
      </c>
    </row>
    <row r="3296" spans="1:9" x14ac:dyDescent="0.35">
      <c r="A3296" s="2" t="s">
        <v>3339</v>
      </c>
      <c r="B3296" s="3">
        <v>45271</v>
      </c>
      <c r="C3296" s="2" t="s">
        <v>22</v>
      </c>
      <c r="D3296" s="2" t="s">
        <v>26</v>
      </c>
      <c r="E3296" s="2" t="s">
        <v>27</v>
      </c>
      <c r="F3296" s="2">
        <v>843.35</v>
      </c>
      <c r="G3296" s="2">
        <v>119.14</v>
      </c>
      <c r="H3296" s="2" t="s">
        <v>13</v>
      </c>
      <c r="I3296" s="2" t="s">
        <v>14</v>
      </c>
    </row>
    <row r="3297" spans="1:9" x14ac:dyDescent="0.35">
      <c r="A3297" s="2" t="s">
        <v>3340</v>
      </c>
      <c r="B3297" s="3">
        <v>45581</v>
      </c>
      <c r="C3297" s="2" t="s">
        <v>16</v>
      </c>
      <c r="D3297" s="2" t="s">
        <v>11</v>
      </c>
      <c r="E3297" s="2" t="s">
        <v>12</v>
      </c>
      <c r="F3297" s="2">
        <v>928.68</v>
      </c>
      <c r="G3297" s="2">
        <v>121.68</v>
      </c>
      <c r="H3297" s="2" t="s">
        <v>19</v>
      </c>
      <c r="I3297" s="2" t="s">
        <v>20</v>
      </c>
    </row>
    <row r="3298" spans="1:9" x14ac:dyDescent="0.35">
      <c r="A3298" s="2" t="s">
        <v>3341</v>
      </c>
      <c r="B3298" s="3">
        <v>44923</v>
      </c>
      <c r="C3298" s="2" t="s">
        <v>10</v>
      </c>
      <c r="D3298" s="2" t="s">
        <v>17</v>
      </c>
      <c r="E3298" s="2" t="s">
        <v>18</v>
      </c>
      <c r="F3298" s="2">
        <v>489.39</v>
      </c>
      <c r="G3298" s="2">
        <v>40.770000000000003</v>
      </c>
      <c r="H3298" s="2" t="s">
        <v>13</v>
      </c>
      <c r="I3298" s="2" t="s">
        <v>34</v>
      </c>
    </row>
    <row r="3299" spans="1:9" x14ac:dyDescent="0.35">
      <c r="A3299" s="2" t="s">
        <v>3342</v>
      </c>
      <c r="B3299" s="3">
        <v>45570</v>
      </c>
      <c r="C3299" s="2" t="s">
        <v>16</v>
      </c>
      <c r="D3299" s="2" t="s">
        <v>73</v>
      </c>
      <c r="E3299" s="2" t="s">
        <v>27</v>
      </c>
      <c r="F3299" s="2">
        <v>691.98</v>
      </c>
      <c r="G3299" s="2">
        <v>72.06</v>
      </c>
      <c r="H3299" s="2" t="s">
        <v>28</v>
      </c>
      <c r="I3299" s="2" t="s">
        <v>14</v>
      </c>
    </row>
    <row r="3300" spans="1:9" x14ac:dyDescent="0.35">
      <c r="A3300" s="2" t="s">
        <v>3343</v>
      </c>
      <c r="B3300" s="3">
        <v>45407</v>
      </c>
      <c r="C3300" s="2" t="s">
        <v>10</v>
      </c>
      <c r="D3300" s="2" t="s">
        <v>33</v>
      </c>
      <c r="E3300" s="2" t="s">
        <v>18</v>
      </c>
      <c r="F3300" s="2">
        <v>1371.67</v>
      </c>
      <c r="G3300" s="2">
        <v>215.54</v>
      </c>
      <c r="H3300" s="2" t="s">
        <v>28</v>
      </c>
      <c r="I3300" s="2" t="s">
        <v>29</v>
      </c>
    </row>
    <row r="3301" spans="1:9" x14ac:dyDescent="0.35">
      <c r="A3301" s="2" t="s">
        <v>3344</v>
      </c>
      <c r="B3301" s="3">
        <v>45008</v>
      </c>
      <c r="C3301" s="2" t="s">
        <v>25</v>
      </c>
      <c r="D3301" s="2" t="s">
        <v>33</v>
      </c>
      <c r="E3301" s="2" t="s">
        <v>18</v>
      </c>
      <c r="F3301" s="2">
        <v>658.34</v>
      </c>
      <c r="G3301" s="2">
        <v>146.62</v>
      </c>
      <c r="H3301" s="2" t="s">
        <v>19</v>
      </c>
      <c r="I3301" s="2" t="s">
        <v>34</v>
      </c>
    </row>
    <row r="3302" spans="1:9" x14ac:dyDescent="0.35">
      <c r="A3302" s="2" t="s">
        <v>3345</v>
      </c>
      <c r="B3302" s="3">
        <v>45290</v>
      </c>
      <c r="C3302" s="2" t="s">
        <v>16</v>
      </c>
      <c r="D3302" s="2" t="s">
        <v>73</v>
      </c>
      <c r="E3302" s="2" t="s">
        <v>27</v>
      </c>
      <c r="F3302" s="2">
        <v>1302.82</v>
      </c>
      <c r="G3302" s="2">
        <v>166.05</v>
      </c>
      <c r="H3302" s="2" t="s">
        <v>13</v>
      </c>
      <c r="I3302" s="2" t="s">
        <v>14</v>
      </c>
    </row>
    <row r="3303" spans="1:9" x14ac:dyDescent="0.35">
      <c r="A3303" s="2" t="s">
        <v>3346</v>
      </c>
      <c r="B3303" s="3">
        <v>45062</v>
      </c>
      <c r="C3303" s="2" t="s">
        <v>16</v>
      </c>
      <c r="D3303" s="2" t="s">
        <v>50</v>
      </c>
      <c r="E3303" s="2" t="s">
        <v>12</v>
      </c>
      <c r="F3303" s="2">
        <v>1743.12</v>
      </c>
      <c r="G3303" s="2">
        <v>381.38</v>
      </c>
      <c r="H3303" s="2" t="s">
        <v>13</v>
      </c>
      <c r="I3303" s="2" t="s">
        <v>29</v>
      </c>
    </row>
    <row r="3304" spans="1:9" x14ac:dyDescent="0.35">
      <c r="A3304" s="2" t="s">
        <v>3347</v>
      </c>
      <c r="B3304" s="3">
        <v>44999</v>
      </c>
      <c r="C3304" s="2" t="s">
        <v>10</v>
      </c>
      <c r="D3304" s="2" t="s">
        <v>31</v>
      </c>
      <c r="E3304" s="2" t="s">
        <v>12</v>
      </c>
      <c r="F3304" s="2">
        <v>1480.24</v>
      </c>
      <c r="G3304" s="2">
        <v>200.21</v>
      </c>
      <c r="H3304" s="2" t="s">
        <v>13</v>
      </c>
      <c r="I3304" s="2" t="s">
        <v>29</v>
      </c>
    </row>
    <row r="3305" spans="1:9" x14ac:dyDescent="0.35">
      <c r="A3305" s="2" t="s">
        <v>3348</v>
      </c>
      <c r="B3305" s="3">
        <v>44793</v>
      </c>
      <c r="C3305" s="2" t="s">
        <v>22</v>
      </c>
      <c r="D3305" s="2" t="s">
        <v>73</v>
      </c>
      <c r="E3305" s="2" t="s">
        <v>27</v>
      </c>
      <c r="F3305" s="2">
        <v>857.09</v>
      </c>
      <c r="G3305" s="2">
        <v>208.12</v>
      </c>
      <c r="H3305" s="2" t="s">
        <v>28</v>
      </c>
      <c r="I3305" s="2" t="s">
        <v>14</v>
      </c>
    </row>
    <row r="3306" spans="1:9" x14ac:dyDescent="0.35">
      <c r="A3306" s="2" t="s">
        <v>3349</v>
      </c>
      <c r="B3306" s="3">
        <v>45163</v>
      </c>
      <c r="C3306" s="2" t="s">
        <v>10</v>
      </c>
      <c r="D3306" s="2" t="s">
        <v>38</v>
      </c>
      <c r="E3306" s="2" t="s">
        <v>12</v>
      </c>
      <c r="F3306" s="2">
        <v>782.31</v>
      </c>
      <c r="G3306" s="2">
        <v>142.78</v>
      </c>
      <c r="H3306" s="2" t="s">
        <v>19</v>
      </c>
      <c r="I3306" s="2" t="s">
        <v>20</v>
      </c>
    </row>
    <row r="3307" spans="1:9" x14ac:dyDescent="0.35">
      <c r="A3307" s="2" t="s">
        <v>3350</v>
      </c>
      <c r="B3307" s="3">
        <v>45416</v>
      </c>
      <c r="C3307" s="2" t="s">
        <v>22</v>
      </c>
      <c r="D3307" s="2" t="s">
        <v>38</v>
      </c>
      <c r="E3307" s="2" t="s">
        <v>12</v>
      </c>
      <c r="F3307" s="2">
        <v>1705.82</v>
      </c>
      <c r="G3307" s="2">
        <v>305.77999999999997</v>
      </c>
      <c r="H3307" s="2" t="s">
        <v>28</v>
      </c>
      <c r="I3307" s="2" t="s">
        <v>34</v>
      </c>
    </row>
    <row r="3308" spans="1:9" x14ac:dyDescent="0.35">
      <c r="A3308" s="2" t="s">
        <v>3351</v>
      </c>
      <c r="B3308" s="3">
        <v>44710</v>
      </c>
      <c r="C3308" s="2" t="s">
        <v>10</v>
      </c>
      <c r="D3308" s="2" t="s">
        <v>73</v>
      </c>
      <c r="E3308" s="2" t="s">
        <v>27</v>
      </c>
      <c r="F3308" s="2">
        <v>1082.1600000000001</v>
      </c>
      <c r="G3308" s="2">
        <v>54.98</v>
      </c>
      <c r="H3308" s="2" t="s">
        <v>13</v>
      </c>
      <c r="I3308" s="2" t="s">
        <v>14</v>
      </c>
    </row>
    <row r="3309" spans="1:9" x14ac:dyDescent="0.35">
      <c r="A3309" s="2" t="s">
        <v>3352</v>
      </c>
      <c r="B3309" s="3">
        <v>44813</v>
      </c>
      <c r="C3309" s="2" t="s">
        <v>10</v>
      </c>
      <c r="D3309" s="2" t="s">
        <v>97</v>
      </c>
      <c r="E3309" s="2" t="s">
        <v>27</v>
      </c>
      <c r="F3309" s="2">
        <v>1572.31</v>
      </c>
      <c r="G3309" s="2">
        <v>358.43</v>
      </c>
      <c r="H3309" s="2" t="s">
        <v>19</v>
      </c>
      <c r="I3309" s="2" t="s">
        <v>34</v>
      </c>
    </row>
    <row r="3310" spans="1:9" x14ac:dyDescent="0.35">
      <c r="A3310" s="2" t="s">
        <v>3353</v>
      </c>
      <c r="B3310" s="3">
        <v>45346</v>
      </c>
      <c r="C3310" s="2" t="s">
        <v>25</v>
      </c>
      <c r="D3310" s="2" t="s">
        <v>23</v>
      </c>
      <c r="E3310" s="2" t="s">
        <v>18</v>
      </c>
      <c r="F3310" s="2">
        <v>813.19</v>
      </c>
      <c r="G3310" s="2">
        <v>87.96</v>
      </c>
      <c r="H3310" s="2" t="s">
        <v>19</v>
      </c>
      <c r="I3310" s="2" t="s">
        <v>34</v>
      </c>
    </row>
    <row r="3311" spans="1:9" x14ac:dyDescent="0.35">
      <c r="A3311" s="2" t="s">
        <v>3354</v>
      </c>
      <c r="B3311" s="3">
        <v>45446</v>
      </c>
      <c r="C3311" s="2" t="s">
        <v>10</v>
      </c>
      <c r="D3311" s="2" t="s">
        <v>23</v>
      </c>
      <c r="E3311" s="2" t="s">
        <v>18</v>
      </c>
      <c r="F3311" s="2">
        <v>1124.02</v>
      </c>
      <c r="G3311" s="2">
        <v>318.05</v>
      </c>
      <c r="H3311" s="2" t="s">
        <v>13</v>
      </c>
      <c r="I3311" s="2" t="s">
        <v>34</v>
      </c>
    </row>
    <row r="3312" spans="1:9" x14ac:dyDescent="0.35">
      <c r="A3312" s="2" t="s">
        <v>3355</v>
      </c>
      <c r="B3312" s="3">
        <v>44744</v>
      </c>
      <c r="C3312" s="2" t="s">
        <v>25</v>
      </c>
      <c r="D3312" s="2" t="s">
        <v>31</v>
      </c>
      <c r="E3312" s="2" t="s">
        <v>12</v>
      </c>
      <c r="F3312" s="2">
        <v>1894.56</v>
      </c>
      <c r="G3312" s="2">
        <v>426.32</v>
      </c>
      <c r="H3312" s="2" t="s">
        <v>19</v>
      </c>
      <c r="I3312" s="2" t="s">
        <v>34</v>
      </c>
    </row>
    <row r="3313" spans="1:9" x14ac:dyDescent="0.35">
      <c r="A3313" s="2" t="s">
        <v>3356</v>
      </c>
      <c r="B3313" s="3">
        <v>44888</v>
      </c>
      <c r="C3313" s="2" t="s">
        <v>25</v>
      </c>
      <c r="D3313" s="2" t="s">
        <v>17</v>
      </c>
      <c r="E3313" s="2" t="s">
        <v>18</v>
      </c>
      <c r="F3313" s="2">
        <v>756.6</v>
      </c>
      <c r="G3313" s="2">
        <v>63.75</v>
      </c>
      <c r="H3313" s="2" t="s">
        <v>28</v>
      </c>
      <c r="I3313" s="2" t="s">
        <v>14</v>
      </c>
    </row>
    <row r="3314" spans="1:9" x14ac:dyDescent="0.35">
      <c r="A3314" s="2" t="s">
        <v>3357</v>
      </c>
      <c r="B3314" s="3">
        <v>45538</v>
      </c>
      <c r="C3314" s="2" t="s">
        <v>16</v>
      </c>
      <c r="D3314" s="2" t="s">
        <v>33</v>
      </c>
      <c r="E3314" s="2" t="s">
        <v>18</v>
      </c>
      <c r="F3314" s="2">
        <v>1727.04</v>
      </c>
      <c r="G3314" s="2">
        <v>324.26</v>
      </c>
      <c r="H3314" s="2" t="s">
        <v>19</v>
      </c>
      <c r="I3314" s="2" t="s">
        <v>34</v>
      </c>
    </row>
    <row r="3315" spans="1:9" x14ac:dyDescent="0.35">
      <c r="A3315" s="2" t="s">
        <v>3358</v>
      </c>
      <c r="B3315" s="3">
        <v>45322</v>
      </c>
      <c r="C3315" s="2" t="s">
        <v>16</v>
      </c>
      <c r="D3315" s="2" t="s">
        <v>11</v>
      </c>
      <c r="E3315" s="2" t="s">
        <v>12</v>
      </c>
      <c r="F3315" s="2">
        <v>748.47</v>
      </c>
      <c r="G3315" s="2">
        <v>86.22</v>
      </c>
      <c r="H3315" s="2" t="s">
        <v>19</v>
      </c>
      <c r="I3315" s="2" t="s">
        <v>34</v>
      </c>
    </row>
    <row r="3316" spans="1:9" x14ac:dyDescent="0.35">
      <c r="A3316" s="2" t="s">
        <v>3359</v>
      </c>
      <c r="B3316" s="3">
        <v>45089</v>
      </c>
      <c r="C3316" s="2" t="s">
        <v>10</v>
      </c>
      <c r="D3316" s="2" t="s">
        <v>46</v>
      </c>
      <c r="E3316" s="2" t="s">
        <v>18</v>
      </c>
      <c r="F3316" s="2">
        <v>1336.03</v>
      </c>
      <c r="G3316" s="2">
        <v>369.22</v>
      </c>
      <c r="H3316" s="2" t="s">
        <v>28</v>
      </c>
      <c r="I3316" s="2" t="s">
        <v>14</v>
      </c>
    </row>
    <row r="3317" spans="1:9" x14ac:dyDescent="0.35">
      <c r="A3317" s="2" t="s">
        <v>3360</v>
      </c>
      <c r="B3317" s="3">
        <v>45117</v>
      </c>
      <c r="C3317" s="2" t="s">
        <v>25</v>
      </c>
      <c r="D3317" s="2" t="s">
        <v>95</v>
      </c>
      <c r="E3317" s="2" t="s">
        <v>18</v>
      </c>
      <c r="F3317" s="2">
        <v>1196.3800000000001</v>
      </c>
      <c r="G3317" s="2">
        <v>335.73</v>
      </c>
      <c r="H3317" s="2" t="s">
        <v>28</v>
      </c>
      <c r="I3317" s="2" t="s">
        <v>20</v>
      </c>
    </row>
    <row r="3318" spans="1:9" x14ac:dyDescent="0.35">
      <c r="A3318" s="2" t="s">
        <v>3361</v>
      </c>
      <c r="B3318" s="3">
        <v>45236</v>
      </c>
      <c r="C3318" s="2" t="s">
        <v>10</v>
      </c>
      <c r="D3318" s="2" t="s">
        <v>41</v>
      </c>
      <c r="E3318" s="2" t="s">
        <v>12</v>
      </c>
      <c r="F3318" s="2">
        <v>699.26</v>
      </c>
      <c r="G3318" s="2">
        <v>55.65</v>
      </c>
      <c r="H3318" s="2" t="s">
        <v>13</v>
      </c>
      <c r="I3318" s="2" t="s">
        <v>34</v>
      </c>
    </row>
    <row r="3319" spans="1:9" x14ac:dyDescent="0.35">
      <c r="A3319" s="2" t="s">
        <v>3362</v>
      </c>
      <c r="B3319" s="3">
        <v>45250</v>
      </c>
      <c r="C3319" s="2" t="s">
        <v>25</v>
      </c>
      <c r="D3319" s="2" t="s">
        <v>73</v>
      </c>
      <c r="E3319" s="2" t="s">
        <v>27</v>
      </c>
      <c r="F3319" s="2">
        <v>1253.81</v>
      </c>
      <c r="G3319" s="2">
        <v>338.98</v>
      </c>
      <c r="H3319" s="2" t="s">
        <v>19</v>
      </c>
      <c r="I3319" s="2" t="s">
        <v>20</v>
      </c>
    </row>
    <row r="3320" spans="1:9" x14ac:dyDescent="0.35">
      <c r="A3320" s="2" t="s">
        <v>3363</v>
      </c>
      <c r="B3320" s="3">
        <v>44967</v>
      </c>
      <c r="C3320" s="2" t="s">
        <v>10</v>
      </c>
      <c r="D3320" s="2" t="s">
        <v>73</v>
      </c>
      <c r="E3320" s="2" t="s">
        <v>27</v>
      </c>
      <c r="F3320" s="2">
        <v>65.599999999999994</v>
      </c>
      <c r="G3320" s="2">
        <v>6.37</v>
      </c>
      <c r="H3320" s="2" t="s">
        <v>19</v>
      </c>
      <c r="I3320" s="2" t="s">
        <v>29</v>
      </c>
    </row>
    <row r="3321" spans="1:9" x14ac:dyDescent="0.35">
      <c r="A3321" s="2" t="s">
        <v>3364</v>
      </c>
      <c r="B3321" s="3">
        <v>44923</v>
      </c>
      <c r="C3321" s="2" t="s">
        <v>10</v>
      </c>
      <c r="D3321" s="2" t="s">
        <v>57</v>
      </c>
      <c r="E3321" s="2" t="s">
        <v>27</v>
      </c>
      <c r="F3321" s="2">
        <v>1595.75</v>
      </c>
      <c r="G3321" s="2">
        <v>135.85</v>
      </c>
      <c r="H3321" s="2" t="s">
        <v>19</v>
      </c>
      <c r="I3321" s="2" t="s">
        <v>14</v>
      </c>
    </row>
    <row r="3322" spans="1:9" x14ac:dyDescent="0.35">
      <c r="A3322" s="2" t="s">
        <v>3365</v>
      </c>
      <c r="B3322" s="3">
        <v>45349</v>
      </c>
      <c r="C3322" s="2" t="s">
        <v>25</v>
      </c>
      <c r="D3322" s="2" t="s">
        <v>23</v>
      </c>
      <c r="E3322" s="2" t="s">
        <v>18</v>
      </c>
      <c r="F3322" s="2">
        <v>1874.45</v>
      </c>
      <c r="G3322" s="2">
        <v>177.39</v>
      </c>
      <c r="H3322" s="2" t="s">
        <v>28</v>
      </c>
      <c r="I3322" s="2" t="s">
        <v>20</v>
      </c>
    </row>
    <row r="3323" spans="1:9" x14ac:dyDescent="0.35">
      <c r="A3323" s="2" t="s">
        <v>3366</v>
      </c>
      <c r="B3323" s="3">
        <v>44629</v>
      </c>
      <c r="C3323" s="2" t="s">
        <v>10</v>
      </c>
      <c r="D3323" s="2" t="s">
        <v>33</v>
      </c>
      <c r="E3323" s="2" t="s">
        <v>18</v>
      </c>
      <c r="F3323" s="2">
        <v>539.78</v>
      </c>
      <c r="G3323" s="2">
        <v>43.66</v>
      </c>
      <c r="H3323" s="2" t="s">
        <v>13</v>
      </c>
      <c r="I3323" s="2" t="s">
        <v>14</v>
      </c>
    </row>
    <row r="3324" spans="1:9" x14ac:dyDescent="0.35">
      <c r="A3324" s="2" t="s">
        <v>3367</v>
      </c>
      <c r="B3324" s="3">
        <v>45213</v>
      </c>
      <c r="C3324" s="2" t="s">
        <v>10</v>
      </c>
      <c r="D3324" s="2" t="s">
        <v>17</v>
      </c>
      <c r="E3324" s="2" t="s">
        <v>18</v>
      </c>
      <c r="F3324" s="2">
        <v>1068.52</v>
      </c>
      <c r="G3324" s="2">
        <v>121.61</v>
      </c>
      <c r="H3324" s="2" t="s">
        <v>13</v>
      </c>
      <c r="I3324" s="2" t="s">
        <v>29</v>
      </c>
    </row>
    <row r="3325" spans="1:9" x14ac:dyDescent="0.35">
      <c r="A3325" s="2" t="s">
        <v>3368</v>
      </c>
      <c r="B3325" s="3">
        <v>45465</v>
      </c>
      <c r="C3325" s="2" t="s">
        <v>10</v>
      </c>
      <c r="D3325" s="2" t="s">
        <v>17</v>
      </c>
      <c r="E3325" s="2" t="s">
        <v>18</v>
      </c>
      <c r="F3325" s="2">
        <v>273.18</v>
      </c>
      <c r="G3325" s="2">
        <v>39.93</v>
      </c>
      <c r="H3325" s="2" t="s">
        <v>19</v>
      </c>
      <c r="I3325" s="2" t="s">
        <v>14</v>
      </c>
    </row>
    <row r="3326" spans="1:9" x14ac:dyDescent="0.35">
      <c r="A3326" s="2" t="s">
        <v>3369</v>
      </c>
      <c r="B3326" s="3">
        <v>44666</v>
      </c>
      <c r="C3326" s="2" t="s">
        <v>22</v>
      </c>
      <c r="D3326" s="2" t="s">
        <v>11</v>
      </c>
      <c r="E3326" s="2" t="s">
        <v>12</v>
      </c>
      <c r="F3326" s="2">
        <v>587.35</v>
      </c>
      <c r="G3326" s="2">
        <v>50.81</v>
      </c>
      <c r="H3326" s="2" t="s">
        <v>19</v>
      </c>
      <c r="I3326" s="2" t="s">
        <v>34</v>
      </c>
    </row>
    <row r="3327" spans="1:9" x14ac:dyDescent="0.35">
      <c r="A3327" s="2" t="s">
        <v>3370</v>
      </c>
      <c r="B3327" s="3">
        <v>45459</v>
      </c>
      <c r="C3327" s="2" t="s">
        <v>22</v>
      </c>
      <c r="D3327" s="2" t="s">
        <v>46</v>
      </c>
      <c r="E3327" s="2" t="s">
        <v>18</v>
      </c>
      <c r="F3327" s="2">
        <v>596.59</v>
      </c>
      <c r="G3327" s="2">
        <v>59.38</v>
      </c>
      <c r="H3327" s="2" t="s">
        <v>13</v>
      </c>
      <c r="I3327" s="2" t="s">
        <v>14</v>
      </c>
    </row>
    <row r="3328" spans="1:9" x14ac:dyDescent="0.35">
      <c r="A3328" s="2" t="s">
        <v>3371</v>
      </c>
      <c r="B3328" s="3">
        <v>44684</v>
      </c>
      <c r="C3328" s="2" t="s">
        <v>16</v>
      </c>
      <c r="D3328" s="2" t="s">
        <v>50</v>
      </c>
      <c r="E3328" s="2" t="s">
        <v>12</v>
      </c>
      <c r="F3328" s="2">
        <v>497.61</v>
      </c>
      <c r="G3328" s="2">
        <v>29.95</v>
      </c>
      <c r="H3328" s="2" t="s">
        <v>19</v>
      </c>
      <c r="I3328" s="2" t="s">
        <v>34</v>
      </c>
    </row>
    <row r="3329" spans="1:9" x14ac:dyDescent="0.35">
      <c r="A3329" s="2" t="s">
        <v>3372</v>
      </c>
      <c r="B3329" s="3">
        <v>45562</v>
      </c>
      <c r="C3329" s="2" t="s">
        <v>22</v>
      </c>
      <c r="D3329" s="2" t="s">
        <v>50</v>
      </c>
      <c r="E3329" s="2" t="s">
        <v>12</v>
      </c>
      <c r="F3329" s="2">
        <v>484.91</v>
      </c>
      <c r="G3329" s="2">
        <v>46.12</v>
      </c>
      <c r="H3329" s="2" t="s">
        <v>19</v>
      </c>
      <c r="I3329" s="2" t="s">
        <v>14</v>
      </c>
    </row>
    <row r="3330" spans="1:9" x14ac:dyDescent="0.35">
      <c r="A3330" s="2" t="s">
        <v>3373</v>
      </c>
      <c r="B3330" s="3">
        <v>45204</v>
      </c>
      <c r="C3330" s="2" t="s">
        <v>10</v>
      </c>
      <c r="D3330" s="2" t="s">
        <v>38</v>
      </c>
      <c r="E3330" s="2" t="s">
        <v>12</v>
      </c>
      <c r="F3330" s="2">
        <v>1935.86</v>
      </c>
      <c r="G3330" s="2">
        <v>249.27</v>
      </c>
      <c r="H3330" s="2" t="s">
        <v>28</v>
      </c>
      <c r="I3330" s="2" t="s">
        <v>34</v>
      </c>
    </row>
    <row r="3331" spans="1:9" x14ac:dyDescent="0.35">
      <c r="A3331" s="2" t="s">
        <v>3374</v>
      </c>
      <c r="B3331" s="3">
        <v>44731</v>
      </c>
      <c r="C3331" s="2" t="s">
        <v>16</v>
      </c>
      <c r="D3331" s="2" t="s">
        <v>41</v>
      </c>
      <c r="E3331" s="2" t="s">
        <v>12</v>
      </c>
      <c r="F3331" s="2">
        <v>1341.32</v>
      </c>
      <c r="G3331" s="2">
        <v>159.46</v>
      </c>
      <c r="H3331" s="2" t="s">
        <v>28</v>
      </c>
      <c r="I3331" s="2" t="s">
        <v>20</v>
      </c>
    </row>
    <row r="3332" spans="1:9" x14ac:dyDescent="0.35">
      <c r="A3332" s="2" t="s">
        <v>3375</v>
      </c>
      <c r="B3332" s="3">
        <v>44902</v>
      </c>
      <c r="C3332" s="2" t="s">
        <v>22</v>
      </c>
      <c r="D3332" s="2" t="s">
        <v>95</v>
      </c>
      <c r="E3332" s="2" t="s">
        <v>18</v>
      </c>
      <c r="F3332" s="2">
        <v>1167.53</v>
      </c>
      <c r="G3332" s="2">
        <v>112.12</v>
      </c>
      <c r="H3332" s="2" t="s">
        <v>28</v>
      </c>
      <c r="I3332" s="2" t="s">
        <v>20</v>
      </c>
    </row>
    <row r="3333" spans="1:9" x14ac:dyDescent="0.35">
      <c r="A3333" s="2" t="s">
        <v>3376</v>
      </c>
      <c r="B3333" s="3">
        <v>44679</v>
      </c>
      <c r="C3333" s="2" t="s">
        <v>16</v>
      </c>
      <c r="D3333" s="2" t="s">
        <v>97</v>
      </c>
      <c r="E3333" s="2" t="s">
        <v>27</v>
      </c>
      <c r="F3333" s="2">
        <v>1491.34</v>
      </c>
      <c r="G3333" s="2">
        <v>363.54</v>
      </c>
      <c r="H3333" s="2" t="s">
        <v>28</v>
      </c>
      <c r="I3333" s="2" t="s">
        <v>20</v>
      </c>
    </row>
    <row r="3334" spans="1:9" x14ac:dyDescent="0.35">
      <c r="A3334" s="2" t="s">
        <v>3377</v>
      </c>
      <c r="B3334" s="3">
        <v>44996</v>
      </c>
      <c r="C3334" s="2" t="s">
        <v>22</v>
      </c>
      <c r="D3334" s="2" t="s">
        <v>73</v>
      </c>
      <c r="E3334" s="2" t="s">
        <v>27</v>
      </c>
      <c r="F3334" s="2">
        <v>1116.18</v>
      </c>
      <c r="G3334" s="2">
        <v>293.7</v>
      </c>
      <c r="H3334" s="2" t="s">
        <v>13</v>
      </c>
      <c r="I3334" s="2" t="s">
        <v>20</v>
      </c>
    </row>
    <row r="3335" spans="1:9" x14ac:dyDescent="0.35">
      <c r="A3335" s="2" t="s">
        <v>3378</v>
      </c>
      <c r="B3335" s="3">
        <v>45398</v>
      </c>
      <c r="C3335" s="2" t="s">
        <v>22</v>
      </c>
      <c r="D3335" s="2" t="s">
        <v>46</v>
      </c>
      <c r="E3335" s="2" t="s">
        <v>18</v>
      </c>
      <c r="F3335" s="2">
        <v>1312.21</v>
      </c>
      <c r="G3335" s="2">
        <v>175.17</v>
      </c>
      <c r="H3335" s="2" t="s">
        <v>28</v>
      </c>
      <c r="I3335" s="2" t="s">
        <v>20</v>
      </c>
    </row>
    <row r="3336" spans="1:9" x14ac:dyDescent="0.35">
      <c r="A3336" s="2" t="s">
        <v>3379</v>
      </c>
      <c r="B3336" s="3">
        <v>45262</v>
      </c>
      <c r="C3336" s="2" t="s">
        <v>16</v>
      </c>
      <c r="D3336" s="2" t="s">
        <v>33</v>
      </c>
      <c r="E3336" s="2" t="s">
        <v>18</v>
      </c>
      <c r="F3336" s="2">
        <v>1377.39</v>
      </c>
      <c r="G3336" s="2">
        <v>403.32</v>
      </c>
      <c r="H3336" s="2" t="s">
        <v>28</v>
      </c>
      <c r="I3336" s="2" t="s">
        <v>14</v>
      </c>
    </row>
    <row r="3337" spans="1:9" x14ac:dyDescent="0.35">
      <c r="A3337" s="2" t="s">
        <v>3380</v>
      </c>
      <c r="B3337" s="3">
        <v>45597</v>
      </c>
      <c r="C3337" s="2" t="s">
        <v>22</v>
      </c>
      <c r="D3337" s="2" t="s">
        <v>46</v>
      </c>
      <c r="E3337" s="2" t="s">
        <v>18</v>
      </c>
      <c r="F3337" s="2">
        <v>672.1</v>
      </c>
      <c r="G3337" s="2">
        <v>166.5</v>
      </c>
      <c r="H3337" s="2" t="s">
        <v>19</v>
      </c>
      <c r="I3337" s="2" t="s">
        <v>14</v>
      </c>
    </row>
    <row r="3338" spans="1:9" x14ac:dyDescent="0.35">
      <c r="A3338" s="2" t="s">
        <v>3381</v>
      </c>
      <c r="B3338" s="3">
        <v>44761</v>
      </c>
      <c r="C3338" s="2" t="s">
        <v>25</v>
      </c>
      <c r="D3338" s="2" t="s">
        <v>50</v>
      </c>
      <c r="E3338" s="2" t="s">
        <v>12</v>
      </c>
      <c r="F3338" s="2">
        <v>146.80000000000001</v>
      </c>
      <c r="G3338" s="2">
        <v>27.59</v>
      </c>
      <c r="H3338" s="2" t="s">
        <v>19</v>
      </c>
      <c r="I3338" s="2" t="s">
        <v>29</v>
      </c>
    </row>
    <row r="3339" spans="1:9" x14ac:dyDescent="0.35">
      <c r="A3339" s="2" t="s">
        <v>3382</v>
      </c>
      <c r="B3339" s="3">
        <v>44766</v>
      </c>
      <c r="C3339" s="2" t="s">
        <v>10</v>
      </c>
      <c r="D3339" s="2" t="s">
        <v>23</v>
      </c>
      <c r="E3339" s="2" t="s">
        <v>18</v>
      </c>
      <c r="F3339" s="2">
        <v>736.65</v>
      </c>
      <c r="G3339" s="2">
        <v>158.27000000000001</v>
      </c>
      <c r="H3339" s="2" t="s">
        <v>13</v>
      </c>
      <c r="I3339" s="2" t="s">
        <v>20</v>
      </c>
    </row>
    <row r="3340" spans="1:9" x14ac:dyDescent="0.35">
      <c r="A3340" s="2" t="s">
        <v>3383</v>
      </c>
      <c r="B3340" s="3">
        <v>45440</v>
      </c>
      <c r="C3340" s="2" t="s">
        <v>25</v>
      </c>
      <c r="D3340" s="2" t="s">
        <v>17</v>
      </c>
      <c r="E3340" s="2" t="s">
        <v>18</v>
      </c>
      <c r="F3340" s="2">
        <v>73.489999999999995</v>
      </c>
      <c r="G3340" s="2">
        <v>12.37</v>
      </c>
      <c r="H3340" s="2" t="s">
        <v>13</v>
      </c>
      <c r="I3340" s="2" t="s">
        <v>29</v>
      </c>
    </row>
    <row r="3341" spans="1:9" x14ac:dyDescent="0.35">
      <c r="A3341" s="2" t="s">
        <v>3384</v>
      </c>
      <c r="B3341" s="3">
        <v>44926</v>
      </c>
      <c r="C3341" s="2" t="s">
        <v>22</v>
      </c>
      <c r="D3341" s="2" t="s">
        <v>95</v>
      </c>
      <c r="E3341" s="2" t="s">
        <v>18</v>
      </c>
      <c r="F3341" s="2">
        <v>1843.63</v>
      </c>
      <c r="G3341" s="2">
        <v>209.4</v>
      </c>
      <c r="H3341" s="2" t="s">
        <v>28</v>
      </c>
      <c r="I3341" s="2" t="s">
        <v>20</v>
      </c>
    </row>
    <row r="3342" spans="1:9" x14ac:dyDescent="0.35">
      <c r="A3342" s="2" t="s">
        <v>3385</v>
      </c>
      <c r="B3342" s="3">
        <v>45116</v>
      </c>
      <c r="C3342" s="2" t="s">
        <v>25</v>
      </c>
      <c r="D3342" s="2" t="s">
        <v>62</v>
      </c>
      <c r="E3342" s="2" t="s">
        <v>27</v>
      </c>
      <c r="F3342" s="2">
        <v>624.23</v>
      </c>
      <c r="G3342" s="2">
        <v>172.81</v>
      </c>
      <c r="H3342" s="2" t="s">
        <v>13</v>
      </c>
      <c r="I3342" s="2" t="s">
        <v>29</v>
      </c>
    </row>
    <row r="3343" spans="1:9" x14ac:dyDescent="0.35">
      <c r="A3343" s="2" t="s">
        <v>3386</v>
      </c>
      <c r="B3343" s="3">
        <v>44818</v>
      </c>
      <c r="C3343" s="2" t="s">
        <v>10</v>
      </c>
      <c r="D3343" s="2" t="s">
        <v>33</v>
      </c>
      <c r="E3343" s="2" t="s">
        <v>18</v>
      </c>
      <c r="F3343" s="2">
        <v>1934.11</v>
      </c>
      <c r="G3343" s="2">
        <v>458.63</v>
      </c>
      <c r="H3343" s="2" t="s">
        <v>19</v>
      </c>
      <c r="I3343" s="2" t="s">
        <v>14</v>
      </c>
    </row>
    <row r="3344" spans="1:9" x14ac:dyDescent="0.35">
      <c r="A3344" s="2" t="s">
        <v>3387</v>
      </c>
      <c r="B3344" s="3">
        <v>45536</v>
      </c>
      <c r="C3344" s="2" t="s">
        <v>25</v>
      </c>
      <c r="D3344" s="2" t="s">
        <v>50</v>
      </c>
      <c r="E3344" s="2" t="s">
        <v>12</v>
      </c>
      <c r="F3344" s="2">
        <v>71.69</v>
      </c>
      <c r="G3344" s="2">
        <v>12.11</v>
      </c>
      <c r="H3344" s="2" t="s">
        <v>13</v>
      </c>
      <c r="I3344" s="2" t="s">
        <v>14</v>
      </c>
    </row>
    <row r="3345" spans="1:9" x14ac:dyDescent="0.35">
      <c r="A3345" s="2" t="s">
        <v>3388</v>
      </c>
      <c r="B3345" s="3">
        <v>45021</v>
      </c>
      <c r="C3345" s="2" t="s">
        <v>25</v>
      </c>
      <c r="D3345" s="2" t="s">
        <v>46</v>
      </c>
      <c r="E3345" s="2" t="s">
        <v>18</v>
      </c>
      <c r="F3345" s="2">
        <v>1955.82</v>
      </c>
      <c r="G3345" s="2">
        <v>522.38</v>
      </c>
      <c r="H3345" s="2" t="s">
        <v>28</v>
      </c>
      <c r="I3345" s="2" t="s">
        <v>34</v>
      </c>
    </row>
    <row r="3346" spans="1:9" x14ac:dyDescent="0.35">
      <c r="A3346" s="2" t="s">
        <v>3389</v>
      </c>
      <c r="B3346" s="3">
        <v>45050</v>
      </c>
      <c r="C3346" s="2" t="s">
        <v>22</v>
      </c>
      <c r="D3346" s="2" t="s">
        <v>97</v>
      </c>
      <c r="E3346" s="2" t="s">
        <v>27</v>
      </c>
      <c r="F3346" s="2">
        <v>1089.56</v>
      </c>
      <c r="G3346" s="2">
        <v>227.43</v>
      </c>
      <c r="H3346" s="2" t="s">
        <v>13</v>
      </c>
      <c r="I3346" s="2" t="s">
        <v>20</v>
      </c>
    </row>
    <row r="3347" spans="1:9" x14ac:dyDescent="0.35">
      <c r="A3347" s="2" t="s">
        <v>3390</v>
      </c>
      <c r="B3347" s="3">
        <v>44618</v>
      </c>
      <c r="C3347" s="2" t="s">
        <v>16</v>
      </c>
      <c r="D3347" s="2" t="s">
        <v>41</v>
      </c>
      <c r="E3347" s="2" t="s">
        <v>12</v>
      </c>
      <c r="F3347" s="2">
        <v>1778.56</v>
      </c>
      <c r="G3347" s="2">
        <v>441.32</v>
      </c>
      <c r="H3347" s="2" t="s">
        <v>13</v>
      </c>
      <c r="I3347" s="2" t="s">
        <v>34</v>
      </c>
    </row>
    <row r="3348" spans="1:9" x14ac:dyDescent="0.35">
      <c r="A3348" s="2" t="s">
        <v>3391</v>
      </c>
      <c r="B3348" s="3">
        <v>44855</v>
      </c>
      <c r="C3348" s="2" t="s">
        <v>10</v>
      </c>
      <c r="D3348" s="2" t="s">
        <v>73</v>
      </c>
      <c r="E3348" s="2" t="s">
        <v>27</v>
      </c>
      <c r="F3348" s="2">
        <v>1395.41</v>
      </c>
      <c r="G3348" s="2">
        <v>343.1</v>
      </c>
      <c r="H3348" s="2" t="s">
        <v>19</v>
      </c>
      <c r="I3348" s="2" t="s">
        <v>34</v>
      </c>
    </row>
    <row r="3349" spans="1:9" x14ac:dyDescent="0.35">
      <c r="A3349" s="2" t="s">
        <v>3392</v>
      </c>
      <c r="B3349" s="3">
        <v>45634</v>
      </c>
      <c r="C3349" s="2" t="s">
        <v>16</v>
      </c>
      <c r="D3349" s="2" t="s">
        <v>11</v>
      </c>
      <c r="E3349" s="2" t="s">
        <v>12</v>
      </c>
      <c r="F3349" s="2">
        <v>335.12</v>
      </c>
      <c r="G3349" s="2">
        <v>64.58</v>
      </c>
      <c r="H3349" s="2" t="s">
        <v>13</v>
      </c>
      <c r="I3349" s="2" t="s">
        <v>29</v>
      </c>
    </row>
    <row r="3350" spans="1:9" x14ac:dyDescent="0.35">
      <c r="A3350" s="2" t="s">
        <v>3393</v>
      </c>
      <c r="B3350" s="3">
        <v>45127</v>
      </c>
      <c r="C3350" s="2" t="s">
        <v>25</v>
      </c>
      <c r="D3350" s="2" t="s">
        <v>38</v>
      </c>
      <c r="E3350" s="2" t="s">
        <v>12</v>
      </c>
      <c r="F3350" s="2">
        <v>1802.02</v>
      </c>
      <c r="G3350" s="2">
        <v>385.1</v>
      </c>
      <c r="H3350" s="2" t="s">
        <v>13</v>
      </c>
      <c r="I3350" s="2" t="s">
        <v>29</v>
      </c>
    </row>
    <row r="3351" spans="1:9" x14ac:dyDescent="0.35">
      <c r="A3351" s="2" t="s">
        <v>3394</v>
      </c>
      <c r="B3351" s="3">
        <v>45387</v>
      </c>
      <c r="C3351" s="2" t="s">
        <v>25</v>
      </c>
      <c r="D3351" s="2" t="s">
        <v>33</v>
      </c>
      <c r="E3351" s="2" t="s">
        <v>18</v>
      </c>
      <c r="F3351" s="2">
        <v>1858.93</v>
      </c>
      <c r="G3351" s="2">
        <v>230.13</v>
      </c>
      <c r="H3351" s="2" t="s">
        <v>28</v>
      </c>
      <c r="I3351" s="2" t="s">
        <v>29</v>
      </c>
    </row>
    <row r="3352" spans="1:9" x14ac:dyDescent="0.35">
      <c r="A3352" s="2" t="s">
        <v>3395</v>
      </c>
      <c r="B3352" s="3">
        <v>45388</v>
      </c>
      <c r="C3352" s="2" t="s">
        <v>10</v>
      </c>
      <c r="D3352" s="2" t="s">
        <v>23</v>
      </c>
      <c r="E3352" s="2" t="s">
        <v>18</v>
      </c>
      <c r="F3352" s="2">
        <v>1401.25</v>
      </c>
      <c r="G3352" s="2">
        <v>135.35</v>
      </c>
      <c r="H3352" s="2" t="s">
        <v>13</v>
      </c>
      <c r="I3352" s="2" t="s">
        <v>14</v>
      </c>
    </row>
    <row r="3353" spans="1:9" x14ac:dyDescent="0.35">
      <c r="A3353" s="2" t="s">
        <v>3396</v>
      </c>
      <c r="B3353" s="3">
        <v>44901</v>
      </c>
      <c r="C3353" s="2" t="s">
        <v>16</v>
      </c>
      <c r="D3353" s="2" t="s">
        <v>95</v>
      </c>
      <c r="E3353" s="2" t="s">
        <v>18</v>
      </c>
      <c r="F3353" s="2">
        <v>1631.07</v>
      </c>
      <c r="G3353" s="2">
        <v>459.61</v>
      </c>
      <c r="H3353" s="2" t="s">
        <v>13</v>
      </c>
      <c r="I3353" s="2" t="s">
        <v>29</v>
      </c>
    </row>
    <row r="3354" spans="1:9" x14ac:dyDescent="0.35">
      <c r="A3354" s="2" t="s">
        <v>3397</v>
      </c>
      <c r="B3354" s="3">
        <v>44706</v>
      </c>
      <c r="C3354" s="2" t="s">
        <v>16</v>
      </c>
      <c r="D3354" s="2" t="s">
        <v>57</v>
      </c>
      <c r="E3354" s="2" t="s">
        <v>27</v>
      </c>
      <c r="F3354" s="2">
        <v>937.33</v>
      </c>
      <c r="G3354" s="2">
        <v>72.180000000000007</v>
      </c>
      <c r="H3354" s="2" t="s">
        <v>28</v>
      </c>
      <c r="I3354" s="2" t="s">
        <v>29</v>
      </c>
    </row>
    <row r="3355" spans="1:9" x14ac:dyDescent="0.35">
      <c r="A3355" s="2" t="s">
        <v>3398</v>
      </c>
      <c r="B3355" s="3">
        <v>44762</v>
      </c>
      <c r="C3355" s="2" t="s">
        <v>16</v>
      </c>
      <c r="D3355" s="2" t="s">
        <v>26</v>
      </c>
      <c r="E3355" s="2" t="s">
        <v>27</v>
      </c>
      <c r="F3355" s="2">
        <v>953.21</v>
      </c>
      <c r="G3355" s="2">
        <v>61.61</v>
      </c>
      <c r="H3355" s="2" t="s">
        <v>28</v>
      </c>
      <c r="I3355" s="2" t="s">
        <v>29</v>
      </c>
    </row>
    <row r="3356" spans="1:9" x14ac:dyDescent="0.35">
      <c r="A3356" s="2" t="s">
        <v>3399</v>
      </c>
      <c r="B3356" s="3">
        <v>45391</v>
      </c>
      <c r="C3356" s="2" t="s">
        <v>16</v>
      </c>
      <c r="D3356" s="2" t="s">
        <v>31</v>
      </c>
      <c r="E3356" s="2" t="s">
        <v>12</v>
      </c>
      <c r="F3356" s="2">
        <v>477.15</v>
      </c>
      <c r="G3356" s="2">
        <v>83.61</v>
      </c>
      <c r="H3356" s="2" t="s">
        <v>28</v>
      </c>
      <c r="I3356" s="2" t="s">
        <v>20</v>
      </c>
    </row>
    <row r="3357" spans="1:9" x14ac:dyDescent="0.35">
      <c r="A3357" s="2" t="s">
        <v>3400</v>
      </c>
      <c r="B3357" s="3">
        <v>45077</v>
      </c>
      <c r="C3357" s="2" t="s">
        <v>16</v>
      </c>
      <c r="D3357" s="2" t="s">
        <v>26</v>
      </c>
      <c r="E3357" s="2" t="s">
        <v>27</v>
      </c>
      <c r="F3357" s="2">
        <v>1852.18</v>
      </c>
      <c r="G3357" s="2">
        <v>513.5</v>
      </c>
      <c r="H3357" s="2" t="s">
        <v>28</v>
      </c>
      <c r="I3357" s="2" t="s">
        <v>20</v>
      </c>
    </row>
    <row r="3358" spans="1:9" x14ac:dyDescent="0.35">
      <c r="A3358" s="2" t="s">
        <v>3401</v>
      </c>
      <c r="B3358" s="3">
        <v>45056</v>
      </c>
      <c r="C3358" s="2" t="s">
        <v>10</v>
      </c>
      <c r="D3358" s="2" t="s">
        <v>38</v>
      </c>
      <c r="E3358" s="2" t="s">
        <v>12</v>
      </c>
      <c r="F3358" s="2">
        <v>1871.65</v>
      </c>
      <c r="G3358" s="2">
        <v>312.62</v>
      </c>
      <c r="H3358" s="2" t="s">
        <v>19</v>
      </c>
      <c r="I3358" s="2" t="s">
        <v>14</v>
      </c>
    </row>
    <row r="3359" spans="1:9" x14ac:dyDescent="0.35">
      <c r="A3359" s="2" t="s">
        <v>3402</v>
      </c>
      <c r="B3359" s="3">
        <v>44793</v>
      </c>
      <c r="C3359" s="2" t="s">
        <v>22</v>
      </c>
      <c r="D3359" s="2" t="s">
        <v>41</v>
      </c>
      <c r="E3359" s="2" t="s">
        <v>12</v>
      </c>
      <c r="F3359" s="2">
        <v>1087.82</v>
      </c>
      <c r="G3359" s="2">
        <v>79.95</v>
      </c>
      <c r="H3359" s="2" t="s">
        <v>19</v>
      </c>
      <c r="I3359" s="2" t="s">
        <v>14</v>
      </c>
    </row>
    <row r="3360" spans="1:9" x14ac:dyDescent="0.35">
      <c r="A3360" s="2" t="s">
        <v>3403</v>
      </c>
      <c r="B3360" s="3">
        <v>44562</v>
      </c>
      <c r="C3360" s="2" t="s">
        <v>22</v>
      </c>
      <c r="D3360" s="2" t="s">
        <v>41</v>
      </c>
      <c r="E3360" s="2" t="s">
        <v>12</v>
      </c>
      <c r="F3360" s="2">
        <v>1253.26</v>
      </c>
      <c r="G3360" s="2">
        <v>80.239999999999995</v>
      </c>
      <c r="H3360" s="2" t="s">
        <v>19</v>
      </c>
      <c r="I3360" s="2" t="s">
        <v>14</v>
      </c>
    </row>
    <row r="3361" spans="1:9" x14ac:dyDescent="0.35">
      <c r="A3361" s="2" t="s">
        <v>3404</v>
      </c>
      <c r="B3361" s="3">
        <v>44626</v>
      </c>
      <c r="C3361" s="2" t="s">
        <v>22</v>
      </c>
      <c r="D3361" s="2" t="s">
        <v>17</v>
      </c>
      <c r="E3361" s="2" t="s">
        <v>18</v>
      </c>
      <c r="F3361" s="2">
        <v>909.53</v>
      </c>
      <c r="G3361" s="2">
        <v>227.92</v>
      </c>
      <c r="H3361" s="2" t="s">
        <v>28</v>
      </c>
      <c r="I3361" s="2" t="s">
        <v>34</v>
      </c>
    </row>
    <row r="3362" spans="1:9" x14ac:dyDescent="0.35">
      <c r="A3362" s="2" t="s">
        <v>3405</v>
      </c>
      <c r="B3362" s="3">
        <v>45631</v>
      </c>
      <c r="C3362" s="2" t="s">
        <v>25</v>
      </c>
      <c r="D3362" s="2" t="s">
        <v>17</v>
      </c>
      <c r="E3362" s="2" t="s">
        <v>18</v>
      </c>
      <c r="F3362" s="2">
        <v>871.09</v>
      </c>
      <c r="G3362" s="2">
        <v>247.75</v>
      </c>
      <c r="H3362" s="2" t="s">
        <v>13</v>
      </c>
      <c r="I3362" s="2" t="s">
        <v>29</v>
      </c>
    </row>
    <row r="3363" spans="1:9" x14ac:dyDescent="0.35">
      <c r="A3363" s="2" t="s">
        <v>3406</v>
      </c>
      <c r="B3363" s="3">
        <v>45161</v>
      </c>
      <c r="C3363" s="2" t="s">
        <v>10</v>
      </c>
      <c r="D3363" s="2" t="s">
        <v>50</v>
      </c>
      <c r="E3363" s="2" t="s">
        <v>12</v>
      </c>
      <c r="F3363" s="2">
        <v>585.97</v>
      </c>
      <c r="G3363" s="2">
        <v>60.58</v>
      </c>
      <c r="H3363" s="2" t="s">
        <v>28</v>
      </c>
      <c r="I3363" s="2" t="s">
        <v>34</v>
      </c>
    </row>
    <row r="3364" spans="1:9" x14ac:dyDescent="0.35">
      <c r="A3364" s="2" t="s">
        <v>3407</v>
      </c>
      <c r="B3364" s="3">
        <v>45355</v>
      </c>
      <c r="C3364" s="2" t="s">
        <v>22</v>
      </c>
      <c r="D3364" s="2" t="s">
        <v>95</v>
      </c>
      <c r="E3364" s="2" t="s">
        <v>18</v>
      </c>
      <c r="F3364" s="2">
        <v>1804.06</v>
      </c>
      <c r="G3364" s="2">
        <v>234.46</v>
      </c>
      <c r="H3364" s="2" t="s">
        <v>19</v>
      </c>
      <c r="I3364" s="2" t="s">
        <v>20</v>
      </c>
    </row>
    <row r="3365" spans="1:9" x14ac:dyDescent="0.35">
      <c r="A3365" s="2" t="s">
        <v>3408</v>
      </c>
      <c r="B3365" s="3">
        <v>45492</v>
      </c>
      <c r="C3365" s="2" t="s">
        <v>10</v>
      </c>
      <c r="D3365" s="2" t="s">
        <v>95</v>
      </c>
      <c r="E3365" s="2" t="s">
        <v>18</v>
      </c>
      <c r="F3365" s="2">
        <v>404.4</v>
      </c>
      <c r="G3365" s="2">
        <v>67.17</v>
      </c>
      <c r="H3365" s="2" t="s">
        <v>13</v>
      </c>
      <c r="I3365" s="2" t="s">
        <v>20</v>
      </c>
    </row>
    <row r="3366" spans="1:9" x14ac:dyDescent="0.35">
      <c r="A3366" s="2" t="s">
        <v>3409</v>
      </c>
      <c r="B3366" s="3">
        <v>45185</v>
      </c>
      <c r="C3366" s="2" t="s">
        <v>10</v>
      </c>
      <c r="D3366" s="2" t="s">
        <v>33</v>
      </c>
      <c r="E3366" s="2" t="s">
        <v>18</v>
      </c>
      <c r="F3366" s="2">
        <v>81.93</v>
      </c>
      <c r="G3366" s="2">
        <v>11.47</v>
      </c>
      <c r="H3366" s="2" t="s">
        <v>13</v>
      </c>
      <c r="I3366" s="2" t="s">
        <v>14</v>
      </c>
    </row>
    <row r="3367" spans="1:9" x14ac:dyDescent="0.35">
      <c r="A3367" s="2" t="s">
        <v>3410</v>
      </c>
      <c r="B3367" s="3">
        <v>44925</v>
      </c>
      <c r="C3367" s="2" t="s">
        <v>10</v>
      </c>
      <c r="D3367" s="2" t="s">
        <v>57</v>
      </c>
      <c r="E3367" s="2" t="s">
        <v>27</v>
      </c>
      <c r="F3367" s="2">
        <v>1973.75</v>
      </c>
      <c r="G3367" s="2">
        <v>175.8</v>
      </c>
      <c r="H3367" s="2" t="s">
        <v>13</v>
      </c>
      <c r="I3367" s="2" t="s">
        <v>29</v>
      </c>
    </row>
    <row r="3368" spans="1:9" x14ac:dyDescent="0.35">
      <c r="A3368" s="2" t="s">
        <v>3411</v>
      </c>
      <c r="B3368" s="3">
        <v>45344</v>
      </c>
      <c r="C3368" s="2" t="s">
        <v>10</v>
      </c>
      <c r="D3368" s="2" t="s">
        <v>41</v>
      </c>
      <c r="E3368" s="2" t="s">
        <v>12</v>
      </c>
      <c r="F3368" s="2">
        <v>1750.02</v>
      </c>
      <c r="G3368" s="2">
        <v>116.67</v>
      </c>
      <c r="H3368" s="2" t="s">
        <v>19</v>
      </c>
      <c r="I3368" s="2" t="s">
        <v>34</v>
      </c>
    </row>
    <row r="3369" spans="1:9" x14ac:dyDescent="0.35">
      <c r="A3369" s="2" t="s">
        <v>3412</v>
      </c>
      <c r="B3369" s="3">
        <v>44622</v>
      </c>
      <c r="C3369" s="2" t="s">
        <v>10</v>
      </c>
      <c r="D3369" s="2" t="s">
        <v>73</v>
      </c>
      <c r="E3369" s="2" t="s">
        <v>27</v>
      </c>
      <c r="F3369" s="2">
        <v>363.93</v>
      </c>
      <c r="G3369" s="2">
        <v>81.39</v>
      </c>
      <c r="H3369" s="2" t="s">
        <v>28</v>
      </c>
      <c r="I3369" s="2" t="s">
        <v>20</v>
      </c>
    </row>
    <row r="3370" spans="1:9" x14ac:dyDescent="0.35">
      <c r="A3370" s="2" t="s">
        <v>3413</v>
      </c>
      <c r="B3370" s="3">
        <v>44979</v>
      </c>
      <c r="C3370" s="2" t="s">
        <v>10</v>
      </c>
      <c r="D3370" s="2" t="s">
        <v>23</v>
      </c>
      <c r="E3370" s="2" t="s">
        <v>18</v>
      </c>
      <c r="F3370" s="2">
        <v>627.91</v>
      </c>
      <c r="G3370" s="2">
        <v>157.13</v>
      </c>
      <c r="H3370" s="2" t="s">
        <v>13</v>
      </c>
      <c r="I3370" s="2" t="s">
        <v>20</v>
      </c>
    </row>
    <row r="3371" spans="1:9" x14ac:dyDescent="0.35">
      <c r="A3371" s="2" t="s">
        <v>3414</v>
      </c>
      <c r="B3371" s="3">
        <v>45357</v>
      </c>
      <c r="C3371" s="2" t="s">
        <v>25</v>
      </c>
      <c r="D3371" s="2" t="s">
        <v>41</v>
      </c>
      <c r="E3371" s="2" t="s">
        <v>12</v>
      </c>
      <c r="F3371" s="2">
        <v>1061.03</v>
      </c>
      <c r="G3371" s="2">
        <v>179.91</v>
      </c>
      <c r="H3371" s="2" t="s">
        <v>28</v>
      </c>
      <c r="I3371" s="2" t="s">
        <v>14</v>
      </c>
    </row>
    <row r="3372" spans="1:9" x14ac:dyDescent="0.35">
      <c r="A3372" s="2" t="s">
        <v>3415</v>
      </c>
      <c r="B3372" s="3">
        <v>44683</v>
      </c>
      <c r="C3372" s="2" t="s">
        <v>16</v>
      </c>
      <c r="D3372" s="2" t="s">
        <v>17</v>
      </c>
      <c r="E3372" s="2" t="s">
        <v>18</v>
      </c>
      <c r="F3372" s="2">
        <v>1016.23</v>
      </c>
      <c r="G3372" s="2">
        <v>239.86</v>
      </c>
      <c r="H3372" s="2" t="s">
        <v>28</v>
      </c>
      <c r="I3372" s="2" t="s">
        <v>29</v>
      </c>
    </row>
    <row r="3373" spans="1:9" x14ac:dyDescent="0.35">
      <c r="A3373" s="2" t="s">
        <v>3416</v>
      </c>
      <c r="B3373" s="3">
        <v>44640</v>
      </c>
      <c r="C3373" s="2" t="s">
        <v>22</v>
      </c>
      <c r="D3373" s="2" t="s">
        <v>46</v>
      </c>
      <c r="E3373" s="2" t="s">
        <v>18</v>
      </c>
      <c r="F3373" s="2">
        <v>705.9</v>
      </c>
      <c r="G3373" s="2">
        <v>157.63</v>
      </c>
      <c r="H3373" s="2" t="s">
        <v>19</v>
      </c>
      <c r="I3373" s="2" t="s">
        <v>14</v>
      </c>
    </row>
    <row r="3374" spans="1:9" x14ac:dyDescent="0.35">
      <c r="A3374" s="2" t="s">
        <v>3417</v>
      </c>
      <c r="B3374" s="3">
        <v>45039</v>
      </c>
      <c r="C3374" s="2" t="s">
        <v>22</v>
      </c>
      <c r="D3374" s="2" t="s">
        <v>97</v>
      </c>
      <c r="E3374" s="2" t="s">
        <v>27</v>
      </c>
      <c r="F3374" s="2">
        <v>704.59</v>
      </c>
      <c r="G3374" s="2">
        <v>97.93</v>
      </c>
      <c r="H3374" s="2" t="s">
        <v>19</v>
      </c>
      <c r="I3374" s="2" t="s">
        <v>34</v>
      </c>
    </row>
    <row r="3375" spans="1:9" x14ac:dyDescent="0.35">
      <c r="A3375" s="2" t="s">
        <v>3418</v>
      </c>
      <c r="B3375" s="3">
        <v>45593</v>
      </c>
      <c r="C3375" s="2" t="s">
        <v>25</v>
      </c>
      <c r="D3375" s="2" t="s">
        <v>11</v>
      </c>
      <c r="E3375" s="2" t="s">
        <v>12</v>
      </c>
      <c r="F3375" s="2">
        <v>724.09</v>
      </c>
      <c r="G3375" s="2">
        <v>190.29</v>
      </c>
      <c r="H3375" s="2" t="s">
        <v>13</v>
      </c>
      <c r="I3375" s="2" t="s">
        <v>20</v>
      </c>
    </row>
    <row r="3376" spans="1:9" x14ac:dyDescent="0.35">
      <c r="A3376" s="2" t="s">
        <v>3419</v>
      </c>
      <c r="B3376" s="3">
        <v>45041</v>
      </c>
      <c r="C3376" s="2" t="s">
        <v>22</v>
      </c>
      <c r="D3376" s="2" t="s">
        <v>11</v>
      </c>
      <c r="E3376" s="2" t="s">
        <v>12</v>
      </c>
      <c r="F3376" s="2">
        <v>545.20000000000005</v>
      </c>
      <c r="G3376" s="2">
        <v>53.42</v>
      </c>
      <c r="H3376" s="2" t="s">
        <v>28</v>
      </c>
      <c r="I3376" s="2" t="s">
        <v>14</v>
      </c>
    </row>
    <row r="3377" spans="1:9" x14ac:dyDescent="0.35">
      <c r="A3377" s="2" t="s">
        <v>3420</v>
      </c>
      <c r="B3377" s="3">
        <v>45343</v>
      </c>
      <c r="C3377" s="2" t="s">
        <v>22</v>
      </c>
      <c r="D3377" s="2" t="s">
        <v>46</v>
      </c>
      <c r="E3377" s="2" t="s">
        <v>18</v>
      </c>
      <c r="F3377" s="2">
        <v>692.65</v>
      </c>
      <c r="G3377" s="2">
        <v>131.22</v>
      </c>
      <c r="H3377" s="2" t="s">
        <v>13</v>
      </c>
      <c r="I3377" s="2" t="s">
        <v>20</v>
      </c>
    </row>
    <row r="3378" spans="1:9" x14ac:dyDescent="0.35">
      <c r="A3378" s="2" t="s">
        <v>3421</v>
      </c>
      <c r="B3378" s="3">
        <v>45431</v>
      </c>
      <c r="C3378" s="2" t="s">
        <v>25</v>
      </c>
      <c r="D3378" s="2" t="s">
        <v>31</v>
      </c>
      <c r="E3378" s="2" t="s">
        <v>12</v>
      </c>
      <c r="F3378" s="2">
        <v>872.94</v>
      </c>
      <c r="G3378" s="2">
        <v>171.27</v>
      </c>
      <c r="H3378" s="2" t="s">
        <v>19</v>
      </c>
      <c r="I3378" s="2" t="s">
        <v>34</v>
      </c>
    </row>
    <row r="3379" spans="1:9" x14ac:dyDescent="0.35">
      <c r="A3379" s="2" t="s">
        <v>3422</v>
      </c>
      <c r="B3379" s="3">
        <v>45656</v>
      </c>
      <c r="C3379" s="2" t="s">
        <v>10</v>
      </c>
      <c r="D3379" s="2" t="s">
        <v>62</v>
      </c>
      <c r="E3379" s="2" t="s">
        <v>27</v>
      </c>
      <c r="F3379" s="2">
        <v>692.81</v>
      </c>
      <c r="G3379" s="2">
        <v>92.46</v>
      </c>
      <c r="H3379" s="2" t="s">
        <v>28</v>
      </c>
      <c r="I3379" s="2" t="s">
        <v>20</v>
      </c>
    </row>
    <row r="3380" spans="1:9" x14ac:dyDescent="0.35">
      <c r="A3380" s="2" t="s">
        <v>3423</v>
      </c>
      <c r="B3380" s="3">
        <v>45426</v>
      </c>
      <c r="C3380" s="2" t="s">
        <v>16</v>
      </c>
      <c r="D3380" s="2" t="s">
        <v>46</v>
      </c>
      <c r="E3380" s="2" t="s">
        <v>18</v>
      </c>
      <c r="F3380" s="2">
        <v>1553.18</v>
      </c>
      <c r="G3380" s="2">
        <v>231.08</v>
      </c>
      <c r="H3380" s="2" t="s">
        <v>19</v>
      </c>
      <c r="I3380" s="2" t="s">
        <v>34</v>
      </c>
    </row>
    <row r="3381" spans="1:9" x14ac:dyDescent="0.35">
      <c r="A3381" s="2" t="s">
        <v>3424</v>
      </c>
      <c r="B3381" s="3">
        <v>44945</v>
      </c>
      <c r="C3381" s="2" t="s">
        <v>16</v>
      </c>
      <c r="D3381" s="2" t="s">
        <v>33</v>
      </c>
      <c r="E3381" s="2" t="s">
        <v>18</v>
      </c>
      <c r="F3381" s="2">
        <v>1433.82</v>
      </c>
      <c r="G3381" s="2">
        <v>91.18</v>
      </c>
      <c r="H3381" s="2" t="s">
        <v>19</v>
      </c>
      <c r="I3381" s="2" t="s">
        <v>29</v>
      </c>
    </row>
    <row r="3382" spans="1:9" x14ac:dyDescent="0.35">
      <c r="A3382" s="2" t="s">
        <v>3425</v>
      </c>
      <c r="B3382" s="3">
        <v>44895</v>
      </c>
      <c r="C3382" s="2" t="s">
        <v>25</v>
      </c>
      <c r="D3382" s="2" t="s">
        <v>46</v>
      </c>
      <c r="E3382" s="2" t="s">
        <v>18</v>
      </c>
      <c r="F3382" s="2">
        <v>1261.78</v>
      </c>
      <c r="G3382" s="2">
        <v>113.99</v>
      </c>
      <c r="H3382" s="2" t="s">
        <v>19</v>
      </c>
      <c r="I3382" s="2" t="s">
        <v>20</v>
      </c>
    </row>
    <row r="3383" spans="1:9" x14ac:dyDescent="0.35">
      <c r="A3383" s="2" t="s">
        <v>3426</v>
      </c>
      <c r="B3383" s="3">
        <v>45220</v>
      </c>
      <c r="C3383" s="2" t="s">
        <v>16</v>
      </c>
      <c r="D3383" s="2" t="s">
        <v>95</v>
      </c>
      <c r="E3383" s="2" t="s">
        <v>18</v>
      </c>
      <c r="F3383" s="2">
        <v>1951.24</v>
      </c>
      <c r="G3383" s="2">
        <v>514.98</v>
      </c>
      <c r="H3383" s="2" t="s">
        <v>28</v>
      </c>
      <c r="I3383" s="2" t="s">
        <v>14</v>
      </c>
    </row>
    <row r="3384" spans="1:9" x14ac:dyDescent="0.35">
      <c r="A3384" s="2" t="s">
        <v>3427</v>
      </c>
      <c r="B3384" s="3">
        <v>45101</v>
      </c>
      <c r="C3384" s="2" t="s">
        <v>22</v>
      </c>
      <c r="D3384" s="2" t="s">
        <v>95</v>
      </c>
      <c r="E3384" s="2" t="s">
        <v>18</v>
      </c>
      <c r="F3384" s="2">
        <v>806.97</v>
      </c>
      <c r="G3384" s="2">
        <v>106.05</v>
      </c>
      <c r="H3384" s="2" t="s">
        <v>13</v>
      </c>
      <c r="I3384" s="2" t="s">
        <v>14</v>
      </c>
    </row>
    <row r="3385" spans="1:9" x14ac:dyDescent="0.35">
      <c r="A3385" s="2" t="s">
        <v>3428</v>
      </c>
      <c r="B3385" s="3">
        <v>45408</v>
      </c>
      <c r="C3385" s="2" t="s">
        <v>25</v>
      </c>
      <c r="D3385" s="2" t="s">
        <v>97</v>
      </c>
      <c r="E3385" s="2" t="s">
        <v>27</v>
      </c>
      <c r="F3385" s="2">
        <v>916.11</v>
      </c>
      <c r="G3385" s="2">
        <v>215.66</v>
      </c>
      <c r="H3385" s="2" t="s">
        <v>13</v>
      </c>
      <c r="I3385" s="2" t="s">
        <v>14</v>
      </c>
    </row>
    <row r="3386" spans="1:9" x14ac:dyDescent="0.35">
      <c r="A3386" s="2" t="s">
        <v>3429</v>
      </c>
      <c r="B3386" s="3">
        <v>45086</v>
      </c>
      <c r="C3386" s="2" t="s">
        <v>10</v>
      </c>
      <c r="D3386" s="2" t="s">
        <v>33</v>
      </c>
      <c r="E3386" s="2" t="s">
        <v>18</v>
      </c>
      <c r="F3386" s="2">
        <v>1185.0899999999999</v>
      </c>
      <c r="G3386" s="2">
        <v>160.80000000000001</v>
      </c>
      <c r="H3386" s="2" t="s">
        <v>28</v>
      </c>
      <c r="I3386" s="2" t="s">
        <v>34</v>
      </c>
    </row>
    <row r="3387" spans="1:9" x14ac:dyDescent="0.35">
      <c r="A3387" s="2" t="s">
        <v>3430</v>
      </c>
      <c r="B3387" s="3">
        <v>45111</v>
      </c>
      <c r="C3387" s="2" t="s">
        <v>22</v>
      </c>
      <c r="D3387" s="2" t="s">
        <v>33</v>
      </c>
      <c r="E3387" s="2" t="s">
        <v>18</v>
      </c>
      <c r="F3387" s="2">
        <v>531.77</v>
      </c>
      <c r="G3387" s="2">
        <v>75.709999999999994</v>
      </c>
      <c r="H3387" s="2" t="s">
        <v>28</v>
      </c>
      <c r="I3387" s="2" t="s">
        <v>29</v>
      </c>
    </row>
    <row r="3388" spans="1:9" x14ac:dyDescent="0.35">
      <c r="A3388" s="2" t="s">
        <v>3431</v>
      </c>
      <c r="B3388" s="3">
        <v>45462</v>
      </c>
      <c r="C3388" s="2" t="s">
        <v>10</v>
      </c>
      <c r="D3388" s="2" t="s">
        <v>17</v>
      </c>
      <c r="E3388" s="2" t="s">
        <v>18</v>
      </c>
      <c r="F3388" s="2">
        <v>205.86</v>
      </c>
      <c r="G3388" s="2">
        <v>16.329999999999998</v>
      </c>
      <c r="H3388" s="2" t="s">
        <v>19</v>
      </c>
      <c r="I3388" s="2" t="s">
        <v>34</v>
      </c>
    </row>
    <row r="3389" spans="1:9" x14ac:dyDescent="0.35">
      <c r="A3389" s="2" t="s">
        <v>3432</v>
      </c>
      <c r="B3389" s="3">
        <v>45205</v>
      </c>
      <c r="C3389" s="2" t="s">
        <v>22</v>
      </c>
      <c r="D3389" s="2" t="s">
        <v>17</v>
      </c>
      <c r="E3389" s="2" t="s">
        <v>18</v>
      </c>
      <c r="F3389" s="2">
        <v>1966.02</v>
      </c>
      <c r="G3389" s="2">
        <v>270.72000000000003</v>
      </c>
      <c r="H3389" s="2" t="s">
        <v>28</v>
      </c>
      <c r="I3389" s="2" t="s">
        <v>29</v>
      </c>
    </row>
    <row r="3390" spans="1:9" x14ac:dyDescent="0.35">
      <c r="A3390" s="2" t="s">
        <v>3433</v>
      </c>
      <c r="B3390" s="3">
        <v>45143</v>
      </c>
      <c r="C3390" s="2" t="s">
        <v>25</v>
      </c>
      <c r="D3390" s="2" t="s">
        <v>57</v>
      </c>
      <c r="E3390" s="2" t="s">
        <v>27</v>
      </c>
      <c r="F3390" s="2">
        <v>1157.53</v>
      </c>
      <c r="G3390" s="2">
        <v>212.88</v>
      </c>
      <c r="H3390" s="2" t="s">
        <v>13</v>
      </c>
      <c r="I3390" s="2" t="s">
        <v>29</v>
      </c>
    </row>
    <row r="3391" spans="1:9" x14ac:dyDescent="0.35">
      <c r="A3391" s="2" t="s">
        <v>3434</v>
      </c>
      <c r="B3391" s="3">
        <v>45281</v>
      </c>
      <c r="C3391" s="2" t="s">
        <v>22</v>
      </c>
      <c r="D3391" s="2" t="s">
        <v>33</v>
      </c>
      <c r="E3391" s="2" t="s">
        <v>18</v>
      </c>
      <c r="F3391" s="2">
        <v>791.05</v>
      </c>
      <c r="G3391" s="2">
        <v>114.95</v>
      </c>
      <c r="H3391" s="2" t="s">
        <v>19</v>
      </c>
      <c r="I3391" s="2" t="s">
        <v>14</v>
      </c>
    </row>
    <row r="3392" spans="1:9" x14ac:dyDescent="0.35">
      <c r="A3392" s="2" t="s">
        <v>3435</v>
      </c>
      <c r="B3392" s="3">
        <v>45129</v>
      </c>
      <c r="C3392" s="2" t="s">
        <v>16</v>
      </c>
      <c r="D3392" s="2" t="s">
        <v>46</v>
      </c>
      <c r="E3392" s="2" t="s">
        <v>18</v>
      </c>
      <c r="F3392" s="2">
        <v>953.36</v>
      </c>
      <c r="G3392" s="2">
        <v>106.65</v>
      </c>
      <c r="H3392" s="2" t="s">
        <v>28</v>
      </c>
      <c r="I3392" s="2" t="s">
        <v>14</v>
      </c>
    </row>
    <row r="3393" spans="1:9" x14ac:dyDescent="0.35">
      <c r="A3393" s="2" t="s">
        <v>3436</v>
      </c>
      <c r="B3393" s="3">
        <v>45197</v>
      </c>
      <c r="C3393" s="2" t="s">
        <v>25</v>
      </c>
      <c r="D3393" s="2" t="s">
        <v>95</v>
      </c>
      <c r="E3393" s="2" t="s">
        <v>18</v>
      </c>
      <c r="F3393" s="2">
        <v>574.12</v>
      </c>
      <c r="G3393" s="2">
        <v>120.28</v>
      </c>
      <c r="H3393" s="2" t="s">
        <v>28</v>
      </c>
      <c r="I3393" s="2" t="s">
        <v>14</v>
      </c>
    </row>
    <row r="3394" spans="1:9" x14ac:dyDescent="0.35">
      <c r="A3394" s="2" t="s">
        <v>3437</v>
      </c>
      <c r="B3394" s="3">
        <v>44648</v>
      </c>
      <c r="C3394" s="2" t="s">
        <v>22</v>
      </c>
      <c r="D3394" s="2" t="s">
        <v>17</v>
      </c>
      <c r="E3394" s="2" t="s">
        <v>18</v>
      </c>
      <c r="F3394" s="2">
        <v>1547.18</v>
      </c>
      <c r="G3394" s="2">
        <v>239.58</v>
      </c>
      <c r="H3394" s="2" t="s">
        <v>28</v>
      </c>
      <c r="I3394" s="2" t="s">
        <v>34</v>
      </c>
    </row>
    <row r="3395" spans="1:9" x14ac:dyDescent="0.35">
      <c r="A3395" s="2" t="s">
        <v>3438</v>
      </c>
      <c r="B3395" s="3">
        <v>44780</v>
      </c>
      <c r="C3395" s="2" t="s">
        <v>16</v>
      </c>
      <c r="D3395" s="2" t="s">
        <v>62</v>
      </c>
      <c r="E3395" s="2" t="s">
        <v>27</v>
      </c>
      <c r="F3395" s="2">
        <v>724.3</v>
      </c>
      <c r="G3395" s="2">
        <v>179.16</v>
      </c>
      <c r="H3395" s="2" t="s">
        <v>19</v>
      </c>
      <c r="I3395" s="2" t="s">
        <v>34</v>
      </c>
    </row>
    <row r="3396" spans="1:9" x14ac:dyDescent="0.35">
      <c r="A3396" s="2" t="s">
        <v>3439</v>
      </c>
      <c r="B3396" s="3">
        <v>44915</v>
      </c>
      <c r="C3396" s="2" t="s">
        <v>25</v>
      </c>
      <c r="D3396" s="2" t="s">
        <v>95</v>
      </c>
      <c r="E3396" s="2" t="s">
        <v>18</v>
      </c>
      <c r="F3396" s="2">
        <v>1982.64</v>
      </c>
      <c r="G3396" s="2">
        <v>124.21</v>
      </c>
      <c r="H3396" s="2" t="s">
        <v>19</v>
      </c>
      <c r="I3396" s="2" t="s">
        <v>29</v>
      </c>
    </row>
    <row r="3397" spans="1:9" x14ac:dyDescent="0.35">
      <c r="A3397" s="2" t="s">
        <v>3440</v>
      </c>
      <c r="B3397" s="3">
        <v>45360</v>
      </c>
      <c r="C3397" s="2" t="s">
        <v>22</v>
      </c>
      <c r="D3397" s="2" t="s">
        <v>11</v>
      </c>
      <c r="E3397" s="2" t="s">
        <v>12</v>
      </c>
      <c r="F3397" s="2">
        <v>96.29</v>
      </c>
      <c r="G3397" s="2">
        <v>13.18</v>
      </c>
      <c r="H3397" s="2" t="s">
        <v>13</v>
      </c>
      <c r="I3397" s="2" t="s">
        <v>20</v>
      </c>
    </row>
    <row r="3398" spans="1:9" x14ac:dyDescent="0.35">
      <c r="A3398" s="2" t="s">
        <v>3441</v>
      </c>
      <c r="B3398" s="3">
        <v>44951</v>
      </c>
      <c r="C3398" s="2" t="s">
        <v>22</v>
      </c>
      <c r="D3398" s="2" t="s">
        <v>41</v>
      </c>
      <c r="E3398" s="2" t="s">
        <v>12</v>
      </c>
      <c r="F3398" s="2">
        <v>504.51</v>
      </c>
      <c r="G3398" s="2">
        <v>111.39</v>
      </c>
      <c r="H3398" s="2" t="s">
        <v>13</v>
      </c>
      <c r="I3398" s="2" t="s">
        <v>14</v>
      </c>
    </row>
    <row r="3399" spans="1:9" x14ac:dyDescent="0.35">
      <c r="A3399" s="2" t="s">
        <v>3442</v>
      </c>
      <c r="B3399" s="3">
        <v>45017</v>
      </c>
      <c r="C3399" s="2" t="s">
        <v>10</v>
      </c>
      <c r="D3399" s="2" t="s">
        <v>23</v>
      </c>
      <c r="E3399" s="2" t="s">
        <v>18</v>
      </c>
      <c r="F3399" s="2">
        <v>763.48</v>
      </c>
      <c r="G3399" s="2">
        <v>186.37</v>
      </c>
      <c r="H3399" s="2" t="s">
        <v>19</v>
      </c>
      <c r="I3399" s="2" t="s">
        <v>29</v>
      </c>
    </row>
    <row r="3400" spans="1:9" x14ac:dyDescent="0.35">
      <c r="A3400" s="2" t="s">
        <v>3443</v>
      </c>
      <c r="B3400" s="3">
        <v>44668</v>
      </c>
      <c r="C3400" s="2" t="s">
        <v>22</v>
      </c>
      <c r="D3400" s="2" t="s">
        <v>41</v>
      </c>
      <c r="E3400" s="2" t="s">
        <v>12</v>
      </c>
      <c r="F3400" s="2">
        <v>470.31</v>
      </c>
      <c r="G3400" s="2">
        <v>45.4</v>
      </c>
      <c r="H3400" s="2" t="s">
        <v>28</v>
      </c>
      <c r="I3400" s="2" t="s">
        <v>29</v>
      </c>
    </row>
    <row r="3401" spans="1:9" x14ac:dyDescent="0.35">
      <c r="A3401" s="2" t="s">
        <v>3444</v>
      </c>
      <c r="B3401" s="3">
        <v>45478</v>
      </c>
      <c r="C3401" s="2" t="s">
        <v>16</v>
      </c>
      <c r="D3401" s="2" t="s">
        <v>57</v>
      </c>
      <c r="E3401" s="2" t="s">
        <v>27</v>
      </c>
      <c r="F3401" s="2">
        <v>1157.46</v>
      </c>
      <c r="G3401" s="2">
        <v>186.57</v>
      </c>
      <c r="H3401" s="2" t="s">
        <v>13</v>
      </c>
      <c r="I3401" s="2" t="s">
        <v>29</v>
      </c>
    </row>
    <row r="3402" spans="1:9" x14ac:dyDescent="0.35">
      <c r="A3402" s="2" t="s">
        <v>3445</v>
      </c>
      <c r="B3402" s="3">
        <v>45543</v>
      </c>
      <c r="C3402" s="2" t="s">
        <v>10</v>
      </c>
      <c r="D3402" s="2" t="s">
        <v>38</v>
      </c>
      <c r="E3402" s="2" t="s">
        <v>12</v>
      </c>
      <c r="F3402" s="2">
        <v>1025.71</v>
      </c>
      <c r="G3402" s="2">
        <v>188.6</v>
      </c>
      <c r="H3402" s="2" t="s">
        <v>28</v>
      </c>
      <c r="I3402" s="2" t="s">
        <v>14</v>
      </c>
    </row>
    <row r="3403" spans="1:9" x14ac:dyDescent="0.35">
      <c r="A3403" s="2" t="s">
        <v>3446</v>
      </c>
      <c r="B3403" s="3">
        <v>44740</v>
      </c>
      <c r="C3403" s="2" t="s">
        <v>16</v>
      </c>
      <c r="D3403" s="2" t="s">
        <v>73</v>
      </c>
      <c r="E3403" s="2" t="s">
        <v>27</v>
      </c>
      <c r="F3403" s="2">
        <v>895.76</v>
      </c>
      <c r="G3403" s="2">
        <v>214.93</v>
      </c>
      <c r="H3403" s="2" t="s">
        <v>13</v>
      </c>
      <c r="I3403" s="2" t="s">
        <v>34</v>
      </c>
    </row>
    <row r="3404" spans="1:9" x14ac:dyDescent="0.35">
      <c r="A3404" s="2" t="s">
        <v>3447</v>
      </c>
      <c r="B3404" s="3">
        <v>44754</v>
      </c>
      <c r="C3404" s="2" t="s">
        <v>22</v>
      </c>
      <c r="D3404" s="2" t="s">
        <v>17</v>
      </c>
      <c r="E3404" s="2" t="s">
        <v>18</v>
      </c>
      <c r="F3404" s="2">
        <v>466.46</v>
      </c>
      <c r="G3404" s="2">
        <v>70.34</v>
      </c>
      <c r="H3404" s="2" t="s">
        <v>19</v>
      </c>
      <c r="I3404" s="2" t="s">
        <v>29</v>
      </c>
    </row>
    <row r="3405" spans="1:9" x14ac:dyDescent="0.35">
      <c r="A3405" s="2" t="s">
        <v>3448</v>
      </c>
      <c r="B3405" s="3">
        <v>45439</v>
      </c>
      <c r="C3405" s="2" t="s">
        <v>22</v>
      </c>
      <c r="D3405" s="2" t="s">
        <v>57</v>
      </c>
      <c r="E3405" s="2" t="s">
        <v>27</v>
      </c>
      <c r="F3405" s="2">
        <v>329.36</v>
      </c>
      <c r="G3405" s="2">
        <v>88.69</v>
      </c>
      <c r="H3405" s="2" t="s">
        <v>13</v>
      </c>
      <c r="I3405" s="2" t="s">
        <v>34</v>
      </c>
    </row>
    <row r="3406" spans="1:9" x14ac:dyDescent="0.35">
      <c r="A3406" s="2" t="s">
        <v>3449</v>
      </c>
      <c r="B3406" s="3">
        <v>45321</v>
      </c>
      <c r="C3406" s="2" t="s">
        <v>10</v>
      </c>
      <c r="D3406" s="2" t="s">
        <v>57</v>
      </c>
      <c r="E3406" s="2" t="s">
        <v>27</v>
      </c>
      <c r="F3406" s="2">
        <v>1503.64</v>
      </c>
      <c r="G3406" s="2">
        <v>437.04</v>
      </c>
      <c r="H3406" s="2" t="s">
        <v>19</v>
      </c>
      <c r="I3406" s="2" t="s">
        <v>20</v>
      </c>
    </row>
    <row r="3407" spans="1:9" x14ac:dyDescent="0.35">
      <c r="A3407" s="2" t="s">
        <v>3450</v>
      </c>
      <c r="B3407" s="3">
        <v>44667</v>
      </c>
      <c r="C3407" s="2" t="s">
        <v>16</v>
      </c>
      <c r="D3407" s="2" t="s">
        <v>33</v>
      </c>
      <c r="E3407" s="2" t="s">
        <v>18</v>
      </c>
      <c r="F3407" s="2">
        <v>1207.03</v>
      </c>
      <c r="G3407" s="2">
        <v>212.83</v>
      </c>
      <c r="H3407" s="2" t="s">
        <v>28</v>
      </c>
      <c r="I3407" s="2" t="s">
        <v>14</v>
      </c>
    </row>
    <row r="3408" spans="1:9" x14ac:dyDescent="0.35">
      <c r="A3408" s="2" t="s">
        <v>3451</v>
      </c>
      <c r="B3408" s="3">
        <v>45534</v>
      </c>
      <c r="C3408" s="2" t="s">
        <v>25</v>
      </c>
      <c r="D3408" s="2" t="s">
        <v>26</v>
      </c>
      <c r="E3408" s="2" t="s">
        <v>27</v>
      </c>
      <c r="F3408" s="2">
        <v>286.55</v>
      </c>
      <c r="G3408" s="2">
        <v>73.14</v>
      </c>
      <c r="H3408" s="2" t="s">
        <v>28</v>
      </c>
      <c r="I3408" s="2" t="s">
        <v>29</v>
      </c>
    </row>
    <row r="3409" spans="1:9" x14ac:dyDescent="0.35">
      <c r="A3409" s="2" t="s">
        <v>3452</v>
      </c>
      <c r="B3409" s="3">
        <v>44950</v>
      </c>
      <c r="C3409" s="2" t="s">
        <v>16</v>
      </c>
      <c r="D3409" s="2" t="s">
        <v>23</v>
      </c>
      <c r="E3409" s="2" t="s">
        <v>18</v>
      </c>
      <c r="F3409" s="2">
        <v>1559.83</v>
      </c>
      <c r="G3409" s="2">
        <v>405.09</v>
      </c>
      <c r="H3409" s="2" t="s">
        <v>28</v>
      </c>
      <c r="I3409" s="2" t="s">
        <v>34</v>
      </c>
    </row>
    <row r="3410" spans="1:9" x14ac:dyDescent="0.35">
      <c r="A3410" s="2" t="s">
        <v>3453</v>
      </c>
      <c r="B3410" s="3">
        <v>45238</v>
      </c>
      <c r="C3410" s="2" t="s">
        <v>22</v>
      </c>
      <c r="D3410" s="2" t="s">
        <v>38</v>
      </c>
      <c r="E3410" s="2" t="s">
        <v>12</v>
      </c>
      <c r="F3410" s="2">
        <v>1814.14</v>
      </c>
      <c r="G3410" s="2">
        <v>428.54</v>
      </c>
      <c r="H3410" s="2" t="s">
        <v>19</v>
      </c>
      <c r="I3410" s="2" t="s">
        <v>34</v>
      </c>
    </row>
    <row r="3411" spans="1:9" x14ac:dyDescent="0.35">
      <c r="A3411" s="2" t="s">
        <v>3454</v>
      </c>
      <c r="B3411" s="3">
        <v>45620</v>
      </c>
      <c r="C3411" s="2" t="s">
        <v>16</v>
      </c>
      <c r="D3411" s="2" t="s">
        <v>46</v>
      </c>
      <c r="E3411" s="2" t="s">
        <v>18</v>
      </c>
      <c r="F3411" s="2">
        <v>1740.32</v>
      </c>
      <c r="G3411" s="2">
        <v>361.36</v>
      </c>
      <c r="H3411" s="2" t="s">
        <v>19</v>
      </c>
      <c r="I3411" s="2" t="s">
        <v>29</v>
      </c>
    </row>
    <row r="3412" spans="1:9" x14ac:dyDescent="0.35">
      <c r="A3412" s="2" t="s">
        <v>3455</v>
      </c>
      <c r="B3412" s="3">
        <v>45011</v>
      </c>
      <c r="C3412" s="2" t="s">
        <v>16</v>
      </c>
      <c r="D3412" s="2" t="s">
        <v>46</v>
      </c>
      <c r="E3412" s="2" t="s">
        <v>18</v>
      </c>
      <c r="F3412" s="2">
        <v>1412.79</v>
      </c>
      <c r="G3412" s="2">
        <v>406.38</v>
      </c>
      <c r="H3412" s="2" t="s">
        <v>19</v>
      </c>
      <c r="I3412" s="2" t="s">
        <v>34</v>
      </c>
    </row>
    <row r="3413" spans="1:9" x14ac:dyDescent="0.35">
      <c r="A3413" s="2" t="s">
        <v>3456</v>
      </c>
      <c r="B3413" s="3">
        <v>45530</v>
      </c>
      <c r="C3413" s="2" t="s">
        <v>10</v>
      </c>
      <c r="D3413" s="2" t="s">
        <v>57</v>
      </c>
      <c r="E3413" s="2" t="s">
        <v>27</v>
      </c>
      <c r="F3413" s="2">
        <v>777.43</v>
      </c>
      <c r="G3413" s="2">
        <v>154.19999999999999</v>
      </c>
      <c r="H3413" s="2" t="s">
        <v>19</v>
      </c>
      <c r="I3413" s="2" t="s">
        <v>29</v>
      </c>
    </row>
    <row r="3414" spans="1:9" x14ac:dyDescent="0.35">
      <c r="A3414" s="2" t="s">
        <v>3457</v>
      </c>
      <c r="B3414" s="3">
        <v>45471</v>
      </c>
      <c r="C3414" s="2" t="s">
        <v>22</v>
      </c>
      <c r="D3414" s="2" t="s">
        <v>17</v>
      </c>
      <c r="E3414" s="2" t="s">
        <v>18</v>
      </c>
      <c r="F3414" s="2">
        <v>89.46</v>
      </c>
      <c r="G3414" s="2">
        <v>17.57</v>
      </c>
      <c r="H3414" s="2" t="s">
        <v>28</v>
      </c>
      <c r="I3414" s="2" t="s">
        <v>14</v>
      </c>
    </row>
    <row r="3415" spans="1:9" x14ac:dyDescent="0.35">
      <c r="A3415" s="2" t="s">
        <v>3458</v>
      </c>
      <c r="B3415" s="3">
        <v>44681</v>
      </c>
      <c r="C3415" s="2" t="s">
        <v>16</v>
      </c>
      <c r="D3415" s="2" t="s">
        <v>41</v>
      </c>
      <c r="E3415" s="2" t="s">
        <v>12</v>
      </c>
      <c r="F3415" s="2">
        <v>174.3</v>
      </c>
      <c r="G3415" s="2">
        <v>14.52</v>
      </c>
      <c r="H3415" s="2" t="s">
        <v>13</v>
      </c>
      <c r="I3415" s="2" t="s">
        <v>20</v>
      </c>
    </row>
    <row r="3416" spans="1:9" x14ac:dyDescent="0.35">
      <c r="A3416" s="2" t="s">
        <v>3459</v>
      </c>
      <c r="B3416" s="3">
        <v>45203</v>
      </c>
      <c r="C3416" s="2" t="s">
        <v>10</v>
      </c>
      <c r="D3416" s="2" t="s">
        <v>11</v>
      </c>
      <c r="E3416" s="2" t="s">
        <v>12</v>
      </c>
      <c r="F3416" s="2">
        <v>399.04</v>
      </c>
      <c r="G3416" s="2">
        <v>115.52</v>
      </c>
      <c r="H3416" s="2" t="s">
        <v>13</v>
      </c>
      <c r="I3416" s="2" t="s">
        <v>14</v>
      </c>
    </row>
    <row r="3417" spans="1:9" x14ac:dyDescent="0.35">
      <c r="A3417" s="2" t="s">
        <v>3460</v>
      </c>
      <c r="B3417" s="3">
        <v>45062</v>
      </c>
      <c r="C3417" s="2" t="s">
        <v>10</v>
      </c>
      <c r="D3417" s="2" t="s">
        <v>11</v>
      </c>
      <c r="E3417" s="2" t="s">
        <v>12</v>
      </c>
      <c r="F3417" s="2">
        <v>898.26</v>
      </c>
      <c r="G3417" s="2">
        <v>224.58</v>
      </c>
      <c r="H3417" s="2" t="s">
        <v>19</v>
      </c>
      <c r="I3417" s="2" t="s">
        <v>29</v>
      </c>
    </row>
    <row r="3418" spans="1:9" x14ac:dyDescent="0.35">
      <c r="A3418" s="2" t="s">
        <v>3461</v>
      </c>
      <c r="B3418" s="3">
        <v>45016</v>
      </c>
      <c r="C3418" s="2" t="s">
        <v>22</v>
      </c>
      <c r="D3418" s="2" t="s">
        <v>97</v>
      </c>
      <c r="E3418" s="2" t="s">
        <v>27</v>
      </c>
      <c r="F3418" s="2">
        <v>1762.51</v>
      </c>
      <c r="G3418" s="2">
        <v>515.79999999999995</v>
      </c>
      <c r="H3418" s="2" t="s">
        <v>13</v>
      </c>
      <c r="I3418" s="2" t="s">
        <v>20</v>
      </c>
    </row>
    <row r="3419" spans="1:9" x14ac:dyDescent="0.35">
      <c r="A3419" s="2" t="s">
        <v>3462</v>
      </c>
      <c r="B3419" s="3">
        <v>44806</v>
      </c>
      <c r="C3419" s="2" t="s">
        <v>22</v>
      </c>
      <c r="D3419" s="2" t="s">
        <v>73</v>
      </c>
      <c r="E3419" s="2" t="s">
        <v>27</v>
      </c>
      <c r="F3419" s="2">
        <v>1516.99</v>
      </c>
      <c r="G3419" s="2">
        <v>288.41000000000003</v>
      </c>
      <c r="H3419" s="2" t="s">
        <v>19</v>
      </c>
      <c r="I3419" s="2" t="s">
        <v>20</v>
      </c>
    </row>
    <row r="3420" spans="1:9" x14ac:dyDescent="0.35">
      <c r="A3420" s="2" t="s">
        <v>3463</v>
      </c>
      <c r="B3420" s="3">
        <v>45137</v>
      </c>
      <c r="C3420" s="2" t="s">
        <v>22</v>
      </c>
      <c r="D3420" s="2" t="s">
        <v>97</v>
      </c>
      <c r="E3420" s="2" t="s">
        <v>27</v>
      </c>
      <c r="F3420" s="2">
        <v>487.27</v>
      </c>
      <c r="G3420" s="2">
        <v>76.73</v>
      </c>
      <c r="H3420" s="2" t="s">
        <v>28</v>
      </c>
      <c r="I3420" s="2" t="s">
        <v>29</v>
      </c>
    </row>
    <row r="3421" spans="1:9" x14ac:dyDescent="0.35">
      <c r="A3421" s="2" t="s">
        <v>3464</v>
      </c>
      <c r="B3421" s="3">
        <v>44592</v>
      </c>
      <c r="C3421" s="2" t="s">
        <v>25</v>
      </c>
      <c r="D3421" s="2" t="s">
        <v>17</v>
      </c>
      <c r="E3421" s="2" t="s">
        <v>18</v>
      </c>
      <c r="F3421" s="2">
        <v>660.81</v>
      </c>
      <c r="G3421" s="2">
        <v>94.69</v>
      </c>
      <c r="H3421" s="2" t="s">
        <v>28</v>
      </c>
      <c r="I3421" s="2" t="s">
        <v>20</v>
      </c>
    </row>
    <row r="3422" spans="1:9" x14ac:dyDescent="0.35">
      <c r="A3422" s="2" t="s">
        <v>3465</v>
      </c>
      <c r="B3422" s="3">
        <v>44576</v>
      </c>
      <c r="C3422" s="2" t="s">
        <v>22</v>
      </c>
      <c r="D3422" s="2" t="s">
        <v>11</v>
      </c>
      <c r="E3422" s="2" t="s">
        <v>12</v>
      </c>
      <c r="F3422" s="2">
        <v>1428.76</v>
      </c>
      <c r="G3422" s="2">
        <v>425.8</v>
      </c>
      <c r="H3422" s="2" t="s">
        <v>19</v>
      </c>
      <c r="I3422" s="2" t="s">
        <v>14</v>
      </c>
    </row>
    <row r="3423" spans="1:9" x14ac:dyDescent="0.35">
      <c r="A3423" s="2" t="s">
        <v>3466</v>
      </c>
      <c r="B3423" s="3">
        <v>45106</v>
      </c>
      <c r="C3423" s="2" t="s">
        <v>25</v>
      </c>
      <c r="D3423" s="2" t="s">
        <v>62</v>
      </c>
      <c r="E3423" s="2" t="s">
        <v>27</v>
      </c>
      <c r="F3423" s="2">
        <v>1402.57</v>
      </c>
      <c r="G3423" s="2">
        <v>294.88</v>
      </c>
      <c r="H3423" s="2" t="s">
        <v>13</v>
      </c>
      <c r="I3423" s="2" t="s">
        <v>29</v>
      </c>
    </row>
    <row r="3424" spans="1:9" x14ac:dyDescent="0.35">
      <c r="A3424" s="2" t="s">
        <v>3467</v>
      </c>
      <c r="B3424" s="3">
        <v>45216</v>
      </c>
      <c r="C3424" s="2" t="s">
        <v>22</v>
      </c>
      <c r="D3424" s="2" t="s">
        <v>11</v>
      </c>
      <c r="E3424" s="2" t="s">
        <v>12</v>
      </c>
      <c r="F3424" s="2">
        <v>513.30999999999995</v>
      </c>
      <c r="G3424" s="2">
        <v>104.41</v>
      </c>
      <c r="H3424" s="2" t="s">
        <v>19</v>
      </c>
      <c r="I3424" s="2" t="s">
        <v>34</v>
      </c>
    </row>
    <row r="3425" spans="1:9" x14ac:dyDescent="0.35">
      <c r="A3425" s="2" t="s">
        <v>3468</v>
      </c>
      <c r="B3425" s="3">
        <v>44903</v>
      </c>
      <c r="C3425" s="2" t="s">
        <v>25</v>
      </c>
      <c r="D3425" s="2" t="s">
        <v>95</v>
      </c>
      <c r="E3425" s="2" t="s">
        <v>18</v>
      </c>
      <c r="F3425" s="2">
        <v>328.83</v>
      </c>
      <c r="G3425" s="2">
        <v>49.73</v>
      </c>
      <c r="H3425" s="2" t="s">
        <v>13</v>
      </c>
      <c r="I3425" s="2" t="s">
        <v>20</v>
      </c>
    </row>
    <row r="3426" spans="1:9" x14ac:dyDescent="0.35">
      <c r="A3426" s="2" t="s">
        <v>3469</v>
      </c>
      <c r="B3426" s="3">
        <v>45601</v>
      </c>
      <c r="C3426" s="2" t="s">
        <v>10</v>
      </c>
      <c r="D3426" s="2" t="s">
        <v>73</v>
      </c>
      <c r="E3426" s="2" t="s">
        <v>27</v>
      </c>
      <c r="F3426" s="2">
        <v>1442.4</v>
      </c>
      <c r="G3426" s="2">
        <v>237.54</v>
      </c>
      <c r="H3426" s="2" t="s">
        <v>13</v>
      </c>
      <c r="I3426" s="2" t="s">
        <v>29</v>
      </c>
    </row>
    <row r="3427" spans="1:9" x14ac:dyDescent="0.35">
      <c r="A3427" s="2" t="s">
        <v>3470</v>
      </c>
      <c r="B3427" s="3">
        <v>45623</v>
      </c>
      <c r="C3427" s="2" t="s">
        <v>25</v>
      </c>
      <c r="D3427" s="2" t="s">
        <v>11</v>
      </c>
      <c r="E3427" s="2" t="s">
        <v>12</v>
      </c>
      <c r="F3427" s="2">
        <v>127.54</v>
      </c>
      <c r="G3427" s="2">
        <v>31.5</v>
      </c>
      <c r="H3427" s="2" t="s">
        <v>13</v>
      </c>
      <c r="I3427" s="2" t="s">
        <v>20</v>
      </c>
    </row>
    <row r="3428" spans="1:9" x14ac:dyDescent="0.35">
      <c r="A3428" s="2" t="s">
        <v>3471</v>
      </c>
      <c r="B3428" s="3">
        <v>44879</v>
      </c>
      <c r="C3428" s="2" t="s">
        <v>25</v>
      </c>
      <c r="D3428" s="2" t="s">
        <v>95</v>
      </c>
      <c r="E3428" s="2" t="s">
        <v>18</v>
      </c>
      <c r="F3428" s="2">
        <v>1104.8800000000001</v>
      </c>
      <c r="G3428" s="2">
        <v>183.56</v>
      </c>
      <c r="H3428" s="2" t="s">
        <v>19</v>
      </c>
      <c r="I3428" s="2" t="s">
        <v>34</v>
      </c>
    </row>
    <row r="3429" spans="1:9" x14ac:dyDescent="0.35">
      <c r="A3429" s="2" t="s">
        <v>3472</v>
      </c>
      <c r="B3429" s="3">
        <v>44761</v>
      </c>
      <c r="C3429" s="2" t="s">
        <v>16</v>
      </c>
      <c r="D3429" s="2" t="s">
        <v>73</v>
      </c>
      <c r="E3429" s="2" t="s">
        <v>27</v>
      </c>
      <c r="F3429" s="2">
        <v>799.36</v>
      </c>
      <c r="G3429" s="2">
        <v>92.1</v>
      </c>
      <c r="H3429" s="2" t="s">
        <v>19</v>
      </c>
      <c r="I3429" s="2" t="s">
        <v>29</v>
      </c>
    </row>
    <row r="3430" spans="1:9" x14ac:dyDescent="0.35">
      <c r="A3430" s="2" t="s">
        <v>3473</v>
      </c>
      <c r="B3430" s="3">
        <v>45585</v>
      </c>
      <c r="C3430" s="2" t="s">
        <v>22</v>
      </c>
      <c r="D3430" s="2" t="s">
        <v>97</v>
      </c>
      <c r="E3430" s="2" t="s">
        <v>27</v>
      </c>
      <c r="F3430" s="2">
        <v>217.26</v>
      </c>
      <c r="G3430" s="2">
        <v>26.69</v>
      </c>
      <c r="H3430" s="2" t="s">
        <v>28</v>
      </c>
      <c r="I3430" s="2" t="s">
        <v>34</v>
      </c>
    </row>
    <row r="3431" spans="1:9" x14ac:dyDescent="0.35">
      <c r="A3431" s="2" t="s">
        <v>3474</v>
      </c>
      <c r="B3431" s="3">
        <v>44772</v>
      </c>
      <c r="C3431" s="2" t="s">
        <v>16</v>
      </c>
      <c r="D3431" s="2" t="s">
        <v>17</v>
      </c>
      <c r="E3431" s="2" t="s">
        <v>18</v>
      </c>
      <c r="F3431" s="2">
        <v>1865.56</v>
      </c>
      <c r="G3431" s="2">
        <v>209.63</v>
      </c>
      <c r="H3431" s="2" t="s">
        <v>19</v>
      </c>
      <c r="I3431" s="2" t="s">
        <v>29</v>
      </c>
    </row>
    <row r="3432" spans="1:9" x14ac:dyDescent="0.35">
      <c r="A3432" s="2" t="s">
        <v>3475</v>
      </c>
      <c r="B3432" s="3">
        <v>44686</v>
      </c>
      <c r="C3432" s="2" t="s">
        <v>22</v>
      </c>
      <c r="D3432" s="2" t="s">
        <v>26</v>
      </c>
      <c r="E3432" s="2" t="s">
        <v>27</v>
      </c>
      <c r="F3432" s="2">
        <v>792.61</v>
      </c>
      <c r="G3432" s="2">
        <v>219.51</v>
      </c>
      <c r="H3432" s="2" t="s">
        <v>19</v>
      </c>
      <c r="I3432" s="2" t="s">
        <v>34</v>
      </c>
    </row>
    <row r="3433" spans="1:9" x14ac:dyDescent="0.35">
      <c r="A3433" s="2" t="s">
        <v>3476</v>
      </c>
      <c r="B3433" s="3">
        <v>45221</v>
      </c>
      <c r="C3433" s="2" t="s">
        <v>10</v>
      </c>
      <c r="D3433" s="2" t="s">
        <v>38</v>
      </c>
      <c r="E3433" s="2" t="s">
        <v>12</v>
      </c>
      <c r="F3433" s="2">
        <v>79.150000000000006</v>
      </c>
      <c r="G3433" s="2">
        <v>9.26</v>
      </c>
      <c r="H3433" s="2" t="s">
        <v>19</v>
      </c>
      <c r="I3433" s="2" t="s">
        <v>20</v>
      </c>
    </row>
    <row r="3434" spans="1:9" x14ac:dyDescent="0.35">
      <c r="A3434" s="2" t="s">
        <v>3477</v>
      </c>
      <c r="B3434" s="3">
        <v>45008</v>
      </c>
      <c r="C3434" s="2" t="s">
        <v>25</v>
      </c>
      <c r="D3434" s="2" t="s">
        <v>26</v>
      </c>
      <c r="E3434" s="2" t="s">
        <v>27</v>
      </c>
      <c r="F3434" s="2">
        <v>744.6</v>
      </c>
      <c r="G3434" s="2">
        <v>100.24</v>
      </c>
      <c r="H3434" s="2" t="s">
        <v>13</v>
      </c>
      <c r="I3434" s="2" t="s">
        <v>14</v>
      </c>
    </row>
    <row r="3435" spans="1:9" x14ac:dyDescent="0.35">
      <c r="A3435" s="2" t="s">
        <v>3478</v>
      </c>
      <c r="B3435" s="3">
        <v>45294</v>
      </c>
      <c r="C3435" s="2" t="s">
        <v>10</v>
      </c>
      <c r="D3435" s="2" t="s">
        <v>41</v>
      </c>
      <c r="E3435" s="2" t="s">
        <v>12</v>
      </c>
      <c r="F3435" s="2">
        <v>1275.1199999999999</v>
      </c>
      <c r="G3435" s="2">
        <v>319.57</v>
      </c>
      <c r="H3435" s="2" t="s">
        <v>13</v>
      </c>
      <c r="I3435" s="2" t="s">
        <v>34</v>
      </c>
    </row>
    <row r="3436" spans="1:9" x14ac:dyDescent="0.35">
      <c r="A3436" s="2" t="s">
        <v>3479</v>
      </c>
      <c r="B3436" s="3">
        <v>45103</v>
      </c>
      <c r="C3436" s="2" t="s">
        <v>10</v>
      </c>
      <c r="D3436" s="2" t="s">
        <v>23</v>
      </c>
      <c r="E3436" s="2" t="s">
        <v>18</v>
      </c>
      <c r="F3436" s="2">
        <v>985.14</v>
      </c>
      <c r="G3436" s="2">
        <v>50.34</v>
      </c>
      <c r="H3436" s="2" t="s">
        <v>28</v>
      </c>
      <c r="I3436" s="2" t="s">
        <v>29</v>
      </c>
    </row>
    <row r="3437" spans="1:9" x14ac:dyDescent="0.35">
      <c r="A3437" s="2" t="s">
        <v>3480</v>
      </c>
      <c r="B3437" s="3">
        <v>45196</v>
      </c>
      <c r="C3437" s="2" t="s">
        <v>22</v>
      </c>
      <c r="D3437" s="2" t="s">
        <v>41</v>
      </c>
      <c r="E3437" s="2" t="s">
        <v>12</v>
      </c>
      <c r="F3437" s="2">
        <v>1711.88</v>
      </c>
      <c r="G3437" s="2">
        <v>460.93</v>
      </c>
      <c r="H3437" s="2" t="s">
        <v>19</v>
      </c>
      <c r="I3437" s="2" t="s">
        <v>29</v>
      </c>
    </row>
    <row r="3438" spans="1:9" x14ac:dyDescent="0.35">
      <c r="A3438" s="2" t="s">
        <v>3481</v>
      </c>
      <c r="B3438" s="3">
        <v>44591</v>
      </c>
      <c r="C3438" s="2" t="s">
        <v>16</v>
      </c>
      <c r="D3438" s="2" t="s">
        <v>95</v>
      </c>
      <c r="E3438" s="2" t="s">
        <v>18</v>
      </c>
      <c r="F3438" s="2">
        <v>1858.91</v>
      </c>
      <c r="G3438" s="2">
        <v>363.18</v>
      </c>
      <c r="H3438" s="2" t="s">
        <v>28</v>
      </c>
      <c r="I3438" s="2" t="s">
        <v>14</v>
      </c>
    </row>
    <row r="3439" spans="1:9" x14ac:dyDescent="0.35">
      <c r="A3439" s="2" t="s">
        <v>3482</v>
      </c>
      <c r="B3439" s="3">
        <v>45415</v>
      </c>
      <c r="C3439" s="2" t="s">
        <v>22</v>
      </c>
      <c r="D3439" s="2" t="s">
        <v>41</v>
      </c>
      <c r="E3439" s="2" t="s">
        <v>12</v>
      </c>
      <c r="F3439" s="2">
        <v>996.75</v>
      </c>
      <c r="G3439" s="2">
        <v>170.33</v>
      </c>
      <c r="H3439" s="2" t="s">
        <v>28</v>
      </c>
      <c r="I3439" s="2" t="s">
        <v>34</v>
      </c>
    </row>
    <row r="3440" spans="1:9" x14ac:dyDescent="0.35">
      <c r="A3440" s="2" t="s">
        <v>3483</v>
      </c>
      <c r="B3440" s="3">
        <v>44775</v>
      </c>
      <c r="C3440" s="2" t="s">
        <v>22</v>
      </c>
      <c r="D3440" s="2" t="s">
        <v>57</v>
      </c>
      <c r="E3440" s="2" t="s">
        <v>27</v>
      </c>
      <c r="F3440" s="2">
        <v>1556.92</v>
      </c>
      <c r="G3440" s="2">
        <v>466.44</v>
      </c>
      <c r="H3440" s="2" t="s">
        <v>19</v>
      </c>
      <c r="I3440" s="2" t="s">
        <v>20</v>
      </c>
    </row>
    <row r="3441" spans="1:9" x14ac:dyDescent="0.35">
      <c r="A3441" s="2" t="s">
        <v>3484</v>
      </c>
      <c r="B3441" s="3">
        <v>45158</v>
      </c>
      <c r="C3441" s="2" t="s">
        <v>16</v>
      </c>
      <c r="D3441" s="2" t="s">
        <v>33</v>
      </c>
      <c r="E3441" s="2" t="s">
        <v>18</v>
      </c>
      <c r="F3441" s="2">
        <v>1516.77</v>
      </c>
      <c r="G3441" s="2">
        <v>236.31</v>
      </c>
      <c r="H3441" s="2" t="s">
        <v>28</v>
      </c>
      <c r="I3441" s="2" t="s">
        <v>29</v>
      </c>
    </row>
    <row r="3442" spans="1:9" x14ac:dyDescent="0.35">
      <c r="A3442" s="2" t="s">
        <v>3485</v>
      </c>
      <c r="B3442" s="3">
        <v>45106</v>
      </c>
      <c r="C3442" s="2" t="s">
        <v>25</v>
      </c>
      <c r="D3442" s="2" t="s">
        <v>97</v>
      </c>
      <c r="E3442" s="2" t="s">
        <v>27</v>
      </c>
      <c r="F3442" s="2">
        <v>376.62</v>
      </c>
      <c r="G3442" s="2">
        <v>73.16</v>
      </c>
      <c r="H3442" s="2" t="s">
        <v>13</v>
      </c>
      <c r="I3442" s="2" t="s">
        <v>34</v>
      </c>
    </row>
    <row r="3443" spans="1:9" x14ac:dyDescent="0.35">
      <c r="A3443" s="2" t="s">
        <v>3486</v>
      </c>
      <c r="B3443" s="3">
        <v>45337</v>
      </c>
      <c r="C3443" s="2" t="s">
        <v>22</v>
      </c>
      <c r="D3443" s="2" t="s">
        <v>95</v>
      </c>
      <c r="E3443" s="2" t="s">
        <v>18</v>
      </c>
      <c r="F3443" s="2">
        <v>1573.51</v>
      </c>
      <c r="G3443" s="2">
        <v>342.48</v>
      </c>
      <c r="H3443" s="2" t="s">
        <v>28</v>
      </c>
      <c r="I3443" s="2" t="s">
        <v>14</v>
      </c>
    </row>
    <row r="3444" spans="1:9" x14ac:dyDescent="0.35">
      <c r="A3444" s="2" t="s">
        <v>3487</v>
      </c>
      <c r="B3444" s="3">
        <v>44591</v>
      </c>
      <c r="C3444" s="2" t="s">
        <v>22</v>
      </c>
      <c r="D3444" s="2" t="s">
        <v>57</v>
      </c>
      <c r="E3444" s="2" t="s">
        <v>27</v>
      </c>
      <c r="F3444" s="2">
        <v>248.93</v>
      </c>
      <c r="G3444" s="2">
        <v>63.42</v>
      </c>
      <c r="H3444" s="2" t="s">
        <v>28</v>
      </c>
      <c r="I3444" s="2" t="s">
        <v>29</v>
      </c>
    </row>
    <row r="3445" spans="1:9" x14ac:dyDescent="0.35">
      <c r="A3445" s="2" t="s">
        <v>3488</v>
      </c>
      <c r="B3445" s="3">
        <v>44796</v>
      </c>
      <c r="C3445" s="2" t="s">
        <v>10</v>
      </c>
      <c r="D3445" s="2" t="s">
        <v>41</v>
      </c>
      <c r="E3445" s="2" t="s">
        <v>12</v>
      </c>
      <c r="F3445" s="2">
        <v>885.29</v>
      </c>
      <c r="G3445" s="2">
        <v>257.13</v>
      </c>
      <c r="H3445" s="2" t="s">
        <v>28</v>
      </c>
      <c r="I3445" s="2" t="s">
        <v>34</v>
      </c>
    </row>
    <row r="3446" spans="1:9" x14ac:dyDescent="0.35">
      <c r="A3446" s="2" t="s">
        <v>3489</v>
      </c>
      <c r="B3446" s="3">
        <v>44724</v>
      </c>
      <c r="C3446" s="2" t="s">
        <v>22</v>
      </c>
      <c r="D3446" s="2" t="s">
        <v>11</v>
      </c>
      <c r="E3446" s="2" t="s">
        <v>12</v>
      </c>
      <c r="F3446" s="2">
        <v>69.489999999999995</v>
      </c>
      <c r="G3446" s="2">
        <v>4.8499999999999996</v>
      </c>
      <c r="H3446" s="2" t="s">
        <v>13</v>
      </c>
      <c r="I3446" s="2" t="s">
        <v>34</v>
      </c>
    </row>
    <row r="3447" spans="1:9" x14ac:dyDescent="0.35">
      <c r="A3447" s="2" t="s">
        <v>3490</v>
      </c>
      <c r="B3447" s="3">
        <v>45576</v>
      </c>
      <c r="C3447" s="2" t="s">
        <v>16</v>
      </c>
      <c r="D3447" s="2" t="s">
        <v>31</v>
      </c>
      <c r="E3447" s="2" t="s">
        <v>12</v>
      </c>
      <c r="F3447" s="2">
        <v>563.23</v>
      </c>
      <c r="G3447" s="2">
        <v>63.36</v>
      </c>
      <c r="H3447" s="2" t="s">
        <v>28</v>
      </c>
      <c r="I3447" s="2" t="s">
        <v>34</v>
      </c>
    </row>
    <row r="3448" spans="1:9" x14ac:dyDescent="0.35">
      <c r="A3448" s="2" t="s">
        <v>3491</v>
      </c>
      <c r="B3448" s="3">
        <v>44639</v>
      </c>
      <c r="C3448" s="2" t="s">
        <v>25</v>
      </c>
      <c r="D3448" s="2" t="s">
        <v>23</v>
      </c>
      <c r="E3448" s="2" t="s">
        <v>18</v>
      </c>
      <c r="F3448" s="2">
        <v>244.35</v>
      </c>
      <c r="G3448" s="2">
        <v>18.78</v>
      </c>
      <c r="H3448" s="2" t="s">
        <v>19</v>
      </c>
      <c r="I3448" s="2" t="s">
        <v>29</v>
      </c>
    </row>
    <row r="3449" spans="1:9" x14ac:dyDescent="0.35">
      <c r="A3449" s="2" t="s">
        <v>3492</v>
      </c>
      <c r="B3449" s="3">
        <v>45201</v>
      </c>
      <c r="C3449" s="2" t="s">
        <v>25</v>
      </c>
      <c r="D3449" s="2" t="s">
        <v>26</v>
      </c>
      <c r="E3449" s="2" t="s">
        <v>27</v>
      </c>
      <c r="F3449" s="2">
        <v>936.65</v>
      </c>
      <c r="G3449" s="2">
        <v>100.07</v>
      </c>
      <c r="H3449" s="2" t="s">
        <v>28</v>
      </c>
      <c r="I3449" s="2" t="s">
        <v>14</v>
      </c>
    </row>
    <row r="3450" spans="1:9" x14ac:dyDescent="0.35">
      <c r="A3450" s="2" t="s">
        <v>3493</v>
      </c>
      <c r="B3450" s="3">
        <v>45643</v>
      </c>
      <c r="C3450" s="2" t="s">
        <v>25</v>
      </c>
      <c r="D3450" s="2" t="s">
        <v>57</v>
      </c>
      <c r="E3450" s="2" t="s">
        <v>27</v>
      </c>
      <c r="F3450" s="2">
        <v>114.38</v>
      </c>
      <c r="G3450" s="2">
        <v>20.54</v>
      </c>
      <c r="H3450" s="2" t="s">
        <v>13</v>
      </c>
      <c r="I3450" s="2" t="s">
        <v>20</v>
      </c>
    </row>
    <row r="3451" spans="1:9" x14ac:dyDescent="0.35">
      <c r="A3451" s="2" t="s">
        <v>3494</v>
      </c>
      <c r="B3451" s="3">
        <v>44615</v>
      </c>
      <c r="C3451" s="2" t="s">
        <v>25</v>
      </c>
      <c r="D3451" s="2" t="s">
        <v>23</v>
      </c>
      <c r="E3451" s="2" t="s">
        <v>18</v>
      </c>
      <c r="F3451" s="2">
        <v>691.27</v>
      </c>
      <c r="G3451" s="2">
        <v>142</v>
      </c>
      <c r="H3451" s="2" t="s">
        <v>19</v>
      </c>
      <c r="I3451" s="2" t="s">
        <v>14</v>
      </c>
    </row>
    <row r="3452" spans="1:9" x14ac:dyDescent="0.35">
      <c r="A3452" s="2" t="s">
        <v>3495</v>
      </c>
      <c r="B3452" s="3">
        <v>44794</v>
      </c>
      <c r="C3452" s="2" t="s">
        <v>10</v>
      </c>
      <c r="D3452" s="2" t="s">
        <v>62</v>
      </c>
      <c r="E3452" s="2" t="s">
        <v>27</v>
      </c>
      <c r="F3452" s="2">
        <v>758.71</v>
      </c>
      <c r="G3452" s="2">
        <v>80.58</v>
      </c>
      <c r="H3452" s="2" t="s">
        <v>13</v>
      </c>
      <c r="I3452" s="2" t="s">
        <v>20</v>
      </c>
    </row>
    <row r="3453" spans="1:9" x14ac:dyDescent="0.35">
      <c r="A3453" s="2" t="s">
        <v>3496</v>
      </c>
      <c r="B3453" s="3">
        <v>44629</v>
      </c>
      <c r="C3453" s="2" t="s">
        <v>10</v>
      </c>
      <c r="D3453" s="2" t="s">
        <v>23</v>
      </c>
      <c r="E3453" s="2" t="s">
        <v>18</v>
      </c>
      <c r="F3453" s="2">
        <v>864.2</v>
      </c>
      <c r="G3453" s="2">
        <v>47.88</v>
      </c>
      <c r="H3453" s="2" t="s">
        <v>19</v>
      </c>
      <c r="I3453" s="2" t="s">
        <v>14</v>
      </c>
    </row>
    <row r="3454" spans="1:9" x14ac:dyDescent="0.35">
      <c r="A3454" s="2" t="s">
        <v>3497</v>
      </c>
      <c r="B3454" s="3">
        <v>45063</v>
      </c>
      <c r="C3454" s="2" t="s">
        <v>16</v>
      </c>
      <c r="D3454" s="2" t="s">
        <v>11</v>
      </c>
      <c r="E3454" s="2" t="s">
        <v>12</v>
      </c>
      <c r="F3454" s="2">
        <v>564.73</v>
      </c>
      <c r="G3454" s="2">
        <v>154.16999999999999</v>
      </c>
      <c r="H3454" s="2" t="s">
        <v>28</v>
      </c>
      <c r="I3454" s="2" t="s">
        <v>34</v>
      </c>
    </row>
    <row r="3455" spans="1:9" x14ac:dyDescent="0.35">
      <c r="A3455" s="2" t="s">
        <v>3498</v>
      </c>
      <c r="B3455" s="3">
        <v>44931</v>
      </c>
      <c r="C3455" s="2" t="s">
        <v>22</v>
      </c>
      <c r="D3455" s="2" t="s">
        <v>23</v>
      </c>
      <c r="E3455" s="2" t="s">
        <v>18</v>
      </c>
      <c r="F3455" s="2">
        <v>775.62</v>
      </c>
      <c r="G3455" s="2">
        <v>184.54</v>
      </c>
      <c r="H3455" s="2" t="s">
        <v>19</v>
      </c>
      <c r="I3455" s="2" t="s">
        <v>29</v>
      </c>
    </row>
    <row r="3456" spans="1:9" x14ac:dyDescent="0.35">
      <c r="A3456" s="2" t="s">
        <v>3499</v>
      </c>
      <c r="B3456" s="3">
        <v>45310</v>
      </c>
      <c r="C3456" s="2" t="s">
        <v>25</v>
      </c>
      <c r="D3456" s="2" t="s">
        <v>57</v>
      </c>
      <c r="E3456" s="2" t="s">
        <v>27</v>
      </c>
      <c r="F3456" s="2">
        <v>1208.54</v>
      </c>
      <c r="G3456" s="2">
        <v>334.13</v>
      </c>
      <c r="H3456" s="2" t="s">
        <v>28</v>
      </c>
      <c r="I3456" s="2" t="s">
        <v>34</v>
      </c>
    </row>
    <row r="3457" spans="1:9" x14ac:dyDescent="0.35">
      <c r="A3457" s="2" t="s">
        <v>3500</v>
      </c>
      <c r="B3457" s="3">
        <v>44596</v>
      </c>
      <c r="C3457" s="2" t="s">
        <v>10</v>
      </c>
      <c r="D3457" s="2" t="s">
        <v>11</v>
      </c>
      <c r="E3457" s="2" t="s">
        <v>12</v>
      </c>
      <c r="F3457" s="2">
        <v>383.92</v>
      </c>
      <c r="G3457" s="2">
        <v>21.26</v>
      </c>
      <c r="H3457" s="2" t="s">
        <v>19</v>
      </c>
      <c r="I3457" s="2" t="s">
        <v>29</v>
      </c>
    </row>
    <row r="3458" spans="1:9" x14ac:dyDescent="0.35">
      <c r="A3458" s="2" t="s">
        <v>3501</v>
      </c>
      <c r="B3458" s="3">
        <v>45226</v>
      </c>
      <c r="C3458" s="2" t="s">
        <v>25</v>
      </c>
      <c r="D3458" s="2" t="s">
        <v>95</v>
      </c>
      <c r="E3458" s="2" t="s">
        <v>18</v>
      </c>
      <c r="F3458" s="2">
        <v>906.92</v>
      </c>
      <c r="G3458" s="2">
        <v>144.76</v>
      </c>
      <c r="H3458" s="2" t="s">
        <v>13</v>
      </c>
      <c r="I3458" s="2" t="s">
        <v>29</v>
      </c>
    </row>
    <row r="3459" spans="1:9" x14ac:dyDescent="0.35">
      <c r="A3459" s="2" t="s">
        <v>3502</v>
      </c>
      <c r="B3459" s="3">
        <v>44863</v>
      </c>
      <c r="C3459" s="2" t="s">
        <v>16</v>
      </c>
      <c r="D3459" s="2" t="s">
        <v>33</v>
      </c>
      <c r="E3459" s="2" t="s">
        <v>18</v>
      </c>
      <c r="F3459" s="2">
        <v>235.73</v>
      </c>
      <c r="G3459" s="2">
        <v>55.82</v>
      </c>
      <c r="H3459" s="2" t="s">
        <v>19</v>
      </c>
      <c r="I3459" s="2" t="s">
        <v>34</v>
      </c>
    </row>
    <row r="3460" spans="1:9" x14ac:dyDescent="0.35">
      <c r="A3460" s="2" t="s">
        <v>3503</v>
      </c>
      <c r="B3460" s="3">
        <v>44929</v>
      </c>
      <c r="C3460" s="2" t="s">
        <v>16</v>
      </c>
      <c r="D3460" s="2" t="s">
        <v>57</v>
      </c>
      <c r="E3460" s="2" t="s">
        <v>27</v>
      </c>
      <c r="F3460" s="2">
        <v>193.74</v>
      </c>
      <c r="G3460" s="2">
        <v>55.54</v>
      </c>
      <c r="H3460" s="2" t="s">
        <v>13</v>
      </c>
      <c r="I3460" s="2" t="s">
        <v>34</v>
      </c>
    </row>
    <row r="3461" spans="1:9" x14ac:dyDescent="0.35">
      <c r="A3461" s="2" t="s">
        <v>3504</v>
      </c>
      <c r="B3461" s="3">
        <v>45022</v>
      </c>
      <c r="C3461" s="2" t="s">
        <v>25</v>
      </c>
      <c r="D3461" s="2" t="s">
        <v>31</v>
      </c>
      <c r="E3461" s="2" t="s">
        <v>12</v>
      </c>
      <c r="F3461" s="2">
        <v>836.04</v>
      </c>
      <c r="G3461" s="2">
        <v>98.31</v>
      </c>
      <c r="H3461" s="2" t="s">
        <v>13</v>
      </c>
      <c r="I3461" s="2" t="s">
        <v>34</v>
      </c>
    </row>
    <row r="3462" spans="1:9" x14ac:dyDescent="0.35">
      <c r="A3462" s="2" t="s">
        <v>3505</v>
      </c>
      <c r="B3462" s="3">
        <v>45152</v>
      </c>
      <c r="C3462" s="2" t="s">
        <v>16</v>
      </c>
      <c r="D3462" s="2" t="s">
        <v>46</v>
      </c>
      <c r="E3462" s="2" t="s">
        <v>18</v>
      </c>
      <c r="F3462" s="2">
        <v>1427.87</v>
      </c>
      <c r="G3462" s="2">
        <v>187.05</v>
      </c>
      <c r="H3462" s="2" t="s">
        <v>19</v>
      </c>
      <c r="I3462" s="2" t="s">
        <v>20</v>
      </c>
    </row>
    <row r="3463" spans="1:9" x14ac:dyDescent="0.35">
      <c r="A3463" s="2" t="s">
        <v>3506</v>
      </c>
      <c r="B3463" s="3">
        <v>45453</v>
      </c>
      <c r="C3463" s="2" t="s">
        <v>22</v>
      </c>
      <c r="D3463" s="2" t="s">
        <v>57</v>
      </c>
      <c r="E3463" s="2" t="s">
        <v>27</v>
      </c>
      <c r="F3463" s="2">
        <v>234.7</v>
      </c>
      <c r="G3463" s="2">
        <v>49.57</v>
      </c>
      <c r="H3463" s="2" t="s">
        <v>13</v>
      </c>
      <c r="I3463" s="2" t="s">
        <v>20</v>
      </c>
    </row>
    <row r="3464" spans="1:9" x14ac:dyDescent="0.35">
      <c r="A3464" s="2" t="s">
        <v>3507</v>
      </c>
      <c r="B3464" s="3">
        <v>44782</v>
      </c>
      <c r="C3464" s="2" t="s">
        <v>16</v>
      </c>
      <c r="D3464" s="2" t="s">
        <v>26</v>
      </c>
      <c r="E3464" s="2" t="s">
        <v>27</v>
      </c>
      <c r="F3464" s="2">
        <v>872.36</v>
      </c>
      <c r="G3464" s="2">
        <v>96.62</v>
      </c>
      <c r="H3464" s="2" t="s">
        <v>28</v>
      </c>
      <c r="I3464" s="2" t="s">
        <v>34</v>
      </c>
    </row>
    <row r="3465" spans="1:9" x14ac:dyDescent="0.35">
      <c r="A3465" s="2" t="s">
        <v>3508</v>
      </c>
      <c r="B3465" s="3">
        <v>45173</v>
      </c>
      <c r="C3465" s="2" t="s">
        <v>25</v>
      </c>
      <c r="D3465" s="2" t="s">
        <v>95</v>
      </c>
      <c r="E3465" s="2" t="s">
        <v>18</v>
      </c>
      <c r="F3465" s="2">
        <v>163.61000000000001</v>
      </c>
      <c r="G3465" s="2">
        <v>41.37</v>
      </c>
      <c r="H3465" s="2" t="s">
        <v>13</v>
      </c>
      <c r="I3465" s="2" t="s">
        <v>34</v>
      </c>
    </row>
    <row r="3466" spans="1:9" x14ac:dyDescent="0.35">
      <c r="A3466" s="2" t="s">
        <v>3509</v>
      </c>
      <c r="B3466" s="3">
        <v>45331</v>
      </c>
      <c r="C3466" s="2" t="s">
        <v>16</v>
      </c>
      <c r="D3466" s="2" t="s">
        <v>33</v>
      </c>
      <c r="E3466" s="2" t="s">
        <v>18</v>
      </c>
      <c r="F3466" s="2">
        <v>1654.2</v>
      </c>
      <c r="G3466" s="2">
        <v>119.68</v>
      </c>
      <c r="H3466" s="2" t="s">
        <v>28</v>
      </c>
      <c r="I3466" s="2" t="s">
        <v>14</v>
      </c>
    </row>
    <row r="3467" spans="1:9" x14ac:dyDescent="0.35">
      <c r="A3467" s="2" t="s">
        <v>3510</v>
      </c>
      <c r="B3467" s="3">
        <v>45501</v>
      </c>
      <c r="C3467" s="2" t="s">
        <v>16</v>
      </c>
      <c r="D3467" s="2" t="s">
        <v>46</v>
      </c>
      <c r="E3467" s="2" t="s">
        <v>18</v>
      </c>
      <c r="F3467" s="2">
        <v>931.7</v>
      </c>
      <c r="G3467" s="2">
        <v>261.48</v>
      </c>
      <c r="H3467" s="2" t="s">
        <v>28</v>
      </c>
      <c r="I3467" s="2" t="s">
        <v>14</v>
      </c>
    </row>
    <row r="3468" spans="1:9" x14ac:dyDescent="0.35">
      <c r="A3468" s="2" t="s">
        <v>3511</v>
      </c>
      <c r="B3468" s="3">
        <v>45101</v>
      </c>
      <c r="C3468" s="2" t="s">
        <v>22</v>
      </c>
      <c r="D3468" s="2" t="s">
        <v>50</v>
      </c>
      <c r="E3468" s="2" t="s">
        <v>12</v>
      </c>
      <c r="F3468" s="2">
        <v>1927.39</v>
      </c>
      <c r="G3468" s="2">
        <v>503.26</v>
      </c>
      <c r="H3468" s="2" t="s">
        <v>19</v>
      </c>
      <c r="I3468" s="2" t="s">
        <v>14</v>
      </c>
    </row>
    <row r="3469" spans="1:9" x14ac:dyDescent="0.35">
      <c r="A3469" s="2" t="s">
        <v>3512</v>
      </c>
      <c r="B3469" s="3">
        <v>45542</v>
      </c>
      <c r="C3469" s="2" t="s">
        <v>16</v>
      </c>
      <c r="D3469" s="2" t="s">
        <v>23</v>
      </c>
      <c r="E3469" s="2" t="s">
        <v>18</v>
      </c>
      <c r="F3469" s="2">
        <v>227.65</v>
      </c>
      <c r="G3469" s="2">
        <v>35.61</v>
      </c>
      <c r="H3469" s="2" t="s">
        <v>19</v>
      </c>
      <c r="I3469" s="2" t="s">
        <v>20</v>
      </c>
    </row>
    <row r="3470" spans="1:9" x14ac:dyDescent="0.35">
      <c r="A3470" s="2" t="s">
        <v>3513</v>
      </c>
      <c r="B3470" s="3">
        <v>45433</v>
      </c>
      <c r="C3470" s="2" t="s">
        <v>16</v>
      </c>
      <c r="D3470" s="2" t="s">
        <v>38</v>
      </c>
      <c r="E3470" s="2" t="s">
        <v>12</v>
      </c>
      <c r="F3470" s="2">
        <v>325.89</v>
      </c>
      <c r="G3470" s="2">
        <v>30.72</v>
      </c>
      <c r="H3470" s="2" t="s">
        <v>19</v>
      </c>
      <c r="I3470" s="2" t="s">
        <v>29</v>
      </c>
    </row>
    <row r="3471" spans="1:9" x14ac:dyDescent="0.35">
      <c r="A3471" s="2" t="s">
        <v>3514</v>
      </c>
      <c r="B3471" s="3">
        <v>44901</v>
      </c>
      <c r="C3471" s="2" t="s">
        <v>25</v>
      </c>
      <c r="D3471" s="2" t="s">
        <v>26</v>
      </c>
      <c r="E3471" s="2" t="s">
        <v>27</v>
      </c>
      <c r="F3471" s="2">
        <v>1334.07</v>
      </c>
      <c r="G3471" s="2">
        <v>270.45</v>
      </c>
      <c r="H3471" s="2" t="s">
        <v>13</v>
      </c>
      <c r="I3471" s="2" t="s">
        <v>14</v>
      </c>
    </row>
    <row r="3472" spans="1:9" x14ac:dyDescent="0.35">
      <c r="A3472" s="2" t="s">
        <v>3515</v>
      </c>
      <c r="B3472" s="3">
        <v>44894</v>
      </c>
      <c r="C3472" s="2" t="s">
        <v>22</v>
      </c>
      <c r="D3472" s="2" t="s">
        <v>23</v>
      </c>
      <c r="E3472" s="2" t="s">
        <v>18</v>
      </c>
      <c r="F3472" s="2">
        <v>1322.71</v>
      </c>
      <c r="G3472" s="2">
        <v>134.27000000000001</v>
      </c>
      <c r="H3472" s="2" t="s">
        <v>13</v>
      </c>
      <c r="I3472" s="2" t="s">
        <v>29</v>
      </c>
    </row>
    <row r="3473" spans="1:9" x14ac:dyDescent="0.35">
      <c r="A3473" s="2" t="s">
        <v>3516</v>
      </c>
      <c r="B3473" s="3">
        <v>45068</v>
      </c>
      <c r="C3473" s="2" t="s">
        <v>25</v>
      </c>
      <c r="D3473" s="2" t="s">
        <v>62</v>
      </c>
      <c r="E3473" s="2" t="s">
        <v>27</v>
      </c>
      <c r="F3473" s="2">
        <v>199.55</v>
      </c>
      <c r="G3473" s="2">
        <v>41.87</v>
      </c>
      <c r="H3473" s="2" t="s">
        <v>13</v>
      </c>
      <c r="I3473" s="2" t="s">
        <v>20</v>
      </c>
    </row>
    <row r="3474" spans="1:9" x14ac:dyDescent="0.35">
      <c r="A3474" s="2" t="s">
        <v>3517</v>
      </c>
      <c r="B3474" s="3">
        <v>44739</v>
      </c>
      <c r="C3474" s="2" t="s">
        <v>16</v>
      </c>
      <c r="D3474" s="2" t="s">
        <v>57</v>
      </c>
      <c r="E3474" s="2" t="s">
        <v>27</v>
      </c>
      <c r="F3474" s="2">
        <v>455.33</v>
      </c>
      <c r="G3474" s="2">
        <v>129.72999999999999</v>
      </c>
      <c r="H3474" s="2" t="s">
        <v>19</v>
      </c>
      <c r="I3474" s="2" t="s">
        <v>14</v>
      </c>
    </row>
    <row r="3475" spans="1:9" x14ac:dyDescent="0.35">
      <c r="A3475" s="2" t="s">
        <v>3518</v>
      </c>
      <c r="B3475" s="3">
        <v>45395</v>
      </c>
      <c r="C3475" s="2" t="s">
        <v>10</v>
      </c>
      <c r="D3475" s="2" t="s">
        <v>31</v>
      </c>
      <c r="E3475" s="2" t="s">
        <v>12</v>
      </c>
      <c r="F3475" s="2">
        <v>1661.35</v>
      </c>
      <c r="G3475" s="2">
        <v>281.61</v>
      </c>
      <c r="H3475" s="2" t="s">
        <v>19</v>
      </c>
      <c r="I3475" s="2" t="s">
        <v>34</v>
      </c>
    </row>
    <row r="3476" spans="1:9" x14ac:dyDescent="0.35">
      <c r="A3476" s="2" t="s">
        <v>3519</v>
      </c>
      <c r="B3476" s="3">
        <v>45537</v>
      </c>
      <c r="C3476" s="2" t="s">
        <v>16</v>
      </c>
      <c r="D3476" s="2" t="s">
        <v>33</v>
      </c>
      <c r="E3476" s="2" t="s">
        <v>18</v>
      </c>
      <c r="F3476" s="2">
        <v>359.65</v>
      </c>
      <c r="G3476" s="2">
        <v>74.02</v>
      </c>
      <c r="H3476" s="2" t="s">
        <v>28</v>
      </c>
      <c r="I3476" s="2" t="s">
        <v>20</v>
      </c>
    </row>
    <row r="3477" spans="1:9" x14ac:dyDescent="0.35">
      <c r="A3477" s="2" t="s">
        <v>3520</v>
      </c>
      <c r="B3477" s="3">
        <v>44910</v>
      </c>
      <c r="C3477" s="2" t="s">
        <v>25</v>
      </c>
      <c r="D3477" s="2" t="s">
        <v>97</v>
      </c>
      <c r="E3477" s="2" t="s">
        <v>27</v>
      </c>
      <c r="F3477" s="2">
        <v>1927.73</v>
      </c>
      <c r="G3477" s="2">
        <v>335</v>
      </c>
      <c r="H3477" s="2" t="s">
        <v>13</v>
      </c>
      <c r="I3477" s="2" t="s">
        <v>34</v>
      </c>
    </row>
    <row r="3478" spans="1:9" x14ac:dyDescent="0.35">
      <c r="A3478" s="2" t="s">
        <v>3521</v>
      </c>
      <c r="B3478" s="3">
        <v>44635</v>
      </c>
      <c r="C3478" s="2" t="s">
        <v>10</v>
      </c>
      <c r="D3478" s="2" t="s">
        <v>50</v>
      </c>
      <c r="E3478" s="2" t="s">
        <v>12</v>
      </c>
      <c r="F3478" s="2">
        <v>1784.49</v>
      </c>
      <c r="G3478" s="2">
        <v>137.12</v>
      </c>
      <c r="H3478" s="2" t="s">
        <v>28</v>
      </c>
      <c r="I3478" s="2" t="s">
        <v>20</v>
      </c>
    </row>
    <row r="3479" spans="1:9" x14ac:dyDescent="0.35">
      <c r="A3479" s="2" t="s">
        <v>3522</v>
      </c>
      <c r="B3479" s="3">
        <v>44719</v>
      </c>
      <c r="C3479" s="2" t="s">
        <v>22</v>
      </c>
      <c r="D3479" s="2" t="s">
        <v>31</v>
      </c>
      <c r="E3479" s="2" t="s">
        <v>12</v>
      </c>
      <c r="F3479" s="2">
        <v>933.64</v>
      </c>
      <c r="G3479" s="2">
        <v>168.69</v>
      </c>
      <c r="H3479" s="2" t="s">
        <v>13</v>
      </c>
      <c r="I3479" s="2" t="s">
        <v>14</v>
      </c>
    </row>
    <row r="3480" spans="1:9" x14ac:dyDescent="0.35">
      <c r="A3480" s="2" t="s">
        <v>3523</v>
      </c>
      <c r="B3480" s="3">
        <v>44772</v>
      </c>
      <c r="C3480" s="2" t="s">
        <v>16</v>
      </c>
      <c r="D3480" s="2" t="s">
        <v>38</v>
      </c>
      <c r="E3480" s="2" t="s">
        <v>12</v>
      </c>
      <c r="F3480" s="2">
        <v>1448.84</v>
      </c>
      <c r="G3480" s="2">
        <v>408.35</v>
      </c>
      <c r="H3480" s="2" t="s">
        <v>13</v>
      </c>
      <c r="I3480" s="2" t="s">
        <v>14</v>
      </c>
    </row>
    <row r="3481" spans="1:9" x14ac:dyDescent="0.35">
      <c r="A3481" s="2" t="s">
        <v>3524</v>
      </c>
      <c r="B3481" s="3">
        <v>45623</v>
      </c>
      <c r="C3481" s="2" t="s">
        <v>22</v>
      </c>
      <c r="D3481" s="2" t="s">
        <v>38</v>
      </c>
      <c r="E3481" s="2" t="s">
        <v>12</v>
      </c>
      <c r="F3481" s="2">
        <v>1843.95</v>
      </c>
      <c r="G3481" s="2">
        <v>112.4</v>
      </c>
      <c r="H3481" s="2" t="s">
        <v>19</v>
      </c>
      <c r="I3481" s="2" t="s">
        <v>34</v>
      </c>
    </row>
    <row r="3482" spans="1:9" x14ac:dyDescent="0.35">
      <c r="A3482" s="2" t="s">
        <v>3525</v>
      </c>
      <c r="B3482" s="3">
        <v>44952</v>
      </c>
      <c r="C3482" s="2" t="s">
        <v>25</v>
      </c>
      <c r="D3482" s="2" t="s">
        <v>31</v>
      </c>
      <c r="E3482" s="2" t="s">
        <v>12</v>
      </c>
      <c r="F3482" s="2">
        <v>429.23</v>
      </c>
      <c r="G3482" s="2">
        <v>58.81</v>
      </c>
      <c r="H3482" s="2" t="s">
        <v>13</v>
      </c>
      <c r="I3482" s="2" t="s">
        <v>29</v>
      </c>
    </row>
    <row r="3483" spans="1:9" x14ac:dyDescent="0.35">
      <c r="A3483" s="2" t="s">
        <v>3526</v>
      </c>
      <c r="B3483" s="3">
        <v>45650</v>
      </c>
      <c r="C3483" s="2" t="s">
        <v>22</v>
      </c>
      <c r="D3483" s="2" t="s">
        <v>26</v>
      </c>
      <c r="E3483" s="2" t="s">
        <v>27</v>
      </c>
      <c r="F3483" s="2">
        <v>1696.93</v>
      </c>
      <c r="G3483" s="2">
        <v>479.12</v>
      </c>
      <c r="H3483" s="2" t="s">
        <v>13</v>
      </c>
      <c r="I3483" s="2" t="s">
        <v>20</v>
      </c>
    </row>
    <row r="3484" spans="1:9" x14ac:dyDescent="0.35">
      <c r="A3484" s="2" t="s">
        <v>3527</v>
      </c>
      <c r="B3484" s="3">
        <v>45125</v>
      </c>
      <c r="C3484" s="2" t="s">
        <v>25</v>
      </c>
      <c r="D3484" s="2" t="s">
        <v>95</v>
      </c>
      <c r="E3484" s="2" t="s">
        <v>18</v>
      </c>
      <c r="F3484" s="2">
        <v>888.12</v>
      </c>
      <c r="G3484" s="2">
        <v>261.92</v>
      </c>
      <c r="H3484" s="2" t="s">
        <v>28</v>
      </c>
      <c r="I3484" s="2" t="s">
        <v>34</v>
      </c>
    </row>
    <row r="3485" spans="1:9" x14ac:dyDescent="0.35">
      <c r="A3485" s="2" t="s">
        <v>3528</v>
      </c>
      <c r="B3485" s="3">
        <v>45370</v>
      </c>
      <c r="C3485" s="2" t="s">
        <v>16</v>
      </c>
      <c r="D3485" s="2" t="s">
        <v>57</v>
      </c>
      <c r="E3485" s="2" t="s">
        <v>27</v>
      </c>
      <c r="F3485" s="2">
        <v>241.97</v>
      </c>
      <c r="G3485" s="2">
        <v>59.58</v>
      </c>
      <c r="H3485" s="2" t="s">
        <v>19</v>
      </c>
      <c r="I3485" s="2" t="s">
        <v>14</v>
      </c>
    </row>
    <row r="3486" spans="1:9" x14ac:dyDescent="0.35">
      <c r="A3486" s="2" t="s">
        <v>3529</v>
      </c>
      <c r="B3486" s="3">
        <v>45217</v>
      </c>
      <c r="C3486" s="2" t="s">
        <v>10</v>
      </c>
      <c r="D3486" s="2" t="s">
        <v>97</v>
      </c>
      <c r="E3486" s="2" t="s">
        <v>27</v>
      </c>
      <c r="F3486" s="2">
        <v>83.9</v>
      </c>
      <c r="G3486" s="2">
        <v>9.9700000000000006</v>
      </c>
      <c r="H3486" s="2" t="s">
        <v>19</v>
      </c>
      <c r="I3486" s="2" t="s">
        <v>14</v>
      </c>
    </row>
    <row r="3487" spans="1:9" x14ac:dyDescent="0.35">
      <c r="A3487" s="2" t="s">
        <v>3530</v>
      </c>
      <c r="B3487" s="3">
        <v>45178</v>
      </c>
      <c r="C3487" s="2" t="s">
        <v>16</v>
      </c>
      <c r="D3487" s="2" t="s">
        <v>26</v>
      </c>
      <c r="E3487" s="2" t="s">
        <v>27</v>
      </c>
      <c r="F3487" s="2">
        <v>1431.49</v>
      </c>
      <c r="G3487" s="2">
        <v>427.2</v>
      </c>
      <c r="H3487" s="2" t="s">
        <v>28</v>
      </c>
      <c r="I3487" s="2" t="s">
        <v>20</v>
      </c>
    </row>
    <row r="3488" spans="1:9" x14ac:dyDescent="0.35">
      <c r="A3488" s="2" t="s">
        <v>3531</v>
      </c>
      <c r="B3488" s="3">
        <v>45431</v>
      </c>
      <c r="C3488" s="2" t="s">
        <v>10</v>
      </c>
      <c r="D3488" s="2" t="s">
        <v>23</v>
      </c>
      <c r="E3488" s="2" t="s">
        <v>18</v>
      </c>
      <c r="F3488" s="2">
        <v>484.8</v>
      </c>
      <c r="G3488" s="2">
        <v>37.299999999999997</v>
      </c>
      <c r="H3488" s="2" t="s">
        <v>28</v>
      </c>
      <c r="I3488" s="2" t="s">
        <v>34</v>
      </c>
    </row>
    <row r="3489" spans="1:9" x14ac:dyDescent="0.35">
      <c r="A3489" s="2" t="s">
        <v>3532</v>
      </c>
      <c r="B3489" s="3">
        <v>44751</v>
      </c>
      <c r="C3489" s="2" t="s">
        <v>25</v>
      </c>
      <c r="D3489" s="2" t="s">
        <v>26</v>
      </c>
      <c r="E3489" s="2" t="s">
        <v>27</v>
      </c>
      <c r="F3489" s="2">
        <v>611.54999999999995</v>
      </c>
      <c r="G3489" s="2">
        <v>64.52</v>
      </c>
      <c r="H3489" s="2" t="s">
        <v>13</v>
      </c>
      <c r="I3489" s="2" t="s">
        <v>14</v>
      </c>
    </row>
    <row r="3490" spans="1:9" x14ac:dyDescent="0.35">
      <c r="A3490" s="2" t="s">
        <v>3533</v>
      </c>
      <c r="B3490" s="3">
        <v>44610</v>
      </c>
      <c r="C3490" s="2" t="s">
        <v>10</v>
      </c>
      <c r="D3490" s="2" t="s">
        <v>17</v>
      </c>
      <c r="E3490" s="2" t="s">
        <v>18</v>
      </c>
      <c r="F3490" s="2">
        <v>1248.73</v>
      </c>
      <c r="G3490" s="2">
        <v>106.69</v>
      </c>
      <c r="H3490" s="2" t="s">
        <v>28</v>
      </c>
      <c r="I3490" s="2" t="s">
        <v>20</v>
      </c>
    </row>
    <row r="3491" spans="1:9" x14ac:dyDescent="0.35">
      <c r="A3491" s="2" t="s">
        <v>3534</v>
      </c>
      <c r="B3491" s="3">
        <v>45644</v>
      </c>
      <c r="C3491" s="2" t="s">
        <v>10</v>
      </c>
      <c r="D3491" s="2" t="s">
        <v>73</v>
      </c>
      <c r="E3491" s="2" t="s">
        <v>27</v>
      </c>
      <c r="F3491" s="2">
        <v>1721.39</v>
      </c>
      <c r="G3491" s="2">
        <v>111.99</v>
      </c>
      <c r="H3491" s="2" t="s">
        <v>28</v>
      </c>
      <c r="I3491" s="2" t="s">
        <v>34</v>
      </c>
    </row>
    <row r="3492" spans="1:9" x14ac:dyDescent="0.35">
      <c r="A3492" s="2" t="s">
        <v>3535</v>
      </c>
      <c r="B3492" s="3">
        <v>45136</v>
      </c>
      <c r="C3492" s="2" t="s">
        <v>10</v>
      </c>
      <c r="D3492" s="2" t="s">
        <v>46</v>
      </c>
      <c r="E3492" s="2" t="s">
        <v>18</v>
      </c>
      <c r="F3492" s="2">
        <v>1216.71</v>
      </c>
      <c r="G3492" s="2">
        <v>298.11</v>
      </c>
      <c r="H3492" s="2" t="s">
        <v>28</v>
      </c>
      <c r="I3492" s="2" t="s">
        <v>29</v>
      </c>
    </row>
    <row r="3493" spans="1:9" x14ac:dyDescent="0.35">
      <c r="A3493" s="2" t="s">
        <v>3536</v>
      </c>
      <c r="B3493" s="3">
        <v>45597</v>
      </c>
      <c r="C3493" s="2" t="s">
        <v>22</v>
      </c>
      <c r="D3493" s="2" t="s">
        <v>26</v>
      </c>
      <c r="E3493" s="2" t="s">
        <v>27</v>
      </c>
      <c r="F3493" s="2">
        <v>1906.22</v>
      </c>
      <c r="G3493" s="2">
        <v>161.43</v>
      </c>
      <c r="H3493" s="2" t="s">
        <v>28</v>
      </c>
      <c r="I3493" s="2" t="s">
        <v>20</v>
      </c>
    </row>
    <row r="3494" spans="1:9" x14ac:dyDescent="0.35">
      <c r="A3494" s="2" t="s">
        <v>3537</v>
      </c>
      <c r="B3494" s="3">
        <v>44583</v>
      </c>
      <c r="C3494" s="2" t="s">
        <v>22</v>
      </c>
      <c r="D3494" s="2" t="s">
        <v>11</v>
      </c>
      <c r="E3494" s="2" t="s">
        <v>12</v>
      </c>
      <c r="F3494" s="2">
        <v>402.6</v>
      </c>
      <c r="G3494" s="2">
        <v>91.11</v>
      </c>
      <c r="H3494" s="2" t="s">
        <v>28</v>
      </c>
      <c r="I3494" s="2" t="s">
        <v>14</v>
      </c>
    </row>
    <row r="3495" spans="1:9" x14ac:dyDescent="0.35">
      <c r="A3495" s="2" t="s">
        <v>3538</v>
      </c>
      <c r="B3495" s="3">
        <v>44936</v>
      </c>
      <c r="C3495" s="2" t="s">
        <v>22</v>
      </c>
      <c r="D3495" s="2" t="s">
        <v>46</v>
      </c>
      <c r="E3495" s="2" t="s">
        <v>18</v>
      </c>
      <c r="F3495" s="2">
        <v>827.9</v>
      </c>
      <c r="G3495" s="2">
        <v>233.36</v>
      </c>
      <c r="H3495" s="2" t="s">
        <v>19</v>
      </c>
      <c r="I3495" s="2" t="s">
        <v>14</v>
      </c>
    </row>
    <row r="3496" spans="1:9" x14ac:dyDescent="0.35">
      <c r="A3496" s="2" t="s">
        <v>3539</v>
      </c>
      <c r="B3496" s="3">
        <v>44697</v>
      </c>
      <c r="C3496" s="2" t="s">
        <v>22</v>
      </c>
      <c r="D3496" s="2" t="s">
        <v>62</v>
      </c>
      <c r="E3496" s="2" t="s">
        <v>27</v>
      </c>
      <c r="F3496" s="2">
        <v>683.98</v>
      </c>
      <c r="G3496" s="2">
        <v>122.26</v>
      </c>
      <c r="H3496" s="2" t="s">
        <v>28</v>
      </c>
      <c r="I3496" s="2" t="s">
        <v>29</v>
      </c>
    </row>
    <row r="3497" spans="1:9" x14ac:dyDescent="0.35">
      <c r="A3497" s="2" t="s">
        <v>3540</v>
      </c>
      <c r="B3497" s="3">
        <v>45590</v>
      </c>
      <c r="C3497" s="2" t="s">
        <v>25</v>
      </c>
      <c r="D3497" s="2" t="s">
        <v>73</v>
      </c>
      <c r="E3497" s="2" t="s">
        <v>27</v>
      </c>
      <c r="F3497" s="2">
        <v>1051.07</v>
      </c>
      <c r="G3497" s="2">
        <v>200.1</v>
      </c>
      <c r="H3497" s="2" t="s">
        <v>28</v>
      </c>
      <c r="I3497" s="2" t="s">
        <v>20</v>
      </c>
    </row>
    <row r="3498" spans="1:9" x14ac:dyDescent="0.35">
      <c r="A3498" s="2" t="s">
        <v>3541</v>
      </c>
      <c r="B3498" s="3">
        <v>45261</v>
      </c>
      <c r="C3498" s="2" t="s">
        <v>25</v>
      </c>
      <c r="D3498" s="2" t="s">
        <v>33</v>
      </c>
      <c r="E3498" s="2" t="s">
        <v>18</v>
      </c>
      <c r="F3498" s="2">
        <v>1554.14</v>
      </c>
      <c r="G3498" s="2">
        <v>423.64</v>
      </c>
      <c r="H3498" s="2" t="s">
        <v>19</v>
      </c>
      <c r="I3498" s="2" t="s">
        <v>20</v>
      </c>
    </row>
    <row r="3499" spans="1:9" x14ac:dyDescent="0.35">
      <c r="A3499" s="2" t="s">
        <v>3542</v>
      </c>
      <c r="B3499" s="3">
        <v>45198</v>
      </c>
      <c r="C3499" s="2" t="s">
        <v>22</v>
      </c>
      <c r="D3499" s="2" t="s">
        <v>17</v>
      </c>
      <c r="E3499" s="2" t="s">
        <v>18</v>
      </c>
      <c r="F3499" s="2">
        <v>1331.87</v>
      </c>
      <c r="G3499" s="2">
        <v>237.24</v>
      </c>
      <c r="H3499" s="2" t="s">
        <v>13</v>
      </c>
      <c r="I3499" s="2" t="s">
        <v>14</v>
      </c>
    </row>
    <row r="3500" spans="1:9" x14ac:dyDescent="0.35">
      <c r="A3500" s="2" t="s">
        <v>3543</v>
      </c>
      <c r="B3500" s="3">
        <v>44631</v>
      </c>
      <c r="C3500" s="2" t="s">
        <v>25</v>
      </c>
      <c r="D3500" s="2" t="s">
        <v>57</v>
      </c>
      <c r="E3500" s="2" t="s">
        <v>27</v>
      </c>
      <c r="F3500" s="2">
        <v>786.91</v>
      </c>
      <c r="G3500" s="2">
        <v>174.7</v>
      </c>
      <c r="H3500" s="2" t="s">
        <v>28</v>
      </c>
      <c r="I3500" s="2" t="s">
        <v>34</v>
      </c>
    </row>
    <row r="3501" spans="1:9" x14ac:dyDescent="0.35">
      <c r="A3501" s="2" t="s">
        <v>3544</v>
      </c>
      <c r="B3501" s="3">
        <v>45650</v>
      </c>
      <c r="C3501" s="2" t="s">
        <v>22</v>
      </c>
      <c r="D3501" s="2" t="s">
        <v>62</v>
      </c>
      <c r="E3501" s="2" t="s">
        <v>27</v>
      </c>
      <c r="F3501" s="2">
        <v>1266.8499999999999</v>
      </c>
      <c r="G3501" s="2">
        <v>94.69</v>
      </c>
      <c r="H3501" s="2" t="s">
        <v>28</v>
      </c>
      <c r="I3501" s="2" t="s">
        <v>34</v>
      </c>
    </row>
    <row r="3502" spans="1:9" x14ac:dyDescent="0.35">
      <c r="A3502" s="2" t="s">
        <v>3545</v>
      </c>
      <c r="B3502" s="3">
        <v>45134</v>
      </c>
      <c r="C3502" s="2" t="s">
        <v>16</v>
      </c>
      <c r="D3502" s="2" t="s">
        <v>41</v>
      </c>
      <c r="E3502" s="2" t="s">
        <v>12</v>
      </c>
      <c r="F3502" s="2">
        <v>98.37</v>
      </c>
      <c r="G3502" s="2">
        <v>27.56</v>
      </c>
      <c r="H3502" s="2" t="s">
        <v>13</v>
      </c>
      <c r="I3502" s="2" t="s">
        <v>29</v>
      </c>
    </row>
    <row r="3503" spans="1:9" x14ac:dyDescent="0.35">
      <c r="A3503" s="2" t="s">
        <v>3546</v>
      </c>
      <c r="B3503" s="3">
        <v>45483</v>
      </c>
      <c r="C3503" s="2" t="s">
        <v>22</v>
      </c>
      <c r="D3503" s="2" t="s">
        <v>17</v>
      </c>
      <c r="E3503" s="2" t="s">
        <v>18</v>
      </c>
      <c r="F3503" s="2">
        <v>427.32</v>
      </c>
      <c r="G3503" s="2">
        <v>28.84</v>
      </c>
      <c r="H3503" s="2" t="s">
        <v>28</v>
      </c>
      <c r="I3503" s="2" t="s">
        <v>20</v>
      </c>
    </row>
    <row r="3504" spans="1:9" x14ac:dyDescent="0.35">
      <c r="A3504" s="2" t="s">
        <v>3547</v>
      </c>
      <c r="B3504" s="3">
        <v>45103</v>
      </c>
      <c r="C3504" s="2" t="s">
        <v>25</v>
      </c>
      <c r="D3504" s="2" t="s">
        <v>62</v>
      </c>
      <c r="E3504" s="2" t="s">
        <v>27</v>
      </c>
      <c r="F3504" s="2">
        <v>1365.97</v>
      </c>
      <c r="G3504" s="2">
        <v>130.08000000000001</v>
      </c>
      <c r="H3504" s="2" t="s">
        <v>28</v>
      </c>
      <c r="I3504" s="2" t="s">
        <v>20</v>
      </c>
    </row>
    <row r="3505" spans="1:9" x14ac:dyDescent="0.35">
      <c r="A3505" s="2" t="s">
        <v>3548</v>
      </c>
      <c r="B3505" s="3">
        <v>44752</v>
      </c>
      <c r="C3505" s="2" t="s">
        <v>16</v>
      </c>
      <c r="D3505" s="2" t="s">
        <v>46</v>
      </c>
      <c r="E3505" s="2" t="s">
        <v>18</v>
      </c>
      <c r="F3505" s="2">
        <v>1785.19</v>
      </c>
      <c r="G3505" s="2">
        <v>198.87</v>
      </c>
      <c r="H3505" s="2" t="s">
        <v>28</v>
      </c>
      <c r="I3505" s="2" t="s">
        <v>20</v>
      </c>
    </row>
    <row r="3506" spans="1:9" x14ac:dyDescent="0.35">
      <c r="A3506" s="2" t="s">
        <v>3549</v>
      </c>
      <c r="B3506" s="3">
        <v>45351</v>
      </c>
      <c r="C3506" s="2" t="s">
        <v>22</v>
      </c>
      <c r="D3506" s="2" t="s">
        <v>62</v>
      </c>
      <c r="E3506" s="2" t="s">
        <v>27</v>
      </c>
      <c r="F3506" s="2">
        <v>457.04</v>
      </c>
      <c r="G3506" s="2">
        <v>88.63</v>
      </c>
      <c r="H3506" s="2" t="s">
        <v>28</v>
      </c>
      <c r="I3506" s="2" t="s">
        <v>34</v>
      </c>
    </row>
    <row r="3507" spans="1:9" x14ac:dyDescent="0.35">
      <c r="A3507" s="2" t="s">
        <v>3550</v>
      </c>
      <c r="B3507" s="3">
        <v>45210</v>
      </c>
      <c r="C3507" s="2" t="s">
        <v>25</v>
      </c>
      <c r="D3507" s="2" t="s">
        <v>41</v>
      </c>
      <c r="E3507" s="2" t="s">
        <v>12</v>
      </c>
      <c r="F3507" s="2">
        <v>295.85000000000002</v>
      </c>
      <c r="G3507" s="2">
        <v>18.3</v>
      </c>
      <c r="H3507" s="2" t="s">
        <v>28</v>
      </c>
      <c r="I3507" s="2" t="s">
        <v>34</v>
      </c>
    </row>
    <row r="3508" spans="1:9" x14ac:dyDescent="0.35">
      <c r="A3508" s="2" t="s">
        <v>3551</v>
      </c>
      <c r="B3508" s="3">
        <v>44938</v>
      </c>
      <c r="C3508" s="2" t="s">
        <v>25</v>
      </c>
      <c r="D3508" s="2" t="s">
        <v>62</v>
      </c>
      <c r="E3508" s="2" t="s">
        <v>27</v>
      </c>
      <c r="F3508" s="2">
        <v>634.39</v>
      </c>
      <c r="G3508" s="2">
        <v>113.13</v>
      </c>
      <c r="H3508" s="2" t="s">
        <v>28</v>
      </c>
      <c r="I3508" s="2" t="s">
        <v>14</v>
      </c>
    </row>
    <row r="3509" spans="1:9" x14ac:dyDescent="0.35">
      <c r="A3509" s="2" t="s">
        <v>3552</v>
      </c>
      <c r="B3509" s="3">
        <v>44976</v>
      </c>
      <c r="C3509" s="2" t="s">
        <v>22</v>
      </c>
      <c r="D3509" s="2" t="s">
        <v>73</v>
      </c>
      <c r="E3509" s="2" t="s">
        <v>27</v>
      </c>
      <c r="F3509" s="2">
        <v>1314.66</v>
      </c>
      <c r="G3509" s="2">
        <v>300.52999999999997</v>
      </c>
      <c r="H3509" s="2" t="s">
        <v>28</v>
      </c>
      <c r="I3509" s="2" t="s">
        <v>20</v>
      </c>
    </row>
    <row r="3510" spans="1:9" x14ac:dyDescent="0.35">
      <c r="A3510" s="2" t="s">
        <v>3553</v>
      </c>
      <c r="B3510" s="3">
        <v>45100</v>
      </c>
      <c r="C3510" s="2" t="s">
        <v>25</v>
      </c>
      <c r="D3510" s="2" t="s">
        <v>46</v>
      </c>
      <c r="E3510" s="2" t="s">
        <v>18</v>
      </c>
      <c r="F3510" s="2">
        <v>678.81</v>
      </c>
      <c r="G3510" s="2">
        <v>108.02</v>
      </c>
      <c r="H3510" s="2" t="s">
        <v>13</v>
      </c>
      <c r="I3510" s="2" t="s">
        <v>34</v>
      </c>
    </row>
    <row r="3511" spans="1:9" x14ac:dyDescent="0.35">
      <c r="A3511" s="2" t="s">
        <v>3554</v>
      </c>
      <c r="B3511" s="3">
        <v>45502</v>
      </c>
      <c r="C3511" s="2" t="s">
        <v>22</v>
      </c>
      <c r="D3511" s="2" t="s">
        <v>33</v>
      </c>
      <c r="E3511" s="2" t="s">
        <v>18</v>
      </c>
      <c r="F3511" s="2">
        <v>1926.58</v>
      </c>
      <c r="G3511" s="2">
        <v>233.97</v>
      </c>
      <c r="H3511" s="2" t="s">
        <v>28</v>
      </c>
      <c r="I3511" s="2" t="s">
        <v>14</v>
      </c>
    </row>
    <row r="3512" spans="1:9" x14ac:dyDescent="0.35">
      <c r="A3512" s="2" t="s">
        <v>3555</v>
      </c>
      <c r="B3512" s="3">
        <v>45571</v>
      </c>
      <c r="C3512" s="2" t="s">
        <v>16</v>
      </c>
      <c r="D3512" s="2" t="s">
        <v>97</v>
      </c>
      <c r="E3512" s="2" t="s">
        <v>27</v>
      </c>
      <c r="F3512" s="2">
        <v>652.70000000000005</v>
      </c>
      <c r="G3512" s="2">
        <v>169.78</v>
      </c>
      <c r="H3512" s="2" t="s">
        <v>13</v>
      </c>
      <c r="I3512" s="2" t="s">
        <v>14</v>
      </c>
    </row>
    <row r="3513" spans="1:9" x14ac:dyDescent="0.35">
      <c r="A3513" s="2" t="s">
        <v>3556</v>
      </c>
      <c r="B3513" s="3">
        <v>44971</v>
      </c>
      <c r="C3513" s="2" t="s">
        <v>25</v>
      </c>
      <c r="D3513" s="2" t="s">
        <v>11</v>
      </c>
      <c r="E3513" s="2" t="s">
        <v>12</v>
      </c>
      <c r="F3513" s="2">
        <v>1526.84</v>
      </c>
      <c r="G3513" s="2">
        <v>137.97999999999999</v>
      </c>
      <c r="H3513" s="2" t="s">
        <v>13</v>
      </c>
      <c r="I3513" s="2" t="s">
        <v>14</v>
      </c>
    </row>
    <row r="3514" spans="1:9" x14ac:dyDescent="0.35">
      <c r="A3514" s="2" t="s">
        <v>3557</v>
      </c>
      <c r="B3514" s="3">
        <v>44600</v>
      </c>
      <c r="C3514" s="2" t="s">
        <v>16</v>
      </c>
      <c r="D3514" s="2" t="s">
        <v>11</v>
      </c>
      <c r="E3514" s="2" t="s">
        <v>12</v>
      </c>
      <c r="F3514" s="2">
        <v>1984.24</v>
      </c>
      <c r="G3514" s="2">
        <v>128.44</v>
      </c>
      <c r="H3514" s="2" t="s">
        <v>13</v>
      </c>
      <c r="I3514" s="2" t="s">
        <v>20</v>
      </c>
    </row>
    <row r="3515" spans="1:9" x14ac:dyDescent="0.35">
      <c r="A3515" s="2" t="s">
        <v>3558</v>
      </c>
      <c r="B3515" s="3">
        <v>45507</v>
      </c>
      <c r="C3515" s="2" t="s">
        <v>10</v>
      </c>
      <c r="D3515" s="2" t="s">
        <v>46</v>
      </c>
      <c r="E3515" s="2" t="s">
        <v>18</v>
      </c>
      <c r="F3515" s="2">
        <v>260.3</v>
      </c>
      <c r="G3515" s="2">
        <v>58.57</v>
      </c>
      <c r="H3515" s="2" t="s">
        <v>19</v>
      </c>
      <c r="I3515" s="2" t="s">
        <v>14</v>
      </c>
    </row>
    <row r="3516" spans="1:9" x14ac:dyDescent="0.35">
      <c r="A3516" s="2" t="s">
        <v>3560</v>
      </c>
      <c r="B3516" s="3">
        <v>44683</v>
      </c>
      <c r="C3516" s="2" t="s">
        <v>25</v>
      </c>
      <c r="D3516" s="2" t="s">
        <v>38</v>
      </c>
      <c r="E3516" s="2" t="s">
        <v>12</v>
      </c>
      <c r="F3516" s="2">
        <v>97.63</v>
      </c>
      <c r="G3516" s="2">
        <v>11.32</v>
      </c>
      <c r="H3516" s="2" t="s">
        <v>19</v>
      </c>
      <c r="I3516" s="2" t="s">
        <v>20</v>
      </c>
    </row>
    <row r="3517" spans="1:9" x14ac:dyDescent="0.35">
      <c r="A3517" s="2" t="s">
        <v>3561</v>
      </c>
      <c r="B3517" s="3">
        <v>44827</v>
      </c>
      <c r="C3517" s="2" t="s">
        <v>22</v>
      </c>
      <c r="D3517" s="2" t="s">
        <v>17</v>
      </c>
      <c r="E3517" s="2" t="s">
        <v>18</v>
      </c>
      <c r="F3517" s="2">
        <v>822.91</v>
      </c>
      <c r="G3517" s="2">
        <v>122.15</v>
      </c>
      <c r="H3517" s="2" t="s">
        <v>19</v>
      </c>
      <c r="I3517" s="2" t="s">
        <v>14</v>
      </c>
    </row>
    <row r="3518" spans="1:9" x14ac:dyDescent="0.35">
      <c r="A3518" s="2" t="s">
        <v>3562</v>
      </c>
      <c r="B3518" s="3">
        <v>44817</v>
      </c>
      <c r="C3518" s="2" t="s">
        <v>22</v>
      </c>
      <c r="D3518" s="2" t="s">
        <v>38</v>
      </c>
      <c r="E3518" s="2" t="s">
        <v>12</v>
      </c>
      <c r="F3518" s="2">
        <v>1167.58</v>
      </c>
      <c r="G3518" s="2">
        <v>113.91</v>
      </c>
      <c r="H3518" s="2" t="s">
        <v>19</v>
      </c>
      <c r="I3518" s="2" t="s">
        <v>14</v>
      </c>
    </row>
    <row r="3519" spans="1:9" x14ac:dyDescent="0.35">
      <c r="A3519" s="2" t="s">
        <v>3563</v>
      </c>
      <c r="B3519" s="3">
        <v>44843</v>
      </c>
      <c r="C3519" s="2" t="s">
        <v>25</v>
      </c>
      <c r="D3519" s="2" t="s">
        <v>11</v>
      </c>
      <c r="E3519" s="2" t="s">
        <v>12</v>
      </c>
      <c r="F3519" s="2">
        <v>1577.03</v>
      </c>
      <c r="G3519" s="2">
        <v>197.03</v>
      </c>
      <c r="H3519" s="2" t="s">
        <v>19</v>
      </c>
      <c r="I3519" s="2" t="s">
        <v>14</v>
      </c>
    </row>
    <row r="3520" spans="1:9" x14ac:dyDescent="0.35">
      <c r="A3520" s="2" t="s">
        <v>3564</v>
      </c>
      <c r="B3520" s="3">
        <v>45500</v>
      </c>
      <c r="C3520" s="2" t="s">
        <v>10</v>
      </c>
      <c r="D3520" s="2" t="s">
        <v>26</v>
      </c>
      <c r="E3520" s="2" t="s">
        <v>27</v>
      </c>
      <c r="F3520" s="2">
        <v>201.72</v>
      </c>
      <c r="G3520" s="2">
        <v>42.83</v>
      </c>
      <c r="H3520" s="2" t="s">
        <v>28</v>
      </c>
      <c r="I3520" s="2" t="s">
        <v>29</v>
      </c>
    </row>
    <row r="3521" spans="1:9" x14ac:dyDescent="0.35">
      <c r="A3521" s="2" t="s">
        <v>3565</v>
      </c>
      <c r="B3521" s="3">
        <v>44736</v>
      </c>
      <c r="C3521" s="2" t="s">
        <v>10</v>
      </c>
      <c r="D3521" s="2" t="s">
        <v>31</v>
      </c>
      <c r="E3521" s="2" t="s">
        <v>12</v>
      </c>
      <c r="F3521" s="2">
        <v>1818.69</v>
      </c>
      <c r="G3521" s="2">
        <v>304.23</v>
      </c>
      <c r="H3521" s="2" t="s">
        <v>13</v>
      </c>
      <c r="I3521" s="2" t="s">
        <v>29</v>
      </c>
    </row>
    <row r="3522" spans="1:9" x14ac:dyDescent="0.35">
      <c r="A3522" s="2" t="s">
        <v>3566</v>
      </c>
      <c r="B3522" s="3">
        <v>45247</v>
      </c>
      <c r="C3522" s="2" t="s">
        <v>16</v>
      </c>
      <c r="D3522" s="2" t="s">
        <v>11</v>
      </c>
      <c r="E3522" s="2" t="s">
        <v>12</v>
      </c>
      <c r="F3522" s="2">
        <v>1385.16</v>
      </c>
      <c r="G3522" s="2">
        <v>168.47</v>
      </c>
      <c r="H3522" s="2" t="s">
        <v>13</v>
      </c>
      <c r="I3522" s="2" t="s">
        <v>14</v>
      </c>
    </row>
    <row r="3523" spans="1:9" x14ac:dyDescent="0.35">
      <c r="A3523" s="2" t="s">
        <v>3567</v>
      </c>
      <c r="B3523" s="3">
        <v>44830</v>
      </c>
      <c r="C3523" s="2" t="s">
        <v>25</v>
      </c>
      <c r="D3523" s="2" t="s">
        <v>57</v>
      </c>
      <c r="E3523" s="2" t="s">
        <v>27</v>
      </c>
      <c r="F3523" s="2">
        <v>1767.9</v>
      </c>
      <c r="G3523" s="2">
        <v>452.23</v>
      </c>
      <c r="H3523" s="2" t="s">
        <v>28</v>
      </c>
      <c r="I3523" s="2" t="s">
        <v>34</v>
      </c>
    </row>
    <row r="3524" spans="1:9" x14ac:dyDescent="0.35">
      <c r="A3524" s="2" t="s">
        <v>3568</v>
      </c>
      <c r="B3524" s="3">
        <v>45500</v>
      </c>
      <c r="C3524" s="2" t="s">
        <v>22</v>
      </c>
      <c r="D3524" s="2" t="s">
        <v>57</v>
      </c>
      <c r="E3524" s="2" t="s">
        <v>27</v>
      </c>
      <c r="F3524" s="2">
        <v>188.48</v>
      </c>
      <c r="G3524" s="2">
        <v>22.73</v>
      </c>
      <c r="H3524" s="2" t="s">
        <v>28</v>
      </c>
      <c r="I3524" s="2" t="s">
        <v>29</v>
      </c>
    </row>
    <row r="3525" spans="1:9" x14ac:dyDescent="0.35">
      <c r="A3525" s="2" t="s">
        <v>3569</v>
      </c>
      <c r="B3525" s="3">
        <v>45389</v>
      </c>
      <c r="C3525" s="2" t="s">
        <v>25</v>
      </c>
      <c r="D3525" s="2" t="s">
        <v>26</v>
      </c>
      <c r="E3525" s="2" t="s">
        <v>27</v>
      </c>
      <c r="F3525" s="2">
        <v>1249.52</v>
      </c>
      <c r="G3525" s="2">
        <v>256.55</v>
      </c>
      <c r="H3525" s="2" t="s">
        <v>13</v>
      </c>
      <c r="I3525" s="2" t="s">
        <v>29</v>
      </c>
    </row>
    <row r="3526" spans="1:9" x14ac:dyDescent="0.35">
      <c r="A3526" s="2" t="s">
        <v>3570</v>
      </c>
      <c r="B3526" s="3">
        <v>45379</v>
      </c>
      <c r="C3526" s="2" t="s">
        <v>16</v>
      </c>
      <c r="D3526" s="2" t="s">
        <v>41</v>
      </c>
      <c r="E3526" s="2" t="s">
        <v>12</v>
      </c>
      <c r="F3526" s="2">
        <v>807.19</v>
      </c>
      <c r="G3526" s="2">
        <v>144.82</v>
      </c>
      <c r="H3526" s="2" t="s">
        <v>19</v>
      </c>
      <c r="I3526" s="2" t="s">
        <v>29</v>
      </c>
    </row>
    <row r="3527" spans="1:9" x14ac:dyDescent="0.35">
      <c r="A3527" s="2" t="s">
        <v>3571</v>
      </c>
      <c r="B3527" s="3">
        <v>45516</v>
      </c>
      <c r="C3527" s="2" t="s">
        <v>10</v>
      </c>
      <c r="D3527" s="2" t="s">
        <v>17</v>
      </c>
      <c r="E3527" s="2" t="s">
        <v>18</v>
      </c>
      <c r="F3527" s="2">
        <v>736.97</v>
      </c>
      <c r="G3527" s="2">
        <v>185</v>
      </c>
      <c r="H3527" s="2" t="s">
        <v>19</v>
      </c>
      <c r="I3527" s="2" t="s">
        <v>29</v>
      </c>
    </row>
    <row r="3528" spans="1:9" x14ac:dyDescent="0.35">
      <c r="A3528" s="2" t="s">
        <v>3572</v>
      </c>
      <c r="B3528" s="3">
        <v>44985</v>
      </c>
      <c r="C3528" s="2" t="s">
        <v>10</v>
      </c>
      <c r="D3528" s="2" t="s">
        <v>97</v>
      </c>
      <c r="E3528" s="2" t="s">
        <v>27</v>
      </c>
      <c r="F3528" s="2">
        <v>1967.84</v>
      </c>
      <c r="G3528" s="2">
        <v>235.23</v>
      </c>
      <c r="H3528" s="2" t="s">
        <v>13</v>
      </c>
      <c r="I3528" s="2" t="s">
        <v>20</v>
      </c>
    </row>
    <row r="3529" spans="1:9" x14ac:dyDescent="0.35">
      <c r="A3529" s="2" t="s">
        <v>3573</v>
      </c>
      <c r="B3529" s="3">
        <v>44676</v>
      </c>
      <c r="C3529" s="2" t="s">
        <v>25</v>
      </c>
      <c r="D3529" s="2" t="s">
        <v>33</v>
      </c>
      <c r="E3529" s="2" t="s">
        <v>18</v>
      </c>
      <c r="F3529" s="2">
        <v>1106.78</v>
      </c>
      <c r="G3529" s="2">
        <v>121.99</v>
      </c>
      <c r="H3529" s="2" t="s">
        <v>13</v>
      </c>
      <c r="I3529" s="2" t="s">
        <v>14</v>
      </c>
    </row>
    <row r="3530" spans="1:9" x14ac:dyDescent="0.35">
      <c r="A3530" s="2" t="s">
        <v>3574</v>
      </c>
      <c r="B3530" s="3">
        <v>45417</v>
      </c>
      <c r="C3530" s="2" t="s">
        <v>10</v>
      </c>
      <c r="D3530" s="2" t="s">
        <v>57</v>
      </c>
      <c r="E3530" s="2" t="s">
        <v>27</v>
      </c>
      <c r="F3530" s="2">
        <v>482.09</v>
      </c>
      <c r="G3530" s="2">
        <v>105.62</v>
      </c>
      <c r="H3530" s="2" t="s">
        <v>13</v>
      </c>
      <c r="I3530" s="2" t="s">
        <v>34</v>
      </c>
    </row>
    <row r="3531" spans="1:9" x14ac:dyDescent="0.35">
      <c r="A3531" s="2" t="s">
        <v>3575</v>
      </c>
      <c r="B3531" s="3">
        <v>44690</v>
      </c>
      <c r="C3531" s="2" t="s">
        <v>22</v>
      </c>
      <c r="D3531" s="2" t="s">
        <v>17</v>
      </c>
      <c r="E3531" s="2" t="s">
        <v>18</v>
      </c>
      <c r="F3531" s="2">
        <v>1580.17</v>
      </c>
      <c r="G3531" s="2">
        <v>216.09</v>
      </c>
      <c r="H3531" s="2" t="s">
        <v>19</v>
      </c>
      <c r="I3531" s="2" t="s">
        <v>14</v>
      </c>
    </row>
    <row r="3532" spans="1:9" x14ac:dyDescent="0.35">
      <c r="A3532" s="2" t="s">
        <v>3576</v>
      </c>
      <c r="B3532" s="3">
        <v>45568</v>
      </c>
      <c r="C3532" s="2" t="s">
        <v>10</v>
      </c>
      <c r="D3532" s="2" t="s">
        <v>73</v>
      </c>
      <c r="E3532" s="2" t="s">
        <v>27</v>
      </c>
      <c r="F3532" s="2">
        <v>679.89</v>
      </c>
      <c r="G3532" s="2">
        <v>71.83</v>
      </c>
      <c r="H3532" s="2" t="s">
        <v>28</v>
      </c>
      <c r="I3532" s="2" t="s">
        <v>20</v>
      </c>
    </row>
    <row r="3533" spans="1:9" x14ac:dyDescent="0.35">
      <c r="A3533" s="2" t="s">
        <v>3577</v>
      </c>
      <c r="B3533" s="3">
        <v>45615</v>
      </c>
      <c r="C3533" s="2" t="s">
        <v>22</v>
      </c>
      <c r="D3533" s="2" t="s">
        <v>17</v>
      </c>
      <c r="E3533" s="2" t="s">
        <v>18</v>
      </c>
      <c r="F3533" s="2">
        <v>1236.49</v>
      </c>
      <c r="G3533" s="2">
        <v>252.81</v>
      </c>
      <c r="H3533" s="2" t="s">
        <v>19</v>
      </c>
      <c r="I3533" s="2" t="s">
        <v>29</v>
      </c>
    </row>
    <row r="3534" spans="1:9" x14ac:dyDescent="0.35">
      <c r="A3534" s="2" t="s">
        <v>3578</v>
      </c>
      <c r="B3534" s="3">
        <v>45268</v>
      </c>
      <c r="C3534" s="2" t="s">
        <v>22</v>
      </c>
      <c r="D3534" s="2" t="s">
        <v>41</v>
      </c>
      <c r="E3534" s="2" t="s">
        <v>12</v>
      </c>
      <c r="F3534" s="2">
        <v>995.11</v>
      </c>
      <c r="G3534" s="2">
        <v>275.76</v>
      </c>
      <c r="H3534" s="2" t="s">
        <v>13</v>
      </c>
      <c r="I3534" s="2" t="s">
        <v>29</v>
      </c>
    </row>
    <row r="3535" spans="1:9" x14ac:dyDescent="0.35">
      <c r="A3535" s="2" t="s">
        <v>3579</v>
      </c>
      <c r="B3535" s="3">
        <v>45053</v>
      </c>
      <c r="C3535" s="2" t="s">
        <v>22</v>
      </c>
      <c r="D3535" s="2" t="s">
        <v>11</v>
      </c>
      <c r="E3535" s="2" t="s">
        <v>12</v>
      </c>
      <c r="F3535" s="2">
        <v>1627.54</v>
      </c>
      <c r="G3535" s="2">
        <v>153.53</v>
      </c>
      <c r="H3535" s="2" t="s">
        <v>13</v>
      </c>
      <c r="I3535" s="2" t="s">
        <v>14</v>
      </c>
    </row>
    <row r="3536" spans="1:9" x14ac:dyDescent="0.35">
      <c r="A3536" s="2" t="s">
        <v>3580</v>
      </c>
      <c r="B3536" s="3">
        <v>45097</v>
      </c>
      <c r="C3536" s="2" t="s">
        <v>10</v>
      </c>
      <c r="D3536" s="2" t="s">
        <v>11</v>
      </c>
      <c r="E3536" s="2" t="s">
        <v>12</v>
      </c>
      <c r="F3536" s="2">
        <v>1500.78</v>
      </c>
      <c r="G3536" s="2">
        <v>367.04</v>
      </c>
      <c r="H3536" s="2" t="s">
        <v>13</v>
      </c>
      <c r="I3536" s="2" t="s">
        <v>14</v>
      </c>
    </row>
    <row r="3537" spans="1:9" x14ac:dyDescent="0.35">
      <c r="A3537" s="2" t="s">
        <v>3581</v>
      </c>
      <c r="B3537" s="3">
        <v>45274</v>
      </c>
      <c r="C3537" s="2" t="s">
        <v>22</v>
      </c>
      <c r="D3537" s="2" t="s">
        <v>11</v>
      </c>
      <c r="E3537" s="2" t="s">
        <v>12</v>
      </c>
      <c r="F3537" s="2">
        <v>1179.81</v>
      </c>
      <c r="G3537" s="2">
        <v>230.23</v>
      </c>
      <c r="H3537" s="2" t="s">
        <v>19</v>
      </c>
      <c r="I3537" s="2" t="s">
        <v>29</v>
      </c>
    </row>
    <row r="3538" spans="1:9" x14ac:dyDescent="0.35">
      <c r="A3538" s="2" t="s">
        <v>3582</v>
      </c>
      <c r="B3538" s="3">
        <v>44917</v>
      </c>
      <c r="C3538" s="2" t="s">
        <v>10</v>
      </c>
      <c r="D3538" s="2" t="s">
        <v>31</v>
      </c>
      <c r="E3538" s="2" t="s">
        <v>12</v>
      </c>
      <c r="F3538" s="2">
        <v>1684.3</v>
      </c>
      <c r="G3538" s="2">
        <v>228.61</v>
      </c>
      <c r="H3538" s="2" t="s">
        <v>28</v>
      </c>
      <c r="I3538" s="2" t="s">
        <v>34</v>
      </c>
    </row>
    <row r="3539" spans="1:9" x14ac:dyDescent="0.35">
      <c r="A3539" s="2" t="s">
        <v>3583</v>
      </c>
      <c r="B3539" s="3">
        <v>44732</v>
      </c>
      <c r="C3539" s="2" t="s">
        <v>25</v>
      </c>
      <c r="D3539" s="2" t="s">
        <v>73</v>
      </c>
      <c r="E3539" s="2" t="s">
        <v>27</v>
      </c>
      <c r="F3539" s="2">
        <v>347.58</v>
      </c>
      <c r="G3539" s="2">
        <v>21.56</v>
      </c>
      <c r="H3539" s="2" t="s">
        <v>19</v>
      </c>
      <c r="I3539" s="2" t="s">
        <v>29</v>
      </c>
    </row>
    <row r="3540" spans="1:9" x14ac:dyDescent="0.35">
      <c r="A3540" s="2" t="s">
        <v>3584</v>
      </c>
      <c r="B3540" s="3">
        <v>45185</v>
      </c>
      <c r="C3540" s="2" t="s">
        <v>25</v>
      </c>
      <c r="D3540" s="2" t="s">
        <v>11</v>
      </c>
      <c r="E3540" s="2" t="s">
        <v>12</v>
      </c>
      <c r="F3540" s="2">
        <v>1479.37</v>
      </c>
      <c r="G3540" s="2">
        <v>227.32</v>
      </c>
      <c r="H3540" s="2" t="s">
        <v>28</v>
      </c>
      <c r="I3540" s="2" t="s">
        <v>29</v>
      </c>
    </row>
    <row r="3541" spans="1:9" x14ac:dyDescent="0.35">
      <c r="A3541" s="2" t="s">
        <v>3585</v>
      </c>
      <c r="B3541" s="3">
        <v>44878</v>
      </c>
      <c r="C3541" s="2" t="s">
        <v>16</v>
      </c>
      <c r="D3541" s="2" t="s">
        <v>26</v>
      </c>
      <c r="E3541" s="2" t="s">
        <v>27</v>
      </c>
      <c r="F3541" s="2">
        <v>1342.04</v>
      </c>
      <c r="G3541" s="2">
        <v>320.22000000000003</v>
      </c>
      <c r="H3541" s="2" t="s">
        <v>19</v>
      </c>
      <c r="I3541" s="2" t="s">
        <v>20</v>
      </c>
    </row>
    <row r="3542" spans="1:9" x14ac:dyDescent="0.35">
      <c r="A3542" s="2" t="s">
        <v>3586</v>
      </c>
      <c r="B3542" s="3">
        <v>45437</v>
      </c>
      <c r="C3542" s="2" t="s">
        <v>25</v>
      </c>
      <c r="D3542" s="2" t="s">
        <v>26</v>
      </c>
      <c r="E3542" s="2" t="s">
        <v>27</v>
      </c>
      <c r="F3542" s="2">
        <v>312.45</v>
      </c>
      <c r="G3542" s="2">
        <v>28.14</v>
      </c>
      <c r="H3542" s="2" t="s">
        <v>28</v>
      </c>
      <c r="I3542" s="2" t="s">
        <v>14</v>
      </c>
    </row>
    <row r="3543" spans="1:9" x14ac:dyDescent="0.35">
      <c r="A3543" s="2" t="s">
        <v>3587</v>
      </c>
      <c r="B3543" s="3">
        <v>45157</v>
      </c>
      <c r="C3543" s="2" t="s">
        <v>16</v>
      </c>
      <c r="D3543" s="2" t="s">
        <v>11</v>
      </c>
      <c r="E3543" s="2" t="s">
        <v>12</v>
      </c>
      <c r="F3543" s="2">
        <v>446.77</v>
      </c>
      <c r="G3543" s="2">
        <v>28.17</v>
      </c>
      <c r="H3543" s="2" t="s">
        <v>13</v>
      </c>
      <c r="I3543" s="2" t="s">
        <v>34</v>
      </c>
    </row>
    <row r="3544" spans="1:9" x14ac:dyDescent="0.35">
      <c r="A3544" s="2" t="s">
        <v>3588</v>
      </c>
      <c r="B3544" s="3">
        <v>45500</v>
      </c>
      <c r="C3544" s="2" t="s">
        <v>22</v>
      </c>
      <c r="D3544" s="2" t="s">
        <v>97</v>
      </c>
      <c r="E3544" s="2" t="s">
        <v>27</v>
      </c>
      <c r="F3544" s="2">
        <v>576.70000000000005</v>
      </c>
      <c r="G3544" s="2">
        <v>141.05000000000001</v>
      </c>
      <c r="H3544" s="2" t="s">
        <v>13</v>
      </c>
      <c r="I3544" s="2" t="s">
        <v>29</v>
      </c>
    </row>
    <row r="3545" spans="1:9" x14ac:dyDescent="0.35">
      <c r="A3545" s="2" t="s">
        <v>3589</v>
      </c>
      <c r="B3545" s="3">
        <v>44785</v>
      </c>
      <c r="C3545" s="2" t="s">
        <v>22</v>
      </c>
      <c r="D3545" s="2" t="s">
        <v>31</v>
      </c>
      <c r="E3545" s="2" t="s">
        <v>12</v>
      </c>
      <c r="F3545" s="2">
        <v>336.86</v>
      </c>
      <c r="G3545" s="2">
        <v>45.75</v>
      </c>
      <c r="H3545" s="2" t="s">
        <v>28</v>
      </c>
      <c r="I3545" s="2" t="s">
        <v>20</v>
      </c>
    </row>
    <row r="3546" spans="1:9" x14ac:dyDescent="0.35">
      <c r="A3546" s="2" t="s">
        <v>3590</v>
      </c>
      <c r="B3546" s="3">
        <v>44636</v>
      </c>
      <c r="C3546" s="2" t="s">
        <v>10</v>
      </c>
      <c r="D3546" s="2" t="s">
        <v>46</v>
      </c>
      <c r="E3546" s="2" t="s">
        <v>18</v>
      </c>
      <c r="F3546" s="2">
        <v>1735.43</v>
      </c>
      <c r="G3546" s="2">
        <v>110.21</v>
      </c>
      <c r="H3546" s="2" t="s">
        <v>19</v>
      </c>
      <c r="I3546" s="2" t="s">
        <v>29</v>
      </c>
    </row>
    <row r="3547" spans="1:9" x14ac:dyDescent="0.35">
      <c r="A3547" s="2" t="s">
        <v>3591</v>
      </c>
      <c r="B3547" s="3">
        <v>45506</v>
      </c>
      <c r="C3547" s="2" t="s">
        <v>10</v>
      </c>
      <c r="D3547" s="2" t="s">
        <v>57</v>
      </c>
      <c r="E3547" s="2" t="s">
        <v>27</v>
      </c>
      <c r="F3547" s="2">
        <v>1245.56</v>
      </c>
      <c r="G3547" s="2">
        <v>275.70999999999998</v>
      </c>
      <c r="H3547" s="2" t="s">
        <v>19</v>
      </c>
      <c r="I3547" s="2" t="s">
        <v>14</v>
      </c>
    </row>
    <row r="3548" spans="1:9" x14ac:dyDescent="0.35">
      <c r="A3548" s="2" t="s">
        <v>3592</v>
      </c>
      <c r="B3548" s="3">
        <v>45051</v>
      </c>
      <c r="C3548" s="2" t="s">
        <v>16</v>
      </c>
      <c r="D3548" s="2" t="s">
        <v>23</v>
      </c>
      <c r="E3548" s="2" t="s">
        <v>18</v>
      </c>
      <c r="F3548" s="2">
        <v>544.77</v>
      </c>
      <c r="G3548" s="2">
        <v>32.79</v>
      </c>
      <c r="H3548" s="2" t="s">
        <v>28</v>
      </c>
      <c r="I3548" s="2" t="s">
        <v>20</v>
      </c>
    </row>
    <row r="3549" spans="1:9" x14ac:dyDescent="0.35">
      <c r="A3549" s="2" t="s">
        <v>3593</v>
      </c>
      <c r="B3549" s="3">
        <v>45185</v>
      </c>
      <c r="C3549" s="2" t="s">
        <v>25</v>
      </c>
      <c r="D3549" s="2" t="s">
        <v>73</v>
      </c>
      <c r="E3549" s="2" t="s">
        <v>27</v>
      </c>
      <c r="F3549" s="2">
        <v>1817.22</v>
      </c>
      <c r="G3549" s="2">
        <v>404.21</v>
      </c>
      <c r="H3549" s="2" t="s">
        <v>13</v>
      </c>
      <c r="I3549" s="2" t="s">
        <v>34</v>
      </c>
    </row>
    <row r="3550" spans="1:9" x14ac:dyDescent="0.35">
      <c r="A3550" s="2" t="s">
        <v>3594</v>
      </c>
      <c r="B3550" s="3">
        <v>44843</v>
      </c>
      <c r="C3550" s="2" t="s">
        <v>22</v>
      </c>
      <c r="D3550" s="2" t="s">
        <v>50</v>
      </c>
      <c r="E3550" s="2" t="s">
        <v>12</v>
      </c>
      <c r="F3550" s="2">
        <v>1603.87</v>
      </c>
      <c r="G3550" s="2">
        <v>144.08000000000001</v>
      </c>
      <c r="H3550" s="2" t="s">
        <v>13</v>
      </c>
      <c r="I3550" s="2" t="s">
        <v>14</v>
      </c>
    </row>
    <row r="3551" spans="1:9" x14ac:dyDescent="0.35">
      <c r="A3551" s="2" t="s">
        <v>3595</v>
      </c>
      <c r="B3551" s="3">
        <v>45336</v>
      </c>
      <c r="C3551" s="2" t="s">
        <v>25</v>
      </c>
      <c r="D3551" s="2" t="s">
        <v>41</v>
      </c>
      <c r="E3551" s="2" t="s">
        <v>12</v>
      </c>
      <c r="F3551" s="2">
        <v>214.43</v>
      </c>
      <c r="G3551" s="2">
        <v>20.02</v>
      </c>
      <c r="H3551" s="2" t="s">
        <v>28</v>
      </c>
      <c r="I3551" s="2" t="s">
        <v>20</v>
      </c>
    </row>
    <row r="3552" spans="1:9" x14ac:dyDescent="0.35">
      <c r="A3552" s="2" t="s">
        <v>3596</v>
      </c>
      <c r="B3552" s="3">
        <v>44921</v>
      </c>
      <c r="C3552" s="2" t="s">
        <v>25</v>
      </c>
      <c r="D3552" s="2" t="s">
        <v>38</v>
      </c>
      <c r="E3552" s="2" t="s">
        <v>12</v>
      </c>
      <c r="F3552" s="2">
        <v>376.93</v>
      </c>
      <c r="G3552" s="2">
        <v>65.319999999999993</v>
      </c>
      <c r="H3552" s="2" t="s">
        <v>28</v>
      </c>
      <c r="I3552" s="2" t="s">
        <v>34</v>
      </c>
    </row>
    <row r="3553" spans="1:9" x14ac:dyDescent="0.35">
      <c r="A3553" s="2" t="s">
        <v>3597</v>
      </c>
      <c r="B3553" s="3">
        <v>44779</v>
      </c>
      <c r="C3553" s="2" t="s">
        <v>10</v>
      </c>
      <c r="D3553" s="2" t="s">
        <v>26</v>
      </c>
      <c r="E3553" s="2" t="s">
        <v>27</v>
      </c>
      <c r="F3553" s="2">
        <v>1429.5</v>
      </c>
      <c r="G3553" s="2">
        <v>401.36</v>
      </c>
      <c r="H3553" s="2" t="s">
        <v>13</v>
      </c>
      <c r="I3553" s="2" t="s">
        <v>14</v>
      </c>
    </row>
    <row r="3554" spans="1:9" x14ac:dyDescent="0.35">
      <c r="A3554" s="2" t="s">
        <v>3598</v>
      </c>
      <c r="B3554" s="3">
        <v>45368</v>
      </c>
      <c r="C3554" s="2" t="s">
        <v>16</v>
      </c>
      <c r="D3554" s="2" t="s">
        <v>95</v>
      </c>
      <c r="E3554" s="2" t="s">
        <v>18</v>
      </c>
      <c r="F3554" s="2">
        <v>1543.52</v>
      </c>
      <c r="G3554" s="2">
        <v>411.39</v>
      </c>
      <c r="H3554" s="2" t="s">
        <v>19</v>
      </c>
      <c r="I3554" s="2" t="s">
        <v>14</v>
      </c>
    </row>
    <row r="3555" spans="1:9" x14ac:dyDescent="0.35">
      <c r="A3555" s="2" t="s">
        <v>3599</v>
      </c>
      <c r="B3555" s="3">
        <v>45578</v>
      </c>
      <c r="C3555" s="2" t="s">
        <v>22</v>
      </c>
      <c r="D3555" s="2" t="s">
        <v>41</v>
      </c>
      <c r="E3555" s="2" t="s">
        <v>12</v>
      </c>
      <c r="F3555" s="2">
        <v>1585.3</v>
      </c>
      <c r="G3555" s="2">
        <v>255.1</v>
      </c>
      <c r="H3555" s="2" t="s">
        <v>19</v>
      </c>
      <c r="I3555" s="2" t="s">
        <v>14</v>
      </c>
    </row>
    <row r="3556" spans="1:9" x14ac:dyDescent="0.35">
      <c r="A3556" s="2" t="s">
        <v>3600</v>
      </c>
      <c r="B3556" s="3">
        <v>45057</v>
      </c>
      <c r="C3556" s="2" t="s">
        <v>16</v>
      </c>
      <c r="D3556" s="2" t="s">
        <v>17</v>
      </c>
      <c r="E3556" s="2" t="s">
        <v>18</v>
      </c>
      <c r="F3556" s="2">
        <v>233.19</v>
      </c>
      <c r="G3556" s="2">
        <v>33.450000000000003</v>
      </c>
      <c r="H3556" s="2" t="s">
        <v>28</v>
      </c>
      <c r="I3556" s="2" t="s">
        <v>14</v>
      </c>
    </row>
    <row r="3557" spans="1:9" x14ac:dyDescent="0.35">
      <c r="A3557" s="2" t="s">
        <v>3601</v>
      </c>
      <c r="B3557" s="3">
        <v>45445</v>
      </c>
      <c r="C3557" s="2" t="s">
        <v>22</v>
      </c>
      <c r="D3557" s="2" t="s">
        <v>11</v>
      </c>
      <c r="E3557" s="2" t="s">
        <v>12</v>
      </c>
      <c r="F3557" s="2">
        <v>98.71</v>
      </c>
      <c r="G3557" s="2">
        <v>21.26</v>
      </c>
      <c r="H3557" s="2" t="s">
        <v>19</v>
      </c>
      <c r="I3557" s="2" t="s">
        <v>20</v>
      </c>
    </row>
    <row r="3558" spans="1:9" x14ac:dyDescent="0.35">
      <c r="A3558" s="2" t="s">
        <v>3602</v>
      </c>
      <c r="B3558" s="3">
        <v>45507</v>
      </c>
      <c r="C3558" s="2" t="s">
        <v>10</v>
      </c>
      <c r="D3558" s="2" t="s">
        <v>57</v>
      </c>
      <c r="E3558" s="2" t="s">
        <v>27</v>
      </c>
      <c r="F3558" s="2">
        <v>664.68</v>
      </c>
      <c r="G3558" s="2">
        <v>69.05</v>
      </c>
      <c r="H3558" s="2" t="s">
        <v>13</v>
      </c>
      <c r="I3558" s="2" t="s">
        <v>14</v>
      </c>
    </row>
    <row r="3559" spans="1:9" x14ac:dyDescent="0.35">
      <c r="A3559" s="2" t="s">
        <v>3603</v>
      </c>
      <c r="B3559" s="3">
        <v>45493</v>
      </c>
      <c r="C3559" s="2" t="s">
        <v>25</v>
      </c>
      <c r="D3559" s="2" t="s">
        <v>11</v>
      </c>
      <c r="E3559" s="2" t="s">
        <v>12</v>
      </c>
      <c r="F3559" s="2">
        <v>1478.17</v>
      </c>
      <c r="G3559" s="2">
        <v>94.63</v>
      </c>
      <c r="H3559" s="2" t="s">
        <v>19</v>
      </c>
      <c r="I3559" s="2" t="s">
        <v>20</v>
      </c>
    </row>
    <row r="3560" spans="1:9" x14ac:dyDescent="0.35">
      <c r="A3560" s="2" t="s">
        <v>3604</v>
      </c>
      <c r="B3560" s="3">
        <v>44640</v>
      </c>
      <c r="C3560" s="2" t="s">
        <v>16</v>
      </c>
      <c r="D3560" s="2" t="s">
        <v>73</v>
      </c>
      <c r="E3560" s="2" t="s">
        <v>27</v>
      </c>
      <c r="F3560" s="2">
        <v>1182.3499999999999</v>
      </c>
      <c r="G3560" s="2">
        <v>264.33999999999997</v>
      </c>
      <c r="H3560" s="2" t="s">
        <v>19</v>
      </c>
      <c r="I3560" s="2" t="s">
        <v>14</v>
      </c>
    </row>
    <row r="3561" spans="1:9" x14ac:dyDescent="0.35">
      <c r="A3561" s="2" t="s">
        <v>3605</v>
      </c>
      <c r="B3561" s="3">
        <v>44929</v>
      </c>
      <c r="C3561" s="2" t="s">
        <v>16</v>
      </c>
      <c r="D3561" s="2" t="s">
        <v>62</v>
      </c>
      <c r="E3561" s="2" t="s">
        <v>27</v>
      </c>
      <c r="F3561" s="2">
        <v>1402.44</v>
      </c>
      <c r="G3561" s="2">
        <v>92.5</v>
      </c>
      <c r="H3561" s="2" t="s">
        <v>13</v>
      </c>
      <c r="I3561" s="2" t="s">
        <v>20</v>
      </c>
    </row>
    <row r="3562" spans="1:9" x14ac:dyDescent="0.35">
      <c r="A3562" s="2" t="s">
        <v>3606</v>
      </c>
      <c r="B3562" s="3">
        <v>45496</v>
      </c>
      <c r="C3562" s="2" t="s">
        <v>25</v>
      </c>
      <c r="D3562" s="2" t="s">
        <v>95</v>
      </c>
      <c r="E3562" s="2" t="s">
        <v>18</v>
      </c>
      <c r="F3562" s="2">
        <v>640.49</v>
      </c>
      <c r="G3562" s="2">
        <v>189.83</v>
      </c>
      <c r="H3562" s="2" t="s">
        <v>13</v>
      </c>
      <c r="I3562" s="2" t="s">
        <v>20</v>
      </c>
    </row>
    <row r="3563" spans="1:9" x14ac:dyDescent="0.35">
      <c r="A3563" s="2" t="s">
        <v>3607</v>
      </c>
      <c r="B3563" s="3">
        <v>45597</v>
      </c>
      <c r="C3563" s="2" t="s">
        <v>10</v>
      </c>
      <c r="D3563" s="2" t="s">
        <v>23</v>
      </c>
      <c r="E3563" s="2" t="s">
        <v>18</v>
      </c>
      <c r="F3563" s="2">
        <v>485.39</v>
      </c>
      <c r="G3563" s="2">
        <v>71.44</v>
      </c>
      <c r="H3563" s="2" t="s">
        <v>28</v>
      </c>
      <c r="I3563" s="2" t="s">
        <v>34</v>
      </c>
    </row>
    <row r="3564" spans="1:9" x14ac:dyDescent="0.35">
      <c r="A3564" s="2" t="s">
        <v>3608</v>
      </c>
      <c r="B3564" s="3">
        <v>44773</v>
      </c>
      <c r="C3564" s="2" t="s">
        <v>25</v>
      </c>
      <c r="D3564" s="2" t="s">
        <v>57</v>
      </c>
      <c r="E3564" s="2" t="s">
        <v>27</v>
      </c>
      <c r="F3564" s="2">
        <v>257.42</v>
      </c>
      <c r="G3564" s="2">
        <v>48.32</v>
      </c>
      <c r="H3564" s="2" t="s">
        <v>19</v>
      </c>
      <c r="I3564" s="2" t="s">
        <v>20</v>
      </c>
    </row>
    <row r="3565" spans="1:9" x14ac:dyDescent="0.35">
      <c r="A3565" s="2" t="s">
        <v>3609</v>
      </c>
      <c r="B3565" s="3">
        <v>45020</v>
      </c>
      <c r="C3565" s="2" t="s">
        <v>10</v>
      </c>
      <c r="D3565" s="2" t="s">
        <v>95</v>
      </c>
      <c r="E3565" s="2" t="s">
        <v>18</v>
      </c>
      <c r="F3565" s="2">
        <v>1489.14</v>
      </c>
      <c r="G3565" s="2">
        <v>248.81</v>
      </c>
      <c r="H3565" s="2" t="s">
        <v>19</v>
      </c>
      <c r="I3565" s="2" t="s">
        <v>29</v>
      </c>
    </row>
    <row r="3566" spans="1:9" x14ac:dyDescent="0.35">
      <c r="A3566" s="2" t="s">
        <v>3610</v>
      </c>
      <c r="B3566" s="3">
        <v>45455</v>
      </c>
      <c r="C3566" s="2" t="s">
        <v>16</v>
      </c>
      <c r="D3566" s="2" t="s">
        <v>38</v>
      </c>
      <c r="E3566" s="2" t="s">
        <v>12</v>
      </c>
      <c r="F3566" s="2">
        <v>1572.75</v>
      </c>
      <c r="G3566" s="2">
        <v>224.82</v>
      </c>
      <c r="H3566" s="2" t="s">
        <v>28</v>
      </c>
      <c r="I3566" s="2" t="s">
        <v>14</v>
      </c>
    </row>
    <row r="3567" spans="1:9" x14ac:dyDescent="0.35">
      <c r="A3567" s="2" t="s">
        <v>3611</v>
      </c>
      <c r="B3567" s="3">
        <v>45257</v>
      </c>
      <c r="C3567" s="2" t="s">
        <v>22</v>
      </c>
      <c r="D3567" s="2" t="s">
        <v>26</v>
      </c>
      <c r="E3567" s="2" t="s">
        <v>27</v>
      </c>
      <c r="F3567" s="2">
        <v>1930.67</v>
      </c>
      <c r="G3567" s="2">
        <v>346.47</v>
      </c>
      <c r="H3567" s="2" t="s">
        <v>19</v>
      </c>
      <c r="I3567" s="2" t="s">
        <v>14</v>
      </c>
    </row>
    <row r="3568" spans="1:9" x14ac:dyDescent="0.35">
      <c r="A3568" s="2" t="s">
        <v>3612</v>
      </c>
      <c r="B3568" s="3">
        <v>45551</v>
      </c>
      <c r="C3568" s="2" t="s">
        <v>22</v>
      </c>
      <c r="D3568" s="2" t="s">
        <v>41</v>
      </c>
      <c r="E3568" s="2" t="s">
        <v>12</v>
      </c>
      <c r="F3568" s="2">
        <v>1380.09</v>
      </c>
      <c r="G3568" s="2">
        <v>289.76</v>
      </c>
      <c r="H3568" s="2" t="s">
        <v>13</v>
      </c>
      <c r="I3568" s="2" t="s">
        <v>14</v>
      </c>
    </row>
    <row r="3569" spans="1:9" x14ac:dyDescent="0.35">
      <c r="A3569" s="2" t="s">
        <v>3613</v>
      </c>
      <c r="B3569" s="3">
        <v>44717</v>
      </c>
      <c r="C3569" s="2" t="s">
        <v>22</v>
      </c>
      <c r="D3569" s="2" t="s">
        <v>46</v>
      </c>
      <c r="E3569" s="2" t="s">
        <v>18</v>
      </c>
      <c r="F3569" s="2">
        <v>658.92</v>
      </c>
      <c r="G3569" s="2">
        <v>51.89</v>
      </c>
      <c r="H3569" s="2" t="s">
        <v>13</v>
      </c>
      <c r="I3569" s="2" t="s">
        <v>20</v>
      </c>
    </row>
    <row r="3570" spans="1:9" x14ac:dyDescent="0.35">
      <c r="A3570" s="2" t="s">
        <v>3614</v>
      </c>
      <c r="B3570" s="3">
        <v>44762</v>
      </c>
      <c r="C3570" s="2" t="s">
        <v>25</v>
      </c>
      <c r="D3570" s="2" t="s">
        <v>31</v>
      </c>
      <c r="E3570" s="2" t="s">
        <v>12</v>
      </c>
      <c r="F3570" s="2">
        <v>240.05</v>
      </c>
      <c r="G3570" s="2">
        <v>43.47</v>
      </c>
      <c r="H3570" s="2" t="s">
        <v>13</v>
      </c>
      <c r="I3570" s="2" t="s">
        <v>29</v>
      </c>
    </row>
    <row r="3571" spans="1:9" x14ac:dyDescent="0.35">
      <c r="A3571" s="2" t="s">
        <v>3615</v>
      </c>
      <c r="B3571" s="3">
        <v>44605</v>
      </c>
      <c r="C3571" s="2" t="s">
        <v>22</v>
      </c>
      <c r="D3571" s="2" t="s">
        <v>23</v>
      </c>
      <c r="E3571" s="2" t="s">
        <v>18</v>
      </c>
      <c r="F3571" s="2">
        <v>1299.6500000000001</v>
      </c>
      <c r="G3571" s="2">
        <v>74.510000000000005</v>
      </c>
      <c r="H3571" s="2" t="s">
        <v>13</v>
      </c>
      <c r="I3571" s="2" t="s">
        <v>34</v>
      </c>
    </row>
    <row r="3572" spans="1:9" x14ac:dyDescent="0.35">
      <c r="A3572" s="2" t="s">
        <v>3616</v>
      </c>
      <c r="B3572" s="3">
        <v>44562</v>
      </c>
      <c r="C3572" s="2" t="s">
        <v>25</v>
      </c>
      <c r="D3572" s="2" t="s">
        <v>23</v>
      </c>
      <c r="E3572" s="2" t="s">
        <v>18</v>
      </c>
      <c r="F3572" s="2">
        <v>398.91</v>
      </c>
      <c r="G3572" s="2">
        <v>91.77</v>
      </c>
      <c r="H3572" s="2" t="s">
        <v>13</v>
      </c>
      <c r="I3572" s="2" t="s">
        <v>20</v>
      </c>
    </row>
    <row r="3573" spans="1:9" x14ac:dyDescent="0.35">
      <c r="A3573" s="2" t="s">
        <v>3617</v>
      </c>
      <c r="B3573" s="3">
        <v>45253</v>
      </c>
      <c r="C3573" s="2" t="s">
        <v>10</v>
      </c>
      <c r="D3573" s="2" t="s">
        <v>57</v>
      </c>
      <c r="E3573" s="2" t="s">
        <v>27</v>
      </c>
      <c r="F3573" s="2">
        <v>1136.32</v>
      </c>
      <c r="G3573" s="2">
        <v>143.84</v>
      </c>
      <c r="H3573" s="2" t="s">
        <v>19</v>
      </c>
      <c r="I3573" s="2" t="s">
        <v>29</v>
      </c>
    </row>
    <row r="3574" spans="1:9" x14ac:dyDescent="0.35">
      <c r="A3574" s="2" t="s">
        <v>3618</v>
      </c>
      <c r="B3574" s="3">
        <v>45336</v>
      </c>
      <c r="C3574" s="2" t="s">
        <v>16</v>
      </c>
      <c r="D3574" s="2" t="s">
        <v>50</v>
      </c>
      <c r="E3574" s="2" t="s">
        <v>12</v>
      </c>
      <c r="F3574" s="2">
        <v>1142.21</v>
      </c>
      <c r="G3574" s="2">
        <v>121.74</v>
      </c>
      <c r="H3574" s="2" t="s">
        <v>19</v>
      </c>
      <c r="I3574" s="2" t="s">
        <v>34</v>
      </c>
    </row>
    <row r="3575" spans="1:9" x14ac:dyDescent="0.35">
      <c r="A3575" s="2" t="s">
        <v>3619</v>
      </c>
      <c r="B3575" s="3">
        <v>45389</v>
      </c>
      <c r="C3575" s="2" t="s">
        <v>25</v>
      </c>
      <c r="D3575" s="2" t="s">
        <v>46</v>
      </c>
      <c r="E3575" s="2" t="s">
        <v>18</v>
      </c>
      <c r="F3575" s="2">
        <v>704.6</v>
      </c>
      <c r="G3575" s="2">
        <v>140.99</v>
      </c>
      <c r="H3575" s="2" t="s">
        <v>13</v>
      </c>
      <c r="I3575" s="2" t="s">
        <v>34</v>
      </c>
    </row>
    <row r="3576" spans="1:9" x14ac:dyDescent="0.35">
      <c r="A3576" s="2" t="s">
        <v>3620</v>
      </c>
      <c r="B3576" s="3">
        <v>45115</v>
      </c>
      <c r="C3576" s="2" t="s">
        <v>25</v>
      </c>
      <c r="D3576" s="2" t="s">
        <v>62</v>
      </c>
      <c r="E3576" s="2" t="s">
        <v>27</v>
      </c>
      <c r="F3576" s="2">
        <v>1884.42</v>
      </c>
      <c r="G3576" s="2">
        <v>506.16</v>
      </c>
      <c r="H3576" s="2" t="s">
        <v>19</v>
      </c>
      <c r="I3576" s="2" t="s">
        <v>14</v>
      </c>
    </row>
    <row r="3577" spans="1:9" x14ac:dyDescent="0.35">
      <c r="A3577" s="2" t="s">
        <v>3621</v>
      </c>
      <c r="B3577" s="3">
        <v>45396</v>
      </c>
      <c r="C3577" s="2" t="s">
        <v>10</v>
      </c>
      <c r="D3577" s="2" t="s">
        <v>73</v>
      </c>
      <c r="E3577" s="2" t="s">
        <v>27</v>
      </c>
      <c r="F3577" s="2">
        <v>1085.76</v>
      </c>
      <c r="G3577" s="2">
        <v>223.76</v>
      </c>
      <c r="H3577" s="2" t="s">
        <v>28</v>
      </c>
      <c r="I3577" s="2" t="s">
        <v>34</v>
      </c>
    </row>
    <row r="3578" spans="1:9" x14ac:dyDescent="0.35">
      <c r="A3578" s="2" t="s">
        <v>3622</v>
      </c>
      <c r="B3578" s="3">
        <v>44660</v>
      </c>
      <c r="C3578" s="2" t="s">
        <v>10</v>
      </c>
      <c r="D3578" s="2" t="s">
        <v>23</v>
      </c>
      <c r="E3578" s="2" t="s">
        <v>18</v>
      </c>
      <c r="F3578" s="2">
        <v>850.33</v>
      </c>
      <c r="G3578" s="2">
        <v>94.76</v>
      </c>
      <c r="H3578" s="2" t="s">
        <v>13</v>
      </c>
      <c r="I3578" s="2" t="s">
        <v>29</v>
      </c>
    </row>
    <row r="3579" spans="1:9" x14ac:dyDescent="0.35">
      <c r="A3579" s="2" t="s">
        <v>3623</v>
      </c>
      <c r="B3579" s="3">
        <v>45447</v>
      </c>
      <c r="C3579" s="2" t="s">
        <v>25</v>
      </c>
      <c r="D3579" s="2" t="s">
        <v>17</v>
      </c>
      <c r="E3579" s="2" t="s">
        <v>18</v>
      </c>
      <c r="F3579" s="2">
        <v>1666.17</v>
      </c>
      <c r="G3579" s="2">
        <v>103.31</v>
      </c>
      <c r="H3579" s="2" t="s">
        <v>19</v>
      </c>
      <c r="I3579" s="2" t="s">
        <v>29</v>
      </c>
    </row>
    <row r="3580" spans="1:9" x14ac:dyDescent="0.35">
      <c r="A3580" s="2" t="s">
        <v>3624</v>
      </c>
      <c r="B3580" s="3">
        <v>45332</v>
      </c>
      <c r="C3580" s="2" t="s">
        <v>16</v>
      </c>
      <c r="D3580" s="2" t="s">
        <v>73</v>
      </c>
      <c r="E3580" s="2" t="s">
        <v>27</v>
      </c>
      <c r="F3580" s="2">
        <v>1924.91</v>
      </c>
      <c r="G3580" s="2">
        <v>150.63</v>
      </c>
      <c r="H3580" s="2" t="s">
        <v>13</v>
      </c>
      <c r="I3580" s="2" t="s">
        <v>20</v>
      </c>
    </row>
    <row r="3581" spans="1:9" x14ac:dyDescent="0.35">
      <c r="A3581" s="2" t="s">
        <v>3625</v>
      </c>
      <c r="B3581" s="3">
        <v>45238</v>
      </c>
      <c r="C3581" s="2" t="s">
        <v>25</v>
      </c>
      <c r="D3581" s="2" t="s">
        <v>95</v>
      </c>
      <c r="E3581" s="2" t="s">
        <v>18</v>
      </c>
      <c r="F3581" s="2">
        <v>1744.45</v>
      </c>
      <c r="G3581" s="2">
        <v>412.31</v>
      </c>
      <c r="H3581" s="2" t="s">
        <v>28</v>
      </c>
      <c r="I3581" s="2" t="s">
        <v>29</v>
      </c>
    </row>
    <row r="3582" spans="1:9" x14ac:dyDescent="0.35">
      <c r="A3582" s="2" t="s">
        <v>3626</v>
      </c>
      <c r="B3582" s="3">
        <v>44872</v>
      </c>
      <c r="C3582" s="2" t="s">
        <v>10</v>
      </c>
      <c r="D3582" s="2" t="s">
        <v>11</v>
      </c>
      <c r="E3582" s="2" t="s">
        <v>12</v>
      </c>
      <c r="F3582" s="2">
        <v>1187.53</v>
      </c>
      <c r="G3582" s="2">
        <v>273.31</v>
      </c>
      <c r="H3582" s="2" t="s">
        <v>28</v>
      </c>
      <c r="I3582" s="2" t="s">
        <v>34</v>
      </c>
    </row>
    <row r="3583" spans="1:9" x14ac:dyDescent="0.35">
      <c r="A3583" s="2" t="s">
        <v>3627</v>
      </c>
      <c r="B3583" s="3">
        <v>44691</v>
      </c>
      <c r="C3583" s="2" t="s">
        <v>25</v>
      </c>
      <c r="D3583" s="2" t="s">
        <v>46</v>
      </c>
      <c r="E3583" s="2" t="s">
        <v>18</v>
      </c>
      <c r="F3583" s="2">
        <v>735.65</v>
      </c>
      <c r="G3583" s="2">
        <v>44.19</v>
      </c>
      <c r="H3583" s="2" t="s">
        <v>28</v>
      </c>
      <c r="I3583" s="2" t="s">
        <v>14</v>
      </c>
    </row>
    <row r="3584" spans="1:9" x14ac:dyDescent="0.35">
      <c r="A3584" s="2" t="s">
        <v>3628</v>
      </c>
      <c r="B3584" s="3">
        <v>45412</v>
      </c>
      <c r="C3584" s="2" t="s">
        <v>25</v>
      </c>
      <c r="D3584" s="2" t="s">
        <v>57</v>
      </c>
      <c r="E3584" s="2" t="s">
        <v>27</v>
      </c>
      <c r="F3584" s="2">
        <v>995.16</v>
      </c>
      <c r="G3584" s="2">
        <v>124.55</v>
      </c>
      <c r="H3584" s="2" t="s">
        <v>19</v>
      </c>
      <c r="I3584" s="2" t="s">
        <v>20</v>
      </c>
    </row>
    <row r="3585" spans="1:9" x14ac:dyDescent="0.35">
      <c r="A3585" s="2" t="s">
        <v>3629</v>
      </c>
      <c r="B3585" s="3">
        <v>45143</v>
      </c>
      <c r="C3585" s="2" t="s">
        <v>22</v>
      </c>
      <c r="D3585" s="2" t="s">
        <v>23</v>
      </c>
      <c r="E3585" s="2" t="s">
        <v>18</v>
      </c>
      <c r="F3585" s="2">
        <v>1993.32</v>
      </c>
      <c r="G3585" s="2">
        <v>216.02</v>
      </c>
      <c r="H3585" s="2" t="s">
        <v>19</v>
      </c>
      <c r="I3585" s="2" t="s">
        <v>14</v>
      </c>
    </row>
    <row r="3586" spans="1:9" x14ac:dyDescent="0.35">
      <c r="A3586" s="2" t="s">
        <v>3630</v>
      </c>
      <c r="B3586" s="3">
        <v>45110</v>
      </c>
      <c r="C3586" s="2" t="s">
        <v>16</v>
      </c>
      <c r="D3586" s="2" t="s">
        <v>97</v>
      </c>
      <c r="E3586" s="2" t="s">
        <v>27</v>
      </c>
      <c r="F3586" s="2">
        <v>1441.94</v>
      </c>
      <c r="G3586" s="2">
        <v>188.34</v>
      </c>
      <c r="H3586" s="2" t="s">
        <v>19</v>
      </c>
      <c r="I3586" s="2" t="s">
        <v>34</v>
      </c>
    </row>
    <row r="3587" spans="1:9" x14ac:dyDescent="0.35">
      <c r="A3587" s="2" t="s">
        <v>3631</v>
      </c>
      <c r="B3587" s="3">
        <v>45175</v>
      </c>
      <c r="C3587" s="2" t="s">
        <v>16</v>
      </c>
      <c r="D3587" s="2" t="s">
        <v>97</v>
      </c>
      <c r="E3587" s="2" t="s">
        <v>27</v>
      </c>
      <c r="F3587" s="2">
        <v>866.75</v>
      </c>
      <c r="G3587" s="2">
        <v>156.09</v>
      </c>
      <c r="H3587" s="2" t="s">
        <v>19</v>
      </c>
      <c r="I3587" s="2" t="s">
        <v>29</v>
      </c>
    </row>
    <row r="3588" spans="1:9" x14ac:dyDescent="0.35">
      <c r="A3588" s="2" t="s">
        <v>3632</v>
      </c>
      <c r="B3588" s="3">
        <v>45301</v>
      </c>
      <c r="C3588" s="2" t="s">
        <v>10</v>
      </c>
      <c r="D3588" s="2" t="s">
        <v>26</v>
      </c>
      <c r="E3588" s="2" t="s">
        <v>27</v>
      </c>
      <c r="F3588" s="2">
        <v>213.26</v>
      </c>
      <c r="G3588" s="2">
        <v>25.4</v>
      </c>
      <c r="H3588" s="2" t="s">
        <v>19</v>
      </c>
      <c r="I3588" s="2" t="s">
        <v>14</v>
      </c>
    </row>
    <row r="3589" spans="1:9" x14ac:dyDescent="0.35">
      <c r="A3589" s="2" t="s">
        <v>3633</v>
      </c>
      <c r="B3589" s="3">
        <v>44634</v>
      </c>
      <c r="C3589" s="2" t="s">
        <v>10</v>
      </c>
      <c r="D3589" s="2" t="s">
        <v>38</v>
      </c>
      <c r="E3589" s="2" t="s">
        <v>12</v>
      </c>
      <c r="F3589" s="2">
        <v>1324.82</v>
      </c>
      <c r="G3589" s="2">
        <v>310.7</v>
      </c>
      <c r="H3589" s="2" t="s">
        <v>28</v>
      </c>
      <c r="I3589" s="2" t="s">
        <v>20</v>
      </c>
    </row>
    <row r="3590" spans="1:9" x14ac:dyDescent="0.35">
      <c r="A3590" s="2" t="s">
        <v>3634</v>
      </c>
      <c r="B3590" s="3">
        <v>45618</v>
      </c>
      <c r="C3590" s="2" t="s">
        <v>25</v>
      </c>
      <c r="D3590" s="2" t="s">
        <v>38</v>
      </c>
      <c r="E3590" s="2" t="s">
        <v>12</v>
      </c>
      <c r="F3590" s="2">
        <v>1925.23</v>
      </c>
      <c r="G3590" s="2">
        <v>401.8</v>
      </c>
      <c r="H3590" s="2" t="s">
        <v>28</v>
      </c>
      <c r="I3590" s="2" t="s">
        <v>29</v>
      </c>
    </row>
    <row r="3591" spans="1:9" x14ac:dyDescent="0.35">
      <c r="A3591" s="2" t="s">
        <v>3635</v>
      </c>
      <c r="B3591" s="3">
        <v>44603</v>
      </c>
      <c r="C3591" s="2" t="s">
        <v>16</v>
      </c>
      <c r="D3591" s="2" t="s">
        <v>26</v>
      </c>
      <c r="E3591" s="2" t="s">
        <v>27</v>
      </c>
      <c r="F3591" s="2">
        <v>895.68</v>
      </c>
      <c r="G3591" s="2">
        <v>71.459999999999994</v>
      </c>
      <c r="H3591" s="2" t="s">
        <v>19</v>
      </c>
      <c r="I3591" s="2" t="s">
        <v>20</v>
      </c>
    </row>
    <row r="3592" spans="1:9" x14ac:dyDescent="0.35">
      <c r="A3592" s="2" t="s">
        <v>3636</v>
      </c>
      <c r="B3592" s="3">
        <v>45384</v>
      </c>
      <c r="C3592" s="2" t="s">
        <v>16</v>
      </c>
      <c r="D3592" s="2" t="s">
        <v>97</v>
      </c>
      <c r="E3592" s="2" t="s">
        <v>27</v>
      </c>
      <c r="F3592" s="2">
        <v>941.36</v>
      </c>
      <c r="G3592" s="2">
        <v>253.23</v>
      </c>
      <c r="H3592" s="2" t="s">
        <v>28</v>
      </c>
      <c r="I3592" s="2" t="s">
        <v>14</v>
      </c>
    </row>
    <row r="3593" spans="1:9" x14ac:dyDescent="0.35">
      <c r="A3593" s="2" t="s">
        <v>3637</v>
      </c>
      <c r="B3593" s="3">
        <v>44810</v>
      </c>
      <c r="C3593" s="2" t="s">
        <v>10</v>
      </c>
      <c r="D3593" s="2" t="s">
        <v>97</v>
      </c>
      <c r="E3593" s="2" t="s">
        <v>27</v>
      </c>
      <c r="F3593" s="2">
        <v>928.98</v>
      </c>
      <c r="G3593" s="2">
        <v>48.35</v>
      </c>
      <c r="H3593" s="2" t="s">
        <v>28</v>
      </c>
      <c r="I3593" s="2" t="s">
        <v>29</v>
      </c>
    </row>
    <row r="3594" spans="1:9" x14ac:dyDescent="0.35">
      <c r="A3594" s="2" t="s">
        <v>3638</v>
      </c>
      <c r="B3594" s="3">
        <v>44790</v>
      </c>
      <c r="C3594" s="2" t="s">
        <v>10</v>
      </c>
      <c r="D3594" s="2" t="s">
        <v>23</v>
      </c>
      <c r="E3594" s="2" t="s">
        <v>18</v>
      </c>
      <c r="F3594" s="2">
        <v>297.76</v>
      </c>
      <c r="G3594" s="2">
        <v>46.41</v>
      </c>
      <c r="H3594" s="2" t="s">
        <v>28</v>
      </c>
      <c r="I3594" s="2" t="s">
        <v>14</v>
      </c>
    </row>
    <row r="3595" spans="1:9" x14ac:dyDescent="0.35">
      <c r="A3595" s="2" t="s">
        <v>3639</v>
      </c>
      <c r="B3595" s="3">
        <v>44720</v>
      </c>
      <c r="C3595" s="2" t="s">
        <v>16</v>
      </c>
      <c r="D3595" s="2" t="s">
        <v>73</v>
      </c>
      <c r="E3595" s="2" t="s">
        <v>27</v>
      </c>
      <c r="F3595" s="2">
        <v>1531.65</v>
      </c>
      <c r="G3595" s="2">
        <v>395.32</v>
      </c>
      <c r="H3595" s="2" t="s">
        <v>19</v>
      </c>
      <c r="I3595" s="2" t="s">
        <v>29</v>
      </c>
    </row>
    <row r="3596" spans="1:9" x14ac:dyDescent="0.35">
      <c r="A3596" s="2" t="s">
        <v>3640</v>
      </c>
      <c r="B3596" s="3">
        <v>44789</v>
      </c>
      <c r="C3596" s="2" t="s">
        <v>22</v>
      </c>
      <c r="D3596" s="2" t="s">
        <v>31</v>
      </c>
      <c r="E3596" s="2" t="s">
        <v>12</v>
      </c>
      <c r="F3596" s="2">
        <v>798.82</v>
      </c>
      <c r="G3596" s="2">
        <v>88.06</v>
      </c>
      <c r="H3596" s="2" t="s">
        <v>13</v>
      </c>
      <c r="I3596" s="2" t="s">
        <v>20</v>
      </c>
    </row>
    <row r="3597" spans="1:9" x14ac:dyDescent="0.35">
      <c r="A3597" s="2" t="s">
        <v>3641</v>
      </c>
      <c r="B3597" s="3">
        <v>44576</v>
      </c>
      <c r="C3597" s="2" t="s">
        <v>25</v>
      </c>
      <c r="D3597" s="2" t="s">
        <v>33</v>
      </c>
      <c r="E3597" s="2" t="s">
        <v>18</v>
      </c>
      <c r="F3597" s="2">
        <v>474.86</v>
      </c>
      <c r="G3597" s="2">
        <v>85.98</v>
      </c>
      <c r="H3597" s="2" t="s">
        <v>13</v>
      </c>
      <c r="I3597" s="2" t="s">
        <v>29</v>
      </c>
    </row>
    <row r="3598" spans="1:9" x14ac:dyDescent="0.35">
      <c r="A3598" s="2" t="s">
        <v>3642</v>
      </c>
      <c r="B3598" s="3">
        <v>45388</v>
      </c>
      <c r="C3598" s="2" t="s">
        <v>10</v>
      </c>
      <c r="D3598" s="2" t="s">
        <v>23</v>
      </c>
      <c r="E3598" s="2" t="s">
        <v>18</v>
      </c>
      <c r="F3598" s="2">
        <v>1702.25</v>
      </c>
      <c r="G3598" s="2">
        <v>309.89</v>
      </c>
      <c r="H3598" s="2" t="s">
        <v>19</v>
      </c>
      <c r="I3598" s="2" t="s">
        <v>20</v>
      </c>
    </row>
    <row r="3599" spans="1:9" x14ac:dyDescent="0.35">
      <c r="A3599" s="2" t="s">
        <v>3643</v>
      </c>
      <c r="B3599" s="3">
        <v>45447</v>
      </c>
      <c r="C3599" s="2" t="s">
        <v>10</v>
      </c>
      <c r="D3599" s="2" t="s">
        <v>97</v>
      </c>
      <c r="E3599" s="2" t="s">
        <v>27</v>
      </c>
      <c r="F3599" s="2">
        <v>1449.56</v>
      </c>
      <c r="G3599" s="2">
        <v>263.22000000000003</v>
      </c>
      <c r="H3599" s="2" t="s">
        <v>28</v>
      </c>
      <c r="I3599" s="2" t="s">
        <v>20</v>
      </c>
    </row>
    <row r="3600" spans="1:9" x14ac:dyDescent="0.35">
      <c r="A3600" s="2" t="s">
        <v>3644</v>
      </c>
      <c r="B3600" s="3">
        <v>44646</v>
      </c>
      <c r="C3600" s="2" t="s">
        <v>22</v>
      </c>
      <c r="D3600" s="2" t="s">
        <v>62</v>
      </c>
      <c r="E3600" s="2" t="s">
        <v>27</v>
      </c>
      <c r="F3600" s="2">
        <v>56.49</v>
      </c>
      <c r="G3600" s="2">
        <v>6.99</v>
      </c>
      <c r="H3600" s="2" t="s">
        <v>19</v>
      </c>
      <c r="I3600" s="2" t="s">
        <v>34</v>
      </c>
    </row>
    <row r="3601" spans="1:9" x14ac:dyDescent="0.35">
      <c r="A3601" s="2" t="s">
        <v>3645</v>
      </c>
      <c r="B3601" s="3">
        <v>45652</v>
      </c>
      <c r="C3601" s="2" t="s">
        <v>25</v>
      </c>
      <c r="D3601" s="2" t="s">
        <v>57</v>
      </c>
      <c r="E3601" s="2" t="s">
        <v>27</v>
      </c>
      <c r="F3601" s="2">
        <v>352.87</v>
      </c>
      <c r="G3601" s="2">
        <v>20.350000000000001</v>
      </c>
      <c r="H3601" s="2" t="s">
        <v>28</v>
      </c>
      <c r="I3601" s="2" t="s">
        <v>20</v>
      </c>
    </row>
    <row r="3602" spans="1:9" x14ac:dyDescent="0.35">
      <c r="A3602" s="2" t="s">
        <v>3646</v>
      </c>
      <c r="B3602" s="3">
        <v>45204</v>
      </c>
      <c r="C3602" s="2" t="s">
        <v>25</v>
      </c>
      <c r="D3602" s="2" t="s">
        <v>11</v>
      </c>
      <c r="E3602" s="2" t="s">
        <v>12</v>
      </c>
      <c r="F3602" s="2">
        <v>1178.51</v>
      </c>
      <c r="G3602" s="2">
        <v>180.99</v>
      </c>
      <c r="H3602" s="2" t="s">
        <v>19</v>
      </c>
      <c r="I3602" s="2" t="s">
        <v>34</v>
      </c>
    </row>
    <row r="3603" spans="1:9" x14ac:dyDescent="0.35">
      <c r="A3603" s="2" t="s">
        <v>3647</v>
      </c>
      <c r="B3603" s="3">
        <v>44879</v>
      </c>
      <c r="C3603" s="2" t="s">
        <v>22</v>
      </c>
      <c r="D3603" s="2" t="s">
        <v>31</v>
      </c>
      <c r="E3603" s="2" t="s">
        <v>12</v>
      </c>
      <c r="F3603" s="2">
        <v>265.95999999999998</v>
      </c>
      <c r="G3603" s="2">
        <v>40.36</v>
      </c>
      <c r="H3603" s="2" t="s">
        <v>28</v>
      </c>
      <c r="I3603" s="2" t="s">
        <v>14</v>
      </c>
    </row>
    <row r="3604" spans="1:9" x14ac:dyDescent="0.35">
      <c r="A3604" s="2" t="s">
        <v>3648</v>
      </c>
      <c r="B3604" s="3">
        <v>45219</v>
      </c>
      <c r="C3604" s="2" t="s">
        <v>22</v>
      </c>
      <c r="D3604" s="2" t="s">
        <v>41</v>
      </c>
      <c r="E3604" s="2" t="s">
        <v>12</v>
      </c>
      <c r="F3604" s="2">
        <v>300.07</v>
      </c>
      <c r="G3604" s="2">
        <v>58.19</v>
      </c>
      <c r="H3604" s="2" t="s">
        <v>13</v>
      </c>
      <c r="I3604" s="2" t="s">
        <v>14</v>
      </c>
    </row>
    <row r="3605" spans="1:9" x14ac:dyDescent="0.35">
      <c r="A3605" s="2" t="s">
        <v>3649</v>
      </c>
      <c r="B3605" s="3">
        <v>45453</v>
      </c>
      <c r="C3605" s="2" t="s">
        <v>25</v>
      </c>
      <c r="D3605" s="2" t="s">
        <v>23</v>
      </c>
      <c r="E3605" s="2" t="s">
        <v>18</v>
      </c>
      <c r="F3605" s="2">
        <v>199.18</v>
      </c>
      <c r="G3605" s="2">
        <v>50.36</v>
      </c>
      <c r="H3605" s="2" t="s">
        <v>19</v>
      </c>
      <c r="I3605" s="2" t="s">
        <v>29</v>
      </c>
    </row>
    <row r="3606" spans="1:9" x14ac:dyDescent="0.35">
      <c r="A3606" s="2" t="s">
        <v>3650</v>
      </c>
      <c r="B3606" s="3">
        <v>45192</v>
      </c>
      <c r="C3606" s="2" t="s">
        <v>22</v>
      </c>
      <c r="D3606" s="2" t="s">
        <v>50</v>
      </c>
      <c r="E3606" s="2" t="s">
        <v>12</v>
      </c>
      <c r="F3606" s="2">
        <v>1537.17</v>
      </c>
      <c r="G3606" s="2">
        <v>87.96</v>
      </c>
      <c r="H3606" s="2" t="s">
        <v>19</v>
      </c>
      <c r="I3606" s="2" t="s">
        <v>29</v>
      </c>
    </row>
    <row r="3607" spans="1:9" x14ac:dyDescent="0.35">
      <c r="A3607" s="2" t="s">
        <v>3651</v>
      </c>
      <c r="B3607" s="3">
        <v>44849</v>
      </c>
      <c r="C3607" s="2" t="s">
        <v>25</v>
      </c>
      <c r="D3607" s="2" t="s">
        <v>73</v>
      </c>
      <c r="E3607" s="2" t="s">
        <v>27</v>
      </c>
      <c r="F3607" s="2">
        <v>1034.77</v>
      </c>
      <c r="G3607" s="2">
        <v>251.13</v>
      </c>
      <c r="H3607" s="2" t="s">
        <v>28</v>
      </c>
      <c r="I3607" s="2" t="s">
        <v>14</v>
      </c>
    </row>
    <row r="3608" spans="1:9" x14ac:dyDescent="0.35">
      <c r="A3608" s="2" t="s">
        <v>3652</v>
      </c>
      <c r="B3608" s="3">
        <v>45377</v>
      </c>
      <c r="C3608" s="2" t="s">
        <v>22</v>
      </c>
      <c r="D3608" s="2" t="s">
        <v>62</v>
      </c>
      <c r="E3608" s="2" t="s">
        <v>27</v>
      </c>
      <c r="F3608" s="2">
        <v>175.52</v>
      </c>
      <c r="G3608" s="2">
        <v>38.29</v>
      </c>
      <c r="H3608" s="2" t="s">
        <v>28</v>
      </c>
      <c r="I3608" s="2" t="s">
        <v>34</v>
      </c>
    </row>
    <row r="3609" spans="1:9" x14ac:dyDescent="0.35">
      <c r="A3609" s="2" t="s">
        <v>3653</v>
      </c>
      <c r="B3609" s="3">
        <v>44591</v>
      </c>
      <c r="C3609" s="2" t="s">
        <v>25</v>
      </c>
      <c r="D3609" s="2" t="s">
        <v>97</v>
      </c>
      <c r="E3609" s="2" t="s">
        <v>27</v>
      </c>
      <c r="F3609" s="2">
        <v>784.01</v>
      </c>
      <c r="G3609" s="2">
        <v>107.93</v>
      </c>
      <c r="H3609" s="2" t="s">
        <v>19</v>
      </c>
      <c r="I3609" s="2" t="s">
        <v>20</v>
      </c>
    </row>
    <row r="3610" spans="1:9" x14ac:dyDescent="0.35">
      <c r="A3610" s="2" t="s">
        <v>3654</v>
      </c>
      <c r="B3610" s="3">
        <v>44862</v>
      </c>
      <c r="C3610" s="2" t="s">
        <v>25</v>
      </c>
      <c r="D3610" s="2" t="s">
        <v>57</v>
      </c>
      <c r="E3610" s="2" t="s">
        <v>27</v>
      </c>
      <c r="F3610" s="2">
        <v>1161.1199999999999</v>
      </c>
      <c r="G3610" s="2">
        <v>344.39</v>
      </c>
      <c r="H3610" s="2" t="s">
        <v>19</v>
      </c>
      <c r="I3610" s="2" t="s">
        <v>20</v>
      </c>
    </row>
    <row r="3611" spans="1:9" x14ac:dyDescent="0.35">
      <c r="A3611" s="2" t="s">
        <v>3655</v>
      </c>
      <c r="B3611" s="3">
        <v>44663</v>
      </c>
      <c r="C3611" s="2" t="s">
        <v>16</v>
      </c>
      <c r="D3611" s="2" t="s">
        <v>57</v>
      </c>
      <c r="E3611" s="2" t="s">
        <v>27</v>
      </c>
      <c r="F3611" s="2">
        <v>116.59</v>
      </c>
      <c r="G3611" s="2">
        <v>23.81</v>
      </c>
      <c r="H3611" s="2" t="s">
        <v>28</v>
      </c>
      <c r="I3611" s="2" t="s">
        <v>14</v>
      </c>
    </row>
    <row r="3612" spans="1:9" x14ac:dyDescent="0.35">
      <c r="A3612" s="2" t="s">
        <v>3656</v>
      </c>
      <c r="B3612" s="3">
        <v>45501</v>
      </c>
      <c r="C3612" s="2" t="s">
        <v>16</v>
      </c>
      <c r="D3612" s="2" t="s">
        <v>11</v>
      </c>
      <c r="E3612" s="2" t="s">
        <v>12</v>
      </c>
      <c r="F3612" s="2">
        <v>1720.86</v>
      </c>
      <c r="G3612" s="2">
        <v>206.79</v>
      </c>
      <c r="H3612" s="2" t="s">
        <v>19</v>
      </c>
      <c r="I3612" s="2" t="s">
        <v>34</v>
      </c>
    </row>
    <row r="3613" spans="1:9" x14ac:dyDescent="0.35">
      <c r="A3613" s="2" t="s">
        <v>3657</v>
      </c>
      <c r="B3613" s="3">
        <v>45148</v>
      </c>
      <c r="C3613" s="2" t="s">
        <v>16</v>
      </c>
      <c r="D3613" s="2" t="s">
        <v>33</v>
      </c>
      <c r="E3613" s="2" t="s">
        <v>18</v>
      </c>
      <c r="F3613" s="2">
        <v>1789.5</v>
      </c>
      <c r="G3613" s="2">
        <v>425.89</v>
      </c>
      <c r="H3613" s="2" t="s">
        <v>19</v>
      </c>
      <c r="I3613" s="2" t="s">
        <v>20</v>
      </c>
    </row>
    <row r="3614" spans="1:9" x14ac:dyDescent="0.35">
      <c r="A3614" s="2" t="s">
        <v>3658</v>
      </c>
      <c r="B3614" s="3">
        <v>45645</v>
      </c>
      <c r="C3614" s="2" t="s">
        <v>25</v>
      </c>
      <c r="D3614" s="2" t="s">
        <v>97</v>
      </c>
      <c r="E3614" s="2" t="s">
        <v>27</v>
      </c>
      <c r="F3614" s="2">
        <v>1061.69</v>
      </c>
      <c r="G3614" s="2">
        <v>141.22999999999999</v>
      </c>
      <c r="H3614" s="2" t="s">
        <v>19</v>
      </c>
      <c r="I3614" s="2" t="s">
        <v>29</v>
      </c>
    </row>
    <row r="3615" spans="1:9" x14ac:dyDescent="0.35">
      <c r="A3615" s="2" t="s">
        <v>3659</v>
      </c>
      <c r="B3615" s="3">
        <v>45647</v>
      </c>
      <c r="C3615" s="2" t="s">
        <v>22</v>
      </c>
      <c r="D3615" s="2" t="s">
        <v>38</v>
      </c>
      <c r="E3615" s="2" t="s">
        <v>12</v>
      </c>
      <c r="F3615" s="2">
        <v>1265.06</v>
      </c>
      <c r="G3615" s="2">
        <v>362.47</v>
      </c>
      <c r="H3615" s="2" t="s">
        <v>13</v>
      </c>
      <c r="I3615" s="2" t="s">
        <v>29</v>
      </c>
    </row>
    <row r="3616" spans="1:9" x14ac:dyDescent="0.35">
      <c r="A3616" s="2" t="s">
        <v>3660</v>
      </c>
      <c r="B3616" s="3">
        <v>45364</v>
      </c>
      <c r="C3616" s="2" t="s">
        <v>22</v>
      </c>
      <c r="D3616" s="2" t="s">
        <v>95</v>
      </c>
      <c r="E3616" s="2" t="s">
        <v>18</v>
      </c>
      <c r="F3616" s="2">
        <v>1905.5</v>
      </c>
      <c r="G3616" s="2">
        <v>104.31</v>
      </c>
      <c r="H3616" s="2" t="s">
        <v>19</v>
      </c>
      <c r="I3616" s="2" t="s">
        <v>34</v>
      </c>
    </row>
    <row r="3617" spans="1:9" x14ac:dyDescent="0.35">
      <c r="A3617" s="2" t="s">
        <v>3661</v>
      </c>
      <c r="B3617" s="3">
        <v>45593</v>
      </c>
      <c r="C3617" s="2" t="s">
        <v>25</v>
      </c>
      <c r="D3617" s="2" t="s">
        <v>41</v>
      </c>
      <c r="E3617" s="2" t="s">
        <v>12</v>
      </c>
      <c r="F3617" s="2">
        <v>1180.3399999999999</v>
      </c>
      <c r="G3617" s="2">
        <v>164.39</v>
      </c>
      <c r="H3617" s="2" t="s">
        <v>28</v>
      </c>
      <c r="I3617" s="2" t="s">
        <v>34</v>
      </c>
    </row>
    <row r="3618" spans="1:9" x14ac:dyDescent="0.35">
      <c r="A3618" s="2" t="s">
        <v>3662</v>
      </c>
      <c r="B3618" s="3">
        <v>44705</v>
      </c>
      <c r="C3618" s="2" t="s">
        <v>10</v>
      </c>
      <c r="D3618" s="2" t="s">
        <v>23</v>
      </c>
      <c r="E3618" s="2" t="s">
        <v>18</v>
      </c>
      <c r="F3618" s="2">
        <v>1062.4000000000001</v>
      </c>
      <c r="G3618" s="2">
        <v>230.82</v>
      </c>
      <c r="H3618" s="2" t="s">
        <v>13</v>
      </c>
      <c r="I3618" s="2" t="s">
        <v>14</v>
      </c>
    </row>
    <row r="3619" spans="1:9" x14ac:dyDescent="0.35">
      <c r="A3619" s="2" t="s">
        <v>3663</v>
      </c>
      <c r="B3619" s="3">
        <v>44786</v>
      </c>
      <c r="C3619" s="2" t="s">
        <v>22</v>
      </c>
      <c r="D3619" s="2" t="s">
        <v>73</v>
      </c>
      <c r="E3619" s="2" t="s">
        <v>27</v>
      </c>
      <c r="F3619" s="2">
        <v>1536.66</v>
      </c>
      <c r="G3619" s="2">
        <v>347.65</v>
      </c>
      <c r="H3619" s="2" t="s">
        <v>13</v>
      </c>
      <c r="I3619" s="2" t="s">
        <v>14</v>
      </c>
    </row>
    <row r="3620" spans="1:9" x14ac:dyDescent="0.35">
      <c r="A3620" s="2" t="s">
        <v>3664</v>
      </c>
      <c r="B3620" s="3">
        <v>45186</v>
      </c>
      <c r="C3620" s="2" t="s">
        <v>10</v>
      </c>
      <c r="D3620" s="2" t="s">
        <v>46</v>
      </c>
      <c r="E3620" s="2" t="s">
        <v>18</v>
      </c>
      <c r="F3620" s="2">
        <v>1137.3800000000001</v>
      </c>
      <c r="G3620" s="2">
        <v>246.23</v>
      </c>
      <c r="H3620" s="2" t="s">
        <v>19</v>
      </c>
      <c r="I3620" s="2" t="s">
        <v>34</v>
      </c>
    </row>
    <row r="3621" spans="1:9" x14ac:dyDescent="0.35">
      <c r="A3621" s="2" t="s">
        <v>3665</v>
      </c>
      <c r="B3621" s="3">
        <v>44607</v>
      </c>
      <c r="C3621" s="2" t="s">
        <v>10</v>
      </c>
      <c r="D3621" s="2" t="s">
        <v>17</v>
      </c>
      <c r="E3621" s="2" t="s">
        <v>18</v>
      </c>
      <c r="F3621" s="2">
        <v>1726.69</v>
      </c>
      <c r="G3621" s="2">
        <v>195.33</v>
      </c>
      <c r="H3621" s="2" t="s">
        <v>13</v>
      </c>
      <c r="I3621" s="2" t="s">
        <v>34</v>
      </c>
    </row>
    <row r="3622" spans="1:9" x14ac:dyDescent="0.35">
      <c r="A3622" s="2" t="s">
        <v>3666</v>
      </c>
      <c r="B3622" s="3">
        <v>45322</v>
      </c>
      <c r="C3622" s="2" t="s">
        <v>10</v>
      </c>
      <c r="D3622" s="2" t="s">
        <v>33</v>
      </c>
      <c r="E3622" s="2" t="s">
        <v>18</v>
      </c>
      <c r="F3622" s="2">
        <v>773.18</v>
      </c>
      <c r="G3622" s="2">
        <v>63.91</v>
      </c>
      <c r="H3622" s="2" t="s">
        <v>28</v>
      </c>
      <c r="I3622" s="2" t="s">
        <v>20</v>
      </c>
    </row>
    <row r="3623" spans="1:9" x14ac:dyDescent="0.35">
      <c r="A3623" s="2" t="s">
        <v>3667</v>
      </c>
      <c r="B3623" s="3">
        <v>44610</v>
      </c>
      <c r="C3623" s="2" t="s">
        <v>25</v>
      </c>
      <c r="D3623" s="2" t="s">
        <v>38</v>
      </c>
      <c r="E3623" s="2" t="s">
        <v>12</v>
      </c>
      <c r="F3623" s="2">
        <v>1248.73</v>
      </c>
      <c r="G3623" s="2">
        <v>332.79</v>
      </c>
      <c r="H3623" s="2" t="s">
        <v>13</v>
      </c>
      <c r="I3623" s="2" t="s">
        <v>34</v>
      </c>
    </row>
    <row r="3624" spans="1:9" x14ac:dyDescent="0.35">
      <c r="A3624" s="2" t="s">
        <v>3668</v>
      </c>
      <c r="B3624" s="3">
        <v>45576</v>
      </c>
      <c r="C3624" s="2" t="s">
        <v>22</v>
      </c>
      <c r="D3624" s="2" t="s">
        <v>62</v>
      </c>
      <c r="E3624" s="2" t="s">
        <v>27</v>
      </c>
      <c r="F3624" s="2">
        <v>601.70000000000005</v>
      </c>
      <c r="G3624" s="2">
        <v>180.36</v>
      </c>
      <c r="H3624" s="2" t="s">
        <v>28</v>
      </c>
      <c r="I3624" s="2" t="s">
        <v>14</v>
      </c>
    </row>
    <row r="3625" spans="1:9" x14ac:dyDescent="0.35">
      <c r="A3625" s="2" t="s">
        <v>3669</v>
      </c>
      <c r="B3625" s="3">
        <v>45279</v>
      </c>
      <c r="C3625" s="2" t="s">
        <v>16</v>
      </c>
      <c r="D3625" s="2" t="s">
        <v>33</v>
      </c>
      <c r="E3625" s="2" t="s">
        <v>18</v>
      </c>
      <c r="F3625" s="2">
        <v>232.87</v>
      </c>
      <c r="G3625" s="2">
        <v>13.47</v>
      </c>
      <c r="H3625" s="2" t="s">
        <v>28</v>
      </c>
      <c r="I3625" s="2" t="s">
        <v>14</v>
      </c>
    </row>
    <row r="3626" spans="1:9" x14ac:dyDescent="0.35">
      <c r="A3626" s="2" t="s">
        <v>3670</v>
      </c>
      <c r="B3626" s="3">
        <v>45171</v>
      </c>
      <c r="C3626" s="2" t="s">
        <v>25</v>
      </c>
      <c r="D3626" s="2" t="s">
        <v>57</v>
      </c>
      <c r="E3626" s="2" t="s">
        <v>27</v>
      </c>
      <c r="F3626" s="2">
        <v>1754.54</v>
      </c>
      <c r="G3626" s="2">
        <v>395.48</v>
      </c>
      <c r="H3626" s="2" t="s">
        <v>13</v>
      </c>
      <c r="I3626" s="2" t="s">
        <v>20</v>
      </c>
    </row>
    <row r="3627" spans="1:9" x14ac:dyDescent="0.35">
      <c r="A3627" s="2" t="s">
        <v>3671</v>
      </c>
      <c r="B3627" s="3">
        <v>45545</v>
      </c>
      <c r="C3627" s="2" t="s">
        <v>10</v>
      </c>
      <c r="D3627" s="2" t="s">
        <v>95</v>
      </c>
      <c r="E3627" s="2" t="s">
        <v>18</v>
      </c>
      <c r="F3627" s="2">
        <v>603.74</v>
      </c>
      <c r="G3627" s="2">
        <v>165.18</v>
      </c>
      <c r="H3627" s="2" t="s">
        <v>28</v>
      </c>
      <c r="I3627" s="2" t="s">
        <v>20</v>
      </c>
    </row>
    <row r="3628" spans="1:9" x14ac:dyDescent="0.35">
      <c r="A3628" s="2" t="s">
        <v>3672</v>
      </c>
      <c r="B3628" s="3">
        <v>45163</v>
      </c>
      <c r="C3628" s="2" t="s">
        <v>25</v>
      </c>
      <c r="D3628" s="2" t="s">
        <v>23</v>
      </c>
      <c r="E3628" s="2" t="s">
        <v>18</v>
      </c>
      <c r="F3628" s="2">
        <v>763.73</v>
      </c>
      <c r="G3628" s="2">
        <v>91.31</v>
      </c>
      <c r="H3628" s="2" t="s">
        <v>28</v>
      </c>
      <c r="I3628" s="2" t="s">
        <v>34</v>
      </c>
    </row>
    <row r="3629" spans="1:9" x14ac:dyDescent="0.35">
      <c r="A3629" s="2" t="s">
        <v>3673</v>
      </c>
      <c r="B3629" s="3">
        <v>45172</v>
      </c>
      <c r="C3629" s="2" t="s">
        <v>16</v>
      </c>
      <c r="D3629" s="2" t="s">
        <v>73</v>
      </c>
      <c r="E3629" s="2" t="s">
        <v>27</v>
      </c>
      <c r="F3629" s="2">
        <v>748.79</v>
      </c>
      <c r="G3629" s="2">
        <v>218.63</v>
      </c>
      <c r="H3629" s="2" t="s">
        <v>13</v>
      </c>
      <c r="I3629" s="2" t="s">
        <v>14</v>
      </c>
    </row>
    <row r="3630" spans="1:9" x14ac:dyDescent="0.35">
      <c r="A3630" s="2" t="s">
        <v>3674</v>
      </c>
      <c r="B3630" s="3">
        <v>45473</v>
      </c>
      <c r="C3630" s="2" t="s">
        <v>25</v>
      </c>
      <c r="D3630" s="2" t="s">
        <v>46</v>
      </c>
      <c r="E3630" s="2" t="s">
        <v>18</v>
      </c>
      <c r="F3630" s="2">
        <v>1897.36</v>
      </c>
      <c r="G3630" s="2">
        <v>209.08</v>
      </c>
      <c r="H3630" s="2" t="s">
        <v>28</v>
      </c>
      <c r="I3630" s="2" t="s">
        <v>20</v>
      </c>
    </row>
    <row r="3631" spans="1:9" x14ac:dyDescent="0.35">
      <c r="A3631" s="2" t="s">
        <v>3675</v>
      </c>
      <c r="B3631" s="3">
        <v>44813</v>
      </c>
      <c r="C3631" s="2" t="s">
        <v>16</v>
      </c>
      <c r="D3631" s="2" t="s">
        <v>57</v>
      </c>
      <c r="E3631" s="2" t="s">
        <v>27</v>
      </c>
      <c r="F3631" s="2">
        <v>112.8</v>
      </c>
      <c r="G3631" s="2">
        <v>15.41</v>
      </c>
      <c r="H3631" s="2" t="s">
        <v>13</v>
      </c>
      <c r="I3631" s="2" t="s">
        <v>14</v>
      </c>
    </row>
    <row r="3632" spans="1:9" x14ac:dyDescent="0.35">
      <c r="A3632" s="2" t="s">
        <v>3676</v>
      </c>
      <c r="B3632" s="3">
        <v>45136</v>
      </c>
      <c r="C3632" s="2" t="s">
        <v>10</v>
      </c>
      <c r="D3632" s="2" t="s">
        <v>97</v>
      </c>
      <c r="E3632" s="2" t="s">
        <v>27</v>
      </c>
      <c r="F3632" s="2">
        <v>328.05</v>
      </c>
      <c r="G3632" s="2">
        <v>33.79</v>
      </c>
      <c r="H3632" s="2" t="s">
        <v>13</v>
      </c>
      <c r="I3632" s="2" t="s">
        <v>29</v>
      </c>
    </row>
    <row r="3633" spans="1:9" x14ac:dyDescent="0.35">
      <c r="A3633" s="2" t="s">
        <v>3677</v>
      </c>
      <c r="B3633" s="3">
        <v>45064</v>
      </c>
      <c r="C3633" s="2" t="s">
        <v>16</v>
      </c>
      <c r="D3633" s="2" t="s">
        <v>26</v>
      </c>
      <c r="E3633" s="2" t="s">
        <v>27</v>
      </c>
      <c r="F3633" s="2">
        <v>1541.55</v>
      </c>
      <c r="G3633" s="2">
        <v>289.11</v>
      </c>
      <c r="H3633" s="2" t="s">
        <v>19</v>
      </c>
      <c r="I3633" s="2" t="s">
        <v>34</v>
      </c>
    </row>
    <row r="3634" spans="1:9" x14ac:dyDescent="0.35">
      <c r="A3634" s="2" t="s">
        <v>3678</v>
      </c>
      <c r="B3634" s="3">
        <v>45616</v>
      </c>
      <c r="C3634" s="2" t="s">
        <v>22</v>
      </c>
      <c r="D3634" s="2" t="s">
        <v>97</v>
      </c>
      <c r="E3634" s="2" t="s">
        <v>27</v>
      </c>
      <c r="F3634" s="2">
        <v>1465.48</v>
      </c>
      <c r="G3634" s="2">
        <v>416.79</v>
      </c>
      <c r="H3634" s="2" t="s">
        <v>13</v>
      </c>
      <c r="I3634" s="2" t="s">
        <v>29</v>
      </c>
    </row>
    <row r="3635" spans="1:9" x14ac:dyDescent="0.35">
      <c r="A3635" s="2" t="s">
        <v>3679</v>
      </c>
      <c r="B3635" s="3">
        <v>45157</v>
      </c>
      <c r="C3635" s="2" t="s">
        <v>10</v>
      </c>
      <c r="D3635" s="2" t="s">
        <v>73</v>
      </c>
      <c r="E3635" s="2" t="s">
        <v>27</v>
      </c>
      <c r="F3635" s="2">
        <v>1332.8</v>
      </c>
      <c r="G3635" s="2">
        <v>75.069999999999993</v>
      </c>
      <c r="H3635" s="2" t="s">
        <v>19</v>
      </c>
      <c r="I3635" s="2" t="s">
        <v>20</v>
      </c>
    </row>
    <row r="3636" spans="1:9" x14ac:dyDescent="0.35">
      <c r="A3636" s="2" t="s">
        <v>3680</v>
      </c>
      <c r="B3636" s="3">
        <v>45378</v>
      </c>
      <c r="C3636" s="2" t="s">
        <v>22</v>
      </c>
      <c r="D3636" s="2" t="s">
        <v>33</v>
      </c>
      <c r="E3636" s="2" t="s">
        <v>18</v>
      </c>
      <c r="F3636" s="2">
        <v>1618.88</v>
      </c>
      <c r="G3636" s="2">
        <v>195.82</v>
      </c>
      <c r="H3636" s="2" t="s">
        <v>28</v>
      </c>
      <c r="I3636" s="2" t="s">
        <v>20</v>
      </c>
    </row>
    <row r="3637" spans="1:9" x14ac:dyDescent="0.35">
      <c r="A3637" s="2" t="s">
        <v>3681</v>
      </c>
      <c r="B3637" s="3">
        <v>45614</v>
      </c>
      <c r="C3637" s="2" t="s">
        <v>25</v>
      </c>
      <c r="D3637" s="2" t="s">
        <v>95</v>
      </c>
      <c r="E3637" s="2" t="s">
        <v>18</v>
      </c>
      <c r="F3637" s="2">
        <v>287.27999999999997</v>
      </c>
      <c r="G3637" s="2">
        <v>53.99</v>
      </c>
      <c r="H3637" s="2" t="s">
        <v>28</v>
      </c>
      <c r="I3637" s="2" t="s">
        <v>14</v>
      </c>
    </row>
    <row r="3638" spans="1:9" x14ac:dyDescent="0.35">
      <c r="A3638" s="2" t="s">
        <v>3682</v>
      </c>
      <c r="B3638" s="3">
        <v>45535</v>
      </c>
      <c r="C3638" s="2" t="s">
        <v>16</v>
      </c>
      <c r="D3638" s="2" t="s">
        <v>23</v>
      </c>
      <c r="E3638" s="2" t="s">
        <v>18</v>
      </c>
      <c r="F3638" s="2">
        <v>107.01</v>
      </c>
      <c r="G3638" s="2">
        <v>7.89</v>
      </c>
      <c r="H3638" s="2" t="s">
        <v>28</v>
      </c>
      <c r="I3638" s="2" t="s">
        <v>14</v>
      </c>
    </row>
    <row r="3639" spans="1:9" x14ac:dyDescent="0.35">
      <c r="A3639" s="2" t="s">
        <v>3683</v>
      </c>
      <c r="B3639" s="3">
        <v>44909</v>
      </c>
      <c r="C3639" s="2" t="s">
        <v>22</v>
      </c>
      <c r="D3639" s="2" t="s">
        <v>50</v>
      </c>
      <c r="E3639" s="2" t="s">
        <v>12</v>
      </c>
      <c r="F3639" s="2">
        <v>887.25</v>
      </c>
      <c r="G3639" s="2">
        <v>223.56</v>
      </c>
      <c r="H3639" s="2" t="s">
        <v>28</v>
      </c>
      <c r="I3639" s="2" t="s">
        <v>14</v>
      </c>
    </row>
    <row r="3640" spans="1:9" x14ac:dyDescent="0.35">
      <c r="A3640" s="2" t="s">
        <v>3684</v>
      </c>
      <c r="B3640" s="3">
        <v>45532</v>
      </c>
      <c r="C3640" s="2" t="s">
        <v>25</v>
      </c>
      <c r="D3640" s="2" t="s">
        <v>46</v>
      </c>
      <c r="E3640" s="2" t="s">
        <v>18</v>
      </c>
      <c r="F3640" s="2">
        <v>53.01</v>
      </c>
      <c r="G3640" s="2">
        <v>9.61</v>
      </c>
      <c r="H3640" s="2" t="s">
        <v>19</v>
      </c>
      <c r="I3640" s="2" t="s">
        <v>29</v>
      </c>
    </row>
    <row r="3641" spans="1:9" x14ac:dyDescent="0.35">
      <c r="A3641" s="2" t="s">
        <v>3685</v>
      </c>
      <c r="B3641" s="3">
        <v>44651</v>
      </c>
      <c r="C3641" s="2" t="s">
        <v>22</v>
      </c>
      <c r="D3641" s="2" t="s">
        <v>17</v>
      </c>
      <c r="E3641" s="2" t="s">
        <v>18</v>
      </c>
      <c r="F3641" s="2">
        <v>306.68</v>
      </c>
      <c r="G3641" s="2">
        <v>60.8</v>
      </c>
      <c r="H3641" s="2" t="s">
        <v>28</v>
      </c>
      <c r="I3641" s="2" t="s">
        <v>29</v>
      </c>
    </row>
    <row r="3642" spans="1:9" x14ac:dyDescent="0.35">
      <c r="A3642" s="2" t="s">
        <v>3686</v>
      </c>
      <c r="B3642" s="3">
        <v>44806</v>
      </c>
      <c r="C3642" s="2" t="s">
        <v>10</v>
      </c>
      <c r="D3642" s="2" t="s">
        <v>57</v>
      </c>
      <c r="E3642" s="2" t="s">
        <v>27</v>
      </c>
      <c r="F3642" s="2">
        <v>1370.74</v>
      </c>
      <c r="G3642" s="2">
        <v>129.82</v>
      </c>
      <c r="H3642" s="2" t="s">
        <v>19</v>
      </c>
      <c r="I3642" s="2" t="s">
        <v>14</v>
      </c>
    </row>
    <row r="3643" spans="1:9" x14ac:dyDescent="0.35">
      <c r="A3643" s="2" t="s">
        <v>3687</v>
      </c>
      <c r="B3643" s="3">
        <v>45543</v>
      </c>
      <c r="C3643" s="2" t="s">
        <v>22</v>
      </c>
      <c r="D3643" s="2" t="s">
        <v>31</v>
      </c>
      <c r="E3643" s="2" t="s">
        <v>12</v>
      </c>
      <c r="F3643" s="2">
        <v>1930.85</v>
      </c>
      <c r="G3643" s="2">
        <v>370.04</v>
      </c>
      <c r="H3643" s="2" t="s">
        <v>28</v>
      </c>
      <c r="I3643" s="2" t="s">
        <v>34</v>
      </c>
    </row>
    <row r="3644" spans="1:9" x14ac:dyDescent="0.35">
      <c r="A3644" s="2" t="s">
        <v>3688</v>
      </c>
      <c r="B3644" s="3">
        <v>45531</v>
      </c>
      <c r="C3644" s="2" t="s">
        <v>16</v>
      </c>
      <c r="D3644" s="2" t="s">
        <v>23</v>
      </c>
      <c r="E3644" s="2" t="s">
        <v>18</v>
      </c>
      <c r="F3644" s="2">
        <v>122.54</v>
      </c>
      <c r="G3644" s="2">
        <v>18.93</v>
      </c>
      <c r="H3644" s="2" t="s">
        <v>19</v>
      </c>
      <c r="I3644" s="2" t="s">
        <v>34</v>
      </c>
    </row>
    <row r="3645" spans="1:9" x14ac:dyDescent="0.35">
      <c r="A3645" s="2" t="s">
        <v>3689</v>
      </c>
      <c r="B3645" s="3">
        <v>44791</v>
      </c>
      <c r="C3645" s="2" t="s">
        <v>16</v>
      </c>
      <c r="D3645" s="2" t="s">
        <v>62</v>
      </c>
      <c r="E3645" s="2" t="s">
        <v>27</v>
      </c>
      <c r="F3645" s="2">
        <v>1608.97</v>
      </c>
      <c r="G3645" s="2">
        <v>179.03</v>
      </c>
      <c r="H3645" s="2" t="s">
        <v>19</v>
      </c>
      <c r="I3645" s="2" t="s">
        <v>20</v>
      </c>
    </row>
    <row r="3646" spans="1:9" x14ac:dyDescent="0.35">
      <c r="A3646" s="2" t="s">
        <v>3690</v>
      </c>
      <c r="B3646" s="3">
        <v>44696</v>
      </c>
      <c r="C3646" s="2" t="s">
        <v>22</v>
      </c>
      <c r="D3646" s="2" t="s">
        <v>41</v>
      </c>
      <c r="E3646" s="2" t="s">
        <v>12</v>
      </c>
      <c r="F3646" s="2">
        <v>163.69</v>
      </c>
      <c r="G3646" s="2">
        <v>16.54</v>
      </c>
      <c r="H3646" s="2" t="s">
        <v>13</v>
      </c>
      <c r="I3646" s="2" t="s">
        <v>29</v>
      </c>
    </row>
    <row r="3647" spans="1:9" x14ac:dyDescent="0.35">
      <c r="A3647" s="2" t="s">
        <v>3691</v>
      </c>
      <c r="B3647" s="3">
        <v>45102</v>
      </c>
      <c r="C3647" s="2" t="s">
        <v>10</v>
      </c>
      <c r="D3647" s="2" t="s">
        <v>46</v>
      </c>
      <c r="E3647" s="2" t="s">
        <v>18</v>
      </c>
      <c r="F3647" s="2">
        <v>918.89</v>
      </c>
      <c r="G3647" s="2">
        <v>209.75</v>
      </c>
      <c r="H3647" s="2" t="s">
        <v>13</v>
      </c>
      <c r="I3647" s="2" t="s">
        <v>20</v>
      </c>
    </row>
    <row r="3648" spans="1:9" x14ac:dyDescent="0.35">
      <c r="A3648" s="2" t="s">
        <v>3692</v>
      </c>
      <c r="B3648" s="3">
        <v>44641</v>
      </c>
      <c r="C3648" s="2" t="s">
        <v>10</v>
      </c>
      <c r="D3648" s="2" t="s">
        <v>41</v>
      </c>
      <c r="E3648" s="2" t="s">
        <v>12</v>
      </c>
      <c r="F3648" s="2">
        <v>407.23</v>
      </c>
      <c r="G3648" s="2">
        <v>31.33</v>
      </c>
      <c r="H3648" s="2" t="s">
        <v>19</v>
      </c>
      <c r="I3648" s="2" t="s">
        <v>20</v>
      </c>
    </row>
    <row r="3649" spans="1:9" x14ac:dyDescent="0.35">
      <c r="A3649" s="2" t="s">
        <v>3693</v>
      </c>
      <c r="B3649" s="3">
        <v>45281</v>
      </c>
      <c r="C3649" s="2" t="s">
        <v>22</v>
      </c>
      <c r="D3649" s="2" t="s">
        <v>95</v>
      </c>
      <c r="E3649" s="2" t="s">
        <v>18</v>
      </c>
      <c r="F3649" s="2">
        <v>272.45999999999998</v>
      </c>
      <c r="G3649" s="2">
        <v>20.57</v>
      </c>
      <c r="H3649" s="2" t="s">
        <v>28</v>
      </c>
      <c r="I3649" s="2" t="s">
        <v>14</v>
      </c>
    </row>
    <row r="3650" spans="1:9" x14ac:dyDescent="0.35">
      <c r="A3650" s="2" t="s">
        <v>3694</v>
      </c>
      <c r="B3650" s="3">
        <v>44908</v>
      </c>
      <c r="C3650" s="2" t="s">
        <v>10</v>
      </c>
      <c r="D3650" s="2" t="s">
        <v>46</v>
      </c>
      <c r="E3650" s="2" t="s">
        <v>18</v>
      </c>
      <c r="F3650" s="2">
        <v>958.24</v>
      </c>
      <c r="G3650" s="2">
        <v>249.8</v>
      </c>
      <c r="H3650" s="2" t="s">
        <v>13</v>
      </c>
      <c r="I3650" s="2" t="s">
        <v>14</v>
      </c>
    </row>
    <row r="3651" spans="1:9" x14ac:dyDescent="0.35">
      <c r="A3651" s="2" t="s">
        <v>3695</v>
      </c>
      <c r="B3651" s="3">
        <v>44652</v>
      </c>
      <c r="C3651" s="2" t="s">
        <v>10</v>
      </c>
      <c r="D3651" s="2" t="s">
        <v>50</v>
      </c>
      <c r="E3651" s="2" t="s">
        <v>12</v>
      </c>
      <c r="F3651" s="2">
        <v>521.66</v>
      </c>
      <c r="G3651" s="2">
        <v>107.8</v>
      </c>
      <c r="H3651" s="2" t="s">
        <v>13</v>
      </c>
      <c r="I3651" s="2" t="s">
        <v>14</v>
      </c>
    </row>
    <row r="3652" spans="1:9" x14ac:dyDescent="0.35">
      <c r="A3652" s="2" t="s">
        <v>3696</v>
      </c>
      <c r="B3652" s="3">
        <v>45034</v>
      </c>
      <c r="C3652" s="2" t="s">
        <v>10</v>
      </c>
      <c r="D3652" s="2" t="s">
        <v>11</v>
      </c>
      <c r="E3652" s="2" t="s">
        <v>12</v>
      </c>
      <c r="F3652" s="2">
        <v>1285.57</v>
      </c>
      <c r="G3652" s="2">
        <v>210.41</v>
      </c>
      <c r="H3652" s="2" t="s">
        <v>28</v>
      </c>
      <c r="I3652" s="2" t="s">
        <v>14</v>
      </c>
    </row>
    <row r="3653" spans="1:9" x14ac:dyDescent="0.35">
      <c r="A3653" s="2" t="s">
        <v>3697</v>
      </c>
      <c r="B3653" s="3">
        <v>45062</v>
      </c>
      <c r="C3653" s="2" t="s">
        <v>25</v>
      </c>
      <c r="D3653" s="2" t="s">
        <v>46</v>
      </c>
      <c r="E3653" s="2" t="s">
        <v>18</v>
      </c>
      <c r="F3653" s="2">
        <v>718.06</v>
      </c>
      <c r="G3653" s="2">
        <v>142.88</v>
      </c>
      <c r="H3653" s="2" t="s">
        <v>13</v>
      </c>
      <c r="I3653" s="2" t="s">
        <v>34</v>
      </c>
    </row>
    <row r="3654" spans="1:9" x14ac:dyDescent="0.35">
      <c r="A3654" s="2" t="s">
        <v>3698</v>
      </c>
      <c r="B3654" s="3">
        <v>44579</v>
      </c>
      <c r="C3654" s="2" t="s">
        <v>10</v>
      </c>
      <c r="D3654" s="2" t="s">
        <v>97</v>
      </c>
      <c r="E3654" s="2" t="s">
        <v>27</v>
      </c>
      <c r="F3654" s="2">
        <v>1836.42</v>
      </c>
      <c r="G3654" s="2">
        <v>427.5</v>
      </c>
      <c r="H3654" s="2" t="s">
        <v>28</v>
      </c>
      <c r="I3654" s="2" t="s">
        <v>14</v>
      </c>
    </row>
    <row r="3655" spans="1:9" x14ac:dyDescent="0.35">
      <c r="A3655" s="2" t="s">
        <v>3699</v>
      </c>
      <c r="B3655" s="3">
        <v>45273</v>
      </c>
      <c r="C3655" s="2" t="s">
        <v>10</v>
      </c>
      <c r="D3655" s="2" t="s">
        <v>41</v>
      </c>
      <c r="E3655" s="2" t="s">
        <v>12</v>
      </c>
      <c r="F3655" s="2">
        <v>867.52</v>
      </c>
      <c r="G3655" s="2">
        <v>124.35</v>
      </c>
      <c r="H3655" s="2" t="s">
        <v>19</v>
      </c>
      <c r="I3655" s="2" t="s">
        <v>34</v>
      </c>
    </row>
    <row r="3656" spans="1:9" x14ac:dyDescent="0.35">
      <c r="A3656" s="2" t="s">
        <v>3700</v>
      </c>
      <c r="B3656" s="3">
        <v>45052</v>
      </c>
      <c r="C3656" s="2" t="s">
        <v>25</v>
      </c>
      <c r="D3656" s="2" t="s">
        <v>23</v>
      </c>
      <c r="E3656" s="2" t="s">
        <v>18</v>
      </c>
      <c r="F3656" s="2">
        <v>853.05</v>
      </c>
      <c r="G3656" s="2">
        <v>93.98</v>
      </c>
      <c r="H3656" s="2" t="s">
        <v>28</v>
      </c>
      <c r="I3656" s="2" t="s">
        <v>20</v>
      </c>
    </row>
    <row r="3657" spans="1:9" x14ac:dyDescent="0.35">
      <c r="A3657" s="2" t="s">
        <v>3701</v>
      </c>
      <c r="B3657" s="3">
        <v>45107</v>
      </c>
      <c r="C3657" s="2" t="s">
        <v>16</v>
      </c>
      <c r="D3657" s="2" t="s">
        <v>73</v>
      </c>
      <c r="E3657" s="2" t="s">
        <v>27</v>
      </c>
      <c r="F3657" s="2">
        <v>1465.46</v>
      </c>
      <c r="G3657" s="2">
        <v>96.71</v>
      </c>
      <c r="H3657" s="2" t="s">
        <v>19</v>
      </c>
      <c r="I3657" s="2" t="s">
        <v>20</v>
      </c>
    </row>
    <row r="3658" spans="1:9" x14ac:dyDescent="0.35">
      <c r="A3658" s="2" t="s">
        <v>3702</v>
      </c>
      <c r="B3658" s="3">
        <v>45454</v>
      </c>
      <c r="C3658" s="2" t="s">
        <v>16</v>
      </c>
      <c r="D3658" s="2" t="s">
        <v>95</v>
      </c>
      <c r="E3658" s="2" t="s">
        <v>18</v>
      </c>
      <c r="F3658" s="2">
        <v>821.38</v>
      </c>
      <c r="G3658" s="2">
        <v>163.69</v>
      </c>
      <c r="H3658" s="2" t="s">
        <v>19</v>
      </c>
      <c r="I3658" s="2" t="s">
        <v>20</v>
      </c>
    </row>
    <row r="3659" spans="1:9" x14ac:dyDescent="0.35">
      <c r="A3659" s="2" t="s">
        <v>3703</v>
      </c>
      <c r="B3659" s="3">
        <v>44637</v>
      </c>
      <c r="C3659" s="2" t="s">
        <v>16</v>
      </c>
      <c r="D3659" s="2" t="s">
        <v>73</v>
      </c>
      <c r="E3659" s="2" t="s">
        <v>27</v>
      </c>
      <c r="F3659" s="2">
        <v>60.94</v>
      </c>
      <c r="G3659" s="2">
        <v>10.51</v>
      </c>
      <c r="H3659" s="2" t="s">
        <v>19</v>
      </c>
      <c r="I3659" s="2" t="s">
        <v>20</v>
      </c>
    </row>
    <row r="3660" spans="1:9" x14ac:dyDescent="0.35">
      <c r="A3660" s="2" t="s">
        <v>3704</v>
      </c>
      <c r="B3660" s="3">
        <v>45182</v>
      </c>
      <c r="C3660" s="2" t="s">
        <v>16</v>
      </c>
      <c r="D3660" s="2" t="s">
        <v>97</v>
      </c>
      <c r="E3660" s="2" t="s">
        <v>27</v>
      </c>
      <c r="F3660" s="2">
        <v>743.53</v>
      </c>
      <c r="G3660" s="2">
        <v>60.97</v>
      </c>
      <c r="H3660" s="2" t="s">
        <v>19</v>
      </c>
      <c r="I3660" s="2" t="s">
        <v>14</v>
      </c>
    </row>
    <row r="3661" spans="1:9" x14ac:dyDescent="0.35">
      <c r="A3661" s="2" t="s">
        <v>3705</v>
      </c>
      <c r="B3661" s="3">
        <v>45048</v>
      </c>
      <c r="C3661" s="2" t="s">
        <v>10</v>
      </c>
      <c r="D3661" s="2" t="s">
        <v>62</v>
      </c>
      <c r="E3661" s="2" t="s">
        <v>27</v>
      </c>
      <c r="F3661" s="2">
        <v>715.16</v>
      </c>
      <c r="G3661" s="2">
        <v>109.35</v>
      </c>
      <c r="H3661" s="2" t="s">
        <v>19</v>
      </c>
      <c r="I3661" s="2" t="s">
        <v>34</v>
      </c>
    </row>
    <row r="3662" spans="1:9" x14ac:dyDescent="0.35">
      <c r="A3662" s="2" t="s">
        <v>3706</v>
      </c>
      <c r="B3662" s="3">
        <v>45058</v>
      </c>
      <c r="C3662" s="2" t="s">
        <v>10</v>
      </c>
      <c r="D3662" s="2" t="s">
        <v>57</v>
      </c>
      <c r="E3662" s="2" t="s">
        <v>27</v>
      </c>
      <c r="F3662" s="2">
        <v>1791.05</v>
      </c>
      <c r="G3662" s="2">
        <v>319.74</v>
      </c>
      <c r="H3662" s="2" t="s">
        <v>28</v>
      </c>
      <c r="I3662" s="2" t="s">
        <v>14</v>
      </c>
    </row>
    <row r="3663" spans="1:9" x14ac:dyDescent="0.35">
      <c r="A3663" s="2" t="s">
        <v>3707</v>
      </c>
      <c r="B3663" s="3">
        <v>44761</v>
      </c>
      <c r="C3663" s="2" t="s">
        <v>10</v>
      </c>
      <c r="D3663" s="2" t="s">
        <v>50</v>
      </c>
      <c r="E3663" s="2" t="s">
        <v>12</v>
      </c>
      <c r="F3663" s="2">
        <v>233.85</v>
      </c>
      <c r="G3663" s="2">
        <v>68.97</v>
      </c>
      <c r="H3663" s="2" t="s">
        <v>13</v>
      </c>
      <c r="I3663" s="2" t="s">
        <v>29</v>
      </c>
    </row>
    <row r="3664" spans="1:9" x14ac:dyDescent="0.35">
      <c r="A3664" s="2" t="s">
        <v>3708</v>
      </c>
      <c r="B3664" s="3">
        <v>44574</v>
      </c>
      <c r="C3664" s="2" t="s">
        <v>25</v>
      </c>
      <c r="D3664" s="2" t="s">
        <v>97</v>
      </c>
      <c r="E3664" s="2" t="s">
        <v>27</v>
      </c>
      <c r="F3664" s="2">
        <v>1346.5</v>
      </c>
      <c r="G3664" s="2">
        <v>100.3</v>
      </c>
      <c r="H3664" s="2" t="s">
        <v>28</v>
      </c>
      <c r="I3664" s="2" t="s">
        <v>29</v>
      </c>
    </row>
    <row r="3665" spans="1:9" x14ac:dyDescent="0.35">
      <c r="A3665" s="2" t="s">
        <v>3709</v>
      </c>
      <c r="B3665" s="3">
        <v>44768</v>
      </c>
      <c r="C3665" s="2" t="s">
        <v>10</v>
      </c>
      <c r="D3665" s="2" t="s">
        <v>97</v>
      </c>
      <c r="E3665" s="2" t="s">
        <v>27</v>
      </c>
      <c r="F3665" s="2">
        <v>1388.96</v>
      </c>
      <c r="G3665" s="2">
        <v>169.16</v>
      </c>
      <c r="H3665" s="2" t="s">
        <v>19</v>
      </c>
      <c r="I3665" s="2" t="s">
        <v>14</v>
      </c>
    </row>
    <row r="3666" spans="1:9" x14ac:dyDescent="0.35">
      <c r="A3666" s="2" t="s">
        <v>3710</v>
      </c>
      <c r="B3666" s="3">
        <v>45565</v>
      </c>
      <c r="C3666" s="2" t="s">
        <v>25</v>
      </c>
      <c r="D3666" s="2" t="s">
        <v>11</v>
      </c>
      <c r="E3666" s="2" t="s">
        <v>12</v>
      </c>
      <c r="F3666" s="2">
        <v>615.44000000000005</v>
      </c>
      <c r="G3666" s="2">
        <v>183.48</v>
      </c>
      <c r="H3666" s="2" t="s">
        <v>13</v>
      </c>
      <c r="I3666" s="2" t="s">
        <v>14</v>
      </c>
    </row>
    <row r="3667" spans="1:9" x14ac:dyDescent="0.35">
      <c r="A3667" s="2" t="s">
        <v>3711</v>
      </c>
      <c r="B3667" s="3">
        <v>45563</v>
      </c>
      <c r="C3667" s="2" t="s">
        <v>10</v>
      </c>
      <c r="D3667" s="2" t="s">
        <v>31</v>
      </c>
      <c r="E3667" s="2" t="s">
        <v>12</v>
      </c>
      <c r="F3667" s="2">
        <v>1702.32</v>
      </c>
      <c r="G3667" s="2">
        <v>458.9</v>
      </c>
      <c r="H3667" s="2" t="s">
        <v>13</v>
      </c>
      <c r="I3667" s="2" t="s">
        <v>14</v>
      </c>
    </row>
    <row r="3668" spans="1:9" x14ac:dyDescent="0.35">
      <c r="A3668" s="2" t="s">
        <v>3712</v>
      </c>
      <c r="B3668" s="3">
        <v>44584</v>
      </c>
      <c r="C3668" s="2" t="s">
        <v>25</v>
      </c>
      <c r="D3668" s="2" t="s">
        <v>31</v>
      </c>
      <c r="E3668" s="2" t="s">
        <v>12</v>
      </c>
      <c r="F3668" s="2">
        <v>1707.06</v>
      </c>
      <c r="G3668" s="2">
        <v>133.84</v>
      </c>
      <c r="H3668" s="2" t="s">
        <v>28</v>
      </c>
      <c r="I3668" s="2" t="s">
        <v>20</v>
      </c>
    </row>
    <row r="3669" spans="1:9" x14ac:dyDescent="0.35">
      <c r="A3669" s="2" t="s">
        <v>3713</v>
      </c>
      <c r="B3669" s="3">
        <v>44631</v>
      </c>
      <c r="C3669" s="2" t="s">
        <v>10</v>
      </c>
      <c r="D3669" s="2" t="s">
        <v>38</v>
      </c>
      <c r="E3669" s="2" t="s">
        <v>12</v>
      </c>
      <c r="F3669" s="2">
        <v>832.26</v>
      </c>
      <c r="G3669" s="2">
        <v>95.81</v>
      </c>
      <c r="H3669" s="2" t="s">
        <v>19</v>
      </c>
      <c r="I3669" s="2" t="s">
        <v>29</v>
      </c>
    </row>
    <row r="3670" spans="1:9" x14ac:dyDescent="0.35">
      <c r="A3670" s="2" t="s">
        <v>3714</v>
      </c>
      <c r="B3670" s="3">
        <v>44810</v>
      </c>
      <c r="C3670" s="2" t="s">
        <v>16</v>
      </c>
      <c r="D3670" s="2" t="s">
        <v>31</v>
      </c>
      <c r="E3670" s="2" t="s">
        <v>12</v>
      </c>
      <c r="F3670" s="2">
        <v>1033.67</v>
      </c>
      <c r="G3670" s="2">
        <v>67.23</v>
      </c>
      <c r="H3670" s="2" t="s">
        <v>19</v>
      </c>
      <c r="I3670" s="2" t="s">
        <v>20</v>
      </c>
    </row>
    <row r="3671" spans="1:9" x14ac:dyDescent="0.35">
      <c r="A3671" s="2" t="s">
        <v>3715</v>
      </c>
      <c r="B3671" s="3">
        <v>45423</v>
      </c>
      <c r="C3671" s="2" t="s">
        <v>16</v>
      </c>
      <c r="D3671" s="2" t="s">
        <v>57</v>
      </c>
      <c r="E3671" s="2" t="s">
        <v>27</v>
      </c>
      <c r="F3671" s="2">
        <v>1398.98</v>
      </c>
      <c r="G3671" s="2">
        <v>188.85</v>
      </c>
      <c r="H3671" s="2" t="s">
        <v>13</v>
      </c>
      <c r="I3671" s="2" t="s">
        <v>20</v>
      </c>
    </row>
    <row r="3672" spans="1:9" x14ac:dyDescent="0.35">
      <c r="A3672" s="2" t="s">
        <v>3716</v>
      </c>
      <c r="B3672" s="3">
        <v>44776</v>
      </c>
      <c r="C3672" s="2" t="s">
        <v>22</v>
      </c>
      <c r="D3672" s="2" t="s">
        <v>73</v>
      </c>
      <c r="E3672" s="2" t="s">
        <v>27</v>
      </c>
      <c r="F3672" s="2">
        <v>1738.52</v>
      </c>
      <c r="G3672" s="2">
        <v>395.92</v>
      </c>
      <c r="H3672" s="2" t="s">
        <v>19</v>
      </c>
      <c r="I3672" s="2" t="s">
        <v>14</v>
      </c>
    </row>
    <row r="3673" spans="1:9" x14ac:dyDescent="0.35">
      <c r="A3673" s="2" t="s">
        <v>3717</v>
      </c>
      <c r="B3673" s="3">
        <v>44670</v>
      </c>
      <c r="C3673" s="2" t="s">
        <v>16</v>
      </c>
      <c r="D3673" s="2" t="s">
        <v>95</v>
      </c>
      <c r="E3673" s="2" t="s">
        <v>18</v>
      </c>
      <c r="F3673" s="2">
        <v>643.86</v>
      </c>
      <c r="G3673" s="2">
        <v>159.6</v>
      </c>
      <c r="H3673" s="2" t="s">
        <v>28</v>
      </c>
      <c r="I3673" s="2" t="s">
        <v>14</v>
      </c>
    </row>
    <row r="3674" spans="1:9" x14ac:dyDescent="0.35">
      <c r="A3674" s="2" t="s">
        <v>3718</v>
      </c>
      <c r="B3674" s="3">
        <v>45408</v>
      </c>
      <c r="C3674" s="2" t="s">
        <v>10</v>
      </c>
      <c r="D3674" s="2" t="s">
        <v>11</v>
      </c>
      <c r="E3674" s="2" t="s">
        <v>12</v>
      </c>
      <c r="F3674" s="2">
        <v>58.96</v>
      </c>
      <c r="G3674" s="2">
        <v>14.71</v>
      </c>
      <c r="H3674" s="2" t="s">
        <v>13</v>
      </c>
      <c r="I3674" s="2" t="s">
        <v>29</v>
      </c>
    </row>
    <row r="3675" spans="1:9" x14ac:dyDescent="0.35">
      <c r="A3675" s="2" t="s">
        <v>3719</v>
      </c>
      <c r="B3675" s="3">
        <v>45223</v>
      </c>
      <c r="C3675" s="2" t="s">
        <v>22</v>
      </c>
      <c r="D3675" s="2" t="s">
        <v>23</v>
      </c>
      <c r="E3675" s="2" t="s">
        <v>18</v>
      </c>
      <c r="F3675" s="2">
        <v>454.12</v>
      </c>
      <c r="G3675" s="2">
        <v>31.71</v>
      </c>
      <c r="H3675" s="2" t="s">
        <v>19</v>
      </c>
      <c r="I3675" s="2" t="s">
        <v>14</v>
      </c>
    </row>
    <row r="3676" spans="1:9" x14ac:dyDescent="0.35">
      <c r="A3676" s="2" t="s">
        <v>3720</v>
      </c>
      <c r="B3676" s="3">
        <v>45061</v>
      </c>
      <c r="C3676" s="2" t="s">
        <v>22</v>
      </c>
      <c r="D3676" s="2" t="s">
        <v>95</v>
      </c>
      <c r="E3676" s="2" t="s">
        <v>18</v>
      </c>
      <c r="F3676" s="2">
        <v>1561.54</v>
      </c>
      <c r="G3676" s="2">
        <v>392.57</v>
      </c>
      <c r="H3676" s="2" t="s">
        <v>13</v>
      </c>
      <c r="I3676" s="2" t="s">
        <v>29</v>
      </c>
    </row>
    <row r="3677" spans="1:9" x14ac:dyDescent="0.35">
      <c r="A3677" s="2" t="s">
        <v>3721</v>
      </c>
      <c r="B3677" s="3">
        <v>44597</v>
      </c>
      <c r="C3677" s="2" t="s">
        <v>25</v>
      </c>
      <c r="D3677" s="2" t="s">
        <v>33</v>
      </c>
      <c r="E3677" s="2" t="s">
        <v>18</v>
      </c>
      <c r="F3677" s="2">
        <v>1451.05</v>
      </c>
      <c r="G3677" s="2">
        <v>399.4</v>
      </c>
      <c r="H3677" s="2" t="s">
        <v>28</v>
      </c>
      <c r="I3677" s="2" t="s">
        <v>20</v>
      </c>
    </row>
    <row r="3678" spans="1:9" x14ac:dyDescent="0.35">
      <c r="A3678" s="2" t="s">
        <v>3722</v>
      </c>
      <c r="B3678" s="3">
        <v>45639</v>
      </c>
      <c r="C3678" s="2" t="s">
        <v>22</v>
      </c>
      <c r="D3678" s="2" t="s">
        <v>31</v>
      </c>
      <c r="E3678" s="2" t="s">
        <v>12</v>
      </c>
      <c r="F3678" s="2">
        <v>1321.65</v>
      </c>
      <c r="G3678" s="2">
        <v>350.2</v>
      </c>
      <c r="H3678" s="2" t="s">
        <v>28</v>
      </c>
      <c r="I3678" s="2" t="s">
        <v>29</v>
      </c>
    </row>
    <row r="3679" spans="1:9" x14ac:dyDescent="0.35">
      <c r="A3679" s="2" t="s">
        <v>3723</v>
      </c>
      <c r="B3679" s="3">
        <v>45534</v>
      </c>
      <c r="C3679" s="2" t="s">
        <v>16</v>
      </c>
      <c r="D3679" s="2" t="s">
        <v>17</v>
      </c>
      <c r="E3679" s="2" t="s">
        <v>18</v>
      </c>
      <c r="F3679" s="2">
        <v>439.12</v>
      </c>
      <c r="G3679" s="2">
        <v>117.94</v>
      </c>
      <c r="H3679" s="2" t="s">
        <v>28</v>
      </c>
      <c r="I3679" s="2" t="s">
        <v>34</v>
      </c>
    </row>
    <row r="3680" spans="1:9" x14ac:dyDescent="0.35">
      <c r="A3680" s="2" t="s">
        <v>3724</v>
      </c>
      <c r="B3680" s="3">
        <v>44604</v>
      </c>
      <c r="C3680" s="2" t="s">
        <v>22</v>
      </c>
      <c r="D3680" s="2" t="s">
        <v>46</v>
      </c>
      <c r="E3680" s="2" t="s">
        <v>18</v>
      </c>
      <c r="F3680" s="2">
        <v>667.8</v>
      </c>
      <c r="G3680" s="2">
        <v>72.430000000000007</v>
      </c>
      <c r="H3680" s="2" t="s">
        <v>28</v>
      </c>
      <c r="I3680" s="2" t="s">
        <v>20</v>
      </c>
    </row>
    <row r="3681" spans="1:9" x14ac:dyDescent="0.35">
      <c r="A3681" s="2" t="s">
        <v>3725</v>
      </c>
      <c r="B3681" s="3">
        <v>45344</v>
      </c>
      <c r="C3681" s="2" t="s">
        <v>10</v>
      </c>
      <c r="D3681" s="2" t="s">
        <v>17</v>
      </c>
      <c r="E3681" s="2" t="s">
        <v>18</v>
      </c>
      <c r="F3681" s="2">
        <v>853.37</v>
      </c>
      <c r="G3681" s="2">
        <v>86.81</v>
      </c>
      <c r="H3681" s="2" t="s">
        <v>28</v>
      </c>
      <c r="I3681" s="2" t="s">
        <v>20</v>
      </c>
    </row>
    <row r="3682" spans="1:9" x14ac:dyDescent="0.35">
      <c r="A3682" s="2" t="s">
        <v>3726</v>
      </c>
      <c r="B3682" s="3">
        <v>44894</v>
      </c>
      <c r="C3682" s="2" t="s">
        <v>10</v>
      </c>
      <c r="D3682" s="2" t="s">
        <v>46</v>
      </c>
      <c r="E3682" s="2" t="s">
        <v>18</v>
      </c>
      <c r="F3682" s="2">
        <v>531.79</v>
      </c>
      <c r="G3682" s="2">
        <v>49.87</v>
      </c>
      <c r="H3682" s="2" t="s">
        <v>28</v>
      </c>
      <c r="I3682" s="2" t="s">
        <v>29</v>
      </c>
    </row>
    <row r="3683" spans="1:9" x14ac:dyDescent="0.35">
      <c r="A3683" s="2" t="s">
        <v>3727</v>
      </c>
      <c r="B3683" s="3">
        <v>45498</v>
      </c>
      <c r="C3683" s="2" t="s">
        <v>16</v>
      </c>
      <c r="D3683" s="2" t="s">
        <v>57</v>
      </c>
      <c r="E3683" s="2" t="s">
        <v>27</v>
      </c>
      <c r="F3683" s="2">
        <v>445.16</v>
      </c>
      <c r="G3683" s="2">
        <v>113.83</v>
      </c>
      <c r="H3683" s="2" t="s">
        <v>13</v>
      </c>
      <c r="I3683" s="2" t="s">
        <v>20</v>
      </c>
    </row>
    <row r="3684" spans="1:9" x14ac:dyDescent="0.35">
      <c r="A3684" s="2" t="s">
        <v>3728</v>
      </c>
      <c r="B3684" s="3">
        <v>45033</v>
      </c>
      <c r="C3684" s="2" t="s">
        <v>16</v>
      </c>
      <c r="D3684" s="2" t="s">
        <v>46</v>
      </c>
      <c r="E3684" s="2" t="s">
        <v>18</v>
      </c>
      <c r="F3684" s="2">
        <v>875.8</v>
      </c>
      <c r="G3684" s="2">
        <v>183.95</v>
      </c>
      <c r="H3684" s="2" t="s">
        <v>19</v>
      </c>
      <c r="I3684" s="2" t="s">
        <v>29</v>
      </c>
    </row>
    <row r="3685" spans="1:9" x14ac:dyDescent="0.35">
      <c r="A3685" s="2" t="s">
        <v>3729</v>
      </c>
      <c r="B3685" s="3">
        <v>45256</v>
      </c>
      <c r="C3685" s="2" t="s">
        <v>10</v>
      </c>
      <c r="D3685" s="2" t="s">
        <v>95</v>
      </c>
      <c r="E3685" s="2" t="s">
        <v>18</v>
      </c>
      <c r="F3685" s="2">
        <v>1071.4100000000001</v>
      </c>
      <c r="G3685" s="2">
        <v>69.77</v>
      </c>
      <c r="H3685" s="2" t="s">
        <v>19</v>
      </c>
      <c r="I3685" s="2" t="s">
        <v>14</v>
      </c>
    </row>
    <row r="3686" spans="1:9" x14ac:dyDescent="0.35">
      <c r="A3686" s="2" t="s">
        <v>3730</v>
      </c>
      <c r="B3686" s="3">
        <v>44672</v>
      </c>
      <c r="C3686" s="2" t="s">
        <v>10</v>
      </c>
      <c r="D3686" s="2" t="s">
        <v>23</v>
      </c>
      <c r="E3686" s="2" t="s">
        <v>18</v>
      </c>
      <c r="F3686" s="2">
        <v>722.11</v>
      </c>
      <c r="G3686" s="2">
        <v>122.46</v>
      </c>
      <c r="H3686" s="2" t="s">
        <v>19</v>
      </c>
      <c r="I3686" s="2" t="s">
        <v>29</v>
      </c>
    </row>
    <row r="3687" spans="1:9" x14ac:dyDescent="0.35">
      <c r="A3687" s="2" t="s">
        <v>3731</v>
      </c>
      <c r="B3687" s="3">
        <v>44806</v>
      </c>
      <c r="C3687" s="2" t="s">
        <v>16</v>
      </c>
      <c r="D3687" s="2" t="s">
        <v>38</v>
      </c>
      <c r="E3687" s="2" t="s">
        <v>12</v>
      </c>
      <c r="F3687" s="2">
        <v>153.6</v>
      </c>
      <c r="G3687" s="2">
        <v>19.3</v>
      </c>
      <c r="H3687" s="2" t="s">
        <v>19</v>
      </c>
      <c r="I3687" s="2" t="s">
        <v>14</v>
      </c>
    </row>
    <row r="3688" spans="1:9" x14ac:dyDescent="0.35">
      <c r="A3688" s="2" t="s">
        <v>3732</v>
      </c>
      <c r="B3688" s="3">
        <v>45021</v>
      </c>
      <c r="C3688" s="2" t="s">
        <v>10</v>
      </c>
      <c r="D3688" s="2" t="s">
        <v>57</v>
      </c>
      <c r="E3688" s="2" t="s">
        <v>27</v>
      </c>
      <c r="F3688" s="2">
        <v>993.52</v>
      </c>
      <c r="G3688" s="2">
        <v>113.32</v>
      </c>
      <c r="H3688" s="2" t="s">
        <v>28</v>
      </c>
      <c r="I3688" s="2" t="s">
        <v>29</v>
      </c>
    </row>
    <row r="3689" spans="1:9" x14ac:dyDescent="0.35">
      <c r="A3689" s="2" t="s">
        <v>3733</v>
      </c>
      <c r="B3689" s="3">
        <v>45389</v>
      </c>
      <c r="C3689" s="2" t="s">
        <v>10</v>
      </c>
      <c r="D3689" s="2" t="s">
        <v>33</v>
      </c>
      <c r="E3689" s="2" t="s">
        <v>18</v>
      </c>
      <c r="F3689" s="2">
        <v>470.43</v>
      </c>
      <c r="G3689" s="2">
        <v>133.66</v>
      </c>
      <c r="H3689" s="2" t="s">
        <v>13</v>
      </c>
      <c r="I3689" s="2" t="s">
        <v>14</v>
      </c>
    </row>
    <row r="3690" spans="1:9" x14ac:dyDescent="0.35">
      <c r="A3690" s="2" t="s">
        <v>3734</v>
      </c>
      <c r="B3690" s="3">
        <v>45431</v>
      </c>
      <c r="C3690" s="2" t="s">
        <v>22</v>
      </c>
      <c r="D3690" s="2" t="s">
        <v>73</v>
      </c>
      <c r="E3690" s="2" t="s">
        <v>27</v>
      </c>
      <c r="F3690" s="2">
        <v>434.68</v>
      </c>
      <c r="G3690" s="2">
        <v>31.87</v>
      </c>
      <c r="H3690" s="2" t="s">
        <v>28</v>
      </c>
      <c r="I3690" s="2" t="s">
        <v>34</v>
      </c>
    </row>
    <row r="3691" spans="1:9" x14ac:dyDescent="0.35">
      <c r="A3691" s="2" t="s">
        <v>3735</v>
      </c>
      <c r="B3691" s="3">
        <v>44829</v>
      </c>
      <c r="C3691" s="2" t="s">
        <v>25</v>
      </c>
      <c r="D3691" s="2" t="s">
        <v>23</v>
      </c>
      <c r="E3691" s="2" t="s">
        <v>18</v>
      </c>
      <c r="F3691" s="2">
        <v>458.46</v>
      </c>
      <c r="G3691" s="2">
        <v>48.85</v>
      </c>
      <c r="H3691" s="2" t="s">
        <v>13</v>
      </c>
      <c r="I3691" s="2" t="s">
        <v>20</v>
      </c>
    </row>
    <row r="3692" spans="1:9" x14ac:dyDescent="0.35">
      <c r="A3692" s="2" t="s">
        <v>3736</v>
      </c>
      <c r="B3692" s="3">
        <v>45272</v>
      </c>
      <c r="C3692" s="2" t="s">
        <v>22</v>
      </c>
      <c r="D3692" s="2" t="s">
        <v>31</v>
      </c>
      <c r="E3692" s="2" t="s">
        <v>12</v>
      </c>
      <c r="F3692" s="2">
        <v>1131.6600000000001</v>
      </c>
      <c r="G3692" s="2">
        <v>238.19</v>
      </c>
      <c r="H3692" s="2" t="s">
        <v>28</v>
      </c>
      <c r="I3692" s="2" t="s">
        <v>34</v>
      </c>
    </row>
    <row r="3693" spans="1:9" x14ac:dyDescent="0.35">
      <c r="A3693" s="2" t="s">
        <v>3737</v>
      </c>
      <c r="B3693" s="3">
        <v>45410</v>
      </c>
      <c r="C3693" s="2" t="s">
        <v>25</v>
      </c>
      <c r="D3693" s="2" t="s">
        <v>31</v>
      </c>
      <c r="E3693" s="2" t="s">
        <v>12</v>
      </c>
      <c r="F3693" s="2">
        <v>1209.74</v>
      </c>
      <c r="G3693" s="2">
        <v>129.91</v>
      </c>
      <c r="H3693" s="2" t="s">
        <v>13</v>
      </c>
      <c r="I3693" s="2" t="s">
        <v>14</v>
      </c>
    </row>
    <row r="3694" spans="1:9" x14ac:dyDescent="0.35">
      <c r="A3694" s="2" t="s">
        <v>3738</v>
      </c>
      <c r="B3694" s="3">
        <v>45207</v>
      </c>
      <c r="C3694" s="2" t="s">
        <v>22</v>
      </c>
      <c r="D3694" s="2" t="s">
        <v>33</v>
      </c>
      <c r="E3694" s="2" t="s">
        <v>18</v>
      </c>
      <c r="F3694" s="2">
        <v>1009.89</v>
      </c>
      <c r="G3694" s="2">
        <v>297.17</v>
      </c>
      <c r="H3694" s="2" t="s">
        <v>28</v>
      </c>
      <c r="I3694" s="2" t="s">
        <v>29</v>
      </c>
    </row>
    <row r="3695" spans="1:9" x14ac:dyDescent="0.35">
      <c r="A3695" s="2" t="s">
        <v>3739</v>
      </c>
      <c r="B3695" s="3">
        <v>45195</v>
      </c>
      <c r="C3695" s="2" t="s">
        <v>10</v>
      </c>
      <c r="D3695" s="2" t="s">
        <v>73</v>
      </c>
      <c r="E3695" s="2" t="s">
        <v>27</v>
      </c>
      <c r="F3695" s="2">
        <v>253.78</v>
      </c>
      <c r="G3695" s="2">
        <v>38.86</v>
      </c>
      <c r="H3695" s="2" t="s">
        <v>13</v>
      </c>
      <c r="I3695" s="2" t="s">
        <v>34</v>
      </c>
    </row>
    <row r="3696" spans="1:9" x14ac:dyDescent="0.35">
      <c r="A3696" s="2" t="s">
        <v>3740</v>
      </c>
      <c r="B3696" s="3">
        <v>44589</v>
      </c>
      <c r="C3696" s="2" t="s">
        <v>16</v>
      </c>
      <c r="D3696" s="2" t="s">
        <v>38</v>
      </c>
      <c r="E3696" s="2" t="s">
        <v>12</v>
      </c>
      <c r="F3696" s="2">
        <v>810.3</v>
      </c>
      <c r="G3696" s="2">
        <v>133.13999999999999</v>
      </c>
      <c r="H3696" s="2" t="s">
        <v>13</v>
      </c>
      <c r="I3696" s="2" t="s">
        <v>14</v>
      </c>
    </row>
    <row r="3697" spans="1:9" x14ac:dyDescent="0.35">
      <c r="A3697" s="2" t="s">
        <v>3741</v>
      </c>
      <c r="B3697" s="3">
        <v>44862</v>
      </c>
      <c r="C3697" s="2" t="s">
        <v>25</v>
      </c>
      <c r="D3697" s="2" t="s">
        <v>41</v>
      </c>
      <c r="E3697" s="2" t="s">
        <v>12</v>
      </c>
      <c r="F3697" s="2">
        <v>525.99</v>
      </c>
      <c r="G3697" s="2">
        <v>145.29</v>
      </c>
      <c r="H3697" s="2" t="s">
        <v>13</v>
      </c>
      <c r="I3697" s="2" t="s">
        <v>14</v>
      </c>
    </row>
    <row r="3698" spans="1:9" x14ac:dyDescent="0.35">
      <c r="A3698" s="2" t="s">
        <v>3742</v>
      </c>
      <c r="B3698" s="3">
        <v>45649</v>
      </c>
      <c r="C3698" s="2" t="s">
        <v>25</v>
      </c>
      <c r="D3698" s="2" t="s">
        <v>38</v>
      </c>
      <c r="E3698" s="2" t="s">
        <v>12</v>
      </c>
      <c r="F3698" s="2">
        <v>518.39</v>
      </c>
      <c r="G3698" s="2">
        <v>54.97</v>
      </c>
      <c r="H3698" s="2" t="s">
        <v>19</v>
      </c>
      <c r="I3698" s="2" t="s">
        <v>29</v>
      </c>
    </row>
    <row r="3699" spans="1:9" x14ac:dyDescent="0.35">
      <c r="A3699" s="2" t="s">
        <v>3743</v>
      </c>
      <c r="B3699" s="3">
        <v>45469</v>
      </c>
      <c r="C3699" s="2" t="s">
        <v>10</v>
      </c>
      <c r="D3699" s="2" t="s">
        <v>33</v>
      </c>
      <c r="E3699" s="2" t="s">
        <v>18</v>
      </c>
      <c r="F3699" s="2">
        <v>1184.24</v>
      </c>
      <c r="G3699" s="2">
        <v>72.97</v>
      </c>
      <c r="H3699" s="2" t="s">
        <v>28</v>
      </c>
      <c r="I3699" s="2" t="s">
        <v>14</v>
      </c>
    </row>
    <row r="3700" spans="1:9" x14ac:dyDescent="0.35">
      <c r="A3700" s="2" t="s">
        <v>3744</v>
      </c>
      <c r="B3700" s="3">
        <v>45277</v>
      </c>
      <c r="C3700" s="2" t="s">
        <v>22</v>
      </c>
      <c r="D3700" s="2" t="s">
        <v>17</v>
      </c>
      <c r="E3700" s="2" t="s">
        <v>18</v>
      </c>
      <c r="F3700" s="2">
        <v>1100.04</v>
      </c>
      <c r="G3700" s="2">
        <v>150.55000000000001</v>
      </c>
      <c r="H3700" s="2" t="s">
        <v>19</v>
      </c>
      <c r="I3700" s="2" t="s">
        <v>20</v>
      </c>
    </row>
    <row r="3701" spans="1:9" x14ac:dyDescent="0.35">
      <c r="A3701" s="2" t="s">
        <v>3745</v>
      </c>
      <c r="B3701" s="3">
        <v>45392</v>
      </c>
      <c r="C3701" s="2" t="s">
        <v>22</v>
      </c>
      <c r="D3701" s="2" t="s">
        <v>31</v>
      </c>
      <c r="E3701" s="2" t="s">
        <v>12</v>
      </c>
      <c r="F3701" s="2">
        <v>1858.94</v>
      </c>
      <c r="G3701" s="2">
        <v>149.56</v>
      </c>
      <c r="H3701" s="2" t="s">
        <v>13</v>
      </c>
      <c r="I3701" s="2" t="s">
        <v>34</v>
      </c>
    </row>
    <row r="3702" spans="1:9" x14ac:dyDescent="0.35">
      <c r="A3702" s="2" t="s">
        <v>3746</v>
      </c>
      <c r="B3702" s="3">
        <v>45037</v>
      </c>
      <c r="C3702" s="2" t="s">
        <v>16</v>
      </c>
      <c r="D3702" s="2" t="s">
        <v>73</v>
      </c>
      <c r="E3702" s="2" t="s">
        <v>27</v>
      </c>
      <c r="F3702" s="2">
        <v>1855.78</v>
      </c>
      <c r="G3702" s="2">
        <v>259.51</v>
      </c>
      <c r="H3702" s="2" t="s">
        <v>19</v>
      </c>
      <c r="I3702" s="2" t="s">
        <v>29</v>
      </c>
    </row>
    <row r="3703" spans="1:9" x14ac:dyDescent="0.35">
      <c r="A3703" s="2" t="s">
        <v>3747</v>
      </c>
      <c r="B3703" s="3">
        <v>44773</v>
      </c>
      <c r="C3703" s="2" t="s">
        <v>16</v>
      </c>
      <c r="D3703" s="2" t="s">
        <v>46</v>
      </c>
      <c r="E3703" s="2" t="s">
        <v>18</v>
      </c>
      <c r="F3703" s="2">
        <v>1008.63</v>
      </c>
      <c r="G3703" s="2">
        <v>125.56</v>
      </c>
      <c r="H3703" s="2" t="s">
        <v>13</v>
      </c>
      <c r="I3703" s="2" t="s">
        <v>29</v>
      </c>
    </row>
    <row r="3704" spans="1:9" x14ac:dyDescent="0.35">
      <c r="A3704" s="2" t="s">
        <v>3748</v>
      </c>
      <c r="B3704" s="3">
        <v>44665</v>
      </c>
      <c r="C3704" s="2" t="s">
        <v>22</v>
      </c>
      <c r="D3704" s="2" t="s">
        <v>11</v>
      </c>
      <c r="E3704" s="2" t="s">
        <v>12</v>
      </c>
      <c r="F3704" s="2">
        <v>1237.46</v>
      </c>
      <c r="G3704" s="2">
        <v>366.57</v>
      </c>
      <c r="H3704" s="2" t="s">
        <v>19</v>
      </c>
      <c r="I3704" s="2" t="s">
        <v>34</v>
      </c>
    </row>
    <row r="3705" spans="1:9" x14ac:dyDescent="0.35">
      <c r="A3705" s="2" t="s">
        <v>3749</v>
      </c>
      <c r="B3705" s="3">
        <v>45475</v>
      </c>
      <c r="C3705" s="2" t="s">
        <v>22</v>
      </c>
      <c r="D3705" s="2" t="s">
        <v>73</v>
      </c>
      <c r="E3705" s="2" t="s">
        <v>27</v>
      </c>
      <c r="F3705" s="2">
        <v>740.78</v>
      </c>
      <c r="G3705" s="2">
        <v>196.26</v>
      </c>
      <c r="H3705" s="2" t="s">
        <v>13</v>
      </c>
      <c r="I3705" s="2" t="s">
        <v>29</v>
      </c>
    </row>
    <row r="3706" spans="1:9" x14ac:dyDescent="0.35">
      <c r="A3706" s="2" t="s">
        <v>3750</v>
      </c>
      <c r="B3706" s="3">
        <v>45540</v>
      </c>
      <c r="C3706" s="2" t="s">
        <v>25</v>
      </c>
      <c r="D3706" s="2" t="s">
        <v>73</v>
      </c>
      <c r="E3706" s="2" t="s">
        <v>27</v>
      </c>
      <c r="F3706" s="2">
        <v>529</v>
      </c>
      <c r="G3706" s="2">
        <v>137.62</v>
      </c>
      <c r="H3706" s="2" t="s">
        <v>19</v>
      </c>
      <c r="I3706" s="2" t="s">
        <v>14</v>
      </c>
    </row>
    <row r="3707" spans="1:9" x14ac:dyDescent="0.35">
      <c r="A3707" s="2" t="s">
        <v>3751</v>
      </c>
      <c r="B3707" s="3">
        <v>44997</v>
      </c>
      <c r="C3707" s="2" t="s">
        <v>22</v>
      </c>
      <c r="D3707" s="2" t="s">
        <v>23</v>
      </c>
      <c r="E3707" s="2" t="s">
        <v>18</v>
      </c>
      <c r="F3707" s="2">
        <v>1060.4100000000001</v>
      </c>
      <c r="G3707" s="2">
        <v>212.35</v>
      </c>
      <c r="H3707" s="2" t="s">
        <v>19</v>
      </c>
      <c r="I3707" s="2" t="s">
        <v>14</v>
      </c>
    </row>
    <row r="3708" spans="1:9" x14ac:dyDescent="0.35">
      <c r="A3708" s="2" t="s">
        <v>3752</v>
      </c>
      <c r="B3708" s="3">
        <v>45054</v>
      </c>
      <c r="C3708" s="2" t="s">
        <v>10</v>
      </c>
      <c r="D3708" s="2" t="s">
        <v>11</v>
      </c>
      <c r="E3708" s="2" t="s">
        <v>12</v>
      </c>
      <c r="F3708" s="2">
        <v>865.93</v>
      </c>
      <c r="G3708" s="2">
        <v>92.27</v>
      </c>
      <c r="H3708" s="2" t="s">
        <v>28</v>
      </c>
      <c r="I3708" s="2" t="s">
        <v>29</v>
      </c>
    </row>
    <row r="3709" spans="1:9" x14ac:dyDescent="0.35">
      <c r="A3709" s="2" t="s">
        <v>3753</v>
      </c>
      <c r="B3709" s="3">
        <v>44942</v>
      </c>
      <c r="C3709" s="2" t="s">
        <v>25</v>
      </c>
      <c r="D3709" s="2" t="s">
        <v>38</v>
      </c>
      <c r="E3709" s="2" t="s">
        <v>12</v>
      </c>
      <c r="F3709" s="2">
        <v>1446.19</v>
      </c>
      <c r="G3709" s="2">
        <v>361.55</v>
      </c>
      <c r="H3709" s="2" t="s">
        <v>19</v>
      </c>
      <c r="I3709" s="2" t="s">
        <v>20</v>
      </c>
    </row>
    <row r="3710" spans="1:9" x14ac:dyDescent="0.35">
      <c r="A3710" s="2" t="s">
        <v>3754</v>
      </c>
      <c r="B3710" s="3">
        <v>44756</v>
      </c>
      <c r="C3710" s="2" t="s">
        <v>22</v>
      </c>
      <c r="D3710" s="2" t="s">
        <v>95</v>
      </c>
      <c r="E3710" s="2" t="s">
        <v>18</v>
      </c>
      <c r="F3710" s="2">
        <v>1569.4</v>
      </c>
      <c r="G3710" s="2">
        <v>287.39999999999998</v>
      </c>
      <c r="H3710" s="2" t="s">
        <v>13</v>
      </c>
      <c r="I3710" s="2" t="s">
        <v>20</v>
      </c>
    </row>
    <row r="3711" spans="1:9" x14ac:dyDescent="0.35">
      <c r="A3711" s="2" t="s">
        <v>3755</v>
      </c>
      <c r="B3711" s="3">
        <v>45398</v>
      </c>
      <c r="C3711" s="2" t="s">
        <v>25</v>
      </c>
      <c r="D3711" s="2" t="s">
        <v>62</v>
      </c>
      <c r="E3711" s="2" t="s">
        <v>27</v>
      </c>
      <c r="F3711" s="2">
        <v>1710.53</v>
      </c>
      <c r="G3711" s="2">
        <v>356.38</v>
      </c>
      <c r="H3711" s="2" t="s">
        <v>19</v>
      </c>
      <c r="I3711" s="2" t="s">
        <v>29</v>
      </c>
    </row>
    <row r="3712" spans="1:9" x14ac:dyDescent="0.35">
      <c r="A3712" s="2" t="s">
        <v>3756</v>
      </c>
      <c r="B3712" s="3">
        <v>44830</v>
      </c>
      <c r="C3712" s="2" t="s">
        <v>22</v>
      </c>
      <c r="D3712" s="2" t="s">
        <v>73</v>
      </c>
      <c r="E3712" s="2" t="s">
        <v>27</v>
      </c>
      <c r="F3712" s="2">
        <v>1681.14</v>
      </c>
      <c r="G3712" s="2">
        <v>493.14</v>
      </c>
      <c r="H3712" s="2" t="s">
        <v>19</v>
      </c>
      <c r="I3712" s="2" t="s">
        <v>14</v>
      </c>
    </row>
    <row r="3713" spans="1:9" x14ac:dyDescent="0.35">
      <c r="A3713" s="2" t="s">
        <v>3757</v>
      </c>
      <c r="B3713" s="3">
        <v>45353</v>
      </c>
      <c r="C3713" s="2" t="s">
        <v>10</v>
      </c>
      <c r="D3713" s="2" t="s">
        <v>46</v>
      </c>
      <c r="E3713" s="2" t="s">
        <v>18</v>
      </c>
      <c r="F3713" s="2">
        <v>269.13</v>
      </c>
      <c r="G3713" s="2">
        <v>19.420000000000002</v>
      </c>
      <c r="H3713" s="2" t="s">
        <v>19</v>
      </c>
      <c r="I3713" s="2" t="s">
        <v>29</v>
      </c>
    </row>
    <row r="3714" spans="1:9" x14ac:dyDescent="0.35">
      <c r="A3714" s="2" t="s">
        <v>3758</v>
      </c>
      <c r="B3714" s="3">
        <v>45567</v>
      </c>
      <c r="C3714" s="2" t="s">
        <v>10</v>
      </c>
      <c r="D3714" s="2" t="s">
        <v>26</v>
      </c>
      <c r="E3714" s="2" t="s">
        <v>27</v>
      </c>
      <c r="F3714" s="2">
        <v>736.25</v>
      </c>
      <c r="G3714" s="2">
        <v>49.62</v>
      </c>
      <c r="H3714" s="2" t="s">
        <v>28</v>
      </c>
      <c r="I3714" s="2" t="s">
        <v>14</v>
      </c>
    </row>
    <row r="3715" spans="1:9" x14ac:dyDescent="0.35">
      <c r="A3715" s="2" t="s">
        <v>3759</v>
      </c>
      <c r="B3715" s="3">
        <v>45612</v>
      </c>
      <c r="C3715" s="2" t="s">
        <v>10</v>
      </c>
      <c r="D3715" s="2" t="s">
        <v>26</v>
      </c>
      <c r="E3715" s="2" t="s">
        <v>27</v>
      </c>
      <c r="F3715" s="2">
        <v>1222.6099999999999</v>
      </c>
      <c r="G3715" s="2">
        <v>139.86000000000001</v>
      </c>
      <c r="H3715" s="2" t="s">
        <v>13</v>
      </c>
      <c r="I3715" s="2" t="s">
        <v>34</v>
      </c>
    </row>
    <row r="3716" spans="1:9" x14ac:dyDescent="0.35">
      <c r="A3716" s="2" t="s">
        <v>3760</v>
      </c>
      <c r="B3716" s="3">
        <v>44745</v>
      </c>
      <c r="C3716" s="2" t="s">
        <v>22</v>
      </c>
      <c r="D3716" s="2" t="s">
        <v>62</v>
      </c>
      <c r="E3716" s="2" t="s">
        <v>27</v>
      </c>
      <c r="F3716" s="2">
        <v>81.489999999999995</v>
      </c>
      <c r="G3716" s="2">
        <v>10.84</v>
      </c>
      <c r="H3716" s="2" t="s">
        <v>19</v>
      </c>
      <c r="I3716" s="2" t="s">
        <v>14</v>
      </c>
    </row>
    <row r="3717" spans="1:9" x14ac:dyDescent="0.35">
      <c r="A3717" s="2" t="s">
        <v>3761</v>
      </c>
      <c r="B3717" s="3">
        <v>45184</v>
      </c>
      <c r="C3717" s="2" t="s">
        <v>16</v>
      </c>
      <c r="D3717" s="2" t="s">
        <v>57</v>
      </c>
      <c r="E3717" s="2" t="s">
        <v>27</v>
      </c>
      <c r="F3717" s="2">
        <v>1473.42</v>
      </c>
      <c r="G3717" s="2">
        <v>202.13</v>
      </c>
      <c r="H3717" s="2" t="s">
        <v>28</v>
      </c>
      <c r="I3717" s="2" t="s">
        <v>14</v>
      </c>
    </row>
    <row r="3718" spans="1:9" x14ac:dyDescent="0.35">
      <c r="A3718" s="2" t="s">
        <v>3762</v>
      </c>
      <c r="B3718" s="3">
        <v>45582</v>
      </c>
      <c r="C3718" s="2" t="s">
        <v>16</v>
      </c>
      <c r="D3718" s="2" t="s">
        <v>95</v>
      </c>
      <c r="E3718" s="2" t="s">
        <v>18</v>
      </c>
      <c r="F3718" s="2">
        <v>967.34</v>
      </c>
      <c r="G3718" s="2">
        <v>258.5</v>
      </c>
      <c r="H3718" s="2" t="s">
        <v>28</v>
      </c>
      <c r="I3718" s="2" t="s">
        <v>29</v>
      </c>
    </row>
    <row r="3719" spans="1:9" x14ac:dyDescent="0.35">
      <c r="A3719" s="2" t="s">
        <v>3763</v>
      </c>
      <c r="B3719" s="3">
        <v>45585</v>
      </c>
      <c r="C3719" s="2" t="s">
        <v>25</v>
      </c>
      <c r="D3719" s="2" t="s">
        <v>97</v>
      </c>
      <c r="E3719" s="2" t="s">
        <v>27</v>
      </c>
      <c r="F3719" s="2">
        <v>1400.59</v>
      </c>
      <c r="G3719" s="2">
        <v>200.76</v>
      </c>
      <c r="H3719" s="2" t="s">
        <v>28</v>
      </c>
      <c r="I3719" s="2" t="s">
        <v>29</v>
      </c>
    </row>
    <row r="3720" spans="1:9" x14ac:dyDescent="0.35">
      <c r="A3720" s="2" t="s">
        <v>3764</v>
      </c>
      <c r="B3720" s="3">
        <v>45404</v>
      </c>
      <c r="C3720" s="2" t="s">
        <v>25</v>
      </c>
      <c r="D3720" s="2" t="s">
        <v>41</v>
      </c>
      <c r="E3720" s="2" t="s">
        <v>12</v>
      </c>
      <c r="F3720" s="2">
        <v>756.84</v>
      </c>
      <c r="G3720" s="2">
        <v>87.24</v>
      </c>
      <c r="H3720" s="2" t="s">
        <v>19</v>
      </c>
      <c r="I3720" s="2" t="s">
        <v>14</v>
      </c>
    </row>
    <row r="3721" spans="1:9" x14ac:dyDescent="0.35">
      <c r="A3721" s="2" t="s">
        <v>3765</v>
      </c>
      <c r="B3721" s="3">
        <v>45268</v>
      </c>
      <c r="C3721" s="2" t="s">
        <v>16</v>
      </c>
      <c r="D3721" s="2" t="s">
        <v>46</v>
      </c>
      <c r="E3721" s="2" t="s">
        <v>18</v>
      </c>
      <c r="F3721" s="2">
        <v>1938.43</v>
      </c>
      <c r="G3721" s="2">
        <v>493.72</v>
      </c>
      <c r="H3721" s="2" t="s">
        <v>13</v>
      </c>
      <c r="I3721" s="2" t="s">
        <v>34</v>
      </c>
    </row>
    <row r="3722" spans="1:9" x14ac:dyDescent="0.35">
      <c r="A3722" s="2" t="s">
        <v>3766</v>
      </c>
      <c r="B3722" s="3">
        <v>45212</v>
      </c>
      <c r="C3722" s="2" t="s">
        <v>25</v>
      </c>
      <c r="D3722" s="2" t="s">
        <v>31</v>
      </c>
      <c r="E3722" s="2" t="s">
        <v>12</v>
      </c>
      <c r="F3722" s="2">
        <v>828.36</v>
      </c>
      <c r="G3722" s="2">
        <v>198.79</v>
      </c>
      <c r="H3722" s="2" t="s">
        <v>19</v>
      </c>
      <c r="I3722" s="2" t="s">
        <v>20</v>
      </c>
    </row>
    <row r="3723" spans="1:9" x14ac:dyDescent="0.35">
      <c r="A3723" s="2" t="s">
        <v>3767</v>
      </c>
      <c r="B3723" s="3">
        <v>45323</v>
      </c>
      <c r="C3723" s="2" t="s">
        <v>25</v>
      </c>
      <c r="D3723" s="2" t="s">
        <v>97</v>
      </c>
      <c r="E3723" s="2" t="s">
        <v>27</v>
      </c>
      <c r="F3723" s="2">
        <v>1476.62</v>
      </c>
      <c r="G3723" s="2">
        <v>293.14</v>
      </c>
      <c r="H3723" s="2" t="s">
        <v>28</v>
      </c>
      <c r="I3723" s="2" t="s">
        <v>20</v>
      </c>
    </row>
    <row r="3724" spans="1:9" x14ac:dyDescent="0.35">
      <c r="A3724" s="2" t="s">
        <v>3768</v>
      </c>
      <c r="B3724" s="3">
        <v>44871</v>
      </c>
      <c r="C3724" s="2" t="s">
        <v>10</v>
      </c>
      <c r="D3724" s="2" t="s">
        <v>11</v>
      </c>
      <c r="E3724" s="2" t="s">
        <v>12</v>
      </c>
      <c r="F3724" s="2">
        <v>1246.1400000000001</v>
      </c>
      <c r="G3724" s="2">
        <v>190.53</v>
      </c>
      <c r="H3724" s="2" t="s">
        <v>19</v>
      </c>
      <c r="I3724" s="2" t="s">
        <v>20</v>
      </c>
    </row>
    <row r="3725" spans="1:9" x14ac:dyDescent="0.35">
      <c r="A3725" s="2" t="s">
        <v>3769</v>
      </c>
      <c r="B3725" s="3">
        <v>44602</v>
      </c>
      <c r="C3725" s="2" t="s">
        <v>25</v>
      </c>
      <c r="D3725" s="2" t="s">
        <v>41</v>
      </c>
      <c r="E3725" s="2" t="s">
        <v>12</v>
      </c>
      <c r="F3725" s="2">
        <v>1163.9000000000001</v>
      </c>
      <c r="G3725" s="2">
        <v>336.38</v>
      </c>
      <c r="H3725" s="2" t="s">
        <v>13</v>
      </c>
      <c r="I3725" s="2" t="s">
        <v>29</v>
      </c>
    </row>
    <row r="3726" spans="1:9" x14ac:dyDescent="0.35">
      <c r="A3726" s="2" t="s">
        <v>3770</v>
      </c>
      <c r="B3726" s="3">
        <v>45289</v>
      </c>
      <c r="C3726" s="2" t="s">
        <v>10</v>
      </c>
      <c r="D3726" s="2" t="s">
        <v>73</v>
      </c>
      <c r="E3726" s="2" t="s">
        <v>27</v>
      </c>
      <c r="F3726" s="2">
        <v>1160.21</v>
      </c>
      <c r="G3726" s="2">
        <v>71.209999999999994</v>
      </c>
      <c r="H3726" s="2" t="s">
        <v>19</v>
      </c>
      <c r="I3726" s="2" t="s">
        <v>20</v>
      </c>
    </row>
    <row r="3727" spans="1:9" x14ac:dyDescent="0.35">
      <c r="A3727" s="2" t="s">
        <v>3771</v>
      </c>
      <c r="B3727" s="3">
        <v>45376</v>
      </c>
      <c r="C3727" s="2" t="s">
        <v>10</v>
      </c>
      <c r="D3727" s="2" t="s">
        <v>31</v>
      </c>
      <c r="E3727" s="2" t="s">
        <v>12</v>
      </c>
      <c r="F3727" s="2">
        <v>1446.92</v>
      </c>
      <c r="G3727" s="2">
        <v>355.38</v>
      </c>
      <c r="H3727" s="2" t="s">
        <v>13</v>
      </c>
      <c r="I3727" s="2" t="s">
        <v>14</v>
      </c>
    </row>
    <row r="3728" spans="1:9" x14ac:dyDescent="0.35">
      <c r="A3728" s="2" t="s">
        <v>3772</v>
      </c>
      <c r="B3728" s="3">
        <v>45006</v>
      </c>
      <c r="C3728" s="2" t="s">
        <v>10</v>
      </c>
      <c r="D3728" s="2" t="s">
        <v>46</v>
      </c>
      <c r="E3728" s="2" t="s">
        <v>18</v>
      </c>
      <c r="F3728" s="2">
        <v>932.61</v>
      </c>
      <c r="G3728" s="2">
        <v>150.02000000000001</v>
      </c>
      <c r="H3728" s="2" t="s">
        <v>13</v>
      </c>
      <c r="I3728" s="2" t="s">
        <v>14</v>
      </c>
    </row>
    <row r="3729" spans="1:9" x14ac:dyDescent="0.35">
      <c r="A3729" s="2" t="s">
        <v>3773</v>
      </c>
      <c r="B3729" s="3">
        <v>45613</v>
      </c>
      <c r="C3729" s="2" t="s">
        <v>10</v>
      </c>
      <c r="D3729" s="2" t="s">
        <v>31</v>
      </c>
      <c r="E3729" s="2" t="s">
        <v>12</v>
      </c>
      <c r="F3729" s="2">
        <v>1232.6300000000001</v>
      </c>
      <c r="G3729" s="2">
        <v>255.1</v>
      </c>
      <c r="H3729" s="2" t="s">
        <v>13</v>
      </c>
      <c r="I3729" s="2" t="s">
        <v>20</v>
      </c>
    </row>
    <row r="3730" spans="1:9" x14ac:dyDescent="0.35">
      <c r="A3730" s="2" t="s">
        <v>3774</v>
      </c>
      <c r="B3730" s="3">
        <v>44659</v>
      </c>
      <c r="C3730" s="2" t="s">
        <v>25</v>
      </c>
      <c r="D3730" s="2" t="s">
        <v>50</v>
      </c>
      <c r="E3730" s="2" t="s">
        <v>12</v>
      </c>
      <c r="F3730" s="2">
        <v>1043.24</v>
      </c>
      <c r="G3730" s="2">
        <v>112.18</v>
      </c>
      <c r="H3730" s="2" t="s">
        <v>19</v>
      </c>
      <c r="I3730" s="2" t="s">
        <v>34</v>
      </c>
    </row>
    <row r="3731" spans="1:9" x14ac:dyDescent="0.35">
      <c r="A3731" s="2" t="s">
        <v>3775</v>
      </c>
      <c r="B3731" s="3">
        <v>45520</v>
      </c>
      <c r="C3731" s="2" t="s">
        <v>10</v>
      </c>
      <c r="D3731" s="2" t="s">
        <v>38</v>
      </c>
      <c r="E3731" s="2" t="s">
        <v>12</v>
      </c>
      <c r="F3731" s="2">
        <v>1443.75</v>
      </c>
      <c r="G3731" s="2">
        <v>210.09</v>
      </c>
      <c r="H3731" s="2" t="s">
        <v>13</v>
      </c>
      <c r="I3731" s="2" t="s">
        <v>20</v>
      </c>
    </row>
    <row r="3732" spans="1:9" x14ac:dyDescent="0.35">
      <c r="A3732" s="2" t="s">
        <v>3776</v>
      </c>
      <c r="B3732" s="3">
        <v>45145</v>
      </c>
      <c r="C3732" s="2" t="s">
        <v>22</v>
      </c>
      <c r="D3732" s="2" t="s">
        <v>33</v>
      </c>
      <c r="E3732" s="2" t="s">
        <v>18</v>
      </c>
      <c r="F3732" s="2">
        <v>1106.29</v>
      </c>
      <c r="G3732" s="2">
        <v>228.95</v>
      </c>
      <c r="H3732" s="2" t="s">
        <v>13</v>
      </c>
      <c r="I3732" s="2" t="s">
        <v>14</v>
      </c>
    </row>
    <row r="3733" spans="1:9" x14ac:dyDescent="0.35">
      <c r="A3733" s="2" t="s">
        <v>3777</v>
      </c>
      <c r="B3733" s="3">
        <v>45115</v>
      </c>
      <c r="C3733" s="2" t="s">
        <v>16</v>
      </c>
      <c r="D3733" s="2" t="s">
        <v>41</v>
      </c>
      <c r="E3733" s="2" t="s">
        <v>12</v>
      </c>
      <c r="F3733" s="2">
        <v>1682.1</v>
      </c>
      <c r="G3733" s="2">
        <v>117.58</v>
      </c>
      <c r="H3733" s="2" t="s">
        <v>13</v>
      </c>
      <c r="I3733" s="2" t="s">
        <v>20</v>
      </c>
    </row>
    <row r="3734" spans="1:9" x14ac:dyDescent="0.35">
      <c r="A3734" s="2" t="s">
        <v>3778</v>
      </c>
      <c r="B3734" s="3">
        <v>44822</v>
      </c>
      <c r="C3734" s="2" t="s">
        <v>22</v>
      </c>
      <c r="D3734" s="2" t="s">
        <v>33</v>
      </c>
      <c r="E3734" s="2" t="s">
        <v>18</v>
      </c>
      <c r="F3734" s="2">
        <v>329.66</v>
      </c>
      <c r="G3734" s="2">
        <v>28.32</v>
      </c>
      <c r="H3734" s="2" t="s">
        <v>28</v>
      </c>
      <c r="I3734" s="2" t="s">
        <v>20</v>
      </c>
    </row>
    <row r="3735" spans="1:9" x14ac:dyDescent="0.35">
      <c r="A3735" s="2" t="s">
        <v>3779</v>
      </c>
      <c r="B3735" s="3">
        <v>44750</v>
      </c>
      <c r="C3735" s="2" t="s">
        <v>25</v>
      </c>
      <c r="D3735" s="2" t="s">
        <v>62</v>
      </c>
      <c r="E3735" s="2" t="s">
        <v>27</v>
      </c>
      <c r="F3735" s="2">
        <v>867.43</v>
      </c>
      <c r="G3735" s="2">
        <v>127.78</v>
      </c>
      <c r="H3735" s="2" t="s">
        <v>28</v>
      </c>
      <c r="I3735" s="2" t="s">
        <v>34</v>
      </c>
    </row>
    <row r="3736" spans="1:9" x14ac:dyDescent="0.35">
      <c r="A3736" s="2" t="s">
        <v>3780</v>
      </c>
      <c r="B3736" s="3">
        <v>45473</v>
      </c>
      <c r="C3736" s="2" t="s">
        <v>25</v>
      </c>
      <c r="D3736" s="2" t="s">
        <v>31</v>
      </c>
      <c r="E3736" s="2" t="s">
        <v>12</v>
      </c>
      <c r="F3736" s="2">
        <v>1241.1199999999999</v>
      </c>
      <c r="G3736" s="2">
        <v>62.92</v>
      </c>
      <c r="H3736" s="2" t="s">
        <v>13</v>
      </c>
      <c r="I3736" s="2" t="s">
        <v>14</v>
      </c>
    </row>
    <row r="3737" spans="1:9" x14ac:dyDescent="0.35">
      <c r="A3737" s="2" t="s">
        <v>3781</v>
      </c>
      <c r="B3737" s="3">
        <v>44907</v>
      </c>
      <c r="C3737" s="2" t="s">
        <v>25</v>
      </c>
      <c r="D3737" s="2" t="s">
        <v>97</v>
      </c>
      <c r="E3737" s="2" t="s">
        <v>27</v>
      </c>
      <c r="F3737" s="2">
        <v>1377.69</v>
      </c>
      <c r="G3737" s="2">
        <v>155.54</v>
      </c>
      <c r="H3737" s="2" t="s">
        <v>28</v>
      </c>
      <c r="I3737" s="2" t="s">
        <v>14</v>
      </c>
    </row>
    <row r="3738" spans="1:9" x14ac:dyDescent="0.35">
      <c r="A3738" s="2" t="s">
        <v>3782</v>
      </c>
      <c r="B3738" s="3">
        <v>44877</v>
      </c>
      <c r="C3738" s="2" t="s">
        <v>25</v>
      </c>
      <c r="D3738" s="2" t="s">
        <v>50</v>
      </c>
      <c r="E3738" s="2" t="s">
        <v>12</v>
      </c>
      <c r="F3738" s="2">
        <v>486.18</v>
      </c>
      <c r="G3738" s="2">
        <v>60.09</v>
      </c>
      <c r="H3738" s="2" t="s">
        <v>28</v>
      </c>
      <c r="I3738" s="2" t="s">
        <v>20</v>
      </c>
    </row>
    <row r="3739" spans="1:9" x14ac:dyDescent="0.35">
      <c r="A3739" s="2" t="s">
        <v>3783</v>
      </c>
      <c r="B3739" s="3">
        <v>45053</v>
      </c>
      <c r="C3739" s="2" t="s">
        <v>10</v>
      </c>
      <c r="D3739" s="2" t="s">
        <v>11</v>
      </c>
      <c r="E3739" s="2" t="s">
        <v>12</v>
      </c>
      <c r="F3739" s="2">
        <v>1625.39</v>
      </c>
      <c r="G3739" s="2">
        <v>478.82</v>
      </c>
      <c r="H3739" s="2" t="s">
        <v>28</v>
      </c>
      <c r="I3739" s="2" t="s">
        <v>14</v>
      </c>
    </row>
    <row r="3740" spans="1:9" x14ac:dyDescent="0.35">
      <c r="A3740" s="2" t="s">
        <v>3784</v>
      </c>
      <c r="B3740" s="3">
        <v>44700</v>
      </c>
      <c r="C3740" s="2" t="s">
        <v>16</v>
      </c>
      <c r="D3740" s="2" t="s">
        <v>11</v>
      </c>
      <c r="E3740" s="2" t="s">
        <v>12</v>
      </c>
      <c r="F3740" s="2">
        <v>114.88</v>
      </c>
      <c r="G3740" s="2">
        <v>13.67</v>
      </c>
      <c r="H3740" s="2" t="s">
        <v>19</v>
      </c>
      <c r="I3740" s="2" t="s">
        <v>20</v>
      </c>
    </row>
    <row r="3741" spans="1:9" x14ac:dyDescent="0.35">
      <c r="A3741" s="2" t="s">
        <v>3785</v>
      </c>
      <c r="B3741" s="3">
        <v>45000</v>
      </c>
      <c r="C3741" s="2" t="s">
        <v>25</v>
      </c>
      <c r="D3741" s="2" t="s">
        <v>73</v>
      </c>
      <c r="E3741" s="2" t="s">
        <v>27</v>
      </c>
      <c r="F3741" s="2">
        <v>801.97</v>
      </c>
      <c r="G3741" s="2">
        <v>112.71</v>
      </c>
      <c r="H3741" s="2" t="s">
        <v>19</v>
      </c>
      <c r="I3741" s="2" t="s">
        <v>14</v>
      </c>
    </row>
    <row r="3742" spans="1:9" x14ac:dyDescent="0.35">
      <c r="A3742" s="2" t="s">
        <v>3786</v>
      </c>
      <c r="B3742" s="3">
        <v>44584</v>
      </c>
      <c r="C3742" s="2" t="s">
        <v>16</v>
      </c>
      <c r="D3742" s="2" t="s">
        <v>62</v>
      </c>
      <c r="E3742" s="2" t="s">
        <v>27</v>
      </c>
      <c r="F3742" s="2">
        <v>204.24</v>
      </c>
      <c r="G3742" s="2">
        <v>32.74</v>
      </c>
      <c r="H3742" s="2" t="s">
        <v>19</v>
      </c>
      <c r="I3742" s="2" t="s">
        <v>34</v>
      </c>
    </row>
    <row r="3743" spans="1:9" x14ac:dyDescent="0.35">
      <c r="A3743" s="2" t="s">
        <v>3787</v>
      </c>
      <c r="B3743" s="3">
        <v>45059</v>
      </c>
      <c r="C3743" s="2" t="s">
        <v>10</v>
      </c>
      <c r="D3743" s="2" t="s">
        <v>41</v>
      </c>
      <c r="E3743" s="2" t="s">
        <v>12</v>
      </c>
      <c r="F3743" s="2">
        <v>1016.25</v>
      </c>
      <c r="G3743" s="2">
        <v>239.91</v>
      </c>
      <c r="H3743" s="2" t="s">
        <v>19</v>
      </c>
      <c r="I3743" s="2" t="s">
        <v>14</v>
      </c>
    </row>
    <row r="3744" spans="1:9" x14ac:dyDescent="0.35">
      <c r="A3744" s="2" t="s">
        <v>3788</v>
      </c>
      <c r="B3744" s="3">
        <v>45337</v>
      </c>
      <c r="C3744" s="2" t="s">
        <v>22</v>
      </c>
      <c r="D3744" s="2" t="s">
        <v>57</v>
      </c>
      <c r="E3744" s="2" t="s">
        <v>27</v>
      </c>
      <c r="F3744" s="2">
        <v>579.91</v>
      </c>
      <c r="G3744" s="2">
        <v>128.80000000000001</v>
      </c>
      <c r="H3744" s="2" t="s">
        <v>28</v>
      </c>
      <c r="I3744" s="2" t="s">
        <v>14</v>
      </c>
    </row>
    <row r="3745" spans="1:9" x14ac:dyDescent="0.35">
      <c r="A3745" s="2" t="s">
        <v>3789</v>
      </c>
      <c r="B3745" s="3">
        <v>45507</v>
      </c>
      <c r="C3745" s="2" t="s">
        <v>16</v>
      </c>
      <c r="D3745" s="2" t="s">
        <v>31</v>
      </c>
      <c r="E3745" s="2" t="s">
        <v>12</v>
      </c>
      <c r="F3745" s="2">
        <v>1299.47</v>
      </c>
      <c r="G3745" s="2">
        <v>214.52</v>
      </c>
      <c r="H3745" s="2" t="s">
        <v>13</v>
      </c>
      <c r="I3745" s="2" t="s">
        <v>29</v>
      </c>
    </row>
    <row r="3746" spans="1:9" x14ac:dyDescent="0.35">
      <c r="A3746" s="2" t="s">
        <v>3790</v>
      </c>
      <c r="B3746" s="3">
        <v>45249</v>
      </c>
      <c r="C3746" s="2" t="s">
        <v>22</v>
      </c>
      <c r="D3746" s="2" t="s">
        <v>17</v>
      </c>
      <c r="E3746" s="2" t="s">
        <v>18</v>
      </c>
      <c r="F3746" s="2">
        <v>1892.29</v>
      </c>
      <c r="G3746" s="2">
        <v>288.83</v>
      </c>
      <c r="H3746" s="2" t="s">
        <v>13</v>
      </c>
      <c r="I3746" s="2" t="s">
        <v>20</v>
      </c>
    </row>
    <row r="3747" spans="1:9" x14ac:dyDescent="0.35">
      <c r="A3747" s="2" t="s">
        <v>3791</v>
      </c>
      <c r="B3747" s="3">
        <v>45394</v>
      </c>
      <c r="C3747" s="2" t="s">
        <v>10</v>
      </c>
      <c r="D3747" s="2" t="s">
        <v>73</v>
      </c>
      <c r="E3747" s="2" t="s">
        <v>27</v>
      </c>
      <c r="F3747" s="2">
        <v>663.1</v>
      </c>
      <c r="G3747" s="2">
        <v>54.23</v>
      </c>
      <c r="H3747" s="2" t="s">
        <v>13</v>
      </c>
      <c r="I3747" s="2" t="s">
        <v>14</v>
      </c>
    </row>
    <row r="3748" spans="1:9" x14ac:dyDescent="0.35">
      <c r="A3748" s="2" t="s">
        <v>3792</v>
      </c>
      <c r="B3748" s="3">
        <v>45539</v>
      </c>
      <c r="C3748" s="2" t="s">
        <v>16</v>
      </c>
      <c r="D3748" s="2" t="s">
        <v>73</v>
      </c>
      <c r="E3748" s="2" t="s">
        <v>27</v>
      </c>
      <c r="F3748" s="2">
        <v>1096.3900000000001</v>
      </c>
      <c r="G3748" s="2">
        <v>253.21</v>
      </c>
      <c r="H3748" s="2" t="s">
        <v>13</v>
      </c>
      <c r="I3748" s="2" t="s">
        <v>34</v>
      </c>
    </row>
    <row r="3749" spans="1:9" x14ac:dyDescent="0.35">
      <c r="A3749" s="2" t="s">
        <v>3793</v>
      </c>
      <c r="B3749" s="3">
        <v>45049</v>
      </c>
      <c r="C3749" s="2" t="s">
        <v>16</v>
      </c>
      <c r="D3749" s="2" t="s">
        <v>50</v>
      </c>
      <c r="E3749" s="2" t="s">
        <v>12</v>
      </c>
      <c r="F3749" s="2">
        <v>1365.95</v>
      </c>
      <c r="G3749" s="2">
        <v>346.43</v>
      </c>
      <c r="H3749" s="2" t="s">
        <v>28</v>
      </c>
      <c r="I3749" s="2" t="s">
        <v>14</v>
      </c>
    </row>
    <row r="3750" spans="1:9" x14ac:dyDescent="0.35">
      <c r="A3750" s="2" t="s">
        <v>3794</v>
      </c>
      <c r="B3750" s="3">
        <v>44683</v>
      </c>
      <c r="C3750" s="2" t="s">
        <v>22</v>
      </c>
      <c r="D3750" s="2" t="s">
        <v>97</v>
      </c>
      <c r="E3750" s="2" t="s">
        <v>27</v>
      </c>
      <c r="F3750" s="2">
        <v>1772.9</v>
      </c>
      <c r="G3750" s="2">
        <v>161.59</v>
      </c>
      <c r="H3750" s="2" t="s">
        <v>19</v>
      </c>
      <c r="I3750" s="2" t="s">
        <v>14</v>
      </c>
    </row>
    <row r="3751" spans="1:9" x14ac:dyDescent="0.35">
      <c r="A3751" s="2" t="s">
        <v>3795</v>
      </c>
      <c r="B3751" s="3">
        <v>45558</v>
      </c>
      <c r="C3751" s="2" t="s">
        <v>22</v>
      </c>
      <c r="D3751" s="2" t="s">
        <v>17</v>
      </c>
      <c r="E3751" s="2" t="s">
        <v>18</v>
      </c>
      <c r="F3751" s="2">
        <v>1956.34</v>
      </c>
      <c r="G3751" s="2">
        <v>200.73</v>
      </c>
      <c r="H3751" s="2" t="s">
        <v>28</v>
      </c>
      <c r="I3751" s="2" t="s">
        <v>20</v>
      </c>
    </row>
    <row r="3752" spans="1:9" x14ac:dyDescent="0.35">
      <c r="A3752" s="2" t="s">
        <v>3796</v>
      </c>
      <c r="B3752" s="3">
        <v>45080</v>
      </c>
      <c r="C3752" s="2" t="s">
        <v>25</v>
      </c>
      <c r="D3752" s="2" t="s">
        <v>57</v>
      </c>
      <c r="E3752" s="2" t="s">
        <v>27</v>
      </c>
      <c r="F3752" s="2">
        <v>300.64</v>
      </c>
      <c r="G3752" s="2">
        <v>60.85</v>
      </c>
      <c r="H3752" s="2" t="s">
        <v>13</v>
      </c>
      <c r="I3752" s="2" t="s">
        <v>29</v>
      </c>
    </row>
    <row r="3753" spans="1:9" x14ac:dyDescent="0.35">
      <c r="A3753" s="2" t="s">
        <v>3797</v>
      </c>
      <c r="B3753" s="3">
        <v>45393</v>
      </c>
      <c r="C3753" s="2" t="s">
        <v>25</v>
      </c>
      <c r="D3753" s="2" t="s">
        <v>17</v>
      </c>
      <c r="E3753" s="2" t="s">
        <v>18</v>
      </c>
      <c r="F3753" s="2">
        <v>122.95</v>
      </c>
      <c r="G3753" s="2">
        <v>17.25</v>
      </c>
      <c r="H3753" s="2" t="s">
        <v>28</v>
      </c>
      <c r="I3753" s="2" t="s">
        <v>14</v>
      </c>
    </row>
    <row r="3754" spans="1:9" x14ac:dyDescent="0.35">
      <c r="A3754" s="2" t="s">
        <v>3798</v>
      </c>
      <c r="B3754" s="3">
        <v>45173</v>
      </c>
      <c r="C3754" s="2" t="s">
        <v>10</v>
      </c>
      <c r="D3754" s="2" t="s">
        <v>62</v>
      </c>
      <c r="E3754" s="2" t="s">
        <v>27</v>
      </c>
      <c r="F3754" s="2">
        <v>1837.47</v>
      </c>
      <c r="G3754" s="2">
        <v>262.85000000000002</v>
      </c>
      <c r="H3754" s="2" t="s">
        <v>19</v>
      </c>
      <c r="I3754" s="2" t="s">
        <v>29</v>
      </c>
    </row>
    <row r="3755" spans="1:9" x14ac:dyDescent="0.35">
      <c r="A3755" s="2" t="s">
        <v>3799</v>
      </c>
      <c r="B3755" s="3">
        <v>44976</v>
      </c>
      <c r="C3755" s="2" t="s">
        <v>22</v>
      </c>
      <c r="D3755" s="2" t="s">
        <v>62</v>
      </c>
      <c r="E3755" s="2" t="s">
        <v>27</v>
      </c>
      <c r="F3755" s="2">
        <v>487.38</v>
      </c>
      <c r="G3755" s="2">
        <v>81.25</v>
      </c>
      <c r="H3755" s="2" t="s">
        <v>19</v>
      </c>
      <c r="I3755" s="2" t="s">
        <v>34</v>
      </c>
    </row>
    <row r="3756" spans="1:9" x14ac:dyDescent="0.35">
      <c r="A3756" s="2" t="s">
        <v>3800</v>
      </c>
      <c r="B3756" s="3">
        <v>44941</v>
      </c>
      <c r="C3756" s="2" t="s">
        <v>16</v>
      </c>
      <c r="D3756" s="2" t="s">
        <v>38</v>
      </c>
      <c r="E3756" s="2" t="s">
        <v>12</v>
      </c>
      <c r="F3756" s="2">
        <v>529.46</v>
      </c>
      <c r="G3756" s="2">
        <v>34.24</v>
      </c>
      <c r="H3756" s="2" t="s">
        <v>19</v>
      </c>
      <c r="I3756" s="2" t="s">
        <v>14</v>
      </c>
    </row>
    <row r="3757" spans="1:9" x14ac:dyDescent="0.35">
      <c r="A3757" s="2" t="s">
        <v>3801</v>
      </c>
      <c r="B3757" s="3">
        <v>45475</v>
      </c>
      <c r="C3757" s="2" t="s">
        <v>22</v>
      </c>
      <c r="D3757" s="2" t="s">
        <v>41</v>
      </c>
      <c r="E3757" s="2" t="s">
        <v>12</v>
      </c>
      <c r="F3757" s="2">
        <v>389.24</v>
      </c>
      <c r="G3757" s="2">
        <v>24.23</v>
      </c>
      <c r="H3757" s="2" t="s">
        <v>19</v>
      </c>
      <c r="I3757" s="2" t="s">
        <v>29</v>
      </c>
    </row>
    <row r="3758" spans="1:9" x14ac:dyDescent="0.35">
      <c r="A3758" s="2" t="s">
        <v>3802</v>
      </c>
      <c r="B3758" s="3">
        <v>44882</v>
      </c>
      <c r="C3758" s="2" t="s">
        <v>16</v>
      </c>
      <c r="D3758" s="2" t="s">
        <v>17</v>
      </c>
      <c r="E3758" s="2" t="s">
        <v>18</v>
      </c>
      <c r="F3758" s="2">
        <v>786.45</v>
      </c>
      <c r="G3758" s="2">
        <v>123.79</v>
      </c>
      <c r="H3758" s="2" t="s">
        <v>28</v>
      </c>
      <c r="I3758" s="2" t="s">
        <v>20</v>
      </c>
    </row>
    <row r="3759" spans="1:9" x14ac:dyDescent="0.35">
      <c r="A3759" s="2" t="s">
        <v>3803</v>
      </c>
      <c r="B3759" s="3">
        <v>44677</v>
      </c>
      <c r="C3759" s="2" t="s">
        <v>25</v>
      </c>
      <c r="D3759" s="2" t="s">
        <v>46</v>
      </c>
      <c r="E3759" s="2" t="s">
        <v>18</v>
      </c>
      <c r="F3759" s="2">
        <v>1814.93</v>
      </c>
      <c r="G3759" s="2">
        <v>467.94</v>
      </c>
      <c r="H3759" s="2" t="s">
        <v>28</v>
      </c>
      <c r="I3759" s="2" t="s">
        <v>20</v>
      </c>
    </row>
    <row r="3760" spans="1:9" x14ac:dyDescent="0.35">
      <c r="A3760" s="2" t="s">
        <v>3804</v>
      </c>
      <c r="B3760" s="3">
        <v>45647</v>
      </c>
      <c r="C3760" s="2" t="s">
        <v>25</v>
      </c>
      <c r="D3760" s="2" t="s">
        <v>38</v>
      </c>
      <c r="E3760" s="2" t="s">
        <v>12</v>
      </c>
      <c r="F3760" s="2">
        <v>141.52000000000001</v>
      </c>
      <c r="G3760" s="2">
        <v>7.41</v>
      </c>
      <c r="H3760" s="2" t="s">
        <v>13</v>
      </c>
      <c r="I3760" s="2" t="s">
        <v>20</v>
      </c>
    </row>
    <row r="3761" spans="1:9" x14ac:dyDescent="0.35">
      <c r="A3761" s="2" t="s">
        <v>3805</v>
      </c>
      <c r="B3761" s="3">
        <v>45053</v>
      </c>
      <c r="C3761" s="2" t="s">
        <v>25</v>
      </c>
      <c r="D3761" s="2" t="s">
        <v>11</v>
      </c>
      <c r="E3761" s="2" t="s">
        <v>12</v>
      </c>
      <c r="F3761" s="2">
        <v>156.44</v>
      </c>
      <c r="G3761" s="2">
        <v>46.36</v>
      </c>
      <c r="H3761" s="2" t="s">
        <v>13</v>
      </c>
      <c r="I3761" s="2" t="s">
        <v>20</v>
      </c>
    </row>
    <row r="3762" spans="1:9" x14ac:dyDescent="0.35">
      <c r="A3762" s="2" t="s">
        <v>3806</v>
      </c>
      <c r="B3762" s="3">
        <v>45328</v>
      </c>
      <c r="C3762" s="2" t="s">
        <v>10</v>
      </c>
      <c r="D3762" s="2" t="s">
        <v>23</v>
      </c>
      <c r="E3762" s="2" t="s">
        <v>18</v>
      </c>
      <c r="F3762" s="2">
        <v>938.02</v>
      </c>
      <c r="G3762" s="2">
        <v>113.24</v>
      </c>
      <c r="H3762" s="2" t="s">
        <v>19</v>
      </c>
      <c r="I3762" s="2" t="s">
        <v>14</v>
      </c>
    </row>
    <row r="3763" spans="1:9" x14ac:dyDescent="0.35">
      <c r="A3763" s="2" t="s">
        <v>3807</v>
      </c>
      <c r="B3763" s="3">
        <v>45267</v>
      </c>
      <c r="C3763" s="2" t="s">
        <v>10</v>
      </c>
      <c r="D3763" s="2" t="s">
        <v>23</v>
      </c>
      <c r="E3763" s="2" t="s">
        <v>18</v>
      </c>
      <c r="F3763" s="2">
        <v>1599.16</v>
      </c>
      <c r="G3763" s="2">
        <v>174.19</v>
      </c>
      <c r="H3763" s="2" t="s">
        <v>13</v>
      </c>
      <c r="I3763" s="2" t="s">
        <v>29</v>
      </c>
    </row>
    <row r="3764" spans="1:9" x14ac:dyDescent="0.35">
      <c r="A3764" s="2" t="s">
        <v>3808</v>
      </c>
      <c r="B3764" s="3">
        <v>44694</v>
      </c>
      <c r="C3764" s="2" t="s">
        <v>16</v>
      </c>
      <c r="D3764" s="2" t="s">
        <v>62</v>
      </c>
      <c r="E3764" s="2" t="s">
        <v>27</v>
      </c>
      <c r="F3764" s="2">
        <v>153.03</v>
      </c>
      <c r="G3764" s="2">
        <v>25.42</v>
      </c>
      <c r="H3764" s="2" t="s">
        <v>28</v>
      </c>
      <c r="I3764" s="2" t="s">
        <v>29</v>
      </c>
    </row>
    <row r="3765" spans="1:9" x14ac:dyDescent="0.35">
      <c r="A3765" s="2" t="s">
        <v>3809</v>
      </c>
      <c r="B3765" s="3">
        <v>44855</v>
      </c>
      <c r="C3765" s="2" t="s">
        <v>16</v>
      </c>
      <c r="D3765" s="2" t="s">
        <v>33</v>
      </c>
      <c r="E3765" s="2" t="s">
        <v>18</v>
      </c>
      <c r="F3765" s="2">
        <v>920.27</v>
      </c>
      <c r="G3765" s="2">
        <v>142.47</v>
      </c>
      <c r="H3765" s="2" t="s">
        <v>28</v>
      </c>
      <c r="I3765" s="2" t="s">
        <v>34</v>
      </c>
    </row>
    <row r="3766" spans="1:9" x14ac:dyDescent="0.35">
      <c r="A3766" s="2" t="s">
        <v>3810</v>
      </c>
      <c r="B3766" s="3">
        <v>45169</v>
      </c>
      <c r="C3766" s="2" t="s">
        <v>25</v>
      </c>
      <c r="D3766" s="2" t="s">
        <v>57</v>
      </c>
      <c r="E3766" s="2" t="s">
        <v>27</v>
      </c>
      <c r="F3766" s="2">
        <v>450.72</v>
      </c>
      <c r="G3766" s="2">
        <v>49.4</v>
      </c>
      <c r="H3766" s="2" t="s">
        <v>19</v>
      </c>
      <c r="I3766" s="2" t="s">
        <v>34</v>
      </c>
    </row>
    <row r="3767" spans="1:9" x14ac:dyDescent="0.35">
      <c r="A3767" s="2" t="s">
        <v>3811</v>
      </c>
      <c r="B3767" s="3">
        <v>45312</v>
      </c>
      <c r="C3767" s="2" t="s">
        <v>25</v>
      </c>
      <c r="D3767" s="2" t="s">
        <v>97</v>
      </c>
      <c r="E3767" s="2" t="s">
        <v>27</v>
      </c>
      <c r="F3767" s="2">
        <v>1282.26</v>
      </c>
      <c r="G3767" s="2">
        <v>289.18</v>
      </c>
      <c r="H3767" s="2" t="s">
        <v>28</v>
      </c>
      <c r="I3767" s="2" t="s">
        <v>29</v>
      </c>
    </row>
    <row r="3768" spans="1:9" x14ac:dyDescent="0.35">
      <c r="A3768" s="2" t="s">
        <v>3812</v>
      </c>
      <c r="B3768" s="3">
        <v>45173</v>
      </c>
      <c r="C3768" s="2" t="s">
        <v>22</v>
      </c>
      <c r="D3768" s="2" t="s">
        <v>26</v>
      </c>
      <c r="E3768" s="2" t="s">
        <v>27</v>
      </c>
      <c r="F3768" s="2">
        <v>652.96</v>
      </c>
      <c r="G3768" s="2">
        <v>33.119999999999997</v>
      </c>
      <c r="H3768" s="2" t="s">
        <v>19</v>
      </c>
      <c r="I3768" s="2" t="s">
        <v>20</v>
      </c>
    </row>
    <row r="3769" spans="1:9" x14ac:dyDescent="0.35">
      <c r="A3769" s="2" t="s">
        <v>3813</v>
      </c>
      <c r="B3769" s="3">
        <v>45263</v>
      </c>
      <c r="C3769" s="2" t="s">
        <v>10</v>
      </c>
      <c r="D3769" s="2" t="s">
        <v>95</v>
      </c>
      <c r="E3769" s="2" t="s">
        <v>18</v>
      </c>
      <c r="F3769" s="2">
        <v>956.07</v>
      </c>
      <c r="G3769" s="2">
        <v>152.63999999999999</v>
      </c>
      <c r="H3769" s="2" t="s">
        <v>28</v>
      </c>
      <c r="I3769" s="2" t="s">
        <v>34</v>
      </c>
    </row>
    <row r="3770" spans="1:9" x14ac:dyDescent="0.35">
      <c r="A3770" s="2" t="s">
        <v>3814</v>
      </c>
      <c r="B3770" s="3">
        <v>45338</v>
      </c>
      <c r="C3770" s="2" t="s">
        <v>25</v>
      </c>
      <c r="D3770" s="2" t="s">
        <v>46</v>
      </c>
      <c r="E3770" s="2" t="s">
        <v>18</v>
      </c>
      <c r="F3770" s="2">
        <v>1650.89</v>
      </c>
      <c r="G3770" s="2">
        <v>189.42</v>
      </c>
      <c r="H3770" s="2" t="s">
        <v>28</v>
      </c>
      <c r="I3770" s="2" t="s">
        <v>20</v>
      </c>
    </row>
    <row r="3771" spans="1:9" x14ac:dyDescent="0.35">
      <c r="A3771" s="2" t="s">
        <v>3815</v>
      </c>
      <c r="B3771" s="3">
        <v>44774</v>
      </c>
      <c r="C3771" s="2" t="s">
        <v>25</v>
      </c>
      <c r="D3771" s="2" t="s">
        <v>38</v>
      </c>
      <c r="E3771" s="2" t="s">
        <v>12</v>
      </c>
      <c r="F3771" s="2">
        <v>1020.29</v>
      </c>
      <c r="G3771" s="2">
        <v>281.42</v>
      </c>
      <c r="H3771" s="2" t="s">
        <v>13</v>
      </c>
      <c r="I3771" s="2" t="s">
        <v>14</v>
      </c>
    </row>
    <row r="3772" spans="1:9" x14ac:dyDescent="0.35">
      <c r="A3772" s="2" t="s">
        <v>3816</v>
      </c>
      <c r="B3772" s="3">
        <v>44860</v>
      </c>
      <c r="C3772" s="2" t="s">
        <v>25</v>
      </c>
      <c r="D3772" s="2" t="s">
        <v>17</v>
      </c>
      <c r="E3772" s="2" t="s">
        <v>18</v>
      </c>
      <c r="F3772" s="2">
        <v>1764.62</v>
      </c>
      <c r="G3772" s="2">
        <v>169.17</v>
      </c>
      <c r="H3772" s="2" t="s">
        <v>19</v>
      </c>
      <c r="I3772" s="2" t="s">
        <v>29</v>
      </c>
    </row>
    <row r="3773" spans="1:9" x14ac:dyDescent="0.35">
      <c r="A3773" s="2" t="s">
        <v>3817</v>
      </c>
      <c r="B3773" s="3">
        <v>45527</v>
      </c>
      <c r="C3773" s="2" t="s">
        <v>22</v>
      </c>
      <c r="D3773" s="2" t="s">
        <v>97</v>
      </c>
      <c r="E3773" s="2" t="s">
        <v>27</v>
      </c>
      <c r="F3773" s="2">
        <v>1295.77</v>
      </c>
      <c r="G3773" s="2">
        <v>377.33</v>
      </c>
      <c r="H3773" s="2" t="s">
        <v>28</v>
      </c>
      <c r="I3773" s="2" t="s">
        <v>34</v>
      </c>
    </row>
    <row r="3774" spans="1:9" x14ac:dyDescent="0.35">
      <c r="A3774" s="2" t="s">
        <v>3818</v>
      </c>
      <c r="B3774" s="3">
        <v>44589</v>
      </c>
      <c r="C3774" s="2" t="s">
        <v>16</v>
      </c>
      <c r="D3774" s="2" t="s">
        <v>57</v>
      </c>
      <c r="E3774" s="2" t="s">
        <v>27</v>
      </c>
      <c r="F3774" s="2">
        <v>726.05</v>
      </c>
      <c r="G3774" s="2">
        <v>164.92</v>
      </c>
      <c r="H3774" s="2" t="s">
        <v>13</v>
      </c>
      <c r="I3774" s="2" t="s">
        <v>34</v>
      </c>
    </row>
    <row r="3775" spans="1:9" x14ac:dyDescent="0.35">
      <c r="A3775" s="2" t="s">
        <v>3819</v>
      </c>
      <c r="B3775" s="3">
        <v>45132</v>
      </c>
      <c r="C3775" s="2" t="s">
        <v>16</v>
      </c>
      <c r="D3775" s="2" t="s">
        <v>38</v>
      </c>
      <c r="E3775" s="2" t="s">
        <v>12</v>
      </c>
      <c r="F3775" s="2">
        <v>1426.78</v>
      </c>
      <c r="G3775" s="2">
        <v>217.9</v>
      </c>
      <c r="H3775" s="2" t="s">
        <v>28</v>
      </c>
      <c r="I3775" s="2" t="s">
        <v>20</v>
      </c>
    </row>
    <row r="3776" spans="1:9" x14ac:dyDescent="0.35">
      <c r="A3776" s="2" t="s">
        <v>3820</v>
      </c>
      <c r="B3776" s="3">
        <v>44870</v>
      </c>
      <c r="C3776" s="2" t="s">
        <v>10</v>
      </c>
      <c r="D3776" s="2" t="s">
        <v>73</v>
      </c>
      <c r="E3776" s="2" t="s">
        <v>27</v>
      </c>
      <c r="F3776" s="2">
        <v>483.38</v>
      </c>
      <c r="G3776" s="2">
        <v>62.14</v>
      </c>
      <c r="H3776" s="2" t="s">
        <v>19</v>
      </c>
      <c r="I3776" s="2" t="s">
        <v>14</v>
      </c>
    </row>
    <row r="3777" spans="1:9" x14ac:dyDescent="0.35">
      <c r="A3777" s="2" t="s">
        <v>3821</v>
      </c>
      <c r="B3777" s="3">
        <v>44655</v>
      </c>
      <c r="C3777" s="2" t="s">
        <v>16</v>
      </c>
      <c r="D3777" s="2" t="s">
        <v>50</v>
      </c>
      <c r="E3777" s="2" t="s">
        <v>12</v>
      </c>
      <c r="F3777" s="2">
        <v>1665.06</v>
      </c>
      <c r="G3777" s="2">
        <v>362.18</v>
      </c>
      <c r="H3777" s="2" t="s">
        <v>19</v>
      </c>
      <c r="I3777" s="2" t="s">
        <v>29</v>
      </c>
    </row>
    <row r="3778" spans="1:9" x14ac:dyDescent="0.35">
      <c r="A3778" s="2" t="s">
        <v>3822</v>
      </c>
      <c r="B3778" s="3">
        <v>45131</v>
      </c>
      <c r="C3778" s="2" t="s">
        <v>22</v>
      </c>
      <c r="D3778" s="2" t="s">
        <v>41</v>
      </c>
      <c r="E3778" s="2" t="s">
        <v>12</v>
      </c>
      <c r="F3778" s="2">
        <v>1775.77</v>
      </c>
      <c r="G3778" s="2">
        <v>219.45</v>
      </c>
      <c r="H3778" s="2" t="s">
        <v>19</v>
      </c>
      <c r="I3778" s="2" t="s">
        <v>14</v>
      </c>
    </row>
    <row r="3779" spans="1:9" x14ac:dyDescent="0.35">
      <c r="A3779" s="2" t="s">
        <v>3823</v>
      </c>
      <c r="B3779" s="3">
        <v>45417</v>
      </c>
      <c r="C3779" s="2" t="s">
        <v>22</v>
      </c>
      <c r="D3779" s="2" t="s">
        <v>38</v>
      </c>
      <c r="E3779" s="2" t="s">
        <v>12</v>
      </c>
      <c r="F3779" s="2">
        <v>1992.27</v>
      </c>
      <c r="G3779" s="2">
        <v>159.86000000000001</v>
      </c>
      <c r="H3779" s="2" t="s">
        <v>13</v>
      </c>
      <c r="I3779" s="2" t="s">
        <v>34</v>
      </c>
    </row>
    <row r="3780" spans="1:9" x14ac:dyDescent="0.35">
      <c r="A3780" s="2" t="s">
        <v>3824</v>
      </c>
      <c r="B3780" s="3">
        <v>44799</v>
      </c>
      <c r="C3780" s="2" t="s">
        <v>10</v>
      </c>
      <c r="D3780" s="2" t="s">
        <v>33</v>
      </c>
      <c r="E3780" s="2" t="s">
        <v>18</v>
      </c>
      <c r="F3780" s="2">
        <v>62.88</v>
      </c>
      <c r="G3780" s="2">
        <v>4.21</v>
      </c>
      <c r="H3780" s="2" t="s">
        <v>28</v>
      </c>
      <c r="I3780" s="2" t="s">
        <v>14</v>
      </c>
    </row>
    <row r="3781" spans="1:9" x14ac:dyDescent="0.35">
      <c r="A3781" s="2" t="s">
        <v>3825</v>
      </c>
      <c r="B3781" s="3">
        <v>45231</v>
      </c>
      <c r="C3781" s="2" t="s">
        <v>25</v>
      </c>
      <c r="D3781" s="2" t="s">
        <v>57</v>
      </c>
      <c r="E3781" s="2" t="s">
        <v>27</v>
      </c>
      <c r="F3781" s="2">
        <v>627.79</v>
      </c>
      <c r="G3781" s="2">
        <v>86.3</v>
      </c>
      <c r="H3781" s="2" t="s">
        <v>13</v>
      </c>
      <c r="I3781" s="2" t="s">
        <v>20</v>
      </c>
    </row>
    <row r="3782" spans="1:9" x14ac:dyDescent="0.35">
      <c r="A3782" s="2" t="s">
        <v>3826</v>
      </c>
      <c r="B3782" s="3">
        <v>44743</v>
      </c>
      <c r="C3782" s="2" t="s">
        <v>25</v>
      </c>
      <c r="D3782" s="2" t="s">
        <v>57</v>
      </c>
      <c r="E3782" s="2" t="s">
        <v>27</v>
      </c>
      <c r="F3782" s="2">
        <v>1113.0899999999999</v>
      </c>
      <c r="G3782" s="2">
        <v>117.61</v>
      </c>
      <c r="H3782" s="2" t="s">
        <v>13</v>
      </c>
      <c r="I3782" s="2" t="s">
        <v>34</v>
      </c>
    </row>
    <row r="3783" spans="1:9" x14ac:dyDescent="0.35">
      <c r="A3783" s="2" t="s">
        <v>3827</v>
      </c>
      <c r="B3783" s="3">
        <v>45190</v>
      </c>
      <c r="C3783" s="2" t="s">
        <v>25</v>
      </c>
      <c r="D3783" s="2" t="s">
        <v>97</v>
      </c>
      <c r="E3783" s="2" t="s">
        <v>27</v>
      </c>
      <c r="F3783" s="2">
        <v>1172.55</v>
      </c>
      <c r="G3783" s="2">
        <v>204.48</v>
      </c>
      <c r="H3783" s="2" t="s">
        <v>19</v>
      </c>
      <c r="I3783" s="2" t="s">
        <v>34</v>
      </c>
    </row>
    <row r="3784" spans="1:9" x14ac:dyDescent="0.35">
      <c r="A3784" s="2" t="s">
        <v>3828</v>
      </c>
      <c r="B3784" s="3">
        <v>44811</v>
      </c>
      <c r="C3784" s="2" t="s">
        <v>25</v>
      </c>
      <c r="D3784" s="2" t="s">
        <v>62</v>
      </c>
      <c r="E3784" s="2" t="s">
        <v>27</v>
      </c>
      <c r="F3784" s="2">
        <v>651.59</v>
      </c>
      <c r="G3784" s="2">
        <v>115.12</v>
      </c>
      <c r="H3784" s="2" t="s">
        <v>28</v>
      </c>
      <c r="I3784" s="2" t="s">
        <v>20</v>
      </c>
    </row>
    <row r="3785" spans="1:9" x14ac:dyDescent="0.35">
      <c r="A3785" s="2" t="s">
        <v>3829</v>
      </c>
      <c r="B3785" s="3">
        <v>44991</v>
      </c>
      <c r="C3785" s="2" t="s">
        <v>10</v>
      </c>
      <c r="D3785" s="2" t="s">
        <v>33</v>
      </c>
      <c r="E3785" s="2" t="s">
        <v>18</v>
      </c>
      <c r="F3785" s="2">
        <v>1468.45</v>
      </c>
      <c r="G3785" s="2">
        <v>312.7</v>
      </c>
      <c r="H3785" s="2" t="s">
        <v>28</v>
      </c>
      <c r="I3785" s="2" t="s">
        <v>14</v>
      </c>
    </row>
    <row r="3786" spans="1:9" x14ac:dyDescent="0.35">
      <c r="A3786" s="2" t="s">
        <v>3830</v>
      </c>
      <c r="B3786" s="3">
        <v>44905</v>
      </c>
      <c r="C3786" s="2" t="s">
        <v>25</v>
      </c>
      <c r="D3786" s="2" t="s">
        <v>73</v>
      </c>
      <c r="E3786" s="2" t="s">
        <v>27</v>
      </c>
      <c r="F3786" s="2">
        <v>853.86</v>
      </c>
      <c r="G3786" s="2">
        <v>196.83</v>
      </c>
      <c r="H3786" s="2" t="s">
        <v>19</v>
      </c>
      <c r="I3786" s="2" t="s">
        <v>29</v>
      </c>
    </row>
    <row r="3787" spans="1:9" x14ac:dyDescent="0.35">
      <c r="A3787" s="2" t="s">
        <v>3831</v>
      </c>
      <c r="B3787" s="3">
        <v>45619</v>
      </c>
      <c r="C3787" s="2" t="s">
        <v>10</v>
      </c>
      <c r="D3787" s="2" t="s">
        <v>38</v>
      </c>
      <c r="E3787" s="2" t="s">
        <v>12</v>
      </c>
      <c r="F3787" s="2">
        <v>433.74</v>
      </c>
      <c r="G3787" s="2">
        <v>68.489999999999995</v>
      </c>
      <c r="H3787" s="2" t="s">
        <v>13</v>
      </c>
      <c r="I3787" s="2" t="s">
        <v>34</v>
      </c>
    </row>
    <row r="3788" spans="1:9" x14ac:dyDescent="0.35">
      <c r="A3788" s="2" t="s">
        <v>3832</v>
      </c>
      <c r="B3788" s="3">
        <v>44948</v>
      </c>
      <c r="C3788" s="2" t="s">
        <v>22</v>
      </c>
      <c r="D3788" s="2" t="s">
        <v>33</v>
      </c>
      <c r="E3788" s="2" t="s">
        <v>18</v>
      </c>
      <c r="F3788" s="2">
        <v>1843.48</v>
      </c>
      <c r="G3788" s="2">
        <v>133.38999999999999</v>
      </c>
      <c r="H3788" s="2" t="s">
        <v>28</v>
      </c>
      <c r="I3788" s="2" t="s">
        <v>14</v>
      </c>
    </row>
    <row r="3789" spans="1:9" x14ac:dyDescent="0.35">
      <c r="A3789" s="2" t="s">
        <v>3833</v>
      </c>
      <c r="B3789" s="3">
        <v>44646</v>
      </c>
      <c r="C3789" s="2" t="s">
        <v>10</v>
      </c>
      <c r="D3789" s="2" t="s">
        <v>17</v>
      </c>
      <c r="E3789" s="2" t="s">
        <v>18</v>
      </c>
      <c r="F3789" s="2">
        <v>606.87</v>
      </c>
      <c r="G3789" s="2">
        <v>156.43</v>
      </c>
      <c r="H3789" s="2" t="s">
        <v>13</v>
      </c>
      <c r="I3789" s="2" t="s">
        <v>14</v>
      </c>
    </row>
    <row r="3790" spans="1:9" x14ac:dyDescent="0.35">
      <c r="A3790" s="2" t="s">
        <v>3834</v>
      </c>
      <c r="B3790" s="3">
        <v>45600</v>
      </c>
      <c r="C3790" s="2" t="s">
        <v>22</v>
      </c>
      <c r="D3790" s="2" t="s">
        <v>62</v>
      </c>
      <c r="E3790" s="2" t="s">
        <v>27</v>
      </c>
      <c r="F3790" s="2">
        <v>833.28</v>
      </c>
      <c r="G3790" s="2">
        <v>193.48</v>
      </c>
      <c r="H3790" s="2" t="s">
        <v>19</v>
      </c>
      <c r="I3790" s="2" t="s">
        <v>14</v>
      </c>
    </row>
    <row r="3791" spans="1:9" x14ac:dyDescent="0.35">
      <c r="A3791" s="2" t="s">
        <v>3835</v>
      </c>
      <c r="B3791" s="3">
        <v>44619</v>
      </c>
      <c r="C3791" s="2" t="s">
        <v>16</v>
      </c>
      <c r="D3791" s="2" t="s">
        <v>41</v>
      </c>
      <c r="E3791" s="2" t="s">
        <v>12</v>
      </c>
      <c r="F3791" s="2">
        <v>1722.92</v>
      </c>
      <c r="G3791" s="2">
        <v>229.47</v>
      </c>
      <c r="H3791" s="2" t="s">
        <v>19</v>
      </c>
      <c r="I3791" s="2" t="s">
        <v>20</v>
      </c>
    </row>
    <row r="3792" spans="1:9" x14ac:dyDescent="0.35">
      <c r="A3792" s="2" t="s">
        <v>3836</v>
      </c>
      <c r="B3792" s="3">
        <v>45051</v>
      </c>
      <c r="C3792" s="2" t="s">
        <v>25</v>
      </c>
      <c r="D3792" s="2" t="s">
        <v>33</v>
      </c>
      <c r="E3792" s="2" t="s">
        <v>18</v>
      </c>
      <c r="F3792" s="2">
        <v>1123.08</v>
      </c>
      <c r="G3792" s="2">
        <v>65.81</v>
      </c>
      <c r="H3792" s="2" t="s">
        <v>19</v>
      </c>
      <c r="I3792" s="2" t="s">
        <v>20</v>
      </c>
    </row>
    <row r="3793" spans="1:9" x14ac:dyDescent="0.35">
      <c r="A3793" s="2" t="s">
        <v>3837</v>
      </c>
      <c r="B3793" s="3">
        <v>45061</v>
      </c>
      <c r="C3793" s="2" t="s">
        <v>22</v>
      </c>
      <c r="D3793" s="2" t="s">
        <v>95</v>
      </c>
      <c r="E3793" s="2" t="s">
        <v>18</v>
      </c>
      <c r="F3793" s="2">
        <v>1448.9</v>
      </c>
      <c r="G3793" s="2">
        <v>98.55</v>
      </c>
      <c r="H3793" s="2" t="s">
        <v>19</v>
      </c>
      <c r="I3793" s="2" t="s">
        <v>14</v>
      </c>
    </row>
    <row r="3794" spans="1:9" x14ac:dyDescent="0.35">
      <c r="A3794" s="2" t="s">
        <v>3838</v>
      </c>
      <c r="B3794" s="3">
        <v>44612</v>
      </c>
      <c r="C3794" s="2" t="s">
        <v>25</v>
      </c>
      <c r="D3794" s="2" t="s">
        <v>17</v>
      </c>
      <c r="E3794" s="2" t="s">
        <v>18</v>
      </c>
      <c r="F3794" s="2">
        <v>746.96</v>
      </c>
      <c r="G3794" s="2">
        <v>216.6</v>
      </c>
      <c r="H3794" s="2" t="s">
        <v>19</v>
      </c>
      <c r="I3794" s="2" t="s">
        <v>34</v>
      </c>
    </row>
    <row r="3795" spans="1:9" x14ac:dyDescent="0.35">
      <c r="A3795" s="2" t="s">
        <v>3839</v>
      </c>
      <c r="B3795" s="3">
        <v>45411</v>
      </c>
      <c r="C3795" s="2" t="s">
        <v>10</v>
      </c>
      <c r="D3795" s="2" t="s">
        <v>46</v>
      </c>
      <c r="E3795" s="2" t="s">
        <v>18</v>
      </c>
      <c r="F3795" s="2">
        <v>820.61</v>
      </c>
      <c r="G3795" s="2">
        <v>104.91</v>
      </c>
      <c r="H3795" s="2" t="s">
        <v>13</v>
      </c>
      <c r="I3795" s="2" t="s">
        <v>14</v>
      </c>
    </row>
    <row r="3796" spans="1:9" x14ac:dyDescent="0.35">
      <c r="A3796" s="2" t="s">
        <v>3840</v>
      </c>
      <c r="B3796" s="3">
        <v>45436</v>
      </c>
      <c r="C3796" s="2" t="s">
        <v>25</v>
      </c>
      <c r="D3796" s="2" t="s">
        <v>26</v>
      </c>
      <c r="E3796" s="2" t="s">
        <v>27</v>
      </c>
      <c r="F3796" s="2">
        <v>362.16</v>
      </c>
      <c r="G3796" s="2">
        <v>66.349999999999994</v>
      </c>
      <c r="H3796" s="2" t="s">
        <v>28</v>
      </c>
      <c r="I3796" s="2" t="s">
        <v>14</v>
      </c>
    </row>
    <row r="3797" spans="1:9" x14ac:dyDescent="0.35">
      <c r="A3797" s="2" t="s">
        <v>3841</v>
      </c>
      <c r="B3797" s="3">
        <v>44639</v>
      </c>
      <c r="C3797" s="2" t="s">
        <v>25</v>
      </c>
      <c r="D3797" s="2" t="s">
        <v>57</v>
      </c>
      <c r="E3797" s="2" t="s">
        <v>27</v>
      </c>
      <c r="F3797" s="2">
        <v>152.46</v>
      </c>
      <c r="G3797" s="2">
        <v>13.64</v>
      </c>
      <c r="H3797" s="2" t="s">
        <v>13</v>
      </c>
      <c r="I3797" s="2" t="s">
        <v>29</v>
      </c>
    </row>
    <row r="3798" spans="1:9" x14ac:dyDescent="0.35">
      <c r="A3798" s="2" t="s">
        <v>3842</v>
      </c>
      <c r="B3798" s="3">
        <v>44860</v>
      </c>
      <c r="C3798" s="2" t="s">
        <v>10</v>
      </c>
      <c r="D3798" s="2" t="s">
        <v>26</v>
      </c>
      <c r="E3798" s="2" t="s">
        <v>27</v>
      </c>
      <c r="F3798" s="2">
        <v>88.88</v>
      </c>
      <c r="G3798" s="2">
        <v>23.13</v>
      </c>
      <c r="H3798" s="2" t="s">
        <v>19</v>
      </c>
      <c r="I3798" s="2" t="s">
        <v>29</v>
      </c>
    </row>
    <row r="3799" spans="1:9" x14ac:dyDescent="0.35">
      <c r="A3799" s="2" t="s">
        <v>3843</v>
      </c>
      <c r="B3799" s="3">
        <v>45032</v>
      </c>
      <c r="C3799" s="2" t="s">
        <v>22</v>
      </c>
      <c r="D3799" s="2" t="s">
        <v>31</v>
      </c>
      <c r="E3799" s="2" t="s">
        <v>12</v>
      </c>
      <c r="F3799" s="2">
        <v>402.74</v>
      </c>
      <c r="G3799" s="2">
        <v>29.04</v>
      </c>
      <c r="H3799" s="2" t="s">
        <v>19</v>
      </c>
      <c r="I3799" s="2" t="s">
        <v>20</v>
      </c>
    </row>
    <row r="3800" spans="1:9" x14ac:dyDescent="0.35">
      <c r="A3800" s="2" t="s">
        <v>3844</v>
      </c>
      <c r="B3800" s="3">
        <v>44718</v>
      </c>
      <c r="C3800" s="2" t="s">
        <v>25</v>
      </c>
      <c r="D3800" s="2" t="s">
        <v>41</v>
      </c>
      <c r="E3800" s="2" t="s">
        <v>12</v>
      </c>
      <c r="F3800" s="2">
        <v>1672.94</v>
      </c>
      <c r="G3800" s="2">
        <v>407.67</v>
      </c>
      <c r="H3800" s="2" t="s">
        <v>28</v>
      </c>
      <c r="I3800" s="2" t="s">
        <v>29</v>
      </c>
    </row>
    <row r="3801" spans="1:9" x14ac:dyDescent="0.35">
      <c r="A3801" s="2" t="s">
        <v>3845</v>
      </c>
      <c r="B3801" s="3">
        <v>44886</v>
      </c>
      <c r="C3801" s="2" t="s">
        <v>22</v>
      </c>
      <c r="D3801" s="2" t="s">
        <v>38</v>
      </c>
      <c r="E3801" s="2" t="s">
        <v>12</v>
      </c>
      <c r="F3801" s="2">
        <v>239.45</v>
      </c>
      <c r="G3801" s="2">
        <v>51.28</v>
      </c>
      <c r="H3801" s="2" t="s">
        <v>19</v>
      </c>
      <c r="I3801" s="2" t="s">
        <v>14</v>
      </c>
    </row>
    <row r="3802" spans="1:9" x14ac:dyDescent="0.35">
      <c r="A3802" s="2" t="s">
        <v>3846</v>
      </c>
      <c r="B3802" s="3">
        <v>45426</v>
      </c>
      <c r="C3802" s="2" t="s">
        <v>25</v>
      </c>
      <c r="D3802" s="2" t="s">
        <v>38</v>
      </c>
      <c r="E3802" s="2" t="s">
        <v>12</v>
      </c>
      <c r="F3802" s="2">
        <v>854.57</v>
      </c>
      <c r="G3802" s="2">
        <v>154.47</v>
      </c>
      <c r="H3802" s="2" t="s">
        <v>28</v>
      </c>
      <c r="I3802" s="2" t="s">
        <v>34</v>
      </c>
    </row>
    <row r="3803" spans="1:9" x14ac:dyDescent="0.35">
      <c r="A3803" s="2" t="s">
        <v>3847</v>
      </c>
      <c r="B3803" s="3">
        <v>44958</v>
      </c>
      <c r="C3803" s="2" t="s">
        <v>16</v>
      </c>
      <c r="D3803" s="2" t="s">
        <v>33</v>
      </c>
      <c r="E3803" s="2" t="s">
        <v>18</v>
      </c>
      <c r="F3803" s="2">
        <v>267.85000000000002</v>
      </c>
      <c r="G3803" s="2">
        <v>76.989999999999995</v>
      </c>
      <c r="H3803" s="2" t="s">
        <v>13</v>
      </c>
      <c r="I3803" s="2" t="s">
        <v>29</v>
      </c>
    </row>
    <row r="3804" spans="1:9" x14ac:dyDescent="0.35">
      <c r="A3804" s="2" t="s">
        <v>3848</v>
      </c>
      <c r="B3804" s="3">
        <v>44733</v>
      </c>
      <c r="C3804" s="2" t="s">
        <v>25</v>
      </c>
      <c r="D3804" s="2" t="s">
        <v>17</v>
      </c>
      <c r="E3804" s="2" t="s">
        <v>18</v>
      </c>
      <c r="F3804" s="2">
        <v>514.99</v>
      </c>
      <c r="G3804" s="2">
        <v>93.85</v>
      </c>
      <c r="H3804" s="2" t="s">
        <v>19</v>
      </c>
      <c r="I3804" s="2" t="s">
        <v>20</v>
      </c>
    </row>
    <row r="3805" spans="1:9" x14ac:dyDescent="0.35">
      <c r="A3805" s="2" t="s">
        <v>3849</v>
      </c>
      <c r="B3805" s="3">
        <v>45408</v>
      </c>
      <c r="C3805" s="2" t="s">
        <v>16</v>
      </c>
      <c r="D3805" s="2" t="s">
        <v>17</v>
      </c>
      <c r="E3805" s="2" t="s">
        <v>18</v>
      </c>
      <c r="F3805" s="2">
        <v>1649.98</v>
      </c>
      <c r="G3805" s="2">
        <v>166.79</v>
      </c>
      <c r="H3805" s="2" t="s">
        <v>13</v>
      </c>
      <c r="I3805" s="2" t="s">
        <v>20</v>
      </c>
    </row>
    <row r="3806" spans="1:9" x14ac:dyDescent="0.35">
      <c r="A3806" s="2" t="s">
        <v>3850</v>
      </c>
      <c r="B3806" s="3">
        <v>45262</v>
      </c>
      <c r="C3806" s="2" t="s">
        <v>25</v>
      </c>
      <c r="D3806" s="2" t="s">
        <v>31</v>
      </c>
      <c r="E3806" s="2" t="s">
        <v>12</v>
      </c>
      <c r="F3806" s="2">
        <v>1834.53</v>
      </c>
      <c r="G3806" s="2">
        <v>380.23</v>
      </c>
      <c r="H3806" s="2" t="s">
        <v>28</v>
      </c>
      <c r="I3806" s="2" t="s">
        <v>20</v>
      </c>
    </row>
    <row r="3807" spans="1:9" x14ac:dyDescent="0.35">
      <c r="A3807" s="2" t="s">
        <v>3851</v>
      </c>
      <c r="B3807" s="3">
        <v>45076</v>
      </c>
      <c r="C3807" s="2" t="s">
        <v>25</v>
      </c>
      <c r="D3807" s="2" t="s">
        <v>38</v>
      </c>
      <c r="E3807" s="2" t="s">
        <v>12</v>
      </c>
      <c r="F3807" s="2">
        <v>702.24</v>
      </c>
      <c r="G3807" s="2">
        <v>104.28</v>
      </c>
      <c r="H3807" s="2" t="s">
        <v>19</v>
      </c>
      <c r="I3807" s="2" t="s">
        <v>34</v>
      </c>
    </row>
    <row r="3808" spans="1:9" x14ac:dyDescent="0.35">
      <c r="A3808" s="2" t="s">
        <v>3852</v>
      </c>
      <c r="B3808" s="3">
        <v>44851</v>
      </c>
      <c r="C3808" s="2" t="s">
        <v>16</v>
      </c>
      <c r="D3808" s="2" t="s">
        <v>95</v>
      </c>
      <c r="E3808" s="2" t="s">
        <v>18</v>
      </c>
      <c r="F3808" s="2">
        <v>1242.67</v>
      </c>
      <c r="G3808" s="2">
        <v>323.23</v>
      </c>
      <c r="H3808" s="2" t="s">
        <v>28</v>
      </c>
      <c r="I3808" s="2" t="s">
        <v>20</v>
      </c>
    </row>
    <row r="3809" spans="1:9" x14ac:dyDescent="0.35">
      <c r="A3809" s="2" t="s">
        <v>3853</v>
      </c>
      <c r="B3809" s="3">
        <v>45125</v>
      </c>
      <c r="C3809" s="2" t="s">
        <v>16</v>
      </c>
      <c r="D3809" s="2" t="s">
        <v>23</v>
      </c>
      <c r="E3809" s="2" t="s">
        <v>18</v>
      </c>
      <c r="F3809" s="2">
        <v>1309.6600000000001</v>
      </c>
      <c r="G3809" s="2">
        <v>234.81</v>
      </c>
      <c r="H3809" s="2" t="s">
        <v>28</v>
      </c>
      <c r="I3809" s="2" t="s">
        <v>14</v>
      </c>
    </row>
    <row r="3810" spans="1:9" x14ac:dyDescent="0.35">
      <c r="A3810" s="2" t="s">
        <v>3854</v>
      </c>
      <c r="B3810" s="3">
        <v>44957</v>
      </c>
      <c r="C3810" s="2" t="s">
        <v>16</v>
      </c>
      <c r="D3810" s="2" t="s">
        <v>46</v>
      </c>
      <c r="E3810" s="2" t="s">
        <v>18</v>
      </c>
      <c r="F3810" s="2">
        <v>1117.0999999999999</v>
      </c>
      <c r="G3810" s="2">
        <v>108.1</v>
      </c>
      <c r="H3810" s="2" t="s">
        <v>13</v>
      </c>
      <c r="I3810" s="2" t="s">
        <v>20</v>
      </c>
    </row>
    <row r="3811" spans="1:9" x14ac:dyDescent="0.35">
      <c r="A3811" s="2" t="s">
        <v>3855</v>
      </c>
      <c r="B3811" s="3">
        <v>45615</v>
      </c>
      <c r="C3811" s="2" t="s">
        <v>10</v>
      </c>
      <c r="D3811" s="2" t="s">
        <v>57</v>
      </c>
      <c r="E3811" s="2" t="s">
        <v>27</v>
      </c>
      <c r="F3811" s="2">
        <v>485.73</v>
      </c>
      <c r="G3811" s="2">
        <v>144.22999999999999</v>
      </c>
      <c r="H3811" s="2" t="s">
        <v>13</v>
      </c>
      <c r="I3811" s="2" t="s">
        <v>29</v>
      </c>
    </row>
    <row r="3812" spans="1:9" x14ac:dyDescent="0.35">
      <c r="A3812" s="2" t="s">
        <v>3856</v>
      </c>
      <c r="B3812" s="3">
        <v>44772</v>
      </c>
      <c r="C3812" s="2" t="s">
        <v>22</v>
      </c>
      <c r="D3812" s="2" t="s">
        <v>31</v>
      </c>
      <c r="E3812" s="2" t="s">
        <v>12</v>
      </c>
      <c r="F3812" s="2">
        <v>1312.17</v>
      </c>
      <c r="G3812" s="2">
        <v>162.84</v>
      </c>
      <c r="H3812" s="2" t="s">
        <v>13</v>
      </c>
      <c r="I3812" s="2" t="s">
        <v>29</v>
      </c>
    </row>
    <row r="3813" spans="1:9" x14ac:dyDescent="0.35">
      <c r="A3813" s="2" t="s">
        <v>3857</v>
      </c>
      <c r="B3813" s="3">
        <v>45060</v>
      </c>
      <c r="C3813" s="2" t="s">
        <v>10</v>
      </c>
      <c r="D3813" s="2" t="s">
        <v>38</v>
      </c>
      <c r="E3813" s="2" t="s">
        <v>12</v>
      </c>
      <c r="F3813" s="2">
        <v>1008.85</v>
      </c>
      <c r="G3813" s="2">
        <v>267.51</v>
      </c>
      <c r="H3813" s="2" t="s">
        <v>13</v>
      </c>
      <c r="I3813" s="2" t="s">
        <v>14</v>
      </c>
    </row>
    <row r="3814" spans="1:9" x14ac:dyDescent="0.35">
      <c r="A3814" s="2" t="s">
        <v>3858</v>
      </c>
      <c r="B3814" s="3">
        <v>44964</v>
      </c>
      <c r="C3814" s="2" t="s">
        <v>25</v>
      </c>
      <c r="D3814" s="2" t="s">
        <v>38</v>
      </c>
      <c r="E3814" s="2" t="s">
        <v>12</v>
      </c>
      <c r="F3814" s="2">
        <v>1674.08</v>
      </c>
      <c r="G3814" s="2">
        <v>442.14</v>
      </c>
      <c r="H3814" s="2" t="s">
        <v>28</v>
      </c>
      <c r="I3814" s="2" t="s">
        <v>20</v>
      </c>
    </row>
    <row r="3815" spans="1:9" x14ac:dyDescent="0.35">
      <c r="A3815" s="2" t="s">
        <v>3859</v>
      </c>
      <c r="B3815" s="3">
        <v>44788</v>
      </c>
      <c r="C3815" s="2" t="s">
        <v>16</v>
      </c>
      <c r="D3815" s="2" t="s">
        <v>57</v>
      </c>
      <c r="E3815" s="2" t="s">
        <v>27</v>
      </c>
      <c r="F3815" s="2">
        <v>1468.02</v>
      </c>
      <c r="G3815" s="2">
        <v>364.74</v>
      </c>
      <c r="H3815" s="2" t="s">
        <v>19</v>
      </c>
      <c r="I3815" s="2" t="s">
        <v>29</v>
      </c>
    </row>
    <row r="3816" spans="1:9" x14ac:dyDescent="0.35">
      <c r="A3816" s="2" t="s">
        <v>3860</v>
      </c>
      <c r="B3816" s="3">
        <v>44727</v>
      </c>
      <c r="C3816" s="2" t="s">
        <v>22</v>
      </c>
      <c r="D3816" s="2" t="s">
        <v>50</v>
      </c>
      <c r="E3816" s="2" t="s">
        <v>12</v>
      </c>
      <c r="F3816" s="2">
        <v>607.45000000000005</v>
      </c>
      <c r="G3816" s="2">
        <v>159</v>
      </c>
      <c r="H3816" s="2" t="s">
        <v>28</v>
      </c>
      <c r="I3816" s="2" t="s">
        <v>34</v>
      </c>
    </row>
    <row r="3817" spans="1:9" x14ac:dyDescent="0.35">
      <c r="A3817" s="2" t="s">
        <v>3861</v>
      </c>
      <c r="B3817" s="3">
        <v>44661</v>
      </c>
      <c r="C3817" s="2" t="s">
        <v>16</v>
      </c>
      <c r="D3817" s="2" t="s">
        <v>97</v>
      </c>
      <c r="E3817" s="2" t="s">
        <v>27</v>
      </c>
      <c r="F3817" s="2">
        <v>960.8</v>
      </c>
      <c r="G3817" s="2">
        <v>182.98</v>
      </c>
      <c r="H3817" s="2" t="s">
        <v>13</v>
      </c>
      <c r="I3817" s="2" t="s">
        <v>20</v>
      </c>
    </row>
    <row r="3818" spans="1:9" x14ac:dyDescent="0.35">
      <c r="A3818" s="2" t="s">
        <v>3862</v>
      </c>
      <c r="B3818" s="3">
        <v>44577</v>
      </c>
      <c r="C3818" s="2" t="s">
        <v>22</v>
      </c>
      <c r="D3818" s="2" t="s">
        <v>38</v>
      </c>
      <c r="E3818" s="2" t="s">
        <v>12</v>
      </c>
      <c r="F3818" s="2">
        <v>1292.78</v>
      </c>
      <c r="G3818" s="2">
        <v>89.87</v>
      </c>
      <c r="H3818" s="2" t="s">
        <v>19</v>
      </c>
      <c r="I3818" s="2" t="s">
        <v>29</v>
      </c>
    </row>
    <row r="3819" spans="1:9" x14ac:dyDescent="0.35">
      <c r="A3819" s="2" t="s">
        <v>3863</v>
      </c>
      <c r="B3819" s="3">
        <v>45286</v>
      </c>
      <c r="C3819" s="2" t="s">
        <v>25</v>
      </c>
      <c r="D3819" s="2" t="s">
        <v>95</v>
      </c>
      <c r="E3819" s="2" t="s">
        <v>18</v>
      </c>
      <c r="F3819" s="2">
        <v>1712.44</v>
      </c>
      <c r="G3819" s="2">
        <v>450.08</v>
      </c>
      <c r="H3819" s="2" t="s">
        <v>13</v>
      </c>
      <c r="I3819" s="2" t="s">
        <v>14</v>
      </c>
    </row>
    <row r="3820" spans="1:9" x14ac:dyDescent="0.35">
      <c r="A3820" s="2" t="s">
        <v>3864</v>
      </c>
      <c r="B3820" s="3">
        <v>45647</v>
      </c>
      <c r="C3820" s="2" t="s">
        <v>16</v>
      </c>
      <c r="D3820" s="2" t="s">
        <v>46</v>
      </c>
      <c r="E3820" s="2" t="s">
        <v>18</v>
      </c>
      <c r="F3820" s="2">
        <v>1039.6300000000001</v>
      </c>
      <c r="G3820" s="2">
        <v>302.45999999999998</v>
      </c>
      <c r="H3820" s="2" t="s">
        <v>13</v>
      </c>
      <c r="I3820" s="2" t="s">
        <v>34</v>
      </c>
    </row>
    <row r="3821" spans="1:9" x14ac:dyDescent="0.35">
      <c r="A3821" s="2" t="s">
        <v>3865</v>
      </c>
      <c r="B3821" s="3">
        <v>45260</v>
      </c>
      <c r="C3821" s="2" t="s">
        <v>10</v>
      </c>
      <c r="D3821" s="2" t="s">
        <v>46</v>
      </c>
      <c r="E3821" s="2" t="s">
        <v>18</v>
      </c>
      <c r="F3821" s="2">
        <v>1046.1300000000001</v>
      </c>
      <c r="G3821" s="2">
        <v>124.85</v>
      </c>
      <c r="H3821" s="2" t="s">
        <v>28</v>
      </c>
      <c r="I3821" s="2" t="s">
        <v>34</v>
      </c>
    </row>
    <row r="3822" spans="1:9" x14ac:dyDescent="0.35">
      <c r="A3822" s="2" t="s">
        <v>3866</v>
      </c>
      <c r="B3822" s="3">
        <v>45640</v>
      </c>
      <c r="C3822" s="2" t="s">
        <v>16</v>
      </c>
      <c r="D3822" s="2" t="s">
        <v>11</v>
      </c>
      <c r="E3822" s="2" t="s">
        <v>12</v>
      </c>
      <c r="F3822" s="2">
        <v>1644.26</v>
      </c>
      <c r="G3822" s="2">
        <v>395.71</v>
      </c>
      <c r="H3822" s="2" t="s">
        <v>19</v>
      </c>
      <c r="I3822" s="2" t="s">
        <v>20</v>
      </c>
    </row>
    <row r="3823" spans="1:9" x14ac:dyDescent="0.35">
      <c r="A3823" s="2" t="s">
        <v>3867</v>
      </c>
      <c r="B3823" s="3">
        <v>45081</v>
      </c>
      <c r="C3823" s="2" t="s">
        <v>25</v>
      </c>
      <c r="D3823" s="2" t="s">
        <v>31</v>
      </c>
      <c r="E3823" s="2" t="s">
        <v>12</v>
      </c>
      <c r="F3823" s="2">
        <v>1129.8</v>
      </c>
      <c r="G3823" s="2">
        <v>283.26</v>
      </c>
      <c r="H3823" s="2" t="s">
        <v>13</v>
      </c>
      <c r="I3823" s="2" t="s">
        <v>20</v>
      </c>
    </row>
    <row r="3824" spans="1:9" x14ac:dyDescent="0.35">
      <c r="A3824" s="2" t="s">
        <v>3868</v>
      </c>
      <c r="B3824" s="3">
        <v>45381</v>
      </c>
      <c r="C3824" s="2" t="s">
        <v>10</v>
      </c>
      <c r="D3824" s="2" t="s">
        <v>57</v>
      </c>
      <c r="E3824" s="2" t="s">
        <v>27</v>
      </c>
      <c r="F3824" s="2">
        <v>246.73</v>
      </c>
      <c r="G3824" s="2">
        <v>68.13</v>
      </c>
      <c r="H3824" s="2" t="s">
        <v>19</v>
      </c>
      <c r="I3824" s="2" t="s">
        <v>20</v>
      </c>
    </row>
    <row r="3825" spans="1:9" x14ac:dyDescent="0.35">
      <c r="A3825" s="2" t="s">
        <v>3869</v>
      </c>
      <c r="B3825" s="3">
        <v>44781</v>
      </c>
      <c r="C3825" s="2" t="s">
        <v>10</v>
      </c>
      <c r="D3825" s="2" t="s">
        <v>95</v>
      </c>
      <c r="E3825" s="2" t="s">
        <v>18</v>
      </c>
      <c r="F3825" s="2">
        <v>848.19</v>
      </c>
      <c r="G3825" s="2">
        <v>158.44</v>
      </c>
      <c r="H3825" s="2" t="s">
        <v>19</v>
      </c>
      <c r="I3825" s="2" t="s">
        <v>14</v>
      </c>
    </row>
    <row r="3826" spans="1:9" x14ac:dyDescent="0.35">
      <c r="A3826" s="2" t="s">
        <v>3870</v>
      </c>
      <c r="B3826" s="3">
        <v>45557</v>
      </c>
      <c r="C3826" s="2" t="s">
        <v>22</v>
      </c>
      <c r="D3826" s="2" t="s">
        <v>97</v>
      </c>
      <c r="E3826" s="2" t="s">
        <v>27</v>
      </c>
      <c r="F3826" s="2">
        <v>493.24</v>
      </c>
      <c r="G3826" s="2">
        <v>90.13</v>
      </c>
      <c r="H3826" s="2" t="s">
        <v>19</v>
      </c>
      <c r="I3826" s="2" t="s">
        <v>34</v>
      </c>
    </row>
    <row r="3827" spans="1:9" x14ac:dyDescent="0.35">
      <c r="A3827" s="2" t="s">
        <v>3871</v>
      </c>
      <c r="B3827" s="3">
        <v>45135</v>
      </c>
      <c r="C3827" s="2" t="s">
        <v>25</v>
      </c>
      <c r="D3827" s="2" t="s">
        <v>11</v>
      </c>
      <c r="E3827" s="2" t="s">
        <v>12</v>
      </c>
      <c r="F3827" s="2">
        <v>621.29</v>
      </c>
      <c r="G3827" s="2">
        <v>86.09</v>
      </c>
      <c r="H3827" s="2" t="s">
        <v>13</v>
      </c>
      <c r="I3827" s="2" t="s">
        <v>14</v>
      </c>
    </row>
    <row r="3828" spans="1:9" x14ac:dyDescent="0.35">
      <c r="A3828" s="2" t="s">
        <v>3872</v>
      </c>
      <c r="B3828" s="3">
        <v>44879</v>
      </c>
      <c r="C3828" s="2" t="s">
        <v>25</v>
      </c>
      <c r="D3828" s="2" t="s">
        <v>97</v>
      </c>
      <c r="E3828" s="2" t="s">
        <v>27</v>
      </c>
      <c r="F3828" s="2">
        <v>1045.03</v>
      </c>
      <c r="G3828" s="2">
        <v>91.55</v>
      </c>
      <c r="H3828" s="2" t="s">
        <v>13</v>
      </c>
      <c r="I3828" s="2" t="s">
        <v>34</v>
      </c>
    </row>
    <row r="3829" spans="1:9" x14ac:dyDescent="0.35">
      <c r="A3829" s="2" t="s">
        <v>3873</v>
      </c>
      <c r="B3829" s="3">
        <v>45484</v>
      </c>
      <c r="C3829" s="2" t="s">
        <v>25</v>
      </c>
      <c r="D3829" s="2" t="s">
        <v>33</v>
      </c>
      <c r="E3829" s="2" t="s">
        <v>18</v>
      </c>
      <c r="F3829" s="2">
        <v>504.61</v>
      </c>
      <c r="G3829" s="2">
        <v>67.69</v>
      </c>
      <c r="H3829" s="2" t="s">
        <v>28</v>
      </c>
      <c r="I3829" s="2" t="s">
        <v>34</v>
      </c>
    </row>
    <row r="3830" spans="1:9" x14ac:dyDescent="0.35">
      <c r="A3830" s="2" t="s">
        <v>3874</v>
      </c>
      <c r="B3830" s="3">
        <v>45322</v>
      </c>
      <c r="C3830" s="2" t="s">
        <v>25</v>
      </c>
      <c r="D3830" s="2" t="s">
        <v>46</v>
      </c>
      <c r="E3830" s="2" t="s">
        <v>18</v>
      </c>
      <c r="F3830" s="2">
        <v>1143.9100000000001</v>
      </c>
      <c r="G3830" s="2">
        <v>100.61</v>
      </c>
      <c r="H3830" s="2" t="s">
        <v>19</v>
      </c>
      <c r="I3830" s="2" t="s">
        <v>14</v>
      </c>
    </row>
    <row r="3831" spans="1:9" x14ac:dyDescent="0.35">
      <c r="A3831" s="2" t="s">
        <v>3875</v>
      </c>
      <c r="B3831" s="3">
        <v>45606</v>
      </c>
      <c r="C3831" s="2" t="s">
        <v>16</v>
      </c>
      <c r="D3831" s="2" t="s">
        <v>26</v>
      </c>
      <c r="E3831" s="2" t="s">
        <v>27</v>
      </c>
      <c r="F3831" s="2">
        <v>137.75</v>
      </c>
      <c r="G3831" s="2">
        <v>33.159999999999997</v>
      </c>
      <c r="H3831" s="2" t="s">
        <v>28</v>
      </c>
      <c r="I3831" s="2" t="s">
        <v>20</v>
      </c>
    </row>
    <row r="3832" spans="1:9" x14ac:dyDescent="0.35">
      <c r="A3832" s="2" t="s">
        <v>3876</v>
      </c>
      <c r="B3832" s="3">
        <v>44984</v>
      </c>
      <c r="C3832" s="2" t="s">
        <v>22</v>
      </c>
      <c r="D3832" s="2" t="s">
        <v>57</v>
      </c>
      <c r="E3832" s="2" t="s">
        <v>27</v>
      </c>
      <c r="F3832" s="2">
        <v>1983.97</v>
      </c>
      <c r="G3832" s="2">
        <v>504.49</v>
      </c>
      <c r="H3832" s="2" t="s">
        <v>19</v>
      </c>
      <c r="I3832" s="2" t="s">
        <v>14</v>
      </c>
    </row>
    <row r="3833" spans="1:9" x14ac:dyDescent="0.35">
      <c r="A3833" s="2" t="s">
        <v>3877</v>
      </c>
      <c r="B3833" s="3">
        <v>45308</v>
      </c>
      <c r="C3833" s="2" t="s">
        <v>25</v>
      </c>
      <c r="D3833" s="2" t="s">
        <v>17</v>
      </c>
      <c r="E3833" s="2" t="s">
        <v>18</v>
      </c>
      <c r="F3833" s="2">
        <v>1756.01</v>
      </c>
      <c r="G3833" s="2">
        <v>439.25</v>
      </c>
      <c r="H3833" s="2" t="s">
        <v>19</v>
      </c>
      <c r="I3833" s="2" t="s">
        <v>29</v>
      </c>
    </row>
    <row r="3834" spans="1:9" x14ac:dyDescent="0.35">
      <c r="A3834" s="2" t="s">
        <v>3878</v>
      </c>
      <c r="B3834" s="3">
        <v>45012</v>
      </c>
      <c r="C3834" s="2" t="s">
        <v>16</v>
      </c>
      <c r="D3834" s="2" t="s">
        <v>17</v>
      </c>
      <c r="E3834" s="2" t="s">
        <v>18</v>
      </c>
      <c r="F3834" s="2">
        <v>1924.14</v>
      </c>
      <c r="G3834" s="2">
        <v>164.26</v>
      </c>
      <c r="H3834" s="2" t="s">
        <v>13</v>
      </c>
      <c r="I3834" s="2" t="s">
        <v>34</v>
      </c>
    </row>
    <row r="3835" spans="1:9" x14ac:dyDescent="0.35">
      <c r="A3835" s="2" t="s">
        <v>3879</v>
      </c>
      <c r="B3835" s="3">
        <v>44574</v>
      </c>
      <c r="C3835" s="2" t="s">
        <v>16</v>
      </c>
      <c r="D3835" s="2" t="s">
        <v>50</v>
      </c>
      <c r="E3835" s="2" t="s">
        <v>12</v>
      </c>
      <c r="F3835" s="2">
        <v>348.45</v>
      </c>
      <c r="G3835" s="2">
        <v>26.6</v>
      </c>
      <c r="H3835" s="2" t="s">
        <v>13</v>
      </c>
      <c r="I3835" s="2" t="s">
        <v>20</v>
      </c>
    </row>
    <row r="3836" spans="1:9" x14ac:dyDescent="0.35">
      <c r="A3836" s="2" t="s">
        <v>3880</v>
      </c>
      <c r="B3836" s="3">
        <v>44910</v>
      </c>
      <c r="C3836" s="2" t="s">
        <v>22</v>
      </c>
      <c r="D3836" s="2" t="s">
        <v>31</v>
      </c>
      <c r="E3836" s="2" t="s">
        <v>12</v>
      </c>
      <c r="F3836" s="2">
        <v>1281.54</v>
      </c>
      <c r="G3836" s="2">
        <v>362.78</v>
      </c>
      <c r="H3836" s="2" t="s">
        <v>13</v>
      </c>
      <c r="I3836" s="2" t="s">
        <v>29</v>
      </c>
    </row>
    <row r="3837" spans="1:9" x14ac:dyDescent="0.35">
      <c r="A3837" s="2" t="s">
        <v>3881</v>
      </c>
      <c r="B3837" s="3">
        <v>45262</v>
      </c>
      <c r="C3837" s="2" t="s">
        <v>16</v>
      </c>
      <c r="D3837" s="2" t="s">
        <v>73</v>
      </c>
      <c r="E3837" s="2" t="s">
        <v>27</v>
      </c>
      <c r="F3837" s="2">
        <v>268.18</v>
      </c>
      <c r="G3837" s="2">
        <v>19.399999999999999</v>
      </c>
      <c r="H3837" s="2" t="s">
        <v>19</v>
      </c>
      <c r="I3837" s="2" t="s">
        <v>14</v>
      </c>
    </row>
    <row r="3838" spans="1:9" x14ac:dyDescent="0.35">
      <c r="A3838" s="2" t="s">
        <v>3882</v>
      </c>
      <c r="B3838" s="3">
        <v>45609</v>
      </c>
      <c r="C3838" s="2" t="s">
        <v>25</v>
      </c>
      <c r="D3838" s="2" t="s">
        <v>31</v>
      </c>
      <c r="E3838" s="2" t="s">
        <v>12</v>
      </c>
      <c r="F3838" s="2">
        <v>1855.91</v>
      </c>
      <c r="G3838" s="2">
        <v>468.59</v>
      </c>
      <c r="H3838" s="2" t="s">
        <v>19</v>
      </c>
      <c r="I3838" s="2" t="s">
        <v>29</v>
      </c>
    </row>
    <row r="3839" spans="1:9" x14ac:dyDescent="0.35">
      <c r="A3839" s="2" t="s">
        <v>3883</v>
      </c>
      <c r="B3839" s="3">
        <v>45584</v>
      </c>
      <c r="C3839" s="2" t="s">
        <v>22</v>
      </c>
      <c r="D3839" s="2" t="s">
        <v>62</v>
      </c>
      <c r="E3839" s="2" t="s">
        <v>27</v>
      </c>
      <c r="F3839" s="2">
        <v>494.11</v>
      </c>
      <c r="G3839" s="2">
        <v>136.13</v>
      </c>
      <c r="H3839" s="2" t="s">
        <v>19</v>
      </c>
      <c r="I3839" s="2" t="s">
        <v>34</v>
      </c>
    </row>
    <row r="3840" spans="1:9" x14ac:dyDescent="0.35">
      <c r="A3840" s="2" t="s">
        <v>3884</v>
      </c>
      <c r="B3840" s="3">
        <v>44829</v>
      </c>
      <c r="C3840" s="2" t="s">
        <v>25</v>
      </c>
      <c r="D3840" s="2" t="s">
        <v>23</v>
      </c>
      <c r="E3840" s="2" t="s">
        <v>18</v>
      </c>
      <c r="F3840" s="2">
        <v>1719.93</v>
      </c>
      <c r="G3840" s="2">
        <v>292.16000000000003</v>
      </c>
      <c r="H3840" s="2" t="s">
        <v>13</v>
      </c>
      <c r="I3840" s="2" t="s">
        <v>14</v>
      </c>
    </row>
    <row r="3841" spans="1:9" x14ac:dyDescent="0.35">
      <c r="A3841" s="2" t="s">
        <v>3885</v>
      </c>
      <c r="B3841" s="3">
        <v>45143</v>
      </c>
      <c r="C3841" s="2" t="s">
        <v>25</v>
      </c>
      <c r="D3841" s="2" t="s">
        <v>23</v>
      </c>
      <c r="E3841" s="2" t="s">
        <v>18</v>
      </c>
      <c r="F3841" s="2">
        <v>1234.25</v>
      </c>
      <c r="G3841" s="2">
        <v>125.78</v>
      </c>
      <c r="H3841" s="2" t="s">
        <v>28</v>
      </c>
      <c r="I3841" s="2" t="s">
        <v>29</v>
      </c>
    </row>
    <row r="3842" spans="1:9" x14ac:dyDescent="0.35">
      <c r="A3842" s="2" t="s">
        <v>3886</v>
      </c>
      <c r="B3842" s="3">
        <v>45177</v>
      </c>
      <c r="C3842" s="2" t="s">
        <v>22</v>
      </c>
      <c r="D3842" s="2" t="s">
        <v>97</v>
      </c>
      <c r="E3842" s="2" t="s">
        <v>27</v>
      </c>
      <c r="F3842" s="2">
        <v>384.73</v>
      </c>
      <c r="G3842" s="2">
        <v>36.090000000000003</v>
      </c>
      <c r="H3842" s="2" t="s">
        <v>19</v>
      </c>
      <c r="I3842" s="2" t="s">
        <v>20</v>
      </c>
    </row>
    <row r="3843" spans="1:9" x14ac:dyDescent="0.35">
      <c r="A3843" s="2" t="s">
        <v>3887</v>
      </c>
      <c r="B3843" s="3">
        <v>45084</v>
      </c>
      <c r="C3843" s="2" t="s">
        <v>10</v>
      </c>
      <c r="D3843" s="2" t="s">
        <v>26</v>
      </c>
      <c r="E3843" s="2" t="s">
        <v>27</v>
      </c>
      <c r="F3843" s="2">
        <v>324.47000000000003</v>
      </c>
      <c r="G3843" s="2">
        <v>22.5</v>
      </c>
      <c r="H3843" s="2" t="s">
        <v>19</v>
      </c>
      <c r="I3843" s="2" t="s">
        <v>34</v>
      </c>
    </row>
    <row r="3844" spans="1:9" x14ac:dyDescent="0.35">
      <c r="A3844" s="2" t="s">
        <v>3888</v>
      </c>
      <c r="B3844" s="3">
        <v>45389</v>
      </c>
      <c r="C3844" s="2" t="s">
        <v>22</v>
      </c>
      <c r="D3844" s="2" t="s">
        <v>95</v>
      </c>
      <c r="E3844" s="2" t="s">
        <v>18</v>
      </c>
      <c r="F3844" s="2">
        <v>198.89</v>
      </c>
      <c r="G3844" s="2">
        <v>20.69</v>
      </c>
      <c r="H3844" s="2" t="s">
        <v>28</v>
      </c>
      <c r="I3844" s="2" t="s">
        <v>20</v>
      </c>
    </row>
    <row r="3845" spans="1:9" x14ac:dyDescent="0.35">
      <c r="A3845" s="2" t="s">
        <v>3889</v>
      </c>
      <c r="B3845" s="3">
        <v>45320</v>
      </c>
      <c r="C3845" s="2" t="s">
        <v>10</v>
      </c>
      <c r="D3845" s="2" t="s">
        <v>41</v>
      </c>
      <c r="E3845" s="2" t="s">
        <v>12</v>
      </c>
      <c r="F3845" s="2">
        <v>1684.08</v>
      </c>
      <c r="G3845" s="2">
        <v>286.83</v>
      </c>
      <c r="H3845" s="2" t="s">
        <v>28</v>
      </c>
      <c r="I3845" s="2" t="s">
        <v>20</v>
      </c>
    </row>
    <row r="3846" spans="1:9" x14ac:dyDescent="0.35">
      <c r="A3846" s="2" t="s">
        <v>3890</v>
      </c>
      <c r="B3846" s="3">
        <v>44688</v>
      </c>
      <c r="C3846" s="2" t="s">
        <v>10</v>
      </c>
      <c r="D3846" s="2" t="s">
        <v>33</v>
      </c>
      <c r="E3846" s="2" t="s">
        <v>18</v>
      </c>
      <c r="F3846" s="2">
        <v>1414.97</v>
      </c>
      <c r="G3846" s="2">
        <v>316.7</v>
      </c>
      <c r="H3846" s="2" t="s">
        <v>19</v>
      </c>
      <c r="I3846" s="2" t="s">
        <v>14</v>
      </c>
    </row>
    <row r="3847" spans="1:9" x14ac:dyDescent="0.35">
      <c r="A3847" s="2" t="s">
        <v>3891</v>
      </c>
      <c r="B3847" s="3">
        <v>44962</v>
      </c>
      <c r="C3847" s="2" t="s">
        <v>25</v>
      </c>
      <c r="D3847" s="2" t="s">
        <v>17</v>
      </c>
      <c r="E3847" s="2" t="s">
        <v>18</v>
      </c>
      <c r="F3847" s="2">
        <v>1868.27</v>
      </c>
      <c r="G3847" s="2">
        <v>181.43</v>
      </c>
      <c r="H3847" s="2" t="s">
        <v>13</v>
      </c>
      <c r="I3847" s="2" t="s">
        <v>14</v>
      </c>
    </row>
    <row r="3848" spans="1:9" x14ac:dyDescent="0.35">
      <c r="A3848" s="2" t="s">
        <v>3892</v>
      </c>
      <c r="B3848" s="3">
        <v>45565</v>
      </c>
      <c r="C3848" s="2" t="s">
        <v>22</v>
      </c>
      <c r="D3848" s="2" t="s">
        <v>97</v>
      </c>
      <c r="E3848" s="2" t="s">
        <v>27</v>
      </c>
      <c r="F3848" s="2">
        <v>235.06</v>
      </c>
      <c r="G3848" s="2">
        <v>14.16</v>
      </c>
      <c r="H3848" s="2" t="s">
        <v>28</v>
      </c>
      <c r="I3848" s="2" t="s">
        <v>34</v>
      </c>
    </row>
    <row r="3849" spans="1:9" x14ac:dyDescent="0.35">
      <c r="A3849" s="2" t="s">
        <v>3893</v>
      </c>
      <c r="B3849" s="3">
        <v>45373</v>
      </c>
      <c r="C3849" s="2" t="s">
        <v>10</v>
      </c>
      <c r="D3849" s="2" t="s">
        <v>38</v>
      </c>
      <c r="E3849" s="2" t="s">
        <v>12</v>
      </c>
      <c r="F3849" s="2">
        <v>1802.17</v>
      </c>
      <c r="G3849" s="2">
        <v>529.98</v>
      </c>
      <c r="H3849" s="2" t="s">
        <v>13</v>
      </c>
      <c r="I3849" s="2" t="s">
        <v>34</v>
      </c>
    </row>
    <row r="3850" spans="1:9" x14ac:dyDescent="0.35">
      <c r="A3850" s="2" t="s">
        <v>3894</v>
      </c>
      <c r="B3850" s="3">
        <v>44647</v>
      </c>
      <c r="C3850" s="2" t="s">
        <v>22</v>
      </c>
      <c r="D3850" s="2" t="s">
        <v>23</v>
      </c>
      <c r="E3850" s="2" t="s">
        <v>18</v>
      </c>
      <c r="F3850" s="2">
        <v>1901.69</v>
      </c>
      <c r="G3850" s="2">
        <v>487.43</v>
      </c>
      <c r="H3850" s="2" t="s">
        <v>19</v>
      </c>
      <c r="I3850" s="2" t="s">
        <v>34</v>
      </c>
    </row>
    <row r="3851" spans="1:9" x14ac:dyDescent="0.35">
      <c r="A3851" s="2" t="s">
        <v>3895</v>
      </c>
      <c r="B3851" s="3">
        <v>45372</v>
      </c>
      <c r="C3851" s="2" t="s">
        <v>25</v>
      </c>
      <c r="D3851" s="2" t="s">
        <v>38</v>
      </c>
      <c r="E3851" s="2" t="s">
        <v>12</v>
      </c>
      <c r="F3851" s="2">
        <v>1027.99</v>
      </c>
      <c r="G3851" s="2">
        <v>58.24</v>
      </c>
      <c r="H3851" s="2" t="s">
        <v>13</v>
      </c>
      <c r="I3851" s="2" t="s">
        <v>14</v>
      </c>
    </row>
    <row r="3852" spans="1:9" x14ac:dyDescent="0.35">
      <c r="A3852" s="2" t="s">
        <v>3896</v>
      </c>
      <c r="B3852" s="3">
        <v>44958</v>
      </c>
      <c r="C3852" s="2" t="s">
        <v>22</v>
      </c>
      <c r="D3852" s="2" t="s">
        <v>11</v>
      </c>
      <c r="E3852" s="2" t="s">
        <v>12</v>
      </c>
      <c r="F3852" s="2">
        <v>1892.01</v>
      </c>
      <c r="G3852" s="2">
        <v>261.19</v>
      </c>
      <c r="H3852" s="2" t="s">
        <v>13</v>
      </c>
      <c r="I3852" s="2" t="s">
        <v>20</v>
      </c>
    </row>
    <row r="3853" spans="1:9" x14ac:dyDescent="0.35">
      <c r="A3853" s="2" t="s">
        <v>3897</v>
      </c>
      <c r="B3853" s="3">
        <v>45186</v>
      </c>
      <c r="C3853" s="2" t="s">
        <v>22</v>
      </c>
      <c r="D3853" s="2" t="s">
        <v>57</v>
      </c>
      <c r="E3853" s="2" t="s">
        <v>27</v>
      </c>
      <c r="F3853" s="2">
        <v>1489.09</v>
      </c>
      <c r="G3853" s="2">
        <v>285.67</v>
      </c>
      <c r="H3853" s="2" t="s">
        <v>13</v>
      </c>
      <c r="I3853" s="2" t="s">
        <v>34</v>
      </c>
    </row>
    <row r="3854" spans="1:9" x14ac:dyDescent="0.35">
      <c r="A3854" s="2" t="s">
        <v>3898</v>
      </c>
      <c r="B3854" s="3">
        <v>45443</v>
      </c>
      <c r="C3854" s="2" t="s">
        <v>22</v>
      </c>
      <c r="D3854" s="2" t="s">
        <v>62</v>
      </c>
      <c r="E3854" s="2" t="s">
        <v>27</v>
      </c>
      <c r="F3854" s="2">
        <v>491.2</v>
      </c>
      <c r="G3854" s="2">
        <v>89.84</v>
      </c>
      <c r="H3854" s="2" t="s">
        <v>13</v>
      </c>
      <c r="I3854" s="2" t="s">
        <v>20</v>
      </c>
    </row>
    <row r="3855" spans="1:9" x14ac:dyDescent="0.35">
      <c r="A3855" s="2" t="s">
        <v>3899</v>
      </c>
      <c r="B3855" s="3">
        <v>45124</v>
      </c>
      <c r="C3855" s="2" t="s">
        <v>10</v>
      </c>
      <c r="D3855" s="2" t="s">
        <v>31</v>
      </c>
      <c r="E3855" s="2" t="s">
        <v>12</v>
      </c>
      <c r="F3855" s="2">
        <v>1212.03</v>
      </c>
      <c r="G3855" s="2">
        <v>152.69999999999999</v>
      </c>
      <c r="H3855" s="2" t="s">
        <v>28</v>
      </c>
      <c r="I3855" s="2" t="s">
        <v>29</v>
      </c>
    </row>
    <row r="3856" spans="1:9" x14ac:dyDescent="0.35">
      <c r="A3856" s="2" t="s">
        <v>3900</v>
      </c>
      <c r="B3856" s="3">
        <v>45358</v>
      </c>
      <c r="C3856" s="2" t="s">
        <v>25</v>
      </c>
      <c r="D3856" s="2" t="s">
        <v>73</v>
      </c>
      <c r="E3856" s="2" t="s">
        <v>27</v>
      </c>
      <c r="F3856" s="2">
        <v>1686.23</v>
      </c>
      <c r="G3856" s="2">
        <v>195.64</v>
      </c>
      <c r="H3856" s="2" t="s">
        <v>28</v>
      </c>
      <c r="I3856" s="2" t="s">
        <v>29</v>
      </c>
    </row>
    <row r="3857" spans="1:9" x14ac:dyDescent="0.35">
      <c r="A3857" s="2" t="s">
        <v>3901</v>
      </c>
      <c r="B3857" s="3">
        <v>44795</v>
      </c>
      <c r="C3857" s="2" t="s">
        <v>25</v>
      </c>
      <c r="D3857" s="2" t="s">
        <v>31</v>
      </c>
      <c r="E3857" s="2" t="s">
        <v>12</v>
      </c>
      <c r="F3857" s="2">
        <v>1623.84</v>
      </c>
      <c r="G3857" s="2">
        <v>182.49</v>
      </c>
      <c r="H3857" s="2" t="s">
        <v>19</v>
      </c>
      <c r="I3857" s="2" t="s">
        <v>20</v>
      </c>
    </row>
    <row r="3858" spans="1:9" x14ac:dyDescent="0.35">
      <c r="A3858" s="2" t="s">
        <v>3902</v>
      </c>
      <c r="B3858" s="3">
        <v>44846</v>
      </c>
      <c r="C3858" s="2" t="s">
        <v>25</v>
      </c>
      <c r="D3858" s="2" t="s">
        <v>57</v>
      </c>
      <c r="E3858" s="2" t="s">
        <v>27</v>
      </c>
      <c r="F3858" s="2">
        <v>431.76</v>
      </c>
      <c r="G3858" s="2">
        <v>42.95</v>
      </c>
      <c r="H3858" s="2" t="s">
        <v>19</v>
      </c>
      <c r="I3858" s="2" t="s">
        <v>14</v>
      </c>
    </row>
    <row r="3859" spans="1:9" x14ac:dyDescent="0.35">
      <c r="A3859" s="2" t="s">
        <v>3903</v>
      </c>
      <c r="B3859" s="3">
        <v>44932</v>
      </c>
      <c r="C3859" s="2" t="s">
        <v>10</v>
      </c>
      <c r="D3859" s="2" t="s">
        <v>41</v>
      </c>
      <c r="E3859" s="2" t="s">
        <v>12</v>
      </c>
      <c r="F3859" s="2">
        <v>778.41</v>
      </c>
      <c r="G3859" s="2">
        <v>51.79</v>
      </c>
      <c r="H3859" s="2" t="s">
        <v>19</v>
      </c>
      <c r="I3859" s="2" t="s">
        <v>20</v>
      </c>
    </row>
    <row r="3860" spans="1:9" x14ac:dyDescent="0.35">
      <c r="A3860" s="2" t="s">
        <v>3904</v>
      </c>
      <c r="B3860" s="3">
        <v>44611</v>
      </c>
      <c r="C3860" s="2" t="s">
        <v>22</v>
      </c>
      <c r="D3860" s="2" t="s">
        <v>46</v>
      </c>
      <c r="E3860" s="2" t="s">
        <v>18</v>
      </c>
      <c r="F3860" s="2">
        <v>1708.37</v>
      </c>
      <c r="G3860" s="2">
        <v>365.76</v>
      </c>
      <c r="H3860" s="2" t="s">
        <v>13</v>
      </c>
      <c r="I3860" s="2" t="s">
        <v>34</v>
      </c>
    </row>
    <row r="3861" spans="1:9" x14ac:dyDescent="0.35">
      <c r="A3861" s="2" t="s">
        <v>3905</v>
      </c>
      <c r="B3861" s="3">
        <v>45349</v>
      </c>
      <c r="C3861" s="2" t="s">
        <v>10</v>
      </c>
      <c r="D3861" s="2" t="s">
        <v>38</v>
      </c>
      <c r="E3861" s="2" t="s">
        <v>12</v>
      </c>
      <c r="F3861" s="2">
        <v>1466.28</v>
      </c>
      <c r="G3861" s="2">
        <v>169.53</v>
      </c>
      <c r="H3861" s="2" t="s">
        <v>19</v>
      </c>
      <c r="I3861" s="2" t="s">
        <v>29</v>
      </c>
    </row>
    <row r="3862" spans="1:9" x14ac:dyDescent="0.35">
      <c r="A3862" s="2" t="s">
        <v>3906</v>
      </c>
      <c r="B3862" s="3">
        <v>45414</v>
      </c>
      <c r="C3862" s="2" t="s">
        <v>22</v>
      </c>
      <c r="D3862" s="2" t="s">
        <v>38</v>
      </c>
      <c r="E3862" s="2" t="s">
        <v>12</v>
      </c>
      <c r="F3862" s="2">
        <v>176.67</v>
      </c>
      <c r="G3862" s="2">
        <v>12.22</v>
      </c>
      <c r="H3862" s="2" t="s">
        <v>13</v>
      </c>
      <c r="I3862" s="2" t="s">
        <v>29</v>
      </c>
    </row>
    <row r="3863" spans="1:9" x14ac:dyDescent="0.35">
      <c r="A3863" s="2" t="s">
        <v>3907</v>
      </c>
      <c r="B3863" s="3">
        <v>45140</v>
      </c>
      <c r="C3863" s="2" t="s">
        <v>25</v>
      </c>
      <c r="D3863" s="2" t="s">
        <v>41</v>
      </c>
      <c r="E3863" s="2" t="s">
        <v>12</v>
      </c>
      <c r="F3863" s="2">
        <v>1422.29</v>
      </c>
      <c r="G3863" s="2">
        <v>174.68</v>
      </c>
      <c r="H3863" s="2" t="s">
        <v>19</v>
      </c>
      <c r="I3863" s="2" t="s">
        <v>14</v>
      </c>
    </row>
    <row r="3864" spans="1:9" x14ac:dyDescent="0.35">
      <c r="A3864" s="2" t="s">
        <v>3908</v>
      </c>
      <c r="B3864" s="3">
        <v>45590</v>
      </c>
      <c r="C3864" s="2" t="s">
        <v>16</v>
      </c>
      <c r="D3864" s="2" t="s">
        <v>26</v>
      </c>
      <c r="E3864" s="2" t="s">
        <v>27</v>
      </c>
      <c r="F3864" s="2">
        <v>529.23</v>
      </c>
      <c r="G3864" s="2">
        <v>142.77000000000001</v>
      </c>
      <c r="H3864" s="2" t="s">
        <v>13</v>
      </c>
      <c r="I3864" s="2" t="s">
        <v>20</v>
      </c>
    </row>
    <row r="3865" spans="1:9" x14ac:dyDescent="0.35">
      <c r="A3865" s="2" t="s">
        <v>3909</v>
      </c>
      <c r="B3865" s="3">
        <v>45464</v>
      </c>
      <c r="C3865" s="2" t="s">
        <v>25</v>
      </c>
      <c r="D3865" s="2" t="s">
        <v>31</v>
      </c>
      <c r="E3865" s="2" t="s">
        <v>12</v>
      </c>
      <c r="F3865" s="2">
        <v>512.54</v>
      </c>
      <c r="G3865" s="2">
        <v>82.37</v>
      </c>
      <c r="H3865" s="2" t="s">
        <v>13</v>
      </c>
      <c r="I3865" s="2" t="s">
        <v>20</v>
      </c>
    </row>
    <row r="3866" spans="1:9" x14ac:dyDescent="0.35">
      <c r="A3866" s="2" t="s">
        <v>3910</v>
      </c>
      <c r="B3866" s="3">
        <v>44608</v>
      </c>
      <c r="C3866" s="2" t="s">
        <v>16</v>
      </c>
      <c r="D3866" s="2" t="s">
        <v>57</v>
      </c>
      <c r="E3866" s="2" t="s">
        <v>27</v>
      </c>
      <c r="F3866" s="2">
        <v>1907.06</v>
      </c>
      <c r="G3866" s="2">
        <v>482.94</v>
      </c>
      <c r="H3866" s="2" t="s">
        <v>28</v>
      </c>
      <c r="I3866" s="2" t="s">
        <v>14</v>
      </c>
    </row>
    <row r="3867" spans="1:9" x14ac:dyDescent="0.35">
      <c r="A3867" s="2" t="s">
        <v>3911</v>
      </c>
      <c r="B3867" s="3">
        <v>45279</v>
      </c>
      <c r="C3867" s="2" t="s">
        <v>25</v>
      </c>
      <c r="D3867" s="2" t="s">
        <v>33</v>
      </c>
      <c r="E3867" s="2" t="s">
        <v>18</v>
      </c>
      <c r="F3867" s="2">
        <v>1209.01</v>
      </c>
      <c r="G3867" s="2">
        <v>102.32</v>
      </c>
      <c r="H3867" s="2" t="s">
        <v>28</v>
      </c>
      <c r="I3867" s="2" t="s">
        <v>20</v>
      </c>
    </row>
    <row r="3868" spans="1:9" x14ac:dyDescent="0.35">
      <c r="A3868" s="2" t="s">
        <v>3912</v>
      </c>
      <c r="B3868" s="3">
        <v>44751</v>
      </c>
      <c r="C3868" s="2" t="s">
        <v>25</v>
      </c>
      <c r="D3868" s="2" t="s">
        <v>23</v>
      </c>
      <c r="E3868" s="2" t="s">
        <v>18</v>
      </c>
      <c r="F3868" s="2">
        <v>1902.64</v>
      </c>
      <c r="G3868" s="2">
        <v>315.47000000000003</v>
      </c>
      <c r="H3868" s="2" t="s">
        <v>13</v>
      </c>
      <c r="I3868" s="2" t="s">
        <v>29</v>
      </c>
    </row>
    <row r="3869" spans="1:9" x14ac:dyDescent="0.35">
      <c r="A3869" s="2" t="s">
        <v>3913</v>
      </c>
      <c r="B3869" s="3">
        <v>44954</v>
      </c>
      <c r="C3869" s="2" t="s">
        <v>16</v>
      </c>
      <c r="D3869" s="2" t="s">
        <v>11</v>
      </c>
      <c r="E3869" s="2" t="s">
        <v>12</v>
      </c>
      <c r="F3869" s="2">
        <v>385.38</v>
      </c>
      <c r="G3869" s="2">
        <v>77.78</v>
      </c>
      <c r="H3869" s="2" t="s">
        <v>13</v>
      </c>
      <c r="I3869" s="2" t="s">
        <v>20</v>
      </c>
    </row>
    <row r="3870" spans="1:9" x14ac:dyDescent="0.35">
      <c r="A3870" s="2" t="s">
        <v>3914</v>
      </c>
      <c r="B3870" s="3">
        <v>45313</v>
      </c>
      <c r="C3870" s="2" t="s">
        <v>10</v>
      </c>
      <c r="D3870" s="2" t="s">
        <v>46</v>
      </c>
      <c r="E3870" s="2" t="s">
        <v>18</v>
      </c>
      <c r="F3870" s="2">
        <v>1638.28</v>
      </c>
      <c r="G3870" s="2">
        <v>120.69</v>
      </c>
      <c r="H3870" s="2" t="s">
        <v>13</v>
      </c>
      <c r="I3870" s="2" t="s">
        <v>29</v>
      </c>
    </row>
    <row r="3871" spans="1:9" x14ac:dyDescent="0.35">
      <c r="A3871" s="2" t="s">
        <v>3915</v>
      </c>
      <c r="B3871" s="3">
        <v>45598</v>
      </c>
      <c r="C3871" s="2" t="s">
        <v>10</v>
      </c>
      <c r="D3871" s="2" t="s">
        <v>50</v>
      </c>
      <c r="E3871" s="2" t="s">
        <v>12</v>
      </c>
      <c r="F3871" s="2">
        <v>1661.77</v>
      </c>
      <c r="G3871" s="2">
        <v>198.71</v>
      </c>
      <c r="H3871" s="2" t="s">
        <v>19</v>
      </c>
      <c r="I3871" s="2" t="s">
        <v>14</v>
      </c>
    </row>
    <row r="3872" spans="1:9" x14ac:dyDescent="0.35">
      <c r="A3872" s="2" t="s">
        <v>3916</v>
      </c>
      <c r="B3872" s="3">
        <v>45312</v>
      </c>
      <c r="C3872" s="2" t="s">
        <v>22</v>
      </c>
      <c r="D3872" s="2" t="s">
        <v>50</v>
      </c>
      <c r="E3872" s="2" t="s">
        <v>12</v>
      </c>
      <c r="F3872" s="2">
        <v>64.67</v>
      </c>
      <c r="G3872" s="2">
        <v>15.73</v>
      </c>
      <c r="H3872" s="2" t="s">
        <v>28</v>
      </c>
      <c r="I3872" s="2" t="s">
        <v>29</v>
      </c>
    </row>
    <row r="3873" spans="1:9" x14ac:dyDescent="0.35">
      <c r="A3873" s="2" t="s">
        <v>3917</v>
      </c>
      <c r="B3873" s="3">
        <v>44770</v>
      </c>
      <c r="C3873" s="2" t="s">
        <v>25</v>
      </c>
      <c r="D3873" s="2" t="s">
        <v>26</v>
      </c>
      <c r="E3873" s="2" t="s">
        <v>27</v>
      </c>
      <c r="F3873" s="2">
        <v>1362.6</v>
      </c>
      <c r="G3873" s="2">
        <v>262.41000000000003</v>
      </c>
      <c r="H3873" s="2" t="s">
        <v>13</v>
      </c>
      <c r="I3873" s="2" t="s">
        <v>29</v>
      </c>
    </row>
    <row r="3874" spans="1:9" x14ac:dyDescent="0.35">
      <c r="A3874" s="2" t="s">
        <v>3918</v>
      </c>
      <c r="B3874" s="3">
        <v>45443</v>
      </c>
      <c r="C3874" s="2" t="s">
        <v>22</v>
      </c>
      <c r="D3874" s="2" t="s">
        <v>62</v>
      </c>
      <c r="E3874" s="2" t="s">
        <v>27</v>
      </c>
      <c r="F3874" s="2">
        <v>1314.23</v>
      </c>
      <c r="G3874" s="2">
        <v>87.38</v>
      </c>
      <c r="H3874" s="2" t="s">
        <v>28</v>
      </c>
      <c r="I3874" s="2" t="s">
        <v>29</v>
      </c>
    </row>
    <row r="3875" spans="1:9" x14ac:dyDescent="0.35">
      <c r="A3875" s="2" t="s">
        <v>3919</v>
      </c>
      <c r="B3875" s="3">
        <v>45645</v>
      </c>
      <c r="C3875" s="2" t="s">
        <v>16</v>
      </c>
      <c r="D3875" s="2" t="s">
        <v>50</v>
      </c>
      <c r="E3875" s="2" t="s">
        <v>12</v>
      </c>
      <c r="F3875" s="2">
        <v>1420.92</v>
      </c>
      <c r="G3875" s="2">
        <v>100.34</v>
      </c>
      <c r="H3875" s="2" t="s">
        <v>13</v>
      </c>
      <c r="I3875" s="2" t="s">
        <v>29</v>
      </c>
    </row>
    <row r="3876" spans="1:9" x14ac:dyDescent="0.35">
      <c r="A3876" s="2" t="s">
        <v>3920</v>
      </c>
      <c r="B3876" s="3">
        <v>44648</v>
      </c>
      <c r="C3876" s="2" t="s">
        <v>16</v>
      </c>
      <c r="D3876" s="2" t="s">
        <v>11</v>
      </c>
      <c r="E3876" s="2" t="s">
        <v>12</v>
      </c>
      <c r="F3876" s="2">
        <v>112.64</v>
      </c>
      <c r="G3876" s="2">
        <v>13.15</v>
      </c>
      <c r="H3876" s="2" t="s">
        <v>28</v>
      </c>
      <c r="I3876" s="2" t="s">
        <v>14</v>
      </c>
    </row>
    <row r="3877" spans="1:9" x14ac:dyDescent="0.35">
      <c r="A3877" s="2" t="s">
        <v>3921</v>
      </c>
      <c r="B3877" s="3">
        <v>45613</v>
      </c>
      <c r="C3877" s="2" t="s">
        <v>22</v>
      </c>
      <c r="D3877" s="2" t="s">
        <v>11</v>
      </c>
      <c r="E3877" s="2" t="s">
        <v>12</v>
      </c>
      <c r="F3877" s="2">
        <v>977.02</v>
      </c>
      <c r="G3877" s="2">
        <v>230.31</v>
      </c>
      <c r="H3877" s="2" t="s">
        <v>28</v>
      </c>
      <c r="I3877" s="2" t="s">
        <v>29</v>
      </c>
    </row>
    <row r="3878" spans="1:9" x14ac:dyDescent="0.35">
      <c r="A3878" s="2" t="s">
        <v>3922</v>
      </c>
      <c r="B3878" s="3">
        <v>45253</v>
      </c>
      <c r="C3878" s="2" t="s">
        <v>25</v>
      </c>
      <c r="D3878" s="2" t="s">
        <v>41</v>
      </c>
      <c r="E3878" s="2" t="s">
        <v>12</v>
      </c>
      <c r="F3878" s="2">
        <v>909.52</v>
      </c>
      <c r="G3878" s="2">
        <v>206.93</v>
      </c>
      <c r="H3878" s="2" t="s">
        <v>28</v>
      </c>
      <c r="I3878" s="2" t="s">
        <v>20</v>
      </c>
    </row>
    <row r="3879" spans="1:9" x14ac:dyDescent="0.35">
      <c r="A3879" s="2" t="s">
        <v>3923</v>
      </c>
      <c r="B3879" s="3">
        <v>44705</v>
      </c>
      <c r="C3879" s="2" t="s">
        <v>22</v>
      </c>
      <c r="D3879" s="2" t="s">
        <v>17</v>
      </c>
      <c r="E3879" s="2" t="s">
        <v>18</v>
      </c>
      <c r="F3879" s="2">
        <v>498.14</v>
      </c>
      <c r="G3879" s="2">
        <v>33.04</v>
      </c>
      <c r="H3879" s="2" t="s">
        <v>28</v>
      </c>
      <c r="I3879" s="2" t="s">
        <v>34</v>
      </c>
    </row>
    <row r="3880" spans="1:9" x14ac:dyDescent="0.35">
      <c r="A3880" s="2" t="s">
        <v>3924</v>
      </c>
      <c r="B3880" s="3">
        <v>45002</v>
      </c>
      <c r="C3880" s="2" t="s">
        <v>16</v>
      </c>
      <c r="D3880" s="2" t="s">
        <v>31</v>
      </c>
      <c r="E3880" s="2" t="s">
        <v>12</v>
      </c>
      <c r="F3880" s="2">
        <v>1420.07</v>
      </c>
      <c r="G3880" s="2">
        <v>400.64</v>
      </c>
      <c r="H3880" s="2" t="s">
        <v>13</v>
      </c>
      <c r="I3880" s="2" t="s">
        <v>14</v>
      </c>
    </row>
    <row r="3881" spans="1:9" x14ac:dyDescent="0.35">
      <c r="A3881" s="2" t="s">
        <v>3925</v>
      </c>
      <c r="B3881" s="3">
        <v>44981</v>
      </c>
      <c r="C3881" s="2" t="s">
        <v>10</v>
      </c>
      <c r="D3881" s="2" t="s">
        <v>31</v>
      </c>
      <c r="E3881" s="2" t="s">
        <v>12</v>
      </c>
      <c r="F3881" s="2">
        <v>682.54</v>
      </c>
      <c r="G3881" s="2">
        <v>140.05000000000001</v>
      </c>
      <c r="H3881" s="2" t="s">
        <v>13</v>
      </c>
      <c r="I3881" s="2" t="s">
        <v>20</v>
      </c>
    </row>
    <row r="3882" spans="1:9" x14ac:dyDescent="0.35">
      <c r="A3882" s="2" t="s">
        <v>3926</v>
      </c>
      <c r="B3882" s="3">
        <v>44825</v>
      </c>
      <c r="C3882" s="2" t="s">
        <v>16</v>
      </c>
      <c r="D3882" s="2" t="s">
        <v>57</v>
      </c>
      <c r="E3882" s="2" t="s">
        <v>27</v>
      </c>
      <c r="F3882" s="2">
        <v>1834.92</v>
      </c>
      <c r="G3882" s="2">
        <v>534.14</v>
      </c>
      <c r="H3882" s="2" t="s">
        <v>13</v>
      </c>
      <c r="I3882" s="2" t="s">
        <v>29</v>
      </c>
    </row>
    <row r="3883" spans="1:9" x14ac:dyDescent="0.35">
      <c r="A3883" s="2" t="s">
        <v>3927</v>
      </c>
      <c r="B3883" s="3">
        <v>45470</v>
      </c>
      <c r="C3883" s="2" t="s">
        <v>16</v>
      </c>
      <c r="D3883" s="2" t="s">
        <v>41</v>
      </c>
      <c r="E3883" s="2" t="s">
        <v>12</v>
      </c>
      <c r="F3883" s="2">
        <v>770.36</v>
      </c>
      <c r="G3883" s="2">
        <v>51.88</v>
      </c>
      <c r="H3883" s="2" t="s">
        <v>28</v>
      </c>
      <c r="I3883" s="2" t="s">
        <v>20</v>
      </c>
    </row>
    <row r="3884" spans="1:9" x14ac:dyDescent="0.35">
      <c r="A3884" s="2" t="s">
        <v>3928</v>
      </c>
      <c r="B3884" s="3">
        <v>44614</v>
      </c>
      <c r="C3884" s="2" t="s">
        <v>10</v>
      </c>
      <c r="D3884" s="2" t="s">
        <v>46</v>
      </c>
      <c r="E3884" s="2" t="s">
        <v>18</v>
      </c>
      <c r="F3884" s="2">
        <v>533.69000000000005</v>
      </c>
      <c r="G3884" s="2">
        <v>125.05</v>
      </c>
      <c r="H3884" s="2" t="s">
        <v>19</v>
      </c>
      <c r="I3884" s="2" t="s">
        <v>34</v>
      </c>
    </row>
    <row r="3885" spans="1:9" x14ac:dyDescent="0.35">
      <c r="A3885" s="2" t="s">
        <v>3929</v>
      </c>
      <c r="B3885" s="3">
        <v>45218</v>
      </c>
      <c r="C3885" s="2" t="s">
        <v>25</v>
      </c>
      <c r="D3885" s="2" t="s">
        <v>26</v>
      </c>
      <c r="E3885" s="2" t="s">
        <v>27</v>
      </c>
      <c r="F3885" s="2">
        <v>1568.42</v>
      </c>
      <c r="G3885" s="2">
        <v>166.77</v>
      </c>
      <c r="H3885" s="2" t="s">
        <v>28</v>
      </c>
      <c r="I3885" s="2" t="s">
        <v>14</v>
      </c>
    </row>
    <row r="3886" spans="1:9" x14ac:dyDescent="0.35">
      <c r="A3886" s="2" t="s">
        <v>3930</v>
      </c>
      <c r="B3886" s="3">
        <v>44606</v>
      </c>
      <c r="C3886" s="2" t="s">
        <v>22</v>
      </c>
      <c r="D3886" s="2" t="s">
        <v>97</v>
      </c>
      <c r="E3886" s="2" t="s">
        <v>27</v>
      </c>
      <c r="F3886" s="2">
        <v>773.03</v>
      </c>
      <c r="G3886" s="2">
        <v>153.11000000000001</v>
      </c>
      <c r="H3886" s="2" t="s">
        <v>19</v>
      </c>
      <c r="I3886" s="2" t="s">
        <v>14</v>
      </c>
    </row>
    <row r="3887" spans="1:9" x14ac:dyDescent="0.35">
      <c r="A3887" s="2" t="s">
        <v>3931</v>
      </c>
      <c r="B3887" s="3">
        <v>44951</v>
      </c>
      <c r="C3887" s="2" t="s">
        <v>22</v>
      </c>
      <c r="D3887" s="2" t="s">
        <v>57</v>
      </c>
      <c r="E3887" s="2" t="s">
        <v>27</v>
      </c>
      <c r="F3887" s="2">
        <v>147.01</v>
      </c>
      <c r="G3887" s="2">
        <v>33.07</v>
      </c>
      <c r="H3887" s="2" t="s">
        <v>13</v>
      </c>
      <c r="I3887" s="2" t="s">
        <v>14</v>
      </c>
    </row>
    <row r="3888" spans="1:9" x14ac:dyDescent="0.35">
      <c r="A3888" s="2" t="s">
        <v>3932</v>
      </c>
      <c r="B3888" s="3">
        <v>45051</v>
      </c>
      <c r="C3888" s="2" t="s">
        <v>25</v>
      </c>
      <c r="D3888" s="2" t="s">
        <v>50</v>
      </c>
      <c r="E3888" s="2" t="s">
        <v>12</v>
      </c>
      <c r="F3888" s="2">
        <v>1286.51</v>
      </c>
      <c r="G3888" s="2">
        <v>102.22</v>
      </c>
      <c r="H3888" s="2" t="s">
        <v>13</v>
      </c>
      <c r="I3888" s="2" t="s">
        <v>34</v>
      </c>
    </row>
    <row r="3889" spans="1:9" x14ac:dyDescent="0.35">
      <c r="A3889" s="2" t="s">
        <v>3933</v>
      </c>
      <c r="B3889" s="3">
        <v>45607</v>
      </c>
      <c r="C3889" s="2" t="s">
        <v>10</v>
      </c>
      <c r="D3889" s="2" t="s">
        <v>95</v>
      </c>
      <c r="E3889" s="2" t="s">
        <v>18</v>
      </c>
      <c r="F3889" s="2">
        <v>305.08</v>
      </c>
      <c r="G3889" s="2">
        <v>67.22</v>
      </c>
      <c r="H3889" s="2" t="s">
        <v>28</v>
      </c>
      <c r="I3889" s="2" t="s">
        <v>14</v>
      </c>
    </row>
    <row r="3890" spans="1:9" x14ac:dyDescent="0.35">
      <c r="A3890" s="2" t="s">
        <v>3934</v>
      </c>
      <c r="B3890" s="3">
        <v>45372</v>
      </c>
      <c r="C3890" s="2" t="s">
        <v>16</v>
      </c>
      <c r="D3890" s="2" t="s">
        <v>31</v>
      </c>
      <c r="E3890" s="2" t="s">
        <v>12</v>
      </c>
      <c r="F3890" s="2">
        <v>518.77</v>
      </c>
      <c r="G3890" s="2">
        <v>130.07</v>
      </c>
      <c r="H3890" s="2" t="s">
        <v>13</v>
      </c>
      <c r="I3890" s="2" t="s">
        <v>29</v>
      </c>
    </row>
    <row r="3891" spans="1:9" x14ac:dyDescent="0.35">
      <c r="A3891" s="2" t="s">
        <v>3935</v>
      </c>
      <c r="B3891" s="3">
        <v>44827</v>
      </c>
      <c r="C3891" s="2" t="s">
        <v>10</v>
      </c>
      <c r="D3891" s="2" t="s">
        <v>95</v>
      </c>
      <c r="E3891" s="2" t="s">
        <v>18</v>
      </c>
      <c r="F3891" s="2">
        <v>171.98</v>
      </c>
      <c r="G3891" s="2">
        <v>27.95</v>
      </c>
      <c r="H3891" s="2" t="s">
        <v>19</v>
      </c>
      <c r="I3891" s="2" t="s">
        <v>29</v>
      </c>
    </row>
    <row r="3892" spans="1:9" x14ac:dyDescent="0.35">
      <c r="A3892" s="2" t="s">
        <v>3936</v>
      </c>
      <c r="B3892" s="3">
        <v>45599</v>
      </c>
      <c r="C3892" s="2" t="s">
        <v>25</v>
      </c>
      <c r="D3892" s="2" t="s">
        <v>31</v>
      </c>
      <c r="E3892" s="2" t="s">
        <v>12</v>
      </c>
      <c r="F3892" s="2">
        <v>748.81</v>
      </c>
      <c r="G3892" s="2">
        <v>152.6</v>
      </c>
      <c r="H3892" s="2" t="s">
        <v>19</v>
      </c>
      <c r="I3892" s="2" t="s">
        <v>14</v>
      </c>
    </row>
    <row r="3893" spans="1:9" x14ac:dyDescent="0.35">
      <c r="A3893" s="2" t="s">
        <v>3937</v>
      </c>
      <c r="B3893" s="3">
        <v>45574</v>
      </c>
      <c r="C3893" s="2" t="s">
        <v>16</v>
      </c>
      <c r="D3893" s="2" t="s">
        <v>62</v>
      </c>
      <c r="E3893" s="2" t="s">
        <v>27</v>
      </c>
      <c r="F3893" s="2">
        <v>1393.61</v>
      </c>
      <c r="G3893" s="2">
        <v>414.44</v>
      </c>
      <c r="H3893" s="2" t="s">
        <v>13</v>
      </c>
      <c r="I3893" s="2" t="s">
        <v>34</v>
      </c>
    </row>
    <row r="3894" spans="1:9" x14ac:dyDescent="0.35">
      <c r="A3894" s="2" t="s">
        <v>3938</v>
      </c>
      <c r="B3894" s="3">
        <v>44588</v>
      </c>
      <c r="C3894" s="2" t="s">
        <v>16</v>
      </c>
      <c r="D3894" s="2" t="s">
        <v>57</v>
      </c>
      <c r="E3894" s="2" t="s">
        <v>27</v>
      </c>
      <c r="F3894" s="2">
        <v>416</v>
      </c>
      <c r="G3894" s="2">
        <v>63.81</v>
      </c>
      <c r="H3894" s="2" t="s">
        <v>13</v>
      </c>
      <c r="I3894" s="2" t="s">
        <v>29</v>
      </c>
    </row>
    <row r="3895" spans="1:9" x14ac:dyDescent="0.35">
      <c r="A3895" s="2" t="s">
        <v>3939</v>
      </c>
      <c r="B3895" s="3">
        <v>45524</v>
      </c>
      <c r="C3895" s="2" t="s">
        <v>22</v>
      </c>
      <c r="D3895" s="2" t="s">
        <v>41</v>
      </c>
      <c r="E3895" s="2" t="s">
        <v>12</v>
      </c>
      <c r="F3895" s="2">
        <v>211.14</v>
      </c>
      <c r="G3895" s="2">
        <v>47.45</v>
      </c>
      <c r="H3895" s="2" t="s">
        <v>28</v>
      </c>
      <c r="I3895" s="2" t="s">
        <v>29</v>
      </c>
    </row>
    <row r="3896" spans="1:9" x14ac:dyDescent="0.35">
      <c r="A3896" s="2" t="s">
        <v>3940</v>
      </c>
      <c r="B3896" s="3">
        <v>44984</v>
      </c>
      <c r="C3896" s="2" t="s">
        <v>22</v>
      </c>
      <c r="D3896" s="2" t="s">
        <v>17</v>
      </c>
      <c r="E3896" s="2" t="s">
        <v>18</v>
      </c>
      <c r="F3896" s="2">
        <v>1970.69</v>
      </c>
      <c r="G3896" s="2">
        <v>332.06</v>
      </c>
      <c r="H3896" s="2" t="s">
        <v>13</v>
      </c>
      <c r="I3896" s="2" t="s">
        <v>14</v>
      </c>
    </row>
    <row r="3897" spans="1:9" x14ac:dyDescent="0.35">
      <c r="A3897" s="2" t="s">
        <v>3941</v>
      </c>
      <c r="B3897" s="3">
        <v>45651</v>
      </c>
      <c r="C3897" s="2" t="s">
        <v>22</v>
      </c>
      <c r="D3897" s="2" t="s">
        <v>46</v>
      </c>
      <c r="E3897" s="2" t="s">
        <v>18</v>
      </c>
      <c r="F3897" s="2">
        <v>979.97</v>
      </c>
      <c r="G3897" s="2">
        <v>126.02</v>
      </c>
      <c r="H3897" s="2" t="s">
        <v>13</v>
      </c>
      <c r="I3897" s="2" t="s">
        <v>34</v>
      </c>
    </row>
    <row r="3898" spans="1:9" x14ac:dyDescent="0.35">
      <c r="A3898" s="2" t="s">
        <v>3942</v>
      </c>
      <c r="B3898" s="3">
        <v>44625</v>
      </c>
      <c r="C3898" s="2" t="s">
        <v>22</v>
      </c>
      <c r="D3898" s="2" t="s">
        <v>97</v>
      </c>
      <c r="E3898" s="2" t="s">
        <v>27</v>
      </c>
      <c r="F3898" s="2">
        <v>1005.2</v>
      </c>
      <c r="G3898" s="2">
        <v>66.28</v>
      </c>
      <c r="H3898" s="2" t="s">
        <v>19</v>
      </c>
      <c r="I3898" s="2" t="s">
        <v>14</v>
      </c>
    </row>
    <row r="3899" spans="1:9" x14ac:dyDescent="0.35">
      <c r="A3899" s="2" t="s">
        <v>3943</v>
      </c>
      <c r="B3899" s="3">
        <v>45558</v>
      </c>
      <c r="C3899" s="2" t="s">
        <v>16</v>
      </c>
      <c r="D3899" s="2" t="s">
        <v>38</v>
      </c>
      <c r="E3899" s="2" t="s">
        <v>12</v>
      </c>
      <c r="F3899" s="2">
        <v>522.6</v>
      </c>
      <c r="G3899" s="2">
        <v>81.8</v>
      </c>
      <c r="H3899" s="2" t="s">
        <v>28</v>
      </c>
      <c r="I3899" s="2" t="s">
        <v>34</v>
      </c>
    </row>
    <row r="3900" spans="1:9" x14ac:dyDescent="0.35">
      <c r="A3900" s="2" t="s">
        <v>3944</v>
      </c>
      <c r="B3900" s="3">
        <v>45241</v>
      </c>
      <c r="C3900" s="2" t="s">
        <v>16</v>
      </c>
      <c r="D3900" s="2" t="s">
        <v>11</v>
      </c>
      <c r="E3900" s="2" t="s">
        <v>12</v>
      </c>
      <c r="F3900" s="2">
        <v>1225.77</v>
      </c>
      <c r="G3900" s="2">
        <v>210.9</v>
      </c>
      <c r="H3900" s="2" t="s">
        <v>19</v>
      </c>
      <c r="I3900" s="2" t="s">
        <v>29</v>
      </c>
    </row>
    <row r="3901" spans="1:9" x14ac:dyDescent="0.35">
      <c r="A3901" s="2" t="s">
        <v>3945</v>
      </c>
      <c r="B3901" s="3">
        <v>44630</v>
      </c>
      <c r="C3901" s="2" t="s">
        <v>10</v>
      </c>
      <c r="D3901" s="2" t="s">
        <v>73</v>
      </c>
      <c r="E3901" s="2" t="s">
        <v>27</v>
      </c>
      <c r="F3901" s="2">
        <v>405.31</v>
      </c>
      <c r="G3901" s="2">
        <v>43.57</v>
      </c>
      <c r="H3901" s="2" t="s">
        <v>28</v>
      </c>
      <c r="I3901" s="2" t="s">
        <v>29</v>
      </c>
    </row>
    <row r="3902" spans="1:9" x14ac:dyDescent="0.35">
      <c r="A3902" s="2" t="s">
        <v>3946</v>
      </c>
      <c r="B3902" s="3">
        <v>45476</v>
      </c>
      <c r="C3902" s="2" t="s">
        <v>22</v>
      </c>
      <c r="D3902" s="2" t="s">
        <v>46</v>
      </c>
      <c r="E3902" s="2" t="s">
        <v>18</v>
      </c>
      <c r="F3902" s="2">
        <v>1884.09</v>
      </c>
      <c r="G3902" s="2">
        <v>445.29</v>
      </c>
      <c r="H3902" s="2" t="s">
        <v>28</v>
      </c>
      <c r="I3902" s="2" t="s">
        <v>29</v>
      </c>
    </row>
    <row r="3903" spans="1:9" x14ac:dyDescent="0.35">
      <c r="A3903" s="2" t="s">
        <v>3947</v>
      </c>
      <c r="B3903" s="3">
        <v>45310</v>
      </c>
      <c r="C3903" s="2" t="s">
        <v>22</v>
      </c>
      <c r="D3903" s="2" t="s">
        <v>73</v>
      </c>
      <c r="E3903" s="2" t="s">
        <v>27</v>
      </c>
      <c r="F3903" s="2">
        <v>338.99</v>
      </c>
      <c r="G3903" s="2">
        <v>69.25</v>
      </c>
      <c r="H3903" s="2" t="s">
        <v>13</v>
      </c>
      <c r="I3903" s="2" t="s">
        <v>34</v>
      </c>
    </row>
    <row r="3904" spans="1:9" x14ac:dyDescent="0.35">
      <c r="A3904" s="2" t="s">
        <v>3948</v>
      </c>
      <c r="B3904" s="3">
        <v>45161</v>
      </c>
      <c r="C3904" s="2" t="s">
        <v>22</v>
      </c>
      <c r="D3904" s="2" t="s">
        <v>46</v>
      </c>
      <c r="E3904" s="2" t="s">
        <v>18</v>
      </c>
      <c r="F3904" s="2">
        <v>364.92</v>
      </c>
      <c r="G3904" s="2">
        <v>94.81</v>
      </c>
      <c r="H3904" s="2" t="s">
        <v>28</v>
      </c>
      <c r="I3904" s="2" t="s">
        <v>29</v>
      </c>
    </row>
    <row r="3905" spans="1:9" x14ac:dyDescent="0.35">
      <c r="A3905" s="2" t="s">
        <v>3949</v>
      </c>
      <c r="B3905" s="3">
        <v>45038</v>
      </c>
      <c r="C3905" s="2" t="s">
        <v>22</v>
      </c>
      <c r="D3905" s="2" t="s">
        <v>41</v>
      </c>
      <c r="E3905" s="2" t="s">
        <v>12</v>
      </c>
      <c r="F3905" s="2">
        <v>1151.53</v>
      </c>
      <c r="G3905" s="2">
        <v>230.37</v>
      </c>
      <c r="H3905" s="2" t="s">
        <v>13</v>
      </c>
      <c r="I3905" s="2" t="s">
        <v>34</v>
      </c>
    </row>
    <row r="3906" spans="1:9" x14ac:dyDescent="0.35">
      <c r="A3906" s="2" t="s">
        <v>3950</v>
      </c>
      <c r="B3906" s="3">
        <v>44882</v>
      </c>
      <c r="C3906" s="2" t="s">
        <v>10</v>
      </c>
      <c r="D3906" s="2" t="s">
        <v>73</v>
      </c>
      <c r="E3906" s="2" t="s">
        <v>27</v>
      </c>
      <c r="F3906" s="2">
        <v>376.22</v>
      </c>
      <c r="G3906" s="2">
        <v>24.26</v>
      </c>
      <c r="H3906" s="2" t="s">
        <v>13</v>
      </c>
      <c r="I3906" s="2" t="s">
        <v>20</v>
      </c>
    </row>
    <row r="3907" spans="1:9" x14ac:dyDescent="0.35">
      <c r="A3907" s="2" t="s">
        <v>3951</v>
      </c>
      <c r="B3907" s="3">
        <v>45118</v>
      </c>
      <c r="C3907" s="2" t="s">
        <v>16</v>
      </c>
      <c r="D3907" s="2" t="s">
        <v>57</v>
      </c>
      <c r="E3907" s="2" t="s">
        <v>27</v>
      </c>
      <c r="F3907" s="2">
        <v>1437.36</v>
      </c>
      <c r="G3907" s="2">
        <v>286.58999999999997</v>
      </c>
      <c r="H3907" s="2" t="s">
        <v>19</v>
      </c>
      <c r="I3907" s="2" t="s">
        <v>29</v>
      </c>
    </row>
    <row r="3908" spans="1:9" x14ac:dyDescent="0.35">
      <c r="A3908" s="2" t="s">
        <v>3952</v>
      </c>
      <c r="B3908" s="3">
        <v>44740</v>
      </c>
      <c r="C3908" s="2" t="s">
        <v>16</v>
      </c>
      <c r="D3908" s="2" t="s">
        <v>97</v>
      </c>
      <c r="E3908" s="2" t="s">
        <v>27</v>
      </c>
      <c r="F3908" s="2">
        <v>1364.76</v>
      </c>
      <c r="G3908" s="2">
        <v>302.97000000000003</v>
      </c>
      <c r="H3908" s="2" t="s">
        <v>13</v>
      </c>
      <c r="I3908" s="2" t="s">
        <v>14</v>
      </c>
    </row>
    <row r="3909" spans="1:9" x14ac:dyDescent="0.35">
      <c r="A3909" s="2" t="s">
        <v>3953</v>
      </c>
      <c r="B3909" s="3">
        <v>45589</v>
      </c>
      <c r="C3909" s="2" t="s">
        <v>22</v>
      </c>
      <c r="D3909" s="2" t="s">
        <v>95</v>
      </c>
      <c r="E3909" s="2" t="s">
        <v>18</v>
      </c>
      <c r="F3909" s="2">
        <v>1893.54</v>
      </c>
      <c r="G3909" s="2">
        <v>279.24</v>
      </c>
      <c r="H3909" s="2" t="s">
        <v>28</v>
      </c>
      <c r="I3909" s="2" t="s">
        <v>14</v>
      </c>
    </row>
    <row r="3910" spans="1:9" x14ac:dyDescent="0.35">
      <c r="A3910" s="2" t="s">
        <v>3954</v>
      </c>
      <c r="B3910" s="3">
        <v>45377</v>
      </c>
      <c r="C3910" s="2" t="s">
        <v>25</v>
      </c>
      <c r="D3910" s="2" t="s">
        <v>23</v>
      </c>
      <c r="E3910" s="2" t="s">
        <v>18</v>
      </c>
      <c r="F3910" s="2">
        <v>954.6</v>
      </c>
      <c r="G3910" s="2">
        <v>131.58000000000001</v>
      </c>
      <c r="H3910" s="2" t="s">
        <v>28</v>
      </c>
      <c r="I3910" s="2" t="s">
        <v>29</v>
      </c>
    </row>
    <row r="3911" spans="1:9" x14ac:dyDescent="0.35">
      <c r="A3911" s="2" t="s">
        <v>3955</v>
      </c>
      <c r="B3911" s="3">
        <v>44563</v>
      </c>
      <c r="C3911" s="2" t="s">
        <v>16</v>
      </c>
      <c r="D3911" s="2" t="s">
        <v>73</v>
      </c>
      <c r="E3911" s="2" t="s">
        <v>27</v>
      </c>
      <c r="F3911" s="2">
        <v>1762.11</v>
      </c>
      <c r="G3911" s="2">
        <v>204.34</v>
      </c>
      <c r="H3911" s="2" t="s">
        <v>28</v>
      </c>
      <c r="I3911" s="2" t="s">
        <v>29</v>
      </c>
    </row>
    <row r="3912" spans="1:9" x14ac:dyDescent="0.35">
      <c r="A3912" s="2" t="s">
        <v>3956</v>
      </c>
      <c r="B3912" s="3">
        <v>45326</v>
      </c>
      <c r="C3912" s="2" t="s">
        <v>10</v>
      </c>
      <c r="D3912" s="2" t="s">
        <v>26</v>
      </c>
      <c r="E3912" s="2" t="s">
        <v>27</v>
      </c>
      <c r="F3912" s="2">
        <v>784.62</v>
      </c>
      <c r="G3912" s="2">
        <v>53.04</v>
      </c>
      <c r="H3912" s="2" t="s">
        <v>28</v>
      </c>
      <c r="I3912" s="2" t="s">
        <v>34</v>
      </c>
    </row>
    <row r="3913" spans="1:9" x14ac:dyDescent="0.35">
      <c r="A3913" s="2" t="s">
        <v>3957</v>
      </c>
      <c r="B3913" s="3">
        <v>45555</v>
      </c>
      <c r="C3913" s="2" t="s">
        <v>22</v>
      </c>
      <c r="D3913" s="2" t="s">
        <v>31</v>
      </c>
      <c r="E3913" s="2" t="s">
        <v>12</v>
      </c>
      <c r="F3913" s="2">
        <v>1594.04</v>
      </c>
      <c r="G3913" s="2">
        <v>380.97</v>
      </c>
      <c r="H3913" s="2" t="s">
        <v>28</v>
      </c>
      <c r="I3913" s="2" t="s">
        <v>34</v>
      </c>
    </row>
    <row r="3914" spans="1:9" x14ac:dyDescent="0.35">
      <c r="A3914" s="2" t="s">
        <v>3958</v>
      </c>
      <c r="B3914" s="3">
        <v>45238</v>
      </c>
      <c r="C3914" s="2" t="s">
        <v>22</v>
      </c>
      <c r="D3914" s="2" t="s">
        <v>33</v>
      </c>
      <c r="E3914" s="2" t="s">
        <v>18</v>
      </c>
      <c r="F3914" s="2">
        <v>1970.85</v>
      </c>
      <c r="G3914" s="2">
        <v>146.12</v>
      </c>
      <c r="H3914" s="2" t="s">
        <v>13</v>
      </c>
      <c r="I3914" s="2" t="s">
        <v>29</v>
      </c>
    </row>
    <row r="3915" spans="1:9" x14ac:dyDescent="0.35">
      <c r="A3915" s="2" t="s">
        <v>3959</v>
      </c>
      <c r="B3915" s="3">
        <v>44875</v>
      </c>
      <c r="C3915" s="2" t="s">
        <v>10</v>
      </c>
      <c r="D3915" s="2" t="s">
        <v>73</v>
      </c>
      <c r="E3915" s="2" t="s">
        <v>27</v>
      </c>
      <c r="F3915" s="2">
        <v>1004.15</v>
      </c>
      <c r="G3915" s="2">
        <v>214.84</v>
      </c>
      <c r="H3915" s="2" t="s">
        <v>13</v>
      </c>
      <c r="I3915" s="2" t="s">
        <v>14</v>
      </c>
    </row>
    <row r="3916" spans="1:9" x14ac:dyDescent="0.35">
      <c r="A3916" s="2" t="s">
        <v>3960</v>
      </c>
      <c r="B3916" s="3">
        <v>44926</v>
      </c>
      <c r="C3916" s="2" t="s">
        <v>10</v>
      </c>
      <c r="D3916" s="2" t="s">
        <v>73</v>
      </c>
      <c r="E3916" s="2" t="s">
        <v>27</v>
      </c>
      <c r="F3916" s="2">
        <v>948.6</v>
      </c>
      <c r="G3916" s="2">
        <v>227.03</v>
      </c>
      <c r="H3916" s="2" t="s">
        <v>19</v>
      </c>
      <c r="I3916" s="2" t="s">
        <v>20</v>
      </c>
    </row>
    <row r="3917" spans="1:9" x14ac:dyDescent="0.35">
      <c r="A3917" s="2" t="s">
        <v>3961</v>
      </c>
      <c r="B3917" s="3">
        <v>44768</v>
      </c>
      <c r="C3917" s="2" t="s">
        <v>10</v>
      </c>
      <c r="D3917" s="2" t="s">
        <v>97</v>
      </c>
      <c r="E3917" s="2" t="s">
        <v>27</v>
      </c>
      <c r="F3917" s="2">
        <v>577.16</v>
      </c>
      <c r="G3917" s="2">
        <v>58.13</v>
      </c>
      <c r="H3917" s="2" t="s">
        <v>13</v>
      </c>
      <c r="I3917" s="2" t="s">
        <v>14</v>
      </c>
    </row>
    <row r="3918" spans="1:9" x14ac:dyDescent="0.35">
      <c r="A3918" s="2" t="s">
        <v>3962</v>
      </c>
      <c r="B3918" s="3">
        <v>44722</v>
      </c>
      <c r="C3918" s="2" t="s">
        <v>25</v>
      </c>
      <c r="D3918" s="2" t="s">
        <v>97</v>
      </c>
      <c r="E3918" s="2" t="s">
        <v>27</v>
      </c>
      <c r="F3918" s="2">
        <v>1802.46</v>
      </c>
      <c r="G3918" s="2">
        <v>302.83999999999997</v>
      </c>
      <c r="H3918" s="2" t="s">
        <v>19</v>
      </c>
      <c r="I3918" s="2" t="s">
        <v>20</v>
      </c>
    </row>
    <row r="3919" spans="1:9" x14ac:dyDescent="0.35">
      <c r="A3919" s="2" t="s">
        <v>3963</v>
      </c>
      <c r="B3919" s="3">
        <v>44608</v>
      </c>
      <c r="C3919" s="2" t="s">
        <v>25</v>
      </c>
      <c r="D3919" s="2" t="s">
        <v>50</v>
      </c>
      <c r="E3919" s="2" t="s">
        <v>12</v>
      </c>
      <c r="F3919" s="2">
        <v>242.38</v>
      </c>
      <c r="G3919" s="2">
        <v>14.72</v>
      </c>
      <c r="H3919" s="2" t="s">
        <v>13</v>
      </c>
      <c r="I3919" s="2" t="s">
        <v>29</v>
      </c>
    </row>
    <row r="3920" spans="1:9" x14ac:dyDescent="0.35">
      <c r="A3920" s="2" t="s">
        <v>3964</v>
      </c>
      <c r="B3920" s="3">
        <v>45409</v>
      </c>
      <c r="C3920" s="2" t="s">
        <v>25</v>
      </c>
      <c r="D3920" s="2" t="s">
        <v>95</v>
      </c>
      <c r="E3920" s="2" t="s">
        <v>18</v>
      </c>
      <c r="F3920" s="2">
        <v>1066.6099999999999</v>
      </c>
      <c r="G3920" s="2">
        <v>56.04</v>
      </c>
      <c r="H3920" s="2" t="s">
        <v>13</v>
      </c>
      <c r="I3920" s="2" t="s">
        <v>14</v>
      </c>
    </row>
    <row r="3921" spans="1:9" x14ac:dyDescent="0.35">
      <c r="A3921" s="2" t="s">
        <v>3965</v>
      </c>
      <c r="B3921" s="3">
        <v>44778</v>
      </c>
      <c r="C3921" s="2" t="s">
        <v>10</v>
      </c>
      <c r="D3921" s="2" t="s">
        <v>95</v>
      </c>
      <c r="E3921" s="2" t="s">
        <v>18</v>
      </c>
      <c r="F3921" s="2">
        <v>1457.93</v>
      </c>
      <c r="G3921" s="2">
        <v>74.59</v>
      </c>
      <c r="H3921" s="2" t="s">
        <v>28</v>
      </c>
      <c r="I3921" s="2" t="s">
        <v>14</v>
      </c>
    </row>
    <row r="3922" spans="1:9" x14ac:dyDescent="0.35">
      <c r="A3922" s="2" t="s">
        <v>3966</v>
      </c>
      <c r="B3922" s="3">
        <v>45311</v>
      </c>
      <c r="C3922" s="2" t="s">
        <v>25</v>
      </c>
      <c r="D3922" s="2" t="s">
        <v>38</v>
      </c>
      <c r="E3922" s="2" t="s">
        <v>12</v>
      </c>
      <c r="F3922" s="2">
        <v>1344.16</v>
      </c>
      <c r="G3922" s="2">
        <v>104.41</v>
      </c>
      <c r="H3922" s="2" t="s">
        <v>19</v>
      </c>
      <c r="I3922" s="2" t="s">
        <v>29</v>
      </c>
    </row>
    <row r="3923" spans="1:9" x14ac:dyDescent="0.35">
      <c r="A3923" s="2" t="s">
        <v>3967</v>
      </c>
      <c r="B3923" s="3">
        <v>45510</v>
      </c>
      <c r="C3923" s="2" t="s">
        <v>22</v>
      </c>
      <c r="D3923" s="2" t="s">
        <v>57</v>
      </c>
      <c r="E3923" s="2" t="s">
        <v>27</v>
      </c>
      <c r="F3923" s="2">
        <v>1328.4</v>
      </c>
      <c r="G3923" s="2">
        <v>77.8</v>
      </c>
      <c r="H3923" s="2" t="s">
        <v>28</v>
      </c>
      <c r="I3923" s="2" t="s">
        <v>14</v>
      </c>
    </row>
    <row r="3924" spans="1:9" x14ac:dyDescent="0.35">
      <c r="A3924" s="2" t="s">
        <v>3968</v>
      </c>
      <c r="B3924" s="3">
        <v>44952</v>
      </c>
      <c r="C3924" s="2" t="s">
        <v>25</v>
      </c>
      <c r="D3924" s="2" t="s">
        <v>50</v>
      </c>
      <c r="E3924" s="2" t="s">
        <v>12</v>
      </c>
      <c r="F3924" s="2">
        <v>591.07000000000005</v>
      </c>
      <c r="G3924" s="2">
        <v>54.86</v>
      </c>
      <c r="H3924" s="2" t="s">
        <v>19</v>
      </c>
      <c r="I3924" s="2" t="s">
        <v>14</v>
      </c>
    </row>
    <row r="3925" spans="1:9" x14ac:dyDescent="0.35">
      <c r="A3925" s="2" t="s">
        <v>3969</v>
      </c>
      <c r="B3925" s="3">
        <v>45339</v>
      </c>
      <c r="C3925" s="2" t="s">
        <v>25</v>
      </c>
      <c r="D3925" s="2" t="s">
        <v>33</v>
      </c>
      <c r="E3925" s="2" t="s">
        <v>18</v>
      </c>
      <c r="F3925" s="2">
        <v>473.86</v>
      </c>
      <c r="G3925" s="2">
        <v>89.06</v>
      </c>
      <c r="H3925" s="2" t="s">
        <v>19</v>
      </c>
      <c r="I3925" s="2" t="s">
        <v>29</v>
      </c>
    </row>
    <row r="3926" spans="1:9" x14ac:dyDescent="0.35">
      <c r="A3926" s="2" t="s">
        <v>3970</v>
      </c>
      <c r="B3926" s="3">
        <v>45020</v>
      </c>
      <c r="C3926" s="2" t="s">
        <v>22</v>
      </c>
      <c r="D3926" s="2" t="s">
        <v>57</v>
      </c>
      <c r="E3926" s="2" t="s">
        <v>27</v>
      </c>
      <c r="F3926" s="2">
        <v>580.32000000000005</v>
      </c>
      <c r="G3926" s="2">
        <v>89.27</v>
      </c>
      <c r="H3926" s="2" t="s">
        <v>19</v>
      </c>
      <c r="I3926" s="2" t="s">
        <v>34</v>
      </c>
    </row>
    <row r="3927" spans="1:9" x14ac:dyDescent="0.35">
      <c r="A3927" s="2" t="s">
        <v>3971</v>
      </c>
      <c r="B3927" s="3">
        <v>45189</v>
      </c>
      <c r="C3927" s="2" t="s">
        <v>16</v>
      </c>
      <c r="D3927" s="2" t="s">
        <v>73</v>
      </c>
      <c r="E3927" s="2" t="s">
        <v>27</v>
      </c>
      <c r="F3927" s="2">
        <v>568.32000000000005</v>
      </c>
      <c r="G3927" s="2">
        <v>43.9</v>
      </c>
      <c r="H3927" s="2" t="s">
        <v>19</v>
      </c>
      <c r="I3927" s="2" t="s">
        <v>14</v>
      </c>
    </row>
    <row r="3928" spans="1:9" x14ac:dyDescent="0.35">
      <c r="A3928" s="2" t="s">
        <v>3972</v>
      </c>
      <c r="B3928" s="3">
        <v>44650</v>
      </c>
      <c r="C3928" s="2" t="s">
        <v>16</v>
      </c>
      <c r="D3928" s="2" t="s">
        <v>23</v>
      </c>
      <c r="E3928" s="2" t="s">
        <v>18</v>
      </c>
      <c r="F3928" s="2">
        <v>583.86</v>
      </c>
      <c r="G3928" s="2">
        <v>48.81</v>
      </c>
      <c r="H3928" s="2" t="s">
        <v>28</v>
      </c>
      <c r="I3928" s="2" t="s">
        <v>34</v>
      </c>
    </row>
    <row r="3929" spans="1:9" x14ac:dyDescent="0.35">
      <c r="A3929" s="2" t="s">
        <v>3973</v>
      </c>
      <c r="B3929" s="3">
        <v>44892</v>
      </c>
      <c r="C3929" s="2" t="s">
        <v>16</v>
      </c>
      <c r="D3929" s="2" t="s">
        <v>23</v>
      </c>
      <c r="E3929" s="2" t="s">
        <v>18</v>
      </c>
      <c r="F3929" s="2">
        <v>1594.13</v>
      </c>
      <c r="G3929" s="2">
        <v>438.48</v>
      </c>
      <c r="H3929" s="2" t="s">
        <v>13</v>
      </c>
      <c r="I3929" s="2" t="s">
        <v>34</v>
      </c>
    </row>
    <row r="3930" spans="1:9" x14ac:dyDescent="0.35">
      <c r="A3930" s="2" t="s">
        <v>3974</v>
      </c>
      <c r="B3930" s="3">
        <v>45615</v>
      </c>
      <c r="C3930" s="2" t="s">
        <v>10</v>
      </c>
      <c r="D3930" s="2" t="s">
        <v>17</v>
      </c>
      <c r="E3930" s="2" t="s">
        <v>18</v>
      </c>
      <c r="F3930" s="2">
        <v>1212.4100000000001</v>
      </c>
      <c r="G3930" s="2">
        <v>295.63</v>
      </c>
      <c r="H3930" s="2" t="s">
        <v>13</v>
      </c>
      <c r="I3930" s="2" t="s">
        <v>14</v>
      </c>
    </row>
    <row r="3931" spans="1:9" x14ac:dyDescent="0.35">
      <c r="A3931" s="2" t="s">
        <v>3975</v>
      </c>
      <c r="B3931" s="3">
        <v>45327</v>
      </c>
      <c r="C3931" s="2" t="s">
        <v>22</v>
      </c>
      <c r="D3931" s="2" t="s">
        <v>57</v>
      </c>
      <c r="E3931" s="2" t="s">
        <v>27</v>
      </c>
      <c r="F3931" s="2">
        <v>951.58</v>
      </c>
      <c r="G3931" s="2">
        <v>268.16000000000003</v>
      </c>
      <c r="H3931" s="2" t="s">
        <v>13</v>
      </c>
      <c r="I3931" s="2" t="s">
        <v>20</v>
      </c>
    </row>
    <row r="3932" spans="1:9" x14ac:dyDescent="0.35">
      <c r="A3932" s="2" t="s">
        <v>3976</v>
      </c>
      <c r="B3932" s="3">
        <v>44647</v>
      </c>
      <c r="C3932" s="2" t="s">
        <v>25</v>
      </c>
      <c r="D3932" s="2" t="s">
        <v>41</v>
      </c>
      <c r="E3932" s="2" t="s">
        <v>12</v>
      </c>
      <c r="F3932" s="2">
        <v>1216.9000000000001</v>
      </c>
      <c r="G3932" s="2">
        <v>328.82</v>
      </c>
      <c r="H3932" s="2" t="s">
        <v>13</v>
      </c>
      <c r="I3932" s="2" t="s">
        <v>20</v>
      </c>
    </row>
    <row r="3933" spans="1:9" x14ac:dyDescent="0.35">
      <c r="A3933" s="2" t="s">
        <v>3977</v>
      </c>
      <c r="B3933" s="3">
        <v>45640</v>
      </c>
      <c r="C3933" s="2" t="s">
        <v>16</v>
      </c>
      <c r="D3933" s="2" t="s">
        <v>38</v>
      </c>
      <c r="E3933" s="2" t="s">
        <v>12</v>
      </c>
      <c r="F3933" s="2">
        <v>888.94</v>
      </c>
      <c r="G3933" s="2">
        <v>254.9</v>
      </c>
      <c r="H3933" s="2" t="s">
        <v>19</v>
      </c>
      <c r="I3933" s="2" t="s">
        <v>20</v>
      </c>
    </row>
    <row r="3934" spans="1:9" x14ac:dyDescent="0.35">
      <c r="A3934" s="2" t="s">
        <v>3978</v>
      </c>
      <c r="B3934" s="3">
        <v>45170</v>
      </c>
      <c r="C3934" s="2" t="s">
        <v>25</v>
      </c>
      <c r="D3934" s="2" t="s">
        <v>33</v>
      </c>
      <c r="E3934" s="2" t="s">
        <v>18</v>
      </c>
      <c r="F3934" s="2">
        <v>160.9</v>
      </c>
      <c r="G3934" s="2">
        <v>20.41</v>
      </c>
      <c r="H3934" s="2" t="s">
        <v>13</v>
      </c>
      <c r="I3934" s="2" t="s">
        <v>34</v>
      </c>
    </row>
    <row r="3935" spans="1:9" x14ac:dyDescent="0.35">
      <c r="A3935" s="2" t="s">
        <v>3979</v>
      </c>
      <c r="B3935" s="3">
        <v>45281</v>
      </c>
      <c r="C3935" s="2" t="s">
        <v>25</v>
      </c>
      <c r="D3935" s="2" t="s">
        <v>95</v>
      </c>
      <c r="E3935" s="2" t="s">
        <v>18</v>
      </c>
      <c r="F3935" s="2">
        <v>866.93</v>
      </c>
      <c r="G3935" s="2">
        <v>221.41</v>
      </c>
      <c r="H3935" s="2" t="s">
        <v>19</v>
      </c>
      <c r="I3935" s="2" t="s">
        <v>29</v>
      </c>
    </row>
    <row r="3936" spans="1:9" x14ac:dyDescent="0.35">
      <c r="A3936" s="2" t="s">
        <v>3980</v>
      </c>
      <c r="B3936" s="3">
        <v>45638</v>
      </c>
      <c r="C3936" s="2" t="s">
        <v>22</v>
      </c>
      <c r="D3936" s="2" t="s">
        <v>73</v>
      </c>
      <c r="E3936" s="2" t="s">
        <v>27</v>
      </c>
      <c r="F3936" s="2">
        <v>1091.1400000000001</v>
      </c>
      <c r="G3936" s="2">
        <v>122.47</v>
      </c>
      <c r="H3936" s="2" t="s">
        <v>28</v>
      </c>
      <c r="I3936" s="2" t="s">
        <v>20</v>
      </c>
    </row>
    <row r="3937" spans="1:9" x14ac:dyDescent="0.35">
      <c r="A3937" s="2" t="s">
        <v>3981</v>
      </c>
      <c r="B3937" s="3">
        <v>45490</v>
      </c>
      <c r="C3937" s="2" t="s">
        <v>16</v>
      </c>
      <c r="D3937" s="2" t="s">
        <v>33</v>
      </c>
      <c r="E3937" s="2" t="s">
        <v>18</v>
      </c>
      <c r="F3937" s="2">
        <v>834.71</v>
      </c>
      <c r="G3937" s="2">
        <v>174.92</v>
      </c>
      <c r="H3937" s="2" t="s">
        <v>19</v>
      </c>
      <c r="I3937" s="2" t="s">
        <v>14</v>
      </c>
    </row>
    <row r="3938" spans="1:9" x14ac:dyDescent="0.35">
      <c r="A3938" s="2" t="s">
        <v>3982</v>
      </c>
      <c r="B3938" s="3">
        <v>45540</v>
      </c>
      <c r="C3938" s="2" t="s">
        <v>25</v>
      </c>
      <c r="D3938" s="2" t="s">
        <v>33</v>
      </c>
      <c r="E3938" s="2" t="s">
        <v>18</v>
      </c>
      <c r="F3938" s="2">
        <v>1208.3</v>
      </c>
      <c r="G3938" s="2">
        <v>238.98</v>
      </c>
      <c r="H3938" s="2" t="s">
        <v>13</v>
      </c>
      <c r="I3938" s="2" t="s">
        <v>20</v>
      </c>
    </row>
    <row r="3939" spans="1:9" x14ac:dyDescent="0.35">
      <c r="A3939" s="2" t="s">
        <v>3983</v>
      </c>
      <c r="B3939" s="3">
        <v>45502</v>
      </c>
      <c r="C3939" s="2" t="s">
        <v>10</v>
      </c>
      <c r="D3939" s="2" t="s">
        <v>33</v>
      </c>
      <c r="E3939" s="2" t="s">
        <v>18</v>
      </c>
      <c r="F3939" s="2">
        <v>1780.93</v>
      </c>
      <c r="G3939" s="2">
        <v>206.16</v>
      </c>
      <c r="H3939" s="2" t="s">
        <v>19</v>
      </c>
      <c r="I3939" s="2" t="s">
        <v>34</v>
      </c>
    </row>
    <row r="3940" spans="1:9" x14ac:dyDescent="0.35">
      <c r="A3940" s="2" t="s">
        <v>3984</v>
      </c>
      <c r="B3940" s="3">
        <v>45439</v>
      </c>
      <c r="C3940" s="2" t="s">
        <v>16</v>
      </c>
      <c r="D3940" s="2" t="s">
        <v>26</v>
      </c>
      <c r="E3940" s="2" t="s">
        <v>27</v>
      </c>
      <c r="F3940" s="2">
        <v>569.12</v>
      </c>
      <c r="G3940" s="2">
        <v>50.27</v>
      </c>
      <c r="H3940" s="2" t="s">
        <v>28</v>
      </c>
      <c r="I3940" s="2" t="s">
        <v>34</v>
      </c>
    </row>
    <row r="3941" spans="1:9" x14ac:dyDescent="0.35">
      <c r="A3941" s="2" t="s">
        <v>3985</v>
      </c>
      <c r="B3941" s="3">
        <v>44719</v>
      </c>
      <c r="C3941" s="2" t="s">
        <v>10</v>
      </c>
      <c r="D3941" s="2" t="s">
        <v>62</v>
      </c>
      <c r="E3941" s="2" t="s">
        <v>27</v>
      </c>
      <c r="F3941" s="2">
        <v>511.65</v>
      </c>
      <c r="G3941" s="2">
        <v>124.76</v>
      </c>
      <c r="H3941" s="2" t="s">
        <v>13</v>
      </c>
      <c r="I3941" s="2" t="s">
        <v>14</v>
      </c>
    </row>
    <row r="3942" spans="1:9" x14ac:dyDescent="0.35">
      <c r="A3942" s="2" t="s">
        <v>3986</v>
      </c>
      <c r="B3942" s="3">
        <v>44622</v>
      </c>
      <c r="C3942" s="2" t="s">
        <v>25</v>
      </c>
      <c r="D3942" s="2" t="s">
        <v>38</v>
      </c>
      <c r="E3942" s="2" t="s">
        <v>12</v>
      </c>
      <c r="F3942" s="2">
        <v>244.84</v>
      </c>
      <c r="G3942" s="2">
        <v>23.5</v>
      </c>
      <c r="H3942" s="2" t="s">
        <v>19</v>
      </c>
      <c r="I3942" s="2" t="s">
        <v>20</v>
      </c>
    </row>
    <row r="3943" spans="1:9" x14ac:dyDescent="0.35">
      <c r="A3943" s="2" t="s">
        <v>3987</v>
      </c>
      <c r="B3943" s="3">
        <v>44998</v>
      </c>
      <c r="C3943" s="2" t="s">
        <v>16</v>
      </c>
      <c r="D3943" s="2" t="s">
        <v>73</v>
      </c>
      <c r="E3943" s="2" t="s">
        <v>27</v>
      </c>
      <c r="F3943" s="2">
        <v>404.02</v>
      </c>
      <c r="G3943" s="2">
        <v>78.87</v>
      </c>
      <c r="H3943" s="2" t="s">
        <v>28</v>
      </c>
      <c r="I3943" s="2" t="s">
        <v>14</v>
      </c>
    </row>
    <row r="3944" spans="1:9" x14ac:dyDescent="0.35">
      <c r="A3944" s="2" t="s">
        <v>3988</v>
      </c>
      <c r="B3944" s="3">
        <v>45108</v>
      </c>
      <c r="C3944" s="2" t="s">
        <v>10</v>
      </c>
      <c r="D3944" s="2" t="s">
        <v>38</v>
      </c>
      <c r="E3944" s="2" t="s">
        <v>12</v>
      </c>
      <c r="F3944" s="2">
        <v>904.99</v>
      </c>
      <c r="G3944" s="2">
        <v>166.93</v>
      </c>
      <c r="H3944" s="2" t="s">
        <v>19</v>
      </c>
      <c r="I3944" s="2" t="s">
        <v>29</v>
      </c>
    </row>
    <row r="3945" spans="1:9" x14ac:dyDescent="0.35">
      <c r="A3945" s="2" t="s">
        <v>3989</v>
      </c>
      <c r="B3945" s="3">
        <v>45516</v>
      </c>
      <c r="C3945" s="2" t="s">
        <v>22</v>
      </c>
      <c r="D3945" s="2" t="s">
        <v>11</v>
      </c>
      <c r="E3945" s="2" t="s">
        <v>12</v>
      </c>
      <c r="F3945" s="2">
        <v>242.71</v>
      </c>
      <c r="G3945" s="2">
        <v>14.06</v>
      </c>
      <c r="H3945" s="2" t="s">
        <v>13</v>
      </c>
      <c r="I3945" s="2" t="s">
        <v>14</v>
      </c>
    </row>
    <row r="3946" spans="1:9" x14ac:dyDescent="0.35">
      <c r="A3946" s="2" t="s">
        <v>3990</v>
      </c>
      <c r="B3946" s="3">
        <v>45264</v>
      </c>
      <c r="C3946" s="2" t="s">
        <v>25</v>
      </c>
      <c r="D3946" s="2" t="s">
        <v>46</v>
      </c>
      <c r="E3946" s="2" t="s">
        <v>18</v>
      </c>
      <c r="F3946" s="2">
        <v>786.22</v>
      </c>
      <c r="G3946" s="2">
        <v>110.38</v>
      </c>
      <c r="H3946" s="2" t="s">
        <v>28</v>
      </c>
      <c r="I3946" s="2" t="s">
        <v>34</v>
      </c>
    </row>
    <row r="3947" spans="1:9" x14ac:dyDescent="0.35">
      <c r="A3947" s="2" t="s">
        <v>3991</v>
      </c>
      <c r="B3947" s="3">
        <v>45622</v>
      </c>
      <c r="C3947" s="2" t="s">
        <v>16</v>
      </c>
      <c r="D3947" s="2" t="s">
        <v>38</v>
      </c>
      <c r="E3947" s="2" t="s">
        <v>12</v>
      </c>
      <c r="F3947" s="2">
        <v>1231.8800000000001</v>
      </c>
      <c r="G3947" s="2">
        <v>72.44</v>
      </c>
      <c r="H3947" s="2" t="s">
        <v>19</v>
      </c>
      <c r="I3947" s="2" t="s">
        <v>14</v>
      </c>
    </row>
    <row r="3948" spans="1:9" x14ac:dyDescent="0.35">
      <c r="A3948" s="2" t="s">
        <v>3992</v>
      </c>
      <c r="B3948" s="3">
        <v>45574</v>
      </c>
      <c r="C3948" s="2" t="s">
        <v>16</v>
      </c>
      <c r="D3948" s="2" t="s">
        <v>26</v>
      </c>
      <c r="E3948" s="2" t="s">
        <v>27</v>
      </c>
      <c r="F3948" s="2">
        <v>432.61</v>
      </c>
      <c r="G3948" s="2">
        <v>46.16</v>
      </c>
      <c r="H3948" s="2" t="s">
        <v>28</v>
      </c>
      <c r="I3948" s="2" t="s">
        <v>14</v>
      </c>
    </row>
    <row r="3949" spans="1:9" x14ac:dyDescent="0.35">
      <c r="A3949" s="2" t="s">
        <v>3993</v>
      </c>
      <c r="B3949" s="3">
        <v>45639</v>
      </c>
      <c r="C3949" s="2" t="s">
        <v>10</v>
      </c>
      <c r="D3949" s="2" t="s">
        <v>97</v>
      </c>
      <c r="E3949" s="2" t="s">
        <v>27</v>
      </c>
      <c r="F3949" s="2">
        <v>607.29</v>
      </c>
      <c r="G3949" s="2">
        <v>155.85</v>
      </c>
      <c r="H3949" s="2" t="s">
        <v>13</v>
      </c>
      <c r="I3949" s="2" t="s">
        <v>29</v>
      </c>
    </row>
    <row r="3950" spans="1:9" x14ac:dyDescent="0.35">
      <c r="A3950" s="2" t="s">
        <v>3994</v>
      </c>
      <c r="B3950" s="3">
        <v>45300</v>
      </c>
      <c r="C3950" s="2" t="s">
        <v>25</v>
      </c>
      <c r="D3950" s="2" t="s">
        <v>95</v>
      </c>
      <c r="E3950" s="2" t="s">
        <v>18</v>
      </c>
      <c r="F3950" s="2">
        <v>280.93</v>
      </c>
      <c r="G3950" s="2">
        <v>70.989999999999995</v>
      </c>
      <c r="H3950" s="2" t="s">
        <v>19</v>
      </c>
      <c r="I3950" s="2" t="s">
        <v>14</v>
      </c>
    </row>
    <row r="3951" spans="1:9" x14ac:dyDescent="0.35">
      <c r="A3951" s="2" t="s">
        <v>3995</v>
      </c>
      <c r="B3951" s="3">
        <v>44915</v>
      </c>
      <c r="C3951" s="2" t="s">
        <v>22</v>
      </c>
      <c r="D3951" s="2" t="s">
        <v>23</v>
      </c>
      <c r="E3951" s="2" t="s">
        <v>18</v>
      </c>
      <c r="F3951" s="2">
        <v>464.17</v>
      </c>
      <c r="G3951" s="2">
        <v>65.75</v>
      </c>
      <c r="H3951" s="2" t="s">
        <v>28</v>
      </c>
      <c r="I3951" s="2" t="s">
        <v>14</v>
      </c>
    </row>
    <row r="3952" spans="1:9" x14ac:dyDescent="0.35">
      <c r="A3952" s="2" t="s">
        <v>3996</v>
      </c>
      <c r="B3952" s="3">
        <v>45572</v>
      </c>
      <c r="C3952" s="2" t="s">
        <v>10</v>
      </c>
      <c r="D3952" s="2" t="s">
        <v>95</v>
      </c>
      <c r="E3952" s="2" t="s">
        <v>18</v>
      </c>
      <c r="F3952" s="2">
        <v>541.41</v>
      </c>
      <c r="G3952" s="2">
        <v>153.49</v>
      </c>
      <c r="H3952" s="2" t="s">
        <v>19</v>
      </c>
      <c r="I3952" s="2" t="s">
        <v>29</v>
      </c>
    </row>
    <row r="3953" spans="1:9" x14ac:dyDescent="0.35">
      <c r="A3953" s="2" t="s">
        <v>3997</v>
      </c>
      <c r="B3953" s="3">
        <v>45404</v>
      </c>
      <c r="C3953" s="2" t="s">
        <v>16</v>
      </c>
      <c r="D3953" s="2" t="s">
        <v>97</v>
      </c>
      <c r="E3953" s="2" t="s">
        <v>27</v>
      </c>
      <c r="F3953" s="2">
        <v>1018.95</v>
      </c>
      <c r="G3953" s="2">
        <v>105.79</v>
      </c>
      <c r="H3953" s="2" t="s">
        <v>19</v>
      </c>
      <c r="I3953" s="2" t="s">
        <v>20</v>
      </c>
    </row>
    <row r="3954" spans="1:9" x14ac:dyDescent="0.35">
      <c r="A3954" s="2" t="s">
        <v>3998</v>
      </c>
      <c r="B3954" s="3">
        <v>45625</v>
      </c>
      <c r="C3954" s="2" t="s">
        <v>22</v>
      </c>
      <c r="D3954" s="2" t="s">
        <v>73</v>
      </c>
      <c r="E3954" s="2" t="s">
        <v>27</v>
      </c>
      <c r="F3954" s="2">
        <v>1731.93</v>
      </c>
      <c r="G3954" s="2">
        <v>294.83999999999997</v>
      </c>
      <c r="H3954" s="2" t="s">
        <v>19</v>
      </c>
      <c r="I3954" s="2" t="s">
        <v>34</v>
      </c>
    </row>
    <row r="3955" spans="1:9" x14ac:dyDescent="0.35">
      <c r="A3955" s="2" t="s">
        <v>3999</v>
      </c>
      <c r="B3955" s="3">
        <v>45456</v>
      </c>
      <c r="C3955" s="2" t="s">
        <v>10</v>
      </c>
      <c r="D3955" s="2" t="s">
        <v>46</v>
      </c>
      <c r="E3955" s="2" t="s">
        <v>18</v>
      </c>
      <c r="F3955" s="2">
        <v>1129.18</v>
      </c>
      <c r="G3955" s="2">
        <v>320.52</v>
      </c>
      <c r="H3955" s="2" t="s">
        <v>19</v>
      </c>
      <c r="I3955" s="2" t="s">
        <v>34</v>
      </c>
    </row>
    <row r="3956" spans="1:9" x14ac:dyDescent="0.35">
      <c r="A3956" s="2" t="s">
        <v>4000</v>
      </c>
      <c r="B3956" s="3">
        <v>45413</v>
      </c>
      <c r="C3956" s="2" t="s">
        <v>22</v>
      </c>
      <c r="D3956" s="2" t="s">
        <v>23</v>
      </c>
      <c r="E3956" s="2" t="s">
        <v>18</v>
      </c>
      <c r="F3956" s="2">
        <v>758.64</v>
      </c>
      <c r="G3956" s="2">
        <v>55.72</v>
      </c>
      <c r="H3956" s="2" t="s">
        <v>13</v>
      </c>
      <c r="I3956" s="2" t="s">
        <v>20</v>
      </c>
    </row>
    <row r="3957" spans="1:9" x14ac:dyDescent="0.35">
      <c r="A3957" s="2" t="s">
        <v>4001</v>
      </c>
      <c r="B3957" s="3">
        <v>44637</v>
      </c>
      <c r="C3957" s="2" t="s">
        <v>25</v>
      </c>
      <c r="D3957" s="2" t="s">
        <v>73</v>
      </c>
      <c r="E3957" s="2" t="s">
        <v>27</v>
      </c>
      <c r="F3957" s="2">
        <v>164.35</v>
      </c>
      <c r="G3957" s="2">
        <v>26.76</v>
      </c>
      <c r="H3957" s="2" t="s">
        <v>13</v>
      </c>
      <c r="I3957" s="2" t="s">
        <v>29</v>
      </c>
    </row>
    <row r="3958" spans="1:9" x14ac:dyDescent="0.35">
      <c r="A3958" s="2" t="s">
        <v>4002</v>
      </c>
      <c r="B3958" s="3">
        <v>45297</v>
      </c>
      <c r="C3958" s="2" t="s">
        <v>25</v>
      </c>
      <c r="D3958" s="2" t="s">
        <v>73</v>
      </c>
      <c r="E3958" s="2" t="s">
        <v>27</v>
      </c>
      <c r="F3958" s="2">
        <v>392.17</v>
      </c>
      <c r="G3958" s="2">
        <v>104.36</v>
      </c>
      <c r="H3958" s="2" t="s">
        <v>13</v>
      </c>
      <c r="I3958" s="2" t="s">
        <v>14</v>
      </c>
    </row>
    <row r="3959" spans="1:9" x14ac:dyDescent="0.35">
      <c r="A3959" s="2" t="s">
        <v>4003</v>
      </c>
      <c r="B3959" s="3">
        <v>45101</v>
      </c>
      <c r="C3959" s="2" t="s">
        <v>16</v>
      </c>
      <c r="D3959" s="2" t="s">
        <v>31</v>
      </c>
      <c r="E3959" s="2" t="s">
        <v>12</v>
      </c>
      <c r="F3959" s="2">
        <v>266.33</v>
      </c>
      <c r="G3959" s="2">
        <v>70.849999999999994</v>
      </c>
      <c r="H3959" s="2" t="s">
        <v>28</v>
      </c>
      <c r="I3959" s="2" t="s">
        <v>29</v>
      </c>
    </row>
    <row r="3960" spans="1:9" x14ac:dyDescent="0.35">
      <c r="A3960" s="2" t="s">
        <v>4004</v>
      </c>
      <c r="B3960" s="3">
        <v>45101</v>
      </c>
      <c r="C3960" s="2" t="s">
        <v>16</v>
      </c>
      <c r="D3960" s="2" t="s">
        <v>46</v>
      </c>
      <c r="E3960" s="2" t="s">
        <v>18</v>
      </c>
      <c r="F3960" s="2">
        <v>1813.58</v>
      </c>
      <c r="G3960" s="2">
        <v>344.35</v>
      </c>
      <c r="H3960" s="2" t="s">
        <v>28</v>
      </c>
      <c r="I3960" s="2" t="s">
        <v>14</v>
      </c>
    </row>
    <row r="3961" spans="1:9" x14ac:dyDescent="0.35">
      <c r="A3961" s="2" t="s">
        <v>4005</v>
      </c>
      <c r="B3961" s="3">
        <v>45223</v>
      </c>
      <c r="C3961" s="2" t="s">
        <v>16</v>
      </c>
      <c r="D3961" s="2" t="s">
        <v>23</v>
      </c>
      <c r="E3961" s="2" t="s">
        <v>18</v>
      </c>
      <c r="F3961" s="2">
        <v>1665.68</v>
      </c>
      <c r="G3961" s="2">
        <v>90.13</v>
      </c>
      <c r="H3961" s="2" t="s">
        <v>13</v>
      </c>
      <c r="I3961" s="2" t="s">
        <v>20</v>
      </c>
    </row>
    <row r="3962" spans="1:9" x14ac:dyDescent="0.35">
      <c r="A3962" s="2" t="s">
        <v>4006</v>
      </c>
      <c r="B3962" s="3">
        <v>45151</v>
      </c>
      <c r="C3962" s="2" t="s">
        <v>25</v>
      </c>
      <c r="D3962" s="2" t="s">
        <v>23</v>
      </c>
      <c r="E3962" s="2" t="s">
        <v>18</v>
      </c>
      <c r="F3962" s="2">
        <v>994.57</v>
      </c>
      <c r="G3962" s="2">
        <v>202.45</v>
      </c>
      <c r="H3962" s="2" t="s">
        <v>13</v>
      </c>
      <c r="I3962" s="2" t="s">
        <v>20</v>
      </c>
    </row>
    <row r="3963" spans="1:9" x14ac:dyDescent="0.35">
      <c r="A3963" s="2" t="s">
        <v>4007</v>
      </c>
      <c r="B3963" s="3">
        <v>45094</v>
      </c>
      <c r="C3963" s="2" t="s">
        <v>10</v>
      </c>
      <c r="D3963" s="2" t="s">
        <v>95</v>
      </c>
      <c r="E3963" s="2" t="s">
        <v>18</v>
      </c>
      <c r="F3963" s="2">
        <v>1780.66</v>
      </c>
      <c r="G3963" s="2">
        <v>338.41</v>
      </c>
      <c r="H3963" s="2" t="s">
        <v>19</v>
      </c>
      <c r="I3963" s="2" t="s">
        <v>14</v>
      </c>
    </row>
    <row r="3964" spans="1:9" x14ac:dyDescent="0.35">
      <c r="A3964" s="2" t="s">
        <v>4008</v>
      </c>
      <c r="B3964" s="3">
        <v>45358</v>
      </c>
      <c r="C3964" s="2" t="s">
        <v>22</v>
      </c>
      <c r="D3964" s="2" t="s">
        <v>50</v>
      </c>
      <c r="E3964" s="2" t="s">
        <v>12</v>
      </c>
      <c r="F3964" s="2">
        <v>509.72</v>
      </c>
      <c r="G3964" s="2">
        <v>57</v>
      </c>
      <c r="H3964" s="2" t="s">
        <v>13</v>
      </c>
      <c r="I3964" s="2" t="s">
        <v>14</v>
      </c>
    </row>
    <row r="3965" spans="1:9" x14ac:dyDescent="0.35">
      <c r="A3965" s="2" t="s">
        <v>4009</v>
      </c>
      <c r="B3965" s="3">
        <v>45460</v>
      </c>
      <c r="C3965" s="2" t="s">
        <v>22</v>
      </c>
      <c r="D3965" s="2" t="s">
        <v>26</v>
      </c>
      <c r="E3965" s="2" t="s">
        <v>27</v>
      </c>
      <c r="F3965" s="2">
        <v>378.58</v>
      </c>
      <c r="G3965" s="2">
        <v>72.040000000000006</v>
      </c>
      <c r="H3965" s="2" t="s">
        <v>19</v>
      </c>
      <c r="I3965" s="2" t="s">
        <v>20</v>
      </c>
    </row>
    <row r="3966" spans="1:9" x14ac:dyDescent="0.35">
      <c r="A3966" s="2" t="s">
        <v>4010</v>
      </c>
      <c r="B3966" s="3">
        <v>45022</v>
      </c>
      <c r="C3966" s="2" t="s">
        <v>16</v>
      </c>
      <c r="D3966" s="2" t="s">
        <v>95</v>
      </c>
      <c r="E3966" s="2" t="s">
        <v>18</v>
      </c>
      <c r="F3966" s="2">
        <v>1832.27</v>
      </c>
      <c r="G3966" s="2">
        <v>355.19</v>
      </c>
      <c r="H3966" s="2" t="s">
        <v>19</v>
      </c>
      <c r="I3966" s="2" t="s">
        <v>29</v>
      </c>
    </row>
    <row r="3967" spans="1:9" x14ac:dyDescent="0.35">
      <c r="A3967" s="2" t="s">
        <v>4011</v>
      </c>
      <c r="B3967" s="3">
        <v>44774</v>
      </c>
      <c r="C3967" s="2" t="s">
        <v>22</v>
      </c>
      <c r="D3967" s="2" t="s">
        <v>23</v>
      </c>
      <c r="E3967" s="2" t="s">
        <v>18</v>
      </c>
      <c r="F3967" s="2">
        <v>902.27</v>
      </c>
      <c r="G3967" s="2">
        <v>62.96</v>
      </c>
      <c r="H3967" s="2" t="s">
        <v>19</v>
      </c>
      <c r="I3967" s="2" t="s">
        <v>20</v>
      </c>
    </row>
    <row r="3968" spans="1:9" x14ac:dyDescent="0.35">
      <c r="A3968" s="2" t="s">
        <v>4012</v>
      </c>
      <c r="B3968" s="3">
        <v>45136</v>
      </c>
      <c r="C3968" s="2" t="s">
        <v>22</v>
      </c>
      <c r="D3968" s="2" t="s">
        <v>41</v>
      </c>
      <c r="E3968" s="2" t="s">
        <v>12</v>
      </c>
      <c r="F3968" s="2">
        <v>1553.86</v>
      </c>
      <c r="G3968" s="2">
        <v>309.32</v>
      </c>
      <c r="H3968" s="2" t="s">
        <v>13</v>
      </c>
      <c r="I3968" s="2" t="s">
        <v>34</v>
      </c>
    </row>
    <row r="3969" spans="1:9" x14ac:dyDescent="0.35">
      <c r="A3969" s="2" t="s">
        <v>4013</v>
      </c>
      <c r="B3969" s="3">
        <v>45546</v>
      </c>
      <c r="C3969" s="2" t="s">
        <v>10</v>
      </c>
      <c r="D3969" s="2" t="s">
        <v>62</v>
      </c>
      <c r="E3969" s="2" t="s">
        <v>27</v>
      </c>
      <c r="F3969" s="2">
        <v>1860.06</v>
      </c>
      <c r="G3969" s="2">
        <v>522.91</v>
      </c>
      <c r="H3969" s="2" t="s">
        <v>19</v>
      </c>
      <c r="I3969" s="2" t="s">
        <v>14</v>
      </c>
    </row>
    <row r="3970" spans="1:9" x14ac:dyDescent="0.35">
      <c r="A3970" s="2" t="s">
        <v>4014</v>
      </c>
      <c r="B3970" s="3">
        <v>45097</v>
      </c>
      <c r="C3970" s="2" t="s">
        <v>16</v>
      </c>
      <c r="D3970" s="2" t="s">
        <v>11</v>
      </c>
      <c r="E3970" s="2" t="s">
        <v>12</v>
      </c>
      <c r="F3970" s="2">
        <v>1642.29</v>
      </c>
      <c r="G3970" s="2">
        <v>109.12</v>
      </c>
      <c r="H3970" s="2" t="s">
        <v>28</v>
      </c>
      <c r="I3970" s="2" t="s">
        <v>14</v>
      </c>
    </row>
    <row r="3971" spans="1:9" x14ac:dyDescent="0.35">
      <c r="A3971" s="2" t="s">
        <v>4015</v>
      </c>
      <c r="B3971" s="3">
        <v>44879</v>
      </c>
      <c r="C3971" s="2" t="s">
        <v>16</v>
      </c>
      <c r="D3971" s="2" t="s">
        <v>50</v>
      </c>
      <c r="E3971" s="2" t="s">
        <v>12</v>
      </c>
      <c r="F3971" s="2">
        <v>242.72</v>
      </c>
      <c r="G3971" s="2">
        <v>41.44</v>
      </c>
      <c r="H3971" s="2" t="s">
        <v>13</v>
      </c>
      <c r="I3971" s="2" t="s">
        <v>29</v>
      </c>
    </row>
    <row r="3972" spans="1:9" x14ac:dyDescent="0.35">
      <c r="A3972" s="2" t="s">
        <v>4016</v>
      </c>
      <c r="B3972" s="3">
        <v>45339</v>
      </c>
      <c r="C3972" s="2" t="s">
        <v>10</v>
      </c>
      <c r="D3972" s="2" t="s">
        <v>26</v>
      </c>
      <c r="E3972" s="2" t="s">
        <v>27</v>
      </c>
      <c r="F3972" s="2">
        <v>1923.87</v>
      </c>
      <c r="G3972" s="2">
        <v>116.58</v>
      </c>
      <c r="H3972" s="2" t="s">
        <v>13</v>
      </c>
      <c r="I3972" s="2" t="s">
        <v>20</v>
      </c>
    </row>
    <row r="3973" spans="1:9" x14ac:dyDescent="0.35">
      <c r="A3973" s="2" t="s">
        <v>4017</v>
      </c>
      <c r="B3973" s="3">
        <v>44609</v>
      </c>
      <c r="C3973" s="2" t="s">
        <v>22</v>
      </c>
      <c r="D3973" s="2" t="s">
        <v>57</v>
      </c>
      <c r="E3973" s="2" t="s">
        <v>27</v>
      </c>
      <c r="F3973" s="2">
        <v>774.87</v>
      </c>
      <c r="G3973" s="2">
        <v>170.04</v>
      </c>
      <c r="H3973" s="2" t="s">
        <v>28</v>
      </c>
      <c r="I3973" s="2" t="s">
        <v>20</v>
      </c>
    </row>
    <row r="3974" spans="1:9" x14ac:dyDescent="0.35">
      <c r="A3974" s="2" t="s">
        <v>4018</v>
      </c>
      <c r="B3974" s="3">
        <v>44895</v>
      </c>
      <c r="C3974" s="2" t="s">
        <v>10</v>
      </c>
      <c r="D3974" s="2" t="s">
        <v>97</v>
      </c>
      <c r="E3974" s="2" t="s">
        <v>27</v>
      </c>
      <c r="F3974" s="2">
        <v>85.75</v>
      </c>
      <c r="G3974" s="2">
        <v>10.82</v>
      </c>
      <c r="H3974" s="2" t="s">
        <v>28</v>
      </c>
      <c r="I3974" s="2" t="s">
        <v>20</v>
      </c>
    </row>
    <row r="3975" spans="1:9" x14ac:dyDescent="0.35">
      <c r="A3975" s="2" t="s">
        <v>4019</v>
      </c>
      <c r="B3975" s="3">
        <v>44611</v>
      </c>
      <c r="C3975" s="2" t="s">
        <v>10</v>
      </c>
      <c r="D3975" s="2" t="s">
        <v>73</v>
      </c>
      <c r="E3975" s="2" t="s">
        <v>27</v>
      </c>
      <c r="F3975" s="2">
        <v>492.13</v>
      </c>
      <c r="G3975" s="2">
        <v>31.93</v>
      </c>
      <c r="H3975" s="2" t="s">
        <v>19</v>
      </c>
      <c r="I3975" s="2" t="s">
        <v>34</v>
      </c>
    </row>
    <row r="3976" spans="1:9" x14ac:dyDescent="0.35">
      <c r="A3976" s="2" t="s">
        <v>4020</v>
      </c>
      <c r="B3976" s="3">
        <v>45036</v>
      </c>
      <c r="C3976" s="2" t="s">
        <v>22</v>
      </c>
      <c r="D3976" s="2" t="s">
        <v>95</v>
      </c>
      <c r="E3976" s="2" t="s">
        <v>18</v>
      </c>
      <c r="F3976" s="2">
        <v>219.88</v>
      </c>
      <c r="G3976" s="2">
        <v>51.92</v>
      </c>
      <c r="H3976" s="2" t="s">
        <v>28</v>
      </c>
      <c r="I3976" s="2" t="s">
        <v>29</v>
      </c>
    </row>
    <row r="3977" spans="1:9" x14ac:dyDescent="0.35">
      <c r="A3977" s="2" t="s">
        <v>4021</v>
      </c>
      <c r="B3977" s="3">
        <v>45130</v>
      </c>
      <c r="C3977" s="2" t="s">
        <v>25</v>
      </c>
      <c r="D3977" s="2" t="s">
        <v>23</v>
      </c>
      <c r="E3977" s="2" t="s">
        <v>18</v>
      </c>
      <c r="F3977" s="2">
        <v>203.95</v>
      </c>
      <c r="G3977" s="2">
        <v>33.909999999999997</v>
      </c>
      <c r="H3977" s="2" t="s">
        <v>19</v>
      </c>
      <c r="I3977" s="2" t="s">
        <v>34</v>
      </c>
    </row>
    <row r="3978" spans="1:9" x14ac:dyDescent="0.35">
      <c r="A3978" s="2" t="s">
        <v>4022</v>
      </c>
      <c r="B3978" s="3">
        <v>44894</v>
      </c>
      <c r="C3978" s="2" t="s">
        <v>10</v>
      </c>
      <c r="D3978" s="2" t="s">
        <v>97</v>
      </c>
      <c r="E3978" s="2" t="s">
        <v>27</v>
      </c>
      <c r="F3978" s="2">
        <v>1517.39</v>
      </c>
      <c r="G3978" s="2">
        <v>232.14</v>
      </c>
      <c r="H3978" s="2" t="s">
        <v>19</v>
      </c>
      <c r="I3978" s="2" t="s">
        <v>14</v>
      </c>
    </row>
    <row r="3979" spans="1:9" x14ac:dyDescent="0.35">
      <c r="A3979" s="2" t="s">
        <v>4023</v>
      </c>
      <c r="B3979" s="3">
        <v>45431</v>
      </c>
      <c r="C3979" s="2" t="s">
        <v>16</v>
      </c>
      <c r="D3979" s="2" t="s">
        <v>11</v>
      </c>
      <c r="E3979" s="2" t="s">
        <v>12</v>
      </c>
      <c r="F3979" s="2">
        <v>1311.63</v>
      </c>
      <c r="G3979" s="2">
        <v>365.44</v>
      </c>
      <c r="H3979" s="2" t="s">
        <v>28</v>
      </c>
      <c r="I3979" s="2" t="s">
        <v>14</v>
      </c>
    </row>
    <row r="3980" spans="1:9" x14ac:dyDescent="0.35">
      <c r="A3980" s="2" t="s">
        <v>4024</v>
      </c>
      <c r="B3980" s="3">
        <v>44836</v>
      </c>
      <c r="C3980" s="2" t="s">
        <v>25</v>
      </c>
      <c r="D3980" s="2" t="s">
        <v>31</v>
      </c>
      <c r="E3980" s="2" t="s">
        <v>12</v>
      </c>
      <c r="F3980" s="2">
        <v>817.12</v>
      </c>
      <c r="G3980" s="2">
        <v>89.4</v>
      </c>
      <c r="H3980" s="2" t="s">
        <v>28</v>
      </c>
      <c r="I3980" s="2" t="s">
        <v>20</v>
      </c>
    </row>
    <row r="3981" spans="1:9" x14ac:dyDescent="0.35">
      <c r="A3981" s="2" t="s">
        <v>4025</v>
      </c>
      <c r="B3981" s="3">
        <v>44812</v>
      </c>
      <c r="C3981" s="2" t="s">
        <v>25</v>
      </c>
      <c r="D3981" s="2" t="s">
        <v>97</v>
      </c>
      <c r="E3981" s="2" t="s">
        <v>27</v>
      </c>
      <c r="F3981" s="2">
        <v>668.66</v>
      </c>
      <c r="G3981" s="2">
        <v>168.66</v>
      </c>
      <c r="H3981" s="2" t="s">
        <v>28</v>
      </c>
      <c r="I3981" s="2" t="s">
        <v>20</v>
      </c>
    </row>
    <row r="3982" spans="1:9" x14ac:dyDescent="0.35">
      <c r="A3982" s="2" t="s">
        <v>4026</v>
      </c>
      <c r="B3982" s="3">
        <v>44835</v>
      </c>
      <c r="C3982" s="2" t="s">
        <v>25</v>
      </c>
      <c r="D3982" s="2" t="s">
        <v>50</v>
      </c>
      <c r="E3982" s="2" t="s">
        <v>12</v>
      </c>
      <c r="F3982" s="2">
        <v>939.8</v>
      </c>
      <c r="G3982" s="2">
        <v>69.650000000000006</v>
      </c>
      <c r="H3982" s="2" t="s">
        <v>19</v>
      </c>
      <c r="I3982" s="2" t="s">
        <v>34</v>
      </c>
    </row>
    <row r="3983" spans="1:9" x14ac:dyDescent="0.35">
      <c r="A3983" s="2" t="s">
        <v>4027</v>
      </c>
      <c r="B3983" s="3">
        <v>44977</v>
      </c>
      <c r="C3983" s="2" t="s">
        <v>25</v>
      </c>
      <c r="D3983" s="2" t="s">
        <v>97</v>
      </c>
      <c r="E3983" s="2" t="s">
        <v>27</v>
      </c>
      <c r="F3983" s="2">
        <v>422.48</v>
      </c>
      <c r="G3983" s="2">
        <v>45.17</v>
      </c>
      <c r="H3983" s="2" t="s">
        <v>28</v>
      </c>
      <c r="I3983" s="2" t="s">
        <v>20</v>
      </c>
    </row>
    <row r="3984" spans="1:9" x14ac:dyDescent="0.35">
      <c r="A3984" s="2" t="s">
        <v>4029</v>
      </c>
      <c r="B3984" s="3">
        <v>45482</v>
      </c>
      <c r="C3984" s="2" t="s">
        <v>22</v>
      </c>
      <c r="D3984" s="2" t="s">
        <v>38</v>
      </c>
      <c r="E3984" s="2" t="s">
        <v>12</v>
      </c>
      <c r="F3984" s="2">
        <v>882.2</v>
      </c>
      <c r="G3984" s="2">
        <v>226.05</v>
      </c>
      <c r="H3984" s="2" t="s">
        <v>13</v>
      </c>
      <c r="I3984" s="2" t="s">
        <v>29</v>
      </c>
    </row>
    <row r="3985" spans="1:9" x14ac:dyDescent="0.35">
      <c r="A3985" s="2" t="s">
        <v>4030</v>
      </c>
      <c r="B3985" s="3">
        <v>45557</v>
      </c>
      <c r="C3985" s="2" t="s">
        <v>22</v>
      </c>
      <c r="D3985" s="2" t="s">
        <v>62</v>
      </c>
      <c r="E3985" s="2" t="s">
        <v>27</v>
      </c>
      <c r="F3985" s="2">
        <v>246.49</v>
      </c>
      <c r="G3985" s="2">
        <v>50.36</v>
      </c>
      <c r="H3985" s="2" t="s">
        <v>13</v>
      </c>
      <c r="I3985" s="2" t="s">
        <v>20</v>
      </c>
    </row>
    <row r="3986" spans="1:9" x14ac:dyDescent="0.35">
      <c r="A3986" s="2" t="s">
        <v>4031</v>
      </c>
      <c r="B3986" s="3">
        <v>44950</v>
      </c>
      <c r="C3986" s="2" t="s">
        <v>22</v>
      </c>
      <c r="D3986" s="2" t="s">
        <v>50</v>
      </c>
      <c r="E3986" s="2" t="s">
        <v>12</v>
      </c>
      <c r="F3986" s="2">
        <v>969.84</v>
      </c>
      <c r="G3986" s="2">
        <v>164.82</v>
      </c>
      <c r="H3986" s="2" t="s">
        <v>28</v>
      </c>
      <c r="I3986" s="2" t="s">
        <v>20</v>
      </c>
    </row>
    <row r="3987" spans="1:9" x14ac:dyDescent="0.35">
      <c r="A3987" s="2" t="s">
        <v>4032</v>
      </c>
      <c r="B3987" s="3">
        <v>45141</v>
      </c>
      <c r="C3987" s="2" t="s">
        <v>16</v>
      </c>
      <c r="D3987" s="2" t="s">
        <v>33</v>
      </c>
      <c r="E3987" s="2" t="s">
        <v>18</v>
      </c>
      <c r="F3987" s="2">
        <v>1161.8399999999999</v>
      </c>
      <c r="G3987" s="2">
        <v>130.59</v>
      </c>
      <c r="H3987" s="2" t="s">
        <v>28</v>
      </c>
      <c r="I3987" s="2" t="s">
        <v>14</v>
      </c>
    </row>
    <row r="3988" spans="1:9" x14ac:dyDescent="0.35">
      <c r="A3988" s="2" t="s">
        <v>4033</v>
      </c>
      <c r="B3988" s="3">
        <v>44735</v>
      </c>
      <c r="C3988" s="2" t="s">
        <v>25</v>
      </c>
      <c r="D3988" s="2" t="s">
        <v>38</v>
      </c>
      <c r="E3988" s="2" t="s">
        <v>12</v>
      </c>
      <c r="F3988" s="2">
        <v>1227.0899999999999</v>
      </c>
      <c r="G3988" s="2">
        <v>223.35</v>
      </c>
      <c r="H3988" s="2" t="s">
        <v>13</v>
      </c>
      <c r="I3988" s="2" t="s">
        <v>20</v>
      </c>
    </row>
    <row r="3989" spans="1:9" x14ac:dyDescent="0.35">
      <c r="A3989" s="2" t="s">
        <v>4034</v>
      </c>
      <c r="B3989" s="3">
        <v>44922</v>
      </c>
      <c r="C3989" s="2" t="s">
        <v>10</v>
      </c>
      <c r="D3989" s="2" t="s">
        <v>11</v>
      </c>
      <c r="E3989" s="2" t="s">
        <v>12</v>
      </c>
      <c r="F3989" s="2">
        <v>1750.06</v>
      </c>
      <c r="G3989" s="2">
        <v>371.04</v>
      </c>
      <c r="H3989" s="2" t="s">
        <v>19</v>
      </c>
      <c r="I3989" s="2" t="s">
        <v>34</v>
      </c>
    </row>
    <row r="3990" spans="1:9" x14ac:dyDescent="0.35">
      <c r="A3990" s="2" t="s">
        <v>4035</v>
      </c>
      <c r="B3990" s="3">
        <v>45289</v>
      </c>
      <c r="C3990" s="2" t="s">
        <v>22</v>
      </c>
      <c r="D3990" s="2" t="s">
        <v>33</v>
      </c>
      <c r="E3990" s="2" t="s">
        <v>18</v>
      </c>
      <c r="F3990" s="2">
        <v>944.22</v>
      </c>
      <c r="G3990" s="2">
        <v>86.48</v>
      </c>
      <c r="H3990" s="2" t="s">
        <v>28</v>
      </c>
      <c r="I3990" s="2" t="s">
        <v>29</v>
      </c>
    </row>
    <row r="3991" spans="1:9" x14ac:dyDescent="0.35">
      <c r="A3991" s="2" t="s">
        <v>4036</v>
      </c>
      <c r="B3991" s="3">
        <v>45135</v>
      </c>
      <c r="C3991" s="2" t="s">
        <v>22</v>
      </c>
      <c r="D3991" s="2" t="s">
        <v>11</v>
      </c>
      <c r="E3991" s="2" t="s">
        <v>12</v>
      </c>
      <c r="F3991" s="2">
        <v>1559.42</v>
      </c>
      <c r="G3991" s="2">
        <v>95.29</v>
      </c>
      <c r="H3991" s="2" t="s">
        <v>19</v>
      </c>
      <c r="I3991" s="2" t="s">
        <v>14</v>
      </c>
    </row>
    <row r="3992" spans="1:9" x14ac:dyDescent="0.35">
      <c r="A3992" s="2" t="s">
        <v>4037</v>
      </c>
      <c r="B3992" s="3">
        <v>45161</v>
      </c>
      <c r="C3992" s="2" t="s">
        <v>22</v>
      </c>
      <c r="D3992" s="2" t="s">
        <v>97</v>
      </c>
      <c r="E3992" s="2" t="s">
        <v>27</v>
      </c>
      <c r="F3992" s="2">
        <v>1998.09</v>
      </c>
      <c r="G3992" s="2">
        <v>255.59</v>
      </c>
      <c r="H3992" s="2" t="s">
        <v>13</v>
      </c>
      <c r="I3992" s="2" t="s">
        <v>14</v>
      </c>
    </row>
    <row r="3993" spans="1:9" x14ac:dyDescent="0.35">
      <c r="A3993" s="2" t="s">
        <v>4038</v>
      </c>
      <c r="B3993" s="3">
        <v>44928</v>
      </c>
      <c r="C3993" s="2" t="s">
        <v>22</v>
      </c>
      <c r="D3993" s="2" t="s">
        <v>33</v>
      </c>
      <c r="E3993" s="2" t="s">
        <v>18</v>
      </c>
      <c r="F3993" s="2">
        <v>1190.49</v>
      </c>
      <c r="G3993" s="2">
        <v>122.35</v>
      </c>
      <c r="H3993" s="2" t="s">
        <v>19</v>
      </c>
      <c r="I3993" s="2" t="s">
        <v>14</v>
      </c>
    </row>
    <row r="3994" spans="1:9" x14ac:dyDescent="0.35">
      <c r="A3994" s="2" t="s">
        <v>4039</v>
      </c>
      <c r="B3994" s="3">
        <v>45137</v>
      </c>
      <c r="C3994" s="2" t="s">
        <v>25</v>
      </c>
      <c r="D3994" s="2" t="s">
        <v>26</v>
      </c>
      <c r="E3994" s="2" t="s">
        <v>27</v>
      </c>
      <c r="F3994" s="2">
        <v>94.84</v>
      </c>
      <c r="G3994" s="2">
        <v>12.34</v>
      </c>
      <c r="H3994" s="2" t="s">
        <v>28</v>
      </c>
      <c r="I3994" s="2" t="s">
        <v>20</v>
      </c>
    </row>
    <row r="3995" spans="1:9" x14ac:dyDescent="0.35">
      <c r="A3995" s="2" t="s">
        <v>4040</v>
      </c>
      <c r="B3995" s="3">
        <v>45596</v>
      </c>
      <c r="C3995" s="2" t="s">
        <v>16</v>
      </c>
      <c r="D3995" s="2" t="s">
        <v>33</v>
      </c>
      <c r="E3995" s="2" t="s">
        <v>18</v>
      </c>
      <c r="F3995" s="2">
        <v>101.03</v>
      </c>
      <c r="G3995" s="2">
        <v>28.73</v>
      </c>
      <c r="H3995" s="2" t="s">
        <v>19</v>
      </c>
      <c r="I3995" s="2" t="s">
        <v>29</v>
      </c>
    </row>
    <row r="3996" spans="1:9" x14ac:dyDescent="0.35">
      <c r="A3996" s="2" t="s">
        <v>4041</v>
      </c>
      <c r="B3996" s="3">
        <v>45501</v>
      </c>
      <c r="C3996" s="2" t="s">
        <v>10</v>
      </c>
      <c r="D3996" s="2" t="s">
        <v>41</v>
      </c>
      <c r="E3996" s="2" t="s">
        <v>12</v>
      </c>
      <c r="F3996" s="2">
        <v>1214.71</v>
      </c>
      <c r="G3996" s="2">
        <v>162.53</v>
      </c>
      <c r="H3996" s="2" t="s">
        <v>28</v>
      </c>
      <c r="I3996" s="2" t="s">
        <v>20</v>
      </c>
    </row>
    <row r="3997" spans="1:9" x14ac:dyDescent="0.35">
      <c r="A3997" s="2" t="s">
        <v>4042</v>
      </c>
      <c r="B3997" s="3">
        <v>44730</v>
      </c>
      <c r="C3997" s="2" t="s">
        <v>25</v>
      </c>
      <c r="D3997" s="2" t="s">
        <v>97</v>
      </c>
      <c r="E3997" s="2" t="s">
        <v>27</v>
      </c>
      <c r="F3997" s="2">
        <v>595.99</v>
      </c>
      <c r="G3997" s="2">
        <v>146.31</v>
      </c>
      <c r="H3997" s="2" t="s">
        <v>19</v>
      </c>
      <c r="I3997" s="2" t="s">
        <v>34</v>
      </c>
    </row>
    <row r="3998" spans="1:9" x14ac:dyDescent="0.35">
      <c r="A3998" s="2" t="s">
        <v>4043</v>
      </c>
      <c r="B3998" s="3">
        <v>45279</v>
      </c>
      <c r="C3998" s="2" t="s">
        <v>25</v>
      </c>
      <c r="D3998" s="2" t="s">
        <v>97</v>
      </c>
      <c r="E3998" s="2" t="s">
        <v>27</v>
      </c>
      <c r="F3998" s="2">
        <v>327.95</v>
      </c>
      <c r="G3998" s="2">
        <v>52.62</v>
      </c>
      <c r="H3998" s="2" t="s">
        <v>28</v>
      </c>
      <c r="I3998" s="2" t="s">
        <v>29</v>
      </c>
    </row>
    <row r="3999" spans="1:9" x14ac:dyDescent="0.35">
      <c r="A3999" s="2" t="s">
        <v>4044</v>
      </c>
      <c r="B3999" s="3">
        <v>45340</v>
      </c>
      <c r="C3999" s="2" t="s">
        <v>16</v>
      </c>
      <c r="D3999" s="2" t="s">
        <v>31</v>
      </c>
      <c r="E3999" s="2" t="s">
        <v>12</v>
      </c>
      <c r="F3999" s="2">
        <v>1624.21</v>
      </c>
      <c r="G3999" s="2">
        <v>315.55</v>
      </c>
      <c r="H3999" s="2" t="s">
        <v>13</v>
      </c>
      <c r="I3999" s="2" t="s">
        <v>34</v>
      </c>
    </row>
    <row r="4000" spans="1:9" x14ac:dyDescent="0.35">
      <c r="A4000" s="2" t="s">
        <v>4045</v>
      </c>
      <c r="B4000" s="3">
        <v>45233</v>
      </c>
      <c r="C4000" s="2" t="s">
        <v>25</v>
      </c>
      <c r="D4000" s="2" t="s">
        <v>57</v>
      </c>
      <c r="E4000" s="2" t="s">
        <v>27</v>
      </c>
      <c r="F4000" s="2">
        <v>780.34</v>
      </c>
      <c r="G4000" s="2">
        <v>84.27</v>
      </c>
      <c r="H4000" s="2" t="s">
        <v>19</v>
      </c>
      <c r="I4000" s="2" t="s">
        <v>14</v>
      </c>
    </row>
    <row r="4001" spans="1:9" x14ac:dyDescent="0.35">
      <c r="A4001" s="2" t="s">
        <v>4046</v>
      </c>
      <c r="B4001" s="3">
        <v>44729</v>
      </c>
      <c r="C4001" s="2" t="s">
        <v>10</v>
      </c>
      <c r="D4001" s="2" t="s">
        <v>26</v>
      </c>
      <c r="E4001" s="2" t="s">
        <v>27</v>
      </c>
      <c r="F4001" s="2">
        <v>120.61</v>
      </c>
      <c r="G4001" s="2">
        <v>22.83</v>
      </c>
      <c r="H4001" s="2" t="s">
        <v>19</v>
      </c>
      <c r="I4001" s="2" t="s">
        <v>29</v>
      </c>
    </row>
    <row r="4002" spans="1:9" x14ac:dyDescent="0.35">
      <c r="A4002" s="2" t="s">
        <v>4047</v>
      </c>
      <c r="B4002" s="3">
        <v>45446</v>
      </c>
      <c r="C4002" s="2" t="s">
        <v>22</v>
      </c>
      <c r="D4002" s="2" t="s">
        <v>41</v>
      </c>
      <c r="E4002" s="2" t="s">
        <v>12</v>
      </c>
      <c r="F4002" s="2">
        <v>1182.6500000000001</v>
      </c>
      <c r="G4002" s="2">
        <v>140.47999999999999</v>
      </c>
      <c r="H4002" s="2" t="s">
        <v>19</v>
      </c>
      <c r="I4002" s="2" t="s">
        <v>14</v>
      </c>
    </row>
    <row r="4003" spans="1:9" x14ac:dyDescent="0.35">
      <c r="A4003" s="2" t="s">
        <v>4048</v>
      </c>
      <c r="B4003" s="3">
        <v>45589</v>
      </c>
      <c r="C4003" s="2" t="s">
        <v>25</v>
      </c>
      <c r="D4003" s="2" t="s">
        <v>33</v>
      </c>
      <c r="E4003" s="2" t="s">
        <v>18</v>
      </c>
      <c r="F4003" s="2">
        <v>760.58</v>
      </c>
      <c r="G4003" s="2">
        <v>160.02000000000001</v>
      </c>
      <c r="H4003" s="2" t="s">
        <v>19</v>
      </c>
      <c r="I4003" s="2" t="s">
        <v>34</v>
      </c>
    </row>
    <row r="4004" spans="1:9" x14ac:dyDescent="0.35">
      <c r="A4004" s="2" t="s">
        <v>4049</v>
      </c>
      <c r="B4004" s="3">
        <v>45479</v>
      </c>
      <c r="C4004" s="2" t="s">
        <v>10</v>
      </c>
      <c r="D4004" s="2" t="s">
        <v>38</v>
      </c>
      <c r="E4004" s="2" t="s">
        <v>12</v>
      </c>
      <c r="F4004" s="2">
        <v>1441.8</v>
      </c>
      <c r="G4004" s="2">
        <v>430.06</v>
      </c>
      <c r="H4004" s="2" t="s">
        <v>28</v>
      </c>
      <c r="I4004" s="2" t="s">
        <v>14</v>
      </c>
    </row>
    <row r="4005" spans="1:9" x14ac:dyDescent="0.35">
      <c r="A4005" s="2" t="s">
        <v>4050</v>
      </c>
      <c r="B4005" s="3">
        <v>45590</v>
      </c>
      <c r="C4005" s="2" t="s">
        <v>16</v>
      </c>
      <c r="D4005" s="2" t="s">
        <v>97</v>
      </c>
      <c r="E4005" s="2" t="s">
        <v>27</v>
      </c>
      <c r="F4005" s="2">
        <v>665.45</v>
      </c>
      <c r="G4005" s="2">
        <v>173.47</v>
      </c>
      <c r="H4005" s="2" t="s">
        <v>28</v>
      </c>
      <c r="I4005" s="2" t="s">
        <v>20</v>
      </c>
    </row>
    <row r="4006" spans="1:9" x14ac:dyDescent="0.35">
      <c r="A4006" s="2" t="s">
        <v>4051</v>
      </c>
      <c r="B4006" s="3">
        <v>45383</v>
      </c>
      <c r="C4006" s="2" t="s">
        <v>22</v>
      </c>
      <c r="D4006" s="2" t="s">
        <v>50</v>
      </c>
      <c r="E4006" s="2" t="s">
        <v>12</v>
      </c>
      <c r="F4006" s="2">
        <v>898.12</v>
      </c>
      <c r="G4006" s="2">
        <v>246.03</v>
      </c>
      <c r="H4006" s="2" t="s">
        <v>19</v>
      </c>
      <c r="I4006" s="2" t="s">
        <v>14</v>
      </c>
    </row>
    <row r="4007" spans="1:9" x14ac:dyDescent="0.35">
      <c r="A4007" s="2" t="s">
        <v>4052</v>
      </c>
      <c r="B4007" s="3">
        <v>45467</v>
      </c>
      <c r="C4007" s="2" t="s">
        <v>16</v>
      </c>
      <c r="D4007" s="2" t="s">
        <v>33</v>
      </c>
      <c r="E4007" s="2" t="s">
        <v>18</v>
      </c>
      <c r="F4007" s="2">
        <v>1099.6500000000001</v>
      </c>
      <c r="G4007" s="2">
        <v>246.17</v>
      </c>
      <c r="H4007" s="2" t="s">
        <v>28</v>
      </c>
      <c r="I4007" s="2" t="s">
        <v>34</v>
      </c>
    </row>
    <row r="4008" spans="1:9" x14ac:dyDescent="0.35">
      <c r="A4008" s="2" t="s">
        <v>4053</v>
      </c>
      <c r="B4008" s="3">
        <v>45213</v>
      </c>
      <c r="C4008" s="2" t="s">
        <v>22</v>
      </c>
      <c r="D4008" s="2" t="s">
        <v>33</v>
      </c>
      <c r="E4008" s="2" t="s">
        <v>18</v>
      </c>
      <c r="F4008" s="2">
        <v>1864.25</v>
      </c>
      <c r="G4008" s="2">
        <v>532.46</v>
      </c>
      <c r="H4008" s="2" t="s">
        <v>13</v>
      </c>
      <c r="I4008" s="2" t="s">
        <v>34</v>
      </c>
    </row>
    <row r="4009" spans="1:9" x14ac:dyDescent="0.35">
      <c r="A4009" s="2" t="s">
        <v>4054</v>
      </c>
      <c r="B4009" s="3">
        <v>45471</v>
      </c>
      <c r="C4009" s="2" t="s">
        <v>10</v>
      </c>
      <c r="D4009" s="2" t="s">
        <v>50</v>
      </c>
      <c r="E4009" s="2" t="s">
        <v>12</v>
      </c>
      <c r="F4009" s="2">
        <v>1107.8599999999999</v>
      </c>
      <c r="G4009" s="2">
        <v>63.97</v>
      </c>
      <c r="H4009" s="2" t="s">
        <v>13</v>
      </c>
      <c r="I4009" s="2" t="s">
        <v>29</v>
      </c>
    </row>
    <row r="4010" spans="1:9" x14ac:dyDescent="0.35">
      <c r="A4010" s="2" t="s">
        <v>4055</v>
      </c>
      <c r="B4010" s="3">
        <v>45129</v>
      </c>
      <c r="C4010" s="2" t="s">
        <v>10</v>
      </c>
      <c r="D4010" s="2" t="s">
        <v>41</v>
      </c>
      <c r="E4010" s="2" t="s">
        <v>12</v>
      </c>
      <c r="F4010" s="2">
        <v>259.95999999999998</v>
      </c>
      <c r="G4010" s="2">
        <v>29.64</v>
      </c>
      <c r="H4010" s="2" t="s">
        <v>19</v>
      </c>
      <c r="I4010" s="2" t="s">
        <v>34</v>
      </c>
    </row>
    <row r="4011" spans="1:9" x14ac:dyDescent="0.35">
      <c r="A4011" s="2" t="s">
        <v>4056</v>
      </c>
      <c r="B4011" s="3">
        <v>45281</v>
      </c>
      <c r="C4011" s="2" t="s">
        <v>22</v>
      </c>
      <c r="D4011" s="2" t="s">
        <v>73</v>
      </c>
      <c r="E4011" s="2" t="s">
        <v>27</v>
      </c>
      <c r="F4011" s="2">
        <v>322.42</v>
      </c>
      <c r="G4011" s="2">
        <v>43.24</v>
      </c>
      <c r="H4011" s="2" t="s">
        <v>28</v>
      </c>
      <c r="I4011" s="2" t="s">
        <v>34</v>
      </c>
    </row>
    <row r="4012" spans="1:9" x14ac:dyDescent="0.35">
      <c r="A4012" s="2" t="s">
        <v>4057</v>
      </c>
      <c r="B4012" s="3">
        <v>45645</v>
      </c>
      <c r="C4012" s="2" t="s">
        <v>16</v>
      </c>
      <c r="D4012" s="2" t="s">
        <v>95</v>
      </c>
      <c r="E4012" s="2" t="s">
        <v>18</v>
      </c>
      <c r="F4012" s="2">
        <v>1198.77</v>
      </c>
      <c r="G4012" s="2">
        <v>73.510000000000005</v>
      </c>
      <c r="H4012" s="2" t="s">
        <v>13</v>
      </c>
      <c r="I4012" s="2" t="s">
        <v>20</v>
      </c>
    </row>
    <row r="4013" spans="1:9" x14ac:dyDescent="0.35">
      <c r="A4013" s="2" t="s">
        <v>4058</v>
      </c>
      <c r="B4013" s="3">
        <v>45594</v>
      </c>
      <c r="C4013" s="2" t="s">
        <v>22</v>
      </c>
      <c r="D4013" s="2" t="s">
        <v>11</v>
      </c>
      <c r="E4013" s="2" t="s">
        <v>12</v>
      </c>
      <c r="F4013" s="2">
        <v>1572</v>
      </c>
      <c r="G4013" s="2">
        <v>308.98</v>
      </c>
      <c r="H4013" s="2" t="s">
        <v>19</v>
      </c>
      <c r="I4013" s="2" t="s">
        <v>34</v>
      </c>
    </row>
    <row r="4014" spans="1:9" x14ac:dyDescent="0.35">
      <c r="A4014" s="2" t="s">
        <v>4059</v>
      </c>
      <c r="B4014" s="3">
        <v>44670</v>
      </c>
      <c r="C4014" s="2" t="s">
        <v>10</v>
      </c>
      <c r="D4014" s="2" t="s">
        <v>41</v>
      </c>
      <c r="E4014" s="2" t="s">
        <v>12</v>
      </c>
      <c r="F4014" s="2">
        <v>958.02</v>
      </c>
      <c r="G4014" s="2">
        <v>263.58</v>
      </c>
      <c r="H4014" s="2" t="s">
        <v>28</v>
      </c>
      <c r="I4014" s="2" t="s">
        <v>14</v>
      </c>
    </row>
    <row r="4015" spans="1:9" x14ac:dyDescent="0.35">
      <c r="A4015" s="2" t="s">
        <v>4060</v>
      </c>
      <c r="B4015" s="3">
        <v>44931</v>
      </c>
      <c r="C4015" s="2" t="s">
        <v>16</v>
      </c>
      <c r="D4015" s="2" t="s">
        <v>38</v>
      </c>
      <c r="E4015" s="2" t="s">
        <v>12</v>
      </c>
      <c r="F4015" s="2">
        <v>986.83</v>
      </c>
      <c r="G4015" s="2">
        <v>230.04</v>
      </c>
      <c r="H4015" s="2" t="s">
        <v>28</v>
      </c>
      <c r="I4015" s="2" t="s">
        <v>14</v>
      </c>
    </row>
    <row r="4016" spans="1:9" x14ac:dyDescent="0.35">
      <c r="A4016" s="2" t="s">
        <v>4061</v>
      </c>
      <c r="B4016" s="3">
        <v>45329</v>
      </c>
      <c r="C4016" s="2" t="s">
        <v>22</v>
      </c>
      <c r="D4016" s="2" t="s">
        <v>62</v>
      </c>
      <c r="E4016" s="2" t="s">
        <v>27</v>
      </c>
      <c r="F4016" s="2">
        <v>944.76</v>
      </c>
      <c r="G4016" s="2">
        <v>121.18</v>
      </c>
      <c r="H4016" s="2" t="s">
        <v>19</v>
      </c>
      <c r="I4016" s="2" t="s">
        <v>14</v>
      </c>
    </row>
    <row r="4017" spans="1:9" x14ac:dyDescent="0.35">
      <c r="A4017" s="2" t="s">
        <v>4062</v>
      </c>
      <c r="B4017" s="3">
        <v>45122</v>
      </c>
      <c r="C4017" s="2" t="s">
        <v>22</v>
      </c>
      <c r="D4017" s="2" t="s">
        <v>46</v>
      </c>
      <c r="E4017" s="2" t="s">
        <v>18</v>
      </c>
      <c r="F4017" s="2">
        <v>1572.03</v>
      </c>
      <c r="G4017" s="2">
        <v>221.33</v>
      </c>
      <c r="H4017" s="2" t="s">
        <v>19</v>
      </c>
      <c r="I4017" s="2" t="s">
        <v>14</v>
      </c>
    </row>
    <row r="4018" spans="1:9" x14ac:dyDescent="0.35">
      <c r="A4018" s="2" t="s">
        <v>4063</v>
      </c>
      <c r="B4018" s="3">
        <v>45414</v>
      </c>
      <c r="C4018" s="2" t="s">
        <v>16</v>
      </c>
      <c r="D4018" s="2" t="s">
        <v>57</v>
      </c>
      <c r="E4018" s="2" t="s">
        <v>27</v>
      </c>
      <c r="F4018" s="2">
        <v>688.38</v>
      </c>
      <c r="G4018" s="2">
        <v>48.28</v>
      </c>
      <c r="H4018" s="2" t="s">
        <v>19</v>
      </c>
      <c r="I4018" s="2" t="s">
        <v>29</v>
      </c>
    </row>
    <row r="4019" spans="1:9" x14ac:dyDescent="0.35">
      <c r="A4019" s="2" t="s">
        <v>4064</v>
      </c>
      <c r="B4019" s="3">
        <v>45275</v>
      </c>
      <c r="C4019" s="2" t="s">
        <v>22</v>
      </c>
      <c r="D4019" s="2" t="s">
        <v>95</v>
      </c>
      <c r="E4019" s="2" t="s">
        <v>18</v>
      </c>
      <c r="F4019" s="2">
        <v>1606.01</v>
      </c>
      <c r="G4019" s="2">
        <v>458.05</v>
      </c>
      <c r="H4019" s="2" t="s">
        <v>28</v>
      </c>
      <c r="I4019" s="2" t="s">
        <v>29</v>
      </c>
    </row>
    <row r="4020" spans="1:9" x14ac:dyDescent="0.35">
      <c r="A4020" s="2" t="s">
        <v>4065</v>
      </c>
      <c r="B4020" s="3">
        <v>44593</v>
      </c>
      <c r="C4020" s="2" t="s">
        <v>22</v>
      </c>
      <c r="D4020" s="2" t="s">
        <v>46</v>
      </c>
      <c r="E4020" s="2" t="s">
        <v>18</v>
      </c>
      <c r="F4020" s="2">
        <v>1129.24</v>
      </c>
      <c r="G4020" s="2">
        <v>99.48</v>
      </c>
      <c r="H4020" s="2" t="s">
        <v>13</v>
      </c>
      <c r="I4020" s="2" t="s">
        <v>29</v>
      </c>
    </row>
    <row r="4021" spans="1:9" x14ac:dyDescent="0.35">
      <c r="A4021" s="2" t="s">
        <v>4066</v>
      </c>
      <c r="B4021" s="3">
        <v>45121</v>
      </c>
      <c r="C4021" s="2" t="s">
        <v>10</v>
      </c>
      <c r="D4021" s="2" t="s">
        <v>95</v>
      </c>
      <c r="E4021" s="2" t="s">
        <v>18</v>
      </c>
      <c r="F4021" s="2">
        <v>444.07</v>
      </c>
      <c r="G4021" s="2">
        <v>28.69</v>
      </c>
      <c r="H4021" s="2" t="s">
        <v>13</v>
      </c>
      <c r="I4021" s="2" t="s">
        <v>20</v>
      </c>
    </row>
    <row r="4022" spans="1:9" x14ac:dyDescent="0.35">
      <c r="A4022" s="2" t="s">
        <v>4067</v>
      </c>
      <c r="B4022" s="3">
        <v>45602</v>
      </c>
      <c r="C4022" s="2" t="s">
        <v>16</v>
      </c>
      <c r="D4022" s="2" t="s">
        <v>57</v>
      </c>
      <c r="E4022" s="2" t="s">
        <v>27</v>
      </c>
      <c r="F4022" s="2">
        <v>209.57</v>
      </c>
      <c r="G4022" s="2">
        <v>22.23</v>
      </c>
      <c r="H4022" s="2" t="s">
        <v>28</v>
      </c>
      <c r="I4022" s="2" t="s">
        <v>34</v>
      </c>
    </row>
    <row r="4023" spans="1:9" x14ac:dyDescent="0.35">
      <c r="A4023" s="2" t="s">
        <v>4068</v>
      </c>
      <c r="B4023" s="3">
        <v>45061</v>
      </c>
      <c r="C4023" s="2" t="s">
        <v>10</v>
      </c>
      <c r="D4023" s="2" t="s">
        <v>11</v>
      </c>
      <c r="E4023" s="2" t="s">
        <v>12</v>
      </c>
      <c r="F4023" s="2">
        <v>221.29</v>
      </c>
      <c r="G4023" s="2">
        <v>19.809999999999999</v>
      </c>
      <c r="H4023" s="2" t="s">
        <v>28</v>
      </c>
      <c r="I4023" s="2" t="s">
        <v>14</v>
      </c>
    </row>
    <row r="4024" spans="1:9" x14ac:dyDescent="0.35">
      <c r="A4024" s="2" t="s">
        <v>4069</v>
      </c>
      <c r="B4024" s="3">
        <v>45272</v>
      </c>
      <c r="C4024" s="2" t="s">
        <v>10</v>
      </c>
      <c r="D4024" s="2" t="s">
        <v>23</v>
      </c>
      <c r="E4024" s="2" t="s">
        <v>18</v>
      </c>
      <c r="F4024" s="2">
        <v>1137.95</v>
      </c>
      <c r="G4024" s="2">
        <v>150.4</v>
      </c>
      <c r="H4024" s="2" t="s">
        <v>13</v>
      </c>
      <c r="I4024" s="2" t="s">
        <v>34</v>
      </c>
    </row>
    <row r="4025" spans="1:9" x14ac:dyDescent="0.35">
      <c r="A4025" s="2" t="s">
        <v>4070</v>
      </c>
      <c r="B4025" s="3">
        <v>45168</v>
      </c>
      <c r="C4025" s="2" t="s">
        <v>10</v>
      </c>
      <c r="D4025" s="2" t="s">
        <v>26</v>
      </c>
      <c r="E4025" s="2" t="s">
        <v>27</v>
      </c>
      <c r="F4025" s="2">
        <v>1801.19</v>
      </c>
      <c r="G4025" s="2">
        <v>181.3</v>
      </c>
      <c r="H4025" s="2" t="s">
        <v>13</v>
      </c>
      <c r="I4025" s="2" t="s">
        <v>14</v>
      </c>
    </row>
    <row r="4026" spans="1:9" x14ac:dyDescent="0.35">
      <c r="A4026" s="2" t="s">
        <v>4071</v>
      </c>
      <c r="B4026" s="3">
        <v>44963</v>
      </c>
      <c r="C4026" s="2" t="s">
        <v>22</v>
      </c>
      <c r="D4026" s="2" t="s">
        <v>31</v>
      </c>
      <c r="E4026" s="2" t="s">
        <v>12</v>
      </c>
      <c r="F4026" s="2">
        <v>1419.66</v>
      </c>
      <c r="G4026" s="2">
        <v>149.04</v>
      </c>
      <c r="H4026" s="2" t="s">
        <v>28</v>
      </c>
      <c r="I4026" s="2" t="s">
        <v>34</v>
      </c>
    </row>
    <row r="4027" spans="1:9" x14ac:dyDescent="0.35">
      <c r="A4027" s="2" t="s">
        <v>4072</v>
      </c>
      <c r="B4027" s="3">
        <v>45077</v>
      </c>
      <c r="C4027" s="2" t="s">
        <v>22</v>
      </c>
      <c r="D4027" s="2" t="s">
        <v>50</v>
      </c>
      <c r="E4027" s="2" t="s">
        <v>12</v>
      </c>
      <c r="F4027" s="2">
        <v>219.51</v>
      </c>
      <c r="G4027" s="2">
        <v>56.04</v>
      </c>
      <c r="H4027" s="2" t="s">
        <v>28</v>
      </c>
      <c r="I4027" s="2" t="s">
        <v>14</v>
      </c>
    </row>
    <row r="4028" spans="1:9" x14ac:dyDescent="0.35">
      <c r="A4028" s="2" t="s">
        <v>4073</v>
      </c>
      <c r="B4028" s="3">
        <v>44609</v>
      </c>
      <c r="C4028" s="2" t="s">
        <v>25</v>
      </c>
      <c r="D4028" s="2" t="s">
        <v>26</v>
      </c>
      <c r="E4028" s="2" t="s">
        <v>27</v>
      </c>
      <c r="F4028" s="2">
        <v>600.96</v>
      </c>
      <c r="G4028" s="2">
        <v>43.75</v>
      </c>
      <c r="H4028" s="2" t="s">
        <v>13</v>
      </c>
      <c r="I4028" s="2" t="s">
        <v>29</v>
      </c>
    </row>
    <row r="4029" spans="1:9" x14ac:dyDescent="0.35">
      <c r="A4029" s="2" t="s">
        <v>4074</v>
      </c>
      <c r="B4029" s="3">
        <v>45012</v>
      </c>
      <c r="C4029" s="2" t="s">
        <v>22</v>
      </c>
      <c r="D4029" s="2" t="s">
        <v>46</v>
      </c>
      <c r="E4029" s="2" t="s">
        <v>18</v>
      </c>
      <c r="F4029" s="2">
        <v>156.24</v>
      </c>
      <c r="G4029" s="2">
        <v>12.22</v>
      </c>
      <c r="H4029" s="2" t="s">
        <v>19</v>
      </c>
      <c r="I4029" s="2" t="s">
        <v>14</v>
      </c>
    </row>
    <row r="4030" spans="1:9" x14ac:dyDescent="0.35">
      <c r="A4030" s="2" t="s">
        <v>4075</v>
      </c>
      <c r="B4030" s="3">
        <v>45459</v>
      </c>
      <c r="C4030" s="2" t="s">
        <v>10</v>
      </c>
      <c r="D4030" s="2" t="s">
        <v>38</v>
      </c>
      <c r="E4030" s="2" t="s">
        <v>12</v>
      </c>
      <c r="F4030" s="2">
        <v>1761.56</v>
      </c>
      <c r="G4030" s="2">
        <v>447.84</v>
      </c>
      <c r="H4030" s="2" t="s">
        <v>28</v>
      </c>
      <c r="I4030" s="2" t="s">
        <v>20</v>
      </c>
    </row>
    <row r="4031" spans="1:9" x14ac:dyDescent="0.35">
      <c r="A4031" s="2" t="s">
        <v>4076</v>
      </c>
      <c r="B4031" s="3">
        <v>44965</v>
      </c>
      <c r="C4031" s="2" t="s">
        <v>10</v>
      </c>
      <c r="D4031" s="2" t="s">
        <v>31</v>
      </c>
      <c r="E4031" s="2" t="s">
        <v>12</v>
      </c>
      <c r="F4031" s="2">
        <v>1877.18</v>
      </c>
      <c r="G4031" s="2">
        <v>194.26</v>
      </c>
      <c r="H4031" s="2" t="s">
        <v>19</v>
      </c>
      <c r="I4031" s="2" t="s">
        <v>20</v>
      </c>
    </row>
    <row r="4032" spans="1:9" x14ac:dyDescent="0.35">
      <c r="A4032" s="2" t="s">
        <v>4077</v>
      </c>
      <c r="B4032" s="3">
        <v>45030</v>
      </c>
      <c r="C4032" s="2" t="s">
        <v>22</v>
      </c>
      <c r="D4032" s="2" t="s">
        <v>38</v>
      </c>
      <c r="E4032" s="2" t="s">
        <v>12</v>
      </c>
      <c r="F4032" s="2">
        <v>152.09</v>
      </c>
      <c r="G4032" s="2">
        <v>9.01</v>
      </c>
      <c r="H4032" s="2" t="s">
        <v>13</v>
      </c>
      <c r="I4032" s="2" t="s">
        <v>34</v>
      </c>
    </row>
    <row r="4033" spans="1:9" x14ac:dyDescent="0.35">
      <c r="A4033" s="2" t="s">
        <v>4078</v>
      </c>
      <c r="B4033" s="3">
        <v>44691</v>
      </c>
      <c r="C4033" s="2" t="s">
        <v>25</v>
      </c>
      <c r="D4033" s="2" t="s">
        <v>26</v>
      </c>
      <c r="E4033" s="2" t="s">
        <v>27</v>
      </c>
      <c r="F4033" s="2">
        <v>1335.26</v>
      </c>
      <c r="G4033" s="2">
        <v>111.01</v>
      </c>
      <c r="H4033" s="2" t="s">
        <v>28</v>
      </c>
      <c r="I4033" s="2" t="s">
        <v>29</v>
      </c>
    </row>
    <row r="4034" spans="1:9" x14ac:dyDescent="0.35">
      <c r="A4034" s="2" t="s">
        <v>4079</v>
      </c>
      <c r="B4034" s="3">
        <v>45488</v>
      </c>
      <c r="C4034" s="2" t="s">
        <v>10</v>
      </c>
      <c r="D4034" s="2" t="s">
        <v>57</v>
      </c>
      <c r="E4034" s="2" t="s">
        <v>27</v>
      </c>
      <c r="F4034" s="2">
        <v>272.07</v>
      </c>
      <c r="G4034" s="2">
        <v>46.5</v>
      </c>
      <c r="H4034" s="2" t="s">
        <v>13</v>
      </c>
      <c r="I4034" s="2" t="s">
        <v>29</v>
      </c>
    </row>
    <row r="4035" spans="1:9" x14ac:dyDescent="0.35">
      <c r="A4035" s="2" t="s">
        <v>4080</v>
      </c>
      <c r="B4035" s="3">
        <v>44982</v>
      </c>
      <c r="C4035" s="2" t="s">
        <v>16</v>
      </c>
      <c r="D4035" s="2" t="s">
        <v>26</v>
      </c>
      <c r="E4035" s="2" t="s">
        <v>27</v>
      </c>
      <c r="F4035" s="2">
        <v>1410.08</v>
      </c>
      <c r="G4035" s="2">
        <v>80.989999999999995</v>
      </c>
      <c r="H4035" s="2" t="s">
        <v>28</v>
      </c>
      <c r="I4035" s="2" t="s">
        <v>34</v>
      </c>
    </row>
    <row r="4036" spans="1:9" x14ac:dyDescent="0.35">
      <c r="A4036" s="2" t="s">
        <v>4081</v>
      </c>
      <c r="B4036" s="3">
        <v>45101</v>
      </c>
      <c r="C4036" s="2" t="s">
        <v>22</v>
      </c>
      <c r="D4036" s="2" t="s">
        <v>17</v>
      </c>
      <c r="E4036" s="2" t="s">
        <v>18</v>
      </c>
      <c r="F4036" s="2">
        <v>260.89</v>
      </c>
      <c r="G4036" s="2">
        <v>27.61</v>
      </c>
      <c r="H4036" s="2" t="s">
        <v>13</v>
      </c>
      <c r="I4036" s="2" t="s">
        <v>20</v>
      </c>
    </row>
    <row r="4037" spans="1:9" x14ac:dyDescent="0.35">
      <c r="A4037" s="2" t="s">
        <v>4082</v>
      </c>
      <c r="B4037" s="3">
        <v>45353</v>
      </c>
      <c r="C4037" s="2" t="s">
        <v>16</v>
      </c>
      <c r="D4037" s="2" t="s">
        <v>62</v>
      </c>
      <c r="E4037" s="2" t="s">
        <v>27</v>
      </c>
      <c r="F4037" s="2">
        <v>190.13</v>
      </c>
      <c r="G4037" s="2">
        <v>36.200000000000003</v>
      </c>
      <c r="H4037" s="2" t="s">
        <v>19</v>
      </c>
      <c r="I4037" s="2" t="s">
        <v>20</v>
      </c>
    </row>
    <row r="4038" spans="1:9" x14ac:dyDescent="0.35">
      <c r="A4038" s="2" t="s">
        <v>4083</v>
      </c>
      <c r="B4038" s="3">
        <v>45071</v>
      </c>
      <c r="C4038" s="2" t="s">
        <v>16</v>
      </c>
      <c r="D4038" s="2" t="s">
        <v>57</v>
      </c>
      <c r="E4038" s="2" t="s">
        <v>27</v>
      </c>
      <c r="F4038" s="2">
        <v>788.72</v>
      </c>
      <c r="G4038" s="2">
        <v>103.74</v>
      </c>
      <c r="H4038" s="2" t="s">
        <v>28</v>
      </c>
      <c r="I4038" s="2" t="s">
        <v>14</v>
      </c>
    </row>
    <row r="4039" spans="1:9" x14ac:dyDescent="0.35">
      <c r="A4039" s="2" t="s">
        <v>4084</v>
      </c>
      <c r="B4039" s="3">
        <v>44747</v>
      </c>
      <c r="C4039" s="2" t="s">
        <v>10</v>
      </c>
      <c r="D4039" s="2" t="s">
        <v>62</v>
      </c>
      <c r="E4039" s="2" t="s">
        <v>27</v>
      </c>
      <c r="F4039" s="2">
        <v>371.86</v>
      </c>
      <c r="G4039" s="2">
        <v>36.049999999999997</v>
      </c>
      <c r="H4039" s="2" t="s">
        <v>28</v>
      </c>
      <c r="I4039" s="2" t="s">
        <v>34</v>
      </c>
    </row>
    <row r="4040" spans="1:9" x14ac:dyDescent="0.35">
      <c r="A4040" s="2" t="s">
        <v>4085</v>
      </c>
      <c r="B4040" s="3">
        <v>44946</v>
      </c>
      <c r="C4040" s="2" t="s">
        <v>16</v>
      </c>
      <c r="D4040" s="2" t="s">
        <v>17</v>
      </c>
      <c r="E4040" s="2" t="s">
        <v>18</v>
      </c>
      <c r="F4040" s="2">
        <v>320.74</v>
      </c>
      <c r="G4040" s="2">
        <v>49.8</v>
      </c>
      <c r="H4040" s="2" t="s">
        <v>28</v>
      </c>
      <c r="I4040" s="2" t="s">
        <v>14</v>
      </c>
    </row>
    <row r="4041" spans="1:9" x14ac:dyDescent="0.35">
      <c r="A4041" s="2" t="s">
        <v>4086</v>
      </c>
      <c r="B4041" s="3">
        <v>44810</v>
      </c>
      <c r="C4041" s="2" t="s">
        <v>10</v>
      </c>
      <c r="D4041" s="2" t="s">
        <v>97</v>
      </c>
      <c r="E4041" s="2" t="s">
        <v>27</v>
      </c>
      <c r="F4041" s="2">
        <v>1253.3</v>
      </c>
      <c r="G4041" s="2">
        <v>167.68</v>
      </c>
      <c r="H4041" s="2" t="s">
        <v>13</v>
      </c>
      <c r="I4041" s="2" t="s">
        <v>34</v>
      </c>
    </row>
    <row r="4042" spans="1:9" x14ac:dyDescent="0.35">
      <c r="A4042" s="2" t="s">
        <v>4087</v>
      </c>
      <c r="B4042" s="3">
        <v>45479</v>
      </c>
      <c r="C4042" s="2" t="s">
        <v>25</v>
      </c>
      <c r="D4042" s="2" t="s">
        <v>50</v>
      </c>
      <c r="E4042" s="2" t="s">
        <v>12</v>
      </c>
      <c r="F4042" s="2">
        <v>1947.67</v>
      </c>
      <c r="G4042" s="2">
        <v>404.77</v>
      </c>
      <c r="H4042" s="2" t="s">
        <v>19</v>
      </c>
      <c r="I4042" s="2" t="s">
        <v>34</v>
      </c>
    </row>
    <row r="4043" spans="1:9" x14ac:dyDescent="0.35">
      <c r="A4043" s="2" t="s">
        <v>4088</v>
      </c>
      <c r="B4043" s="3">
        <v>44723</v>
      </c>
      <c r="C4043" s="2" t="s">
        <v>25</v>
      </c>
      <c r="D4043" s="2" t="s">
        <v>41</v>
      </c>
      <c r="E4043" s="2" t="s">
        <v>12</v>
      </c>
      <c r="F4043" s="2">
        <v>922.67</v>
      </c>
      <c r="G4043" s="2">
        <v>95.92</v>
      </c>
      <c r="H4043" s="2" t="s">
        <v>28</v>
      </c>
      <c r="I4043" s="2" t="s">
        <v>14</v>
      </c>
    </row>
    <row r="4044" spans="1:9" x14ac:dyDescent="0.35">
      <c r="A4044" s="2" t="s">
        <v>4089</v>
      </c>
      <c r="B4044" s="3">
        <v>44701</v>
      </c>
      <c r="C4044" s="2" t="s">
        <v>25</v>
      </c>
      <c r="D4044" s="2" t="s">
        <v>23</v>
      </c>
      <c r="E4044" s="2" t="s">
        <v>18</v>
      </c>
      <c r="F4044" s="2">
        <v>262.87</v>
      </c>
      <c r="G4044" s="2">
        <v>77.599999999999994</v>
      </c>
      <c r="H4044" s="2" t="s">
        <v>13</v>
      </c>
      <c r="I4044" s="2" t="s">
        <v>34</v>
      </c>
    </row>
    <row r="4045" spans="1:9" x14ac:dyDescent="0.35">
      <c r="A4045" s="2" t="s">
        <v>4090</v>
      </c>
      <c r="B4045" s="3">
        <v>45606</v>
      </c>
      <c r="C4045" s="2" t="s">
        <v>16</v>
      </c>
      <c r="D4045" s="2" t="s">
        <v>97</v>
      </c>
      <c r="E4045" s="2" t="s">
        <v>27</v>
      </c>
      <c r="F4045" s="2">
        <v>756.06</v>
      </c>
      <c r="G4045" s="2">
        <v>58.59</v>
      </c>
      <c r="H4045" s="2" t="s">
        <v>13</v>
      </c>
      <c r="I4045" s="2" t="s">
        <v>14</v>
      </c>
    </row>
    <row r="4046" spans="1:9" x14ac:dyDescent="0.35">
      <c r="A4046" s="2" t="s">
        <v>4091</v>
      </c>
      <c r="B4046" s="3">
        <v>45606</v>
      </c>
      <c r="C4046" s="2" t="s">
        <v>16</v>
      </c>
      <c r="D4046" s="2" t="s">
        <v>38</v>
      </c>
      <c r="E4046" s="2" t="s">
        <v>12</v>
      </c>
      <c r="F4046" s="2">
        <v>1672.27</v>
      </c>
      <c r="G4046" s="2">
        <v>278.38</v>
      </c>
      <c r="H4046" s="2" t="s">
        <v>28</v>
      </c>
      <c r="I4046" s="2" t="s">
        <v>29</v>
      </c>
    </row>
    <row r="4047" spans="1:9" x14ac:dyDescent="0.35">
      <c r="A4047" s="2" t="s">
        <v>4092</v>
      </c>
      <c r="B4047" s="3">
        <v>44668</v>
      </c>
      <c r="C4047" s="2" t="s">
        <v>10</v>
      </c>
      <c r="D4047" s="2" t="s">
        <v>17</v>
      </c>
      <c r="E4047" s="2" t="s">
        <v>18</v>
      </c>
      <c r="F4047" s="2">
        <v>1234.6199999999999</v>
      </c>
      <c r="G4047" s="2">
        <v>288.73</v>
      </c>
      <c r="H4047" s="2" t="s">
        <v>28</v>
      </c>
      <c r="I4047" s="2" t="s">
        <v>29</v>
      </c>
    </row>
    <row r="4048" spans="1:9" x14ac:dyDescent="0.35">
      <c r="A4048" s="2" t="s">
        <v>4093</v>
      </c>
      <c r="B4048" s="3">
        <v>44878</v>
      </c>
      <c r="C4048" s="2" t="s">
        <v>10</v>
      </c>
      <c r="D4048" s="2" t="s">
        <v>73</v>
      </c>
      <c r="E4048" s="2" t="s">
        <v>27</v>
      </c>
      <c r="F4048" s="2">
        <v>51.15</v>
      </c>
      <c r="G4048" s="2">
        <v>5.75</v>
      </c>
      <c r="H4048" s="2" t="s">
        <v>13</v>
      </c>
      <c r="I4048" s="2" t="s">
        <v>29</v>
      </c>
    </row>
    <row r="4049" spans="1:9" x14ac:dyDescent="0.35">
      <c r="A4049" s="2" t="s">
        <v>4094</v>
      </c>
      <c r="B4049" s="3">
        <v>45509</v>
      </c>
      <c r="C4049" s="2" t="s">
        <v>25</v>
      </c>
      <c r="D4049" s="2" t="s">
        <v>11</v>
      </c>
      <c r="E4049" s="2" t="s">
        <v>12</v>
      </c>
      <c r="F4049" s="2">
        <v>1132.6600000000001</v>
      </c>
      <c r="G4049" s="2">
        <v>242.8</v>
      </c>
      <c r="H4049" s="2" t="s">
        <v>28</v>
      </c>
      <c r="I4049" s="2" t="s">
        <v>14</v>
      </c>
    </row>
    <row r="4050" spans="1:9" x14ac:dyDescent="0.35">
      <c r="A4050" s="2" t="s">
        <v>4095</v>
      </c>
      <c r="B4050" s="3">
        <v>44672</v>
      </c>
      <c r="C4050" s="2" t="s">
        <v>10</v>
      </c>
      <c r="D4050" s="2" t="s">
        <v>62</v>
      </c>
      <c r="E4050" s="2" t="s">
        <v>27</v>
      </c>
      <c r="F4050" s="2">
        <v>64.010000000000005</v>
      </c>
      <c r="G4050" s="2">
        <v>4.6900000000000004</v>
      </c>
      <c r="H4050" s="2" t="s">
        <v>19</v>
      </c>
      <c r="I4050" s="2" t="s">
        <v>29</v>
      </c>
    </row>
    <row r="4051" spans="1:9" x14ac:dyDescent="0.35">
      <c r="A4051" s="2" t="s">
        <v>4096</v>
      </c>
      <c r="B4051" s="3">
        <v>44575</v>
      </c>
      <c r="C4051" s="2" t="s">
        <v>25</v>
      </c>
      <c r="D4051" s="2" t="s">
        <v>57</v>
      </c>
      <c r="E4051" s="2" t="s">
        <v>27</v>
      </c>
      <c r="F4051" s="2">
        <v>310.98</v>
      </c>
      <c r="G4051" s="2">
        <v>29.16</v>
      </c>
      <c r="H4051" s="2" t="s">
        <v>19</v>
      </c>
      <c r="I4051" s="2" t="s">
        <v>14</v>
      </c>
    </row>
    <row r="4052" spans="1:9" x14ac:dyDescent="0.35">
      <c r="A4052" s="2" t="s">
        <v>4097</v>
      </c>
      <c r="B4052" s="3">
        <v>45416</v>
      </c>
      <c r="C4052" s="2" t="s">
        <v>16</v>
      </c>
      <c r="D4052" s="2" t="s">
        <v>73</v>
      </c>
      <c r="E4052" s="2" t="s">
        <v>27</v>
      </c>
      <c r="F4052" s="2">
        <v>1516.81</v>
      </c>
      <c r="G4052" s="2">
        <v>289.86</v>
      </c>
      <c r="H4052" s="2" t="s">
        <v>13</v>
      </c>
      <c r="I4052" s="2" t="s">
        <v>29</v>
      </c>
    </row>
    <row r="4053" spans="1:9" x14ac:dyDescent="0.35">
      <c r="A4053" s="2" t="s">
        <v>4098</v>
      </c>
      <c r="B4053" s="3">
        <v>44978</v>
      </c>
      <c r="C4053" s="2" t="s">
        <v>10</v>
      </c>
      <c r="D4053" s="2" t="s">
        <v>50</v>
      </c>
      <c r="E4053" s="2" t="s">
        <v>12</v>
      </c>
      <c r="F4053" s="2">
        <v>257.55</v>
      </c>
      <c r="G4053" s="2">
        <v>31.18</v>
      </c>
      <c r="H4053" s="2" t="s">
        <v>28</v>
      </c>
      <c r="I4053" s="2" t="s">
        <v>34</v>
      </c>
    </row>
    <row r="4054" spans="1:9" x14ac:dyDescent="0.35">
      <c r="A4054" s="2" t="s">
        <v>4099</v>
      </c>
      <c r="B4054" s="3">
        <v>44738</v>
      </c>
      <c r="C4054" s="2" t="s">
        <v>16</v>
      </c>
      <c r="D4054" s="2" t="s">
        <v>23</v>
      </c>
      <c r="E4054" s="2" t="s">
        <v>18</v>
      </c>
      <c r="F4054" s="2">
        <v>1665.98</v>
      </c>
      <c r="G4054" s="2">
        <v>223.46</v>
      </c>
      <c r="H4054" s="2" t="s">
        <v>13</v>
      </c>
      <c r="I4054" s="2" t="s">
        <v>29</v>
      </c>
    </row>
    <row r="4055" spans="1:9" x14ac:dyDescent="0.35">
      <c r="A4055" s="2" t="s">
        <v>4100</v>
      </c>
      <c r="B4055" s="3">
        <v>44826</v>
      </c>
      <c r="C4055" s="2" t="s">
        <v>16</v>
      </c>
      <c r="D4055" s="2" t="s">
        <v>41</v>
      </c>
      <c r="E4055" s="2" t="s">
        <v>12</v>
      </c>
      <c r="F4055" s="2">
        <v>1384.55</v>
      </c>
      <c r="G4055" s="2">
        <v>279.33999999999997</v>
      </c>
      <c r="H4055" s="2" t="s">
        <v>13</v>
      </c>
      <c r="I4055" s="2" t="s">
        <v>14</v>
      </c>
    </row>
    <row r="4056" spans="1:9" x14ac:dyDescent="0.35">
      <c r="A4056" s="2" t="s">
        <v>4101</v>
      </c>
      <c r="B4056" s="3">
        <v>45366</v>
      </c>
      <c r="C4056" s="2" t="s">
        <v>10</v>
      </c>
      <c r="D4056" s="2" t="s">
        <v>33</v>
      </c>
      <c r="E4056" s="2" t="s">
        <v>18</v>
      </c>
      <c r="F4056" s="2">
        <v>94.29</v>
      </c>
      <c r="G4056" s="2">
        <v>11.4</v>
      </c>
      <c r="H4056" s="2" t="s">
        <v>28</v>
      </c>
      <c r="I4056" s="2" t="s">
        <v>14</v>
      </c>
    </row>
    <row r="4057" spans="1:9" x14ac:dyDescent="0.35">
      <c r="A4057" s="2" t="s">
        <v>4102</v>
      </c>
      <c r="B4057" s="3">
        <v>45310</v>
      </c>
      <c r="C4057" s="2" t="s">
        <v>25</v>
      </c>
      <c r="D4057" s="2" t="s">
        <v>46</v>
      </c>
      <c r="E4057" s="2" t="s">
        <v>18</v>
      </c>
      <c r="F4057" s="2">
        <v>1359.61</v>
      </c>
      <c r="G4057" s="2">
        <v>274.27999999999997</v>
      </c>
      <c r="H4057" s="2" t="s">
        <v>28</v>
      </c>
      <c r="I4057" s="2" t="s">
        <v>34</v>
      </c>
    </row>
    <row r="4058" spans="1:9" x14ac:dyDescent="0.35">
      <c r="A4058" s="2" t="s">
        <v>4103</v>
      </c>
      <c r="B4058" s="3">
        <v>45134</v>
      </c>
      <c r="C4058" s="2" t="s">
        <v>25</v>
      </c>
      <c r="D4058" s="2" t="s">
        <v>57</v>
      </c>
      <c r="E4058" s="2" t="s">
        <v>27</v>
      </c>
      <c r="F4058" s="2">
        <v>1053.17</v>
      </c>
      <c r="G4058" s="2">
        <v>292.07</v>
      </c>
      <c r="H4058" s="2" t="s">
        <v>19</v>
      </c>
      <c r="I4058" s="2" t="s">
        <v>14</v>
      </c>
    </row>
    <row r="4059" spans="1:9" x14ac:dyDescent="0.35">
      <c r="A4059" s="2" t="s">
        <v>4104</v>
      </c>
      <c r="B4059" s="3">
        <v>44877</v>
      </c>
      <c r="C4059" s="2" t="s">
        <v>22</v>
      </c>
      <c r="D4059" s="2" t="s">
        <v>23</v>
      </c>
      <c r="E4059" s="2" t="s">
        <v>18</v>
      </c>
      <c r="F4059" s="2">
        <v>792.19</v>
      </c>
      <c r="G4059" s="2">
        <v>231.51</v>
      </c>
      <c r="H4059" s="2" t="s">
        <v>13</v>
      </c>
      <c r="I4059" s="2" t="s">
        <v>34</v>
      </c>
    </row>
    <row r="4060" spans="1:9" x14ac:dyDescent="0.35">
      <c r="A4060" s="2" t="s">
        <v>4105</v>
      </c>
      <c r="B4060" s="3">
        <v>45051</v>
      </c>
      <c r="C4060" s="2" t="s">
        <v>16</v>
      </c>
      <c r="D4060" s="2" t="s">
        <v>50</v>
      </c>
      <c r="E4060" s="2" t="s">
        <v>12</v>
      </c>
      <c r="F4060" s="2">
        <v>713.18</v>
      </c>
      <c r="G4060" s="2">
        <v>103.57</v>
      </c>
      <c r="H4060" s="2" t="s">
        <v>13</v>
      </c>
      <c r="I4060" s="2" t="s">
        <v>14</v>
      </c>
    </row>
    <row r="4061" spans="1:9" x14ac:dyDescent="0.35">
      <c r="A4061" s="2" t="s">
        <v>4106</v>
      </c>
      <c r="B4061" s="3">
        <v>44865</v>
      </c>
      <c r="C4061" s="2" t="s">
        <v>22</v>
      </c>
      <c r="D4061" s="2" t="s">
        <v>33</v>
      </c>
      <c r="E4061" s="2" t="s">
        <v>18</v>
      </c>
      <c r="F4061" s="2">
        <v>915.77</v>
      </c>
      <c r="G4061" s="2">
        <v>55.35</v>
      </c>
      <c r="H4061" s="2" t="s">
        <v>28</v>
      </c>
      <c r="I4061" s="2" t="s">
        <v>29</v>
      </c>
    </row>
    <row r="4062" spans="1:9" x14ac:dyDescent="0.35">
      <c r="A4062" s="2" t="s">
        <v>4107</v>
      </c>
      <c r="B4062" s="3">
        <v>44933</v>
      </c>
      <c r="C4062" s="2" t="s">
        <v>16</v>
      </c>
      <c r="D4062" s="2" t="s">
        <v>33</v>
      </c>
      <c r="E4062" s="2" t="s">
        <v>18</v>
      </c>
      <c r="F4062" s="2">
        <v>1443.76</v>
      </c>
      <c r="G4062" s="2">
        <v>150.22</v>
      </c>
      <c r="H4062" s="2" t="s">
        <v>13</v>
      </c>
      <c r="I4062" s="2" t="s">
        <v>29</v>
      </c>
    </row>
    <row r="4063" spans="1:9" x14ac:dyDescent="0.35">
      <c r="A4063" s="2" t="s">
        <v>4108</v>
      </c>
      <c r="B4063" s="3">
        <v>45057</v>
      </c>
      <c r="C4063" s="2" t="s">
        <v>16</v>
      </c>
      <c r="D4063" s="2" t="s">
        <v>41</v>
      </c>
      <c r="E4063" s="2" t="s">
        <v>12</v>
      </c>
      <c r="F4063" s="2">
        <v>1362.12</v>
      </c>
      <c r="G4063" s="2">
        <v>74.11</v>
      </c>
      <c r="H4063" s="2" t="s">
        <v>28</v>
      </c>
      <c r="I4063" s="2" t="s">
        <v>29</v>
      </c>
    </row>
    <row r="4064" spans="1:9" x14ac:dyDescent="0.35">
      <c r="A4064" s="2" t="s">
        <v>4109</v>
      </c>
      <c r="B4064" s="3">
        <v>45053</v>
      </c>
      <c r="C4064" s="2" t="s">
        <v>10</v>
      </c>
      <c r="D4064" s="2" t="s">
        <v>11</v>
      </c>
      <c r="E4064" s="2" t="s">
        <v>12</v>
      </c>
      <c r="F4064" s="2">
        <v>1893.5</v>
      </c>
      <c r="G4064" s="2">
        <v>561.30999999999995</v>
      </c>
      <c r="H4064" s="2" t="s">
        <v>13</v>
      </c>
      <c r="I4064" s="2" t="s">
        <v>29</v>
      </c>
    </row>
    <row r="4065" spans="1:9" x14ac:dyDescent="0.35">
      <c r="A4065" s="2" t="s">
        <v>4110</v>
      </c>
      <c r="B4065" s="3">
        <v>44942</v>
      </c>
      <c r="C4065" s="2" t="s">
        <v>10</v>
      </c>
      <c r="D4065" s="2" t="s">
        <v>46</v>
      </c>
      <c r="E4065" s="2" t="s">
        <v>18</v>
      </c>
      <c r="F4065" s="2">
        <v>1557.49</v>
      </c>
      <c r="G4065" s="2">
        <v>213.13</v>
      </c>
      <c r="H4065" s="2" t="s">
        <v>19</v>
      </c>
      <c r="I4065" s="2" t="s">
        <v>29</v>
      </c>
    </row>
    <row r="4066" spans="1:9" x14ac:dyDescent="0.35">
      <c r="A4066" s="2" t="s">
        <v>4111</v>
      </c>
      <c r="B4066" s="3">
        <v>45034</v>
      </c>
      <c r="C4066" s="2" t="s">
        <v>10</v>
      </c>
      <c r="D4066" s="2" t="s">
        <v>95</v>
      </c>
      <c r="E4066" s="2" t="s">
        <v>18</v>
      </c>
      <c r="F4066" s="2">
        <v>1458.27</v>
      </c>
      <c r="G4066" s="2">
        <v>374.83</v>
      </c>
      <c r="H4066" s="2" t="s">
        <v>28</v>
      </c>
      <c r="I4066" s="2" t="s">
        <v>20</v>
      </c>
    </row>
    <row r="4067" spans="1:9" x14ac:dyDescent="0.35">
      <c r="A4067" s="2" t="s">
        <v>4112</v>
      </c>
      <c r="B4067" s="3">
        <v>44772</v>
      </c>
      <c r="C4067" s="2" t="s">
        <v>22</v>
      </c>
      <c r="D4067" s="2" t="s">
        <v>38</v>
      </c>
      <c r="E4067" s="2" t="s">
        <v>12</v>
      </c>
      <c r="F4067" s="2">
        <v>1948.02</v>
      </c>
      <c r="G4067" s="2">
        <v>253.18</v>
      </c>
      <c r="H4067" s="2" t="s">
        <v>28</v>
      </c>
      <c r="I4067" s="2" t="s">
        <v>29</v>
      </c>
    </row>
    <row r="4068" spans="1:9" x14ac:dyDescent="0.35">
      <c r="A4068" s="2" t="s">
        <v>4113</v>
      </c>
      <c r="B4068" s="3">
        <v>45451</v>
      </c>
      <c r="C4068" s="2" t="s">
        <v>10</v>
      </c>
      <c r="D4068" s="2" t="s">
        <v>17</v>
      </c>
      <c r="E4068" s="2" t="s">
        <v>18</v>
      </c>
      <c r="F4068" s="2">
        <v>165.6</v>
      </c>
      <c r="G4068" s="2">
        <v>35.85</v>
      </c>
      <c r="H4068" s="2" t="s">
        <v>19</v>
      </c>
      <c r="I4068" s="2" t="s">
        <v>29</v>
      </c>
    </row>
    <row r="4069" spans="1:9" x14ac:dyDescent="0.35">
      <c r="A4069" s="2" t="s">
        <v>4114</v>
      </c>
      <c r="B4069" s="3">
        <v>45588</v>
      </c>
      <c r="C4069" s="2" t="s">
        <v>10</v>
      </c>
      <c r="D4069" s="2" t="s">
        <v>38</v>
      </c>
      <c r="E4069" s="2" t="s">
        <v>12</v>
      </c>
      <c r="F4069" s="2">
        <v>1280.58</v>
      </c>
      <c r="G4069" s="2">
        <v>306.98</v>
      </c>
      <c r="H4069" s="2" t="s">
        <v>28</v>
      </c>
      <c r="I4069" s="2" t="s">
        <v>29</v>
      </c>
    </row>
    <row r="4070" spans="1:9" x14ac:dyDescent="0.35">
      <c r="A4070" s="2" t="s">
        <v>4115</v>
      </c>
      <c r="B4070" s="3">
        <v>45239</v>
      </c>
      <c r="C4070" s="2" t="s">
        <v>16</v>
      </c>
      <c r="D4070" s="2" t="s">
        <v>11</v>
      </c>
      <c r="E4070" s="2" t="s">
        <v>12</v>
      </c>
      <c r="F4070" s="2">
        <v>1305.32</v>
      </c>
      <c r="G4070" s="2">
        <v>123.54</v>
      </c>
      <c r="H4070" s="2" t="s">
        <v>13</v>
      </c>
      <c r="I4070" s="2" t="s">
        <v>29</v>
      </c>
    </row>
    <row r="4071" spans="1:9" x14ac:dyDescent="0.35">
      <c r="A4071" s="2" t="s">
        <v>4116</v>
      </c>
      <c r="B4071" s="3">
        <v>45565</v>
      </c>
      <c r="C4071" s="2" t="s">
        <v>25</v>
      </c>
      <c r="D4071" s="2" t="s">
        <v>23</v>
      </c>
      <c r="E4071" s="2" t="s">
        <v>18</v>
      </c>
      <c r="F4071" s="2">
        <v>967.81</v>
      </c>
      <c r="G4071" s="2">
        <v>140</v>
      </c>
      <c r="H4071" s="2" t="s">
        <v>19</v>
      </c>
      <c r="I4071" s="2" t="s">
        <v>34</v>
      </c>
    </row>
    <row r="4072" spans="1:9" x14ac:dyDescent="0.35">
      <c r="A4072" s="2" t="s">
        <v>4117</v>
      </c>
      <c r="B4072" s="3">
        <v>44563</v>
      </c>
      <c r="C4072" s="2" t="s">
        <v>22</v>
      </c>
      <c r="D4072" s="2" t="s">
        <v>31</v>
      </c>
      <c r="E4072" s="2" t="s">
        <v>12</v>
      </c>
      <c r="F4072" s="2">
        <v>81.31</v>
      </c>
      <c r="G4072" s="2">
        <v>13.28</v>
      </c>
      <c r="H4072" s="2" t="s">
        <v>13</v>
      </c>
      <c r="I4072" s="2" t="s">
        <v>29</v>
      </c>
    </row>
    <row r="4073" spans="1:9" x14ac:dyDescent="0.35">
      <c r="A4073" s="2" t="s">
        <v>4118</v>
      </c>
      <c r="B4073" s="3">
        <v>45406</v>
      </c>
      <c r="C4073" s="2" t="s">
        <v>10</v>
      </c>
      <c r="D4073" s="2" t="s">
        <v>11</v>
      </c>
      <c r="E4073" s="2" t="s">
        <v>12</v>
      </c>
      <c r="F4073" s="2">
        <v>1205.6099999999999</v>
      </c>
      <c r="G4073" s="2">
        <v>90.86</v>
      </c>
      <c r="H4073" s="2" t="s">
        <v>13</v>
      </c>
      <c r="I4073" s="2" t="s">
        <v>29</v>
      </c>
    </row>
    <row r="4074" spans="1:9" x14ac:dyDescent="0.35">
      <c r="A4074" s="2" t="s">
        <v>4119</v>
      </c>
      <c r="B4074" s="3">
        <v>44685</v>
      </c>
      <c r="C4074" s="2" t="s">
        <v>25</v>
      </c>
      <c r="D4074" s="2" t="s">
        <v>73</v>
      </c>
      <c r="E4074" s="2" t="s">
        <v>27</v>
      </c>
      <c r="F4074" s="2">
        <v>1047.71</v>
      </c>
      <c r="G4074" s="2">
        <v>178.86</v>
      </c>
      <c r="H4074" s="2" t="s">
        <v>19</v>
      </c>
      <c r="I4074" s="2" t="s">
        <v>34</v>
      </c>
    </row>
    <row r="4075" spans="1:9" x14ac:dyDescent="0.35">
      <c r="A4075" s="2" t="s">
        <v>4120</v>
      </c>
      <c r="B4075" s="3">
        <v>45537</v>
      </c>
      <c r="C4075" s="2" t="s">
        <v>22</v>
      </c>
      <c r="D4075" s="2" t="s">
        <v>23</v>
      </c>
      <c r="E4075" s="2" t="s">
        <v>18</v>
      </c>
      <c r="F4075" s="2">
        <v>1515.15</v>
      </c>
      <c r="G4075" s="2">
        <v>235.56</v>
      </c>
      <c r="H4075" s="2" t="s">
        <v>19</v>
      </c>
      <c r="I4075" s="2" t="s">
        <v>34</v>
      </c>
    </row>
    <row r="4076" spans="1:9" x14ac:dyDescent="0.35">
      <c r="A4076" s="2" t="s">
        <v>4121</v>
      </c>
      <c r="B4076" s="3">
        <v>45593</v>
      </c>
      <c r="C4076" s="2" t="s">
        <v>16</v>
      </c>
      <c r="D4076" s="2" t="s">
        <v>17</v>
      </c>
      <c r="E4076" s="2" t="s">
        <v>18</v>
      </c>
      <c r="F4076" s="2">
        <v>1670.23</v>
      </c>
      <c r="G4076" s="2">
        <v>255.64</v>
      </c>
      <c r="H4076" s="2" t="s">
        <v>13</v>
      </c>
      <c r="I4076" s="2" t="s">
        <v>34</v>
      </c>
    </row>
    <row r="4077" spans="1:9" x14ac:dyDescent="0.35">
      <c r="A4077" s="2" t="s">
        <v>4122</v>
      </c>
      <c r="B4077" s="3">
        <v>45593</v>
      </c>
      <c r="C4077" s="2" t="s">
        <v>25</v>
      </c>
      <c r="D4077" s="2" t="s">
        <v>31</v>
      </c>
      <c r="E4077" s="2" t="s">
        <v>12</v>
      </c>
      <c r="F4077" s="2">
        <v>1722.76</v>
      </c>
      <c r="G4077" s="2">
        <v>368.53</v>
      </c>
      <c r="H4077" s="2" t="s">
        <v>19</v>
      </c>
      <c r="I4077" s="2" t="s">
        <v>29</v>
      </c>
    </row>
    <row r="4078" spans="1:9" x14ac:dyDescent="0.35">
      <c r="A4078" s="2" t="s">
        <v>4123</v>
      </c>
      <c r="B4078" s="3">
        <v>45008</v>
      </c>
      <c r="C4078" s="2" t="s">
        <v>10</v>
      </c>
      <c r="D4078" s="2" t="s">
        <v>17</v>
      </c>
      <c r="E4078" s="2" t="s">
        <v>18</v>
      </c>
      <c r="F4078" s="2">
        <v>211.49</v>
      </c>
      <c r="G4078" s="2">
        <v>22.96</v>
      </c>
      <c r="H4078" s="2" t="s">
        <v>28</v>
      </c>
      <c r="I4078" s="2" t="s">
        <v>34</v>
      </c>
    </row>
    <row r="4079" spans="1:9" x14ac:dyDescent="0.35">
      <c r="A4079" s="2" t="s">
        <v>4124</v>
      </c>
      <c r="B4079" s="3">
        <v>45544</v>
      </c>
      <c r="C4079" s="2" t="s">
        <v>10</v>
      </c>
      <c r="D4079" s="2" t="s">
        <v>97</v>
      </c>
      <c r="E4079" s="2" t="s">
        <v>27</v>
      </c>
      <c r="F4079" s="2">
        <v>773.57</v>
      </c>
      <c r="G4079" s="2">
        <v>191.25</v>
      </c>
      <c r="H4079" s="2" t="s">
        <v>28</v>
      </c>
      <c r="I4079" s="2" t="s">
        <v>34</v>
      </c>
    </row>
    <row r="4080" spans="1:9" x14ac:dyDescent="0.35">
      <c r="A4080" s="2" t="s">
        <v>4125</v>
      </c>
      <c r="B4080" s="3">
        <v>45181</v>
      </c>
      <c r="C4080" s="2" t="s">
        <v>10</v>
      </c>
      <c r="D4080" s="2" t="s">
        <v>31</v>
      </c>
      <c r="E4080" s="2" t="s">
        <v>12</v>
      </c>
      <c r="F4080" s="2">
        <v>141.66</v>
      </c>
      <c r="G4080" s="2">
        <v>9.1300000000000008</v>
      </c>
      <c r="H4080" s="2" t="s">
        <v>28</v>
      </c>
      <c r="I4080" s="2" t="s">
        <v>20</v>
      </c>
    </row>
    <row r="4081" spans="1:9" x14ac:dyDescent="0.35">
      <c r="A4081" s="2" t="s">
        <v>4126</v>
      </c>
      <c r="B4081" s="3">
        <v>45447</v>
      </c>
      <c r="C4081" s="2" t="s">
        <v>25</v>
      </c>
      <c r="D4081" s="2" t="s">
        <v>23</v>
      </c>
      <c r="E4081" s="2" t="s">
        <v>18</v>
      </c>
      <c r="F4081" s="2">
        <v>695.92</v>
      </c>
      <c r="G4081" s="2">
        <v>208.07</v>
      </c>
      <c r="H4081" s="2" t="s">
        <v>28</v>
      </c>
      <c r="I4081" s="2" t="s">
        <v>20</v>
      </c>
    </row>
    <row r="4082" spans="1:9" x14ac:dyDescent="0.35">
      <c r="A4082" s="2" t="s">
        <v>4127</v>
      </c>
      <c r="B4082" s="3">
        <v>44816</v>
      </c>
      <c r="C4082" s="2" t="s">
        <v>22</v>
      </c>
      <c r="D4082" s="2" t="s">
        <v>26</v>
      </c>
      <c r="E4082" s="2" t="s">
        <v>27</v>
      </c>
      <c r="F4082" s="2">
        <v>1842.14</v>
      </c>
      <c r="G4082" s="2">
        <v>279.04000000000002</v>
      </c>
      <c r="H4082" s="2" t="s">
        <v>28</v>
      </c>
      <c r="I4082" s="2" t="s">
        <v>29</v>
      </c>
    </row>
    <row r="4083" spans="1:9" x14ac:dyDescent="0.35">
      <c r="A4083" s="2" t="s">
        <v>4128</v>
      </c>
      <c r="B4083" s="3">
        <v>44989</v>
      </c>
      <c r="C4083" s="2" t="s">
        <v>25</v>
      </c>
      <c r="D4083" s="2" t="s">
        <v>26</v>
      </c>
      <c r="E4083" s="2" t="s">
        <v>27</v>
      </c>
      <c r="F4083" s="2">
        <v>1279.03</v>
      </c>
      <c r="G4083" s="2">
        <v>90.03</v>
      </c>
      <c r="H4083" s="2" t="s">
        <v>19</v>
      </c>
      <c r="I4083" s="2" t="s">
        <v>20</v>
      </c>
    </row>
    <row r="4084" spans="1:9" x14ac:dyDescent="0.35">
      <c r="A4084" s="2" t="s">
        <v>4129</v>
      </c>
      <c r="B4084" s="3">
        <v>45039</v>
      </c>
      <c r="C4084" s="2" t="s">
        <v>22</v>
      </c>
      <c r="D4084" s="2" t="s">
        <v>46</v>
      </c>
      <c r="E4084" s="2" t="s">
        <v>18</v>
      </c>
      <c r="F4084" s="2">
        <v>1415.67</v>
      </c>
      <c r="G4084" s="2">
        <v>370.51</v>
      </c>
      <c r="H4084" s="2" t="s">
        <v>19</v>
      </c>
      <c r="I4084" s="2" t="s">
        <v>20</v>
      </c>
    </row>
    <row r="4085" spans="1:9" x14ac:dyDescent="0.35">
      <c r="A4085" s="2" t="s">
        <v>4130</v>
      </c>
      <c r="B4085" s="3">
        <v>44663</v>
      </c>
      <c r="C4085" s="2" t="s">
        <v>16</v>
      </c>
      <c r="D4085" s="2" t="s">
        <v>17</v>
      </c>
      <c r="E4085" s="2" t="s">
        <v>18</v>
      </c>
      <c r="F4085" s="2">
        <v>1176.22</v>
      </c>
      <c r="G4085" s="2">
        <v>267.20999999999998</v>
      </c>
      <c r="H4085" s="2" t="s">
        <v>13</v>
      </c>
      <c r="I4085" s="2" t="s">
        <v>34</v>
      </c>
    </row>
    <row r="4086" spans="1:9" x14ac:dyDescent="0.35">
      <c r="A4086" s="2" t="s">
        <v>4131</v>
      </c>
      <c r="B4086" s="3">
        <v>45331</v>
      </c>
      <c r="C4086" s="2" t="s">
        <v>16</v>
      </c>
      <c r="D4086" s="2" t="s">
        <v>62</v>
      </c>
      <c r="E4086" s="2" t="s">
        <v>27</v>
      </c>
      <c r="F4086" s="2">
        <v>1243.53</v>
      </c>
      <c r="G4086" s="2">
        <v>362.85</v>
      </c>
      <c r="H4086" s="2" t="s">
        <v>19</v>
      </c>
      <c r="I4086" s="2" t="s">
        <v>14</v>
      </c>
    </row>
    <row r="4087" spans="1:9" x14ac:dyDescent="0.35">
      <c r="A4087" s="2" t="s">
        <v>4132</v>
      </c>
      <c r="B4087" s="3">
        <v>45261</v>
      </c>
      <c r="C4087" s="2" t="s">
        <v>16</v>
      </c>
      <c r="D4087" s="2" t="s">
        <v>50</v>
      </c>
      <c r="E4087" s="2" t="s">
        <v>12</v>
      </c>
      <c r="F4087" s="2">
        <v>1336.81</v>
      </c>
      <c r="G4087" s="2">
        <v>196.93</v>
      </c>
      <c r="H4087" s="2" t="s">
        <v>13</v>
      </c>
      <c r="I4087" s="2" t="s">
        <v>20</v>
      </c>
    </row>
    <row r="4088" spans="1:9" x14ac:dyDescent="0.35">
      <c r="A4088" s="2" t="s">
        <v>4133</v>
      </c>
      <c r="B4088" s="3">
        <v>45629</v>
      </c>
      <c r="C4088" s="2" t="s">
        <v>22</v>
      </c>
      <c r="D4088" s="2" t="s">
        <v>33</v>
      </c>
      <c r="E4088" s="2" t="s">
        <v>18</v>
      </c>
      <c r="F4088" s="2">
        <v>356.28</v>
      </c>
      <c r="G4088" s="2">
        <v>98.08</v>
      </c>
      <c r="H4088" s="2" t="s">
        <v>28</v>
      </c>
      <c r="I4088" s="2" t="s">
        <v>20</v>
      </c>
    </row>
    <row r="4089" spans="1:9" x14ac:dyDescent="0.35">
      <c r="A4089" s="2" t="s">
        <v>4134</v>
      </c>
      <c r="B4089" s="3">
        <v>44831</v>
      </c>
      <c r="C4089" s="2" t="s">
        <v>25</v>
      </c>
      <c r="D4089" s="2" t="s">
        <v>23</v>
      </c>
      <c r="E4089" s="2" t="s">
        <v>18</v>
      </c>
      <c r="F4089" s="2">
        <v>1222.73</v>
      </c>
      <c r="G4089" s="2">
        <v>133.96</v>
      </c>
      <c r="H4089" s="2" t="s">
        <v>19</v>
      </c>
      <c r="I4089" s="2" t="s">
        <v>14</v>
      </c>
    </row>
    <row r="4090" spans="1:9" x14ac:dyDescent="0.35">
      <c r="A4090" s="2" t="s">
        <v>4135</v>
      </c>
      <c r="B4090" s="3">
        <v>45069</v>
      </c>
      <c r="C4090" s="2" t="s">
        <v>22</v>
      </c>
      <c r="D4090" s="2" t="s">
        <v>41</v>
      </c>
      <c r="E4090" s="2" t="s">
        <v>12</v>
      </c>
      <c r="F4090" s="2">
        <v>101.47</v>
      </c>
      <c r="G4090" s="2">
        <v>24.31</v>
      </c>
      <c r="H4090" s="2" t="s">
        <v>28</v>
      </c>
      <c r="I4090" s="2" t="s">
        <v>34</v>
      </c>
    </row>
    <row r="4091" spans="1:9" x14ac:dyDescent="0.35">
      <c r="A4091" s="2" t="s">
        <v>4136</v>
      </c>
      <c r="B4091" s="3">
        <v>45247</v>
      </c>
      <c r="C4091" s="2" t="s">
        <v>16</v>
      </c>
      <c r="D4091" s="2" t="s">
        <v>97</v>
      </c>
      <c r="E4091" s="2" t="s">
        <v>27</v>
      </c>
      <c r="F4091" s="2">
        <v>787.04</v>
      </c>
      <c r="G4091" s="2">
        <v>147.44</v>
      </c>
      <c r="H4091" s="2" t="s">
        <v>19</v>
      </c>
      <c r="I4091" s="2" t="s">
        <v>34</v>
      </c>
    </row>
    <row r="4092" spans="1:9" x14ac:dyDescent="0.35">
      <c r="A4092" s="2" t="s">
        <v>4137</v>
      </c>
      <c r="B4092" s="3">
        <v>45117</v>
      </c>
      <c r="C4092" s="2" t="s">
        <v>22</v>
      </c>
      <c r="D4092" s="2" t="s">
        <v>57</v>
      </c>
      <c r="E4092" s="2" t="s">
        <v>27</v>
      </c>
      <c r="F4092" s="2">
        <v>577.73</v>
      </c>
      <c r="G4092" s="2">
        <v>37.68</v>
      </c>
      <c r="H4092" s="2" t="s">
        <v>19</v>
      </c>
      <c r="I4092" s="2" t="s">
        <v>20</v>
      </c>
    </row>
    <row r="4093" spans="1:9" x14ac:dyDescent="0.35">
      <c r="A4093" s="2" t="s">
        <v>4138</v>
      </c>
      <c r="B4093" s="3">
        <v>44747</v>
      </c>
      <c r="C4093" s="2" t="s">
        <v>16</v>
      </c>
      <c r="D4093" s="2" t="s">
        <v>62</v>
      </c>
      <c r="E4093" s="2" t="s">
        <v>27</v>
      </c>
      <c r="F4093" s="2">
        <v>682.83</v>
      </c>
      <c r="G4093" s="2">
        <v>41.14</v>
      </c>
      <c r="H4093" s="2" t="s">
        <v>19</v>
      </c>
      <c r="I4093" s="2" t="s">
        <v>29</v>
      </c>
    </row>
    <row r="4094" spans="1:9" x14ac:dyDescent="0.35">
      <c r="A4094" s="2" t="s">
        <v>4139</v>
      </c>
      <c r="B4094" s="3">
        <v>44581</v>
      </c>
      <c r="C4094" s="2" t="s">
        <v>16</v>
      </c>
      <c r="D4094" s="2" t="s">
        <v>50</v>
      </c>
      <c r="E4094" s="2" t="s">
        <v>12</v>
      </c>
      <c r="F4094" s="2">
        <v>1084.6300000000001</v>
      </c>
      <c r="G4094" s="2">
        <v>54.35</v>
      </c>
      <c r="H4094" s="2" t="s">
        <v>19</v>
      </c>
      <c r="I4094" s="2" t="s">
        <v>29</v>
      </c>
    </row>
    <row r="4095" spans="1:9" x14ac:dyDescent="0.35">
      <c r="A4095" s="2" t="s">
        <v>4140</v>
      </c>
      <c r="B4095" s="3">
        <v>45080</v>
      </c>
      <c r="C4095" s="2" t="s">
        <v>22</v>
      </c>
      <c r="D4095" s="2" t="s">
        <v>38</v>
      </c>
      <c r="E4095" s="2" t="s">
        <v>12</v>
      </c>
      <c r="F4095" s="2">
        <v>744.03</v>
      </c>
      <c r="G4095" s="2">
        <v>95.22</v>
      </c>
      <c r="H4095" s="2" t="s">
        <v>28</v>
      </c>
      <c r="I4095" s="2" t="s">
        <v>20</v>
      </c>
    </row>
    <row r="4096" spans="1:9" x14ac:dyDescent="0.35">
      <c r="A4096" s="2" t="s">
        <v>4141</v>
      </c>
      <c r="B4096" s="3">
        <v>45579</v>
      </c>
      <c r="C4096" s="2" t="s">
        <v>25</v>
      </c>
      <c r="D4096" s="2" t="s">
        <v>23</v>
      </c>
      <c r="E4096" s="2" t="s">
        <v>18</v>
      </c>
      <c r="F4096" s="2">
        <v>1105.06</v>
      </c>
      <c r="G4096" s="2">
        <v>251.77</v>
      </c>
      <c r="H4096" s="2" t="s">
        <v>28</v>
      </c>
      <c r="I4096" s="2" t="s">
        <v>29</v>
      </c>
    </row>
    <row r="4097" spans="1:9" x14ac:dyDescent="0.35">
      <c r="A4097" s="2" t="s">
        <v>4142</v>
      </c>
      <c r="B4097" s="3">
        <v>44726</v>
      </c>
      <c r="C4097" s="2" t="s">
        <v>16</v>
      </c>
      <c r="D4097" s="2" t="s">
        <v>38</v>
      </c>
      <c r="E4097" s="2" t="s">
        <v>12</v>
      </c>
      <c r="F4097" s="2">
        <v>1338.75</v>
      </c>
      <c r="G4097" s="2">
        <v>239.14</v>
      </c>
      <c r="H4097" s="2" t="s">
        <v>28</v>
      </c>
      <c r="I4097" s="2" t="s">
        <v>29</v>
      </c>
    </row>
    <row r="4098" spans="1:9" x14ac:dyDescent="0.35">
      <c r="A4098" s="2" t="s">
        <v>4143</v>
      </c>
      <c r="B4098" s="3">
        <v>44796</v>
      </c>
      <c r="C4098" s="2" t="s">
        <v>16</v>
      </c>
      <c r="D4098" s="2" t="s">
        <v>97</v>
      </c>
      <c r="E4098" s="2" t="s">
        <v>27</v>
      </c>
      <c r="F4098" s="2">
        <v>199.36</v>
      </c>
      <c r="G4098" s="2">
        <v>25.51</v>
      </c>
      <c r="H4098" s="2" t="s">
        <v>28</v>
      </c>
      <c r="I4098" s="2" t="s">
        <v>14</v>
      </c>
    </row>
    <row r="4099" spans="1:9" x14ac:dyDescent="0.35">
      <c r="A4099" s="2" t="s">
        <v>4144</v>
      </c>
      <c r="B4099" s="3">
        <v>45589</v>
      </c>
      <c r="C4099" s="2" t="s">
        <v>22</v>
      </c>
      <c r="D4099" s="2" t="s">
        <v>46</v>
      </c>
      <c r="E4099" s="2" t="s">
        <v>18</v>
      </c>
      <c r="F4099" s="2">
        <v>1746.12</v>
      </c>
      <c r="G4099" s="2">
        <v>394.36</v>
      </c>
      <c r="H4099" s="2" t="s">
        <v>19</v>
      </c>
      <c r="I4099" s="2" t="s">
        <v>34</v>
      </c>
    </row>
    <row r="4100" spans="1:9" x14ac:dyDescent="0.35">
      <c r="A4100" s="2" t="s">
        <v>4145</v>
      </c>
      <c r="B4100" s="3">
        <v>45168</v>
      </c>
      <c r="C4100" s="2" t="s">
        <v>25</v>
      </c>
      <c r="D4100" s="2" t="s">
        <v>95</v>
      </c>
      <c r="E4100" s="2" t="s">
        <v>18</v>
      </c>
      <c r="F4100" s="2">
        <v>405.17</v>
      </c>
      <c r="G4100" s="2">
        <v>27.27</v>
      </c>
      <c r="H4100" s="2" t="s">
        <v>19</v>
      </c>
      <c r="I4100" s="2" t="s">
        <v>14</v>
      </c>
    </row>
    <row r="4101" spans="1:9" x14ac:dyDescent="0.35">
      <c r="A4101" s="2" t="s">
        <v>4146</v>
      </c>
      <c r="B4101" s="3">
        <v>45117</v>
      </c>
      <c r="C4101" s="2" t="s">
        <v>10</v>
      </c>
      <c r="D4101" s="2" t="s">
        <v>17</v>
      </c>
      <c r="E4101" s="2" t="s">
        <v>18</v>
      </c>
      <c r="F4101" s="2">
        <v>582.41999999999996</v>
      </c>
      <c r="G4101" s="2">
        <v>120.8</v>
      </c>
      <c r="H4101" s="2" t="s">
        <v>19</v>
      </c>
      <c r="I4101" s="2" t="s">
        <v>20</v>
      </c>
    </row>
    <row r="4102" spans="1:9" x14ac:dyDescent="0.35">
      <c r="A4102" s="2" t="s">
        <v>4147</v>
      </c>
      <c r="B4102" s="3">
        <v>45027</v>
      </c>
      <c r="C4102" s="2" t="s">
        <v>25</v>
      </c>
      <c r="D4102" s="2" t="s">
        <v>31</v>
      </c>
      <c r="E4102" s="2" t="s">
        <v>12</v>
      </c>
      <c r="F4102" s="2">
        <v>1439.26</v>
      </c>
      <c r="G4102" s="2">
        <v>422.7</v>
      </c>
      <c r="H4102" s="2" t="s">
        <v>28</v>
      </c>
      <c r="I4102" s="2" t="s">
        <v>14</v>
      </c>
    </row>
    <row r="4103" spans="1:9" x14ac:dyDescent="0.35">
      <c r="A4103" s="2" t="s">
        <v>4148</v>
      </c>
      <c r="B4103" s="3">
        <v>44613</v>
      </c>
      <c r="C4103" s="2" t="s">
        <v>16</v>
      </c>
      <c r="D4103" s="2" t="s">
        <v>95</v>
      </c>
      <c r="E4103" s="2" t="s">
        <v>18</v>
      </c>
      <c r="F4103" s="2">
        <v>1622.78</v>
      </c>
      <c r="G4103" s="2">
        <v>383.54</v>
      </c>
      <c r="H4103" s="2" t="s">
        <v>28</v>
      </c>
      <c r="I4103" s="2" t="s">
        <v>20</v>
      </c>
    </row>
    <row r="4104" spans="1:9" x14ac:dyDescent="0.35">
      <c r="A4104" s="2" t="s">
        <v>4149</v>
      </c>
      <c r="B4104" s="3">
        <v>45173</v>
      </c>
      <c r="C4104" s="2" t="s">
        <v>10</v>
      </c>
      <c r="D4104" s="2" t="s">
        <v>11</v>
      </c>
      <c r="E4104" s="2" t="s">
        <v>12</v>
      </c>
      <c r="F4104" s="2">
        <v>714.33</v>
      </c>
      <c r="G4104" s="2">
        <v>149.99</v>
      </c>
      <c r="H4104" s="2" t="s">
        <v>19</v>
      </c>
      <c r="I4104" s="2" t="s">
        <v>34</v>
      </c>
    </row>
    <row r="4105" spans="1:9" x14ac:dyDescent="0.35">
      <c r="A4105" s="2" t="s">
        <v>4150</v>
      </c>
      <c r="B4105" s="3">
        <v>45053</v>
      </c>
      <c r="C4105" s="2" t="s">
        <v>16</v>
      </c>
      <c r="D4105" s="2" t="s">
        <v>62</v>
      </c>
      <c r="E4105" s="2" t="s">
        <v>27</v>
      </c>
      <c r="F4105" s="2">
        <v>1134.4100000000001</v>
      </c>
      <c r="G4105" s="2">
        <v>114.01</v>
      </c>
      <c r="H4105" s="2" t="s">
        <v>19</v>
      </c>
      <c r="I4105" s="2" t="s">
        <v>29</v>
      </c>
    </row>
    <row r="4106" spans="1:9" x14ac:dyDescent="0.35">
      <c r="A4106" s="2" t="s">
        <v>4151</v>
      </c>
      <c r="B4106" s="3">
        <v>45529</v>
      </c>
      <c r="C4106" s="2" t="s">
        <v>22</v>
      </c>
      <c r="D4106" s="2" t="s">
        <v>50</v>
      </c>
      <c r="E4106" s="2" t="s">
        <v>12</v>
      </c>
      <c r="F4106" s="2">
        <v>1197.55</v>
      </c>
      <c r="G4106" s="2">
        <v>297.68</v>
      </c>
      <c r="H4106" s="2" t="s">
        <v>19</v>
      </c>
      <c r="I4106" s="2" t="s">
        <v>20</v>
      </c>
    </row>
    <row r="4107" spans="1:9" x14ac:dyDescent="0.35">
      <c r="A4107" s="2" t="s">
        <v>4152</v>
      </c>
      <c r="B4107" s="3">
        <v>44607</v>
      </c>
      <c r="C4107" s="2" t="s">
        <v>16</v>
      </c>
      <c r="D4107" s="2" t="s">
        <v>95</v>
      </c>
      <c r="E4107" s="2" t="s">
        <v>18</v>
      </c>
      <c r="F4107" s="2">
        <v>1932.49</v>
      </c>
      <c r="G4107" s="2">
        <v>271.67</v>
      </c>
      <c r="H4107" s="2" t="s">
        <v>28</v>
      </c>
      <c r="I4107" s="2" t="s">
        <v>29</v>
      </c>
    </row>
    <row r="4108" spans="1:9" x14ac:dyDescent="0.35">
      <c r="A4108" s="2" t="s">
        <v>4153</v>
      </c>
      <c r="B4108" s="3">
        <v>45082</v>
      </c>
      <c r="C4108" s="2" t="s">
        <v>22</v>
      </c>
      <c r="D4108" s="2" t="s">
        <v>46</v>
      </c>
      <c r="E4108" s="2" t="s">
        <v>18</v>
      </c>
      <c r="F4108" s="2">
        <v>1646.38</v>
      </c>
      <c r="G4108" s="2">
        <v>310.11</v>
      </c>
      <c r="H4108" s="2" t="s">
        <v>28</v>
      </c>
      <c r="I4108" s="2" t="s">
        <v>14</v>
      </c>
    </row>
    <row r="4109" spans="1:9" x14ac:dyDescent="0.35">
      <c r="A4109" s="2" t="s">
        <v>4154</v>
      </c>
      <c r="B4109" s="3">
        <v>45292</v>
      </c>
      <c r="C4109" s="2" t="s">
        <v>25</v>
      </c>
      <c r="D4109" s="2" t="s">
        <v>33</v>
      </c>
      <c r="E4109" s="2" t="s">
        <v>18</v>
      </c>
      <c r="F4109" s="2">
        <v>1803</v>
      </c>
      <c r="G4109" s="2">
        <v>194.11</v>
      </c>
      <c r="H4109" s="2" t="s">
        <v>19</v>
      </c>
      <c r="I4109" s="2" t="s">
        <v>34</v>
      </c>
    </row>
    <row r="4110" spans="1:9" x14ac:dyDescent="0.35">
      <c r="A4110" s="2" t="s">
        <v>4155</v>
      </c>
      <c r="B4110" s="3">
        <v>44868</v>
      </c>
      <c r="C4110" s="2" t="s">
        <v>10</v>
      </c>
      <c r="D4110" s="2" t="s">
        <v>33</v>
      </c>
      <c r="E4110" s="2" t="s">
        <v>18</v>
      </c>
      <c r="F4110" s="2">
        <v>711.03</v>
      </c>
      <c r="G4110" s="2">
        <v>135.32</v>
      </c>
      <c r="H4110" s="2" t="s">
        <v>28</v>
      </c>
      <c r="I4110" s="2" t="s">
        <v>14</v>
      </c>
    </row>
    <row r="4111" spans="1:9" x14ac:dyDescent="0.35">
      <c r="A4111" s="2" t="s">
        <v>4156</v>
      </c>
      <c r="B4111" s="3">
        <v>44626</v>
      </c>
      <c r="C4111" s="2" t="s">
        <v>25</v>
      </c>
      <c r="D4111" s="2" t="s">
        <v>73</v>
      </c>
      <c r="E4111" s="2" t="s">
        <v>27</v>
      </c>
      <c r="F4111" s="2">
        <v>1428.51</v>
      </c>
      <c r="G4111" s="2">
        <v>100.78</v>
      </c>
      <c r="H4111" s="2" t="s">
        <v>13</v>
      </c>
      <c r="I4111" s="2" t="s">
        <v>20</v>
      </c>
    </row>
    <row r="4112" spans="1:9" x14ac:dyDescent="0.35">
      <c r="A4112" s="2" t="s">
        <v>4157</v>
      </c>
      <c r="B4112" s="3">
        <v>44775</v>
      </c>
      <c r="C4112" s="2" t="s">
        <v>22</v>
      </c>
      <c r="D4112" s="2" t="s">
        <v>38</v>
      </c>
      <c r="E4112" s="2" t="s">
        <v>12</v>
      </c>
      <c r="F4112" s="2">
        <v>1147.55</v>
      </c>
      <c r="G4112" s="2">
        <v>255.06</v>
      </c>
      <c r="H4112" s="2" t="s">
        <v>28</v>
      </c>
      <c r="I4112" s="2" t="s">
        <v>34</v>
      </c>
    </row>
    <row r="4113" spans="1:9" x14ac:dyDescent="0.35">
      <c r="A4113" s="2" t="s">
        <v>4158</v>
      </c>
      <c r="B4113" s="3">
        <v>45118</v>
      </c>
      <c r="C4113" s="2" t="s">
        <v>25</v>
      </c>
      <c r="D4113" s="2" t="s">
        <v>38</v>
      </c>
      <c r="E4113" s="2" t="s">
        <v>12</v>
      </c>
      <c r="F4113" s="2">
        <v>1823.59</v>
      </c>
      <c r="G4113" s="2">
        <v>111.93</v>
      </c>
      <c r="H4113" s="2" t="s">
        <v>19</v>
      </c>
      <c r="I4113" s="2" t="s">
        <v>20</v>
      </c>
    </row>
    <row r="4114" spans="1:9" x14ac:dyDescent="0.35">
      <c r="A4114" s="2" t="s">
        <v>4159</v>
      </c>
      <c r="B4114" s="3">
        <v>44774</v>
      </c>
      <c r="C4114" s="2" t="s">
        <v>10</v>
      </c>
      <c r="D4114" s="2" t="s">
        <v>11</v>
      </c>
      <c r="E4114" s="2" t="s">
        <v>12</v>
      </c>
      <c r="F4114" s="2">
        <v>507.71</v>
      </c>
      <c r="G4114" s="2">
        <v>28.21</v>
      </c>
      <c r="H4114" s="2" t="s">
        <v>28</v>
      </c>
      <c r="I4114" s="2" t="s">
        <v>29</v>
      </c>
    </row>
    <row r="4115" spans="1:9" x14ac:dyDescent="0.35">
      <c r="A4115" s="2" t="s">
        <v>4160</v>
      </c>
      <c r="B4115" s="3">
        <v>45519</v>
      </c>
      <c r="C4115" s="2" t="s">
        <v>25</v>
      </c>
      <c r="D4115" s="2" t="s">
        <v>73</v>
      </c>
      <c r="E4115" s="2" t="s">
        <v>27</v>
      </c>
      <c r="F4115" s="2">
        <v>1390.51</v>
      </c>
      <c r="G4115" s="2">
        <v>396.35</v>
      </c>
      <c r="H4115" s="2" t="s">
        <v>19</v>
      </c>
      <c r="I4115" s="2" t="s">
        <v>29</v>
      </c>
    </row>
    <row r="4116" spans="1:9" x14ac:dyDescent="0.35">
      <c r="A4116" s="2" t="s">
        <v>4161</v>
      </c>
      <c r="B4116" s="3">
        <v>45042</v>
      </c>
      <c r="C4116" s="2" t="s">
        <v>22</v>
      </c>
      <c r="D4116" s="2" t="s">
        <v>57</v>
      </c>
      <c r="E4116" s="2" t="s">
        <v>27</v>
      </c>
      <c r="F4116" s="2">
        <v>700.6</v>
      </c>
      <c r="G4116" s="2">
        <v>59.99</v>
      </c>
      <c r="H4116" s="2" t="s">
        <v>13</v>
      </c>
      <c r="I4116" s="2" t="s">
        <v>14</v>
      </c>
    </row>
    <row r="4117" spans="1:9" x14ac:dyDescent="0.35">
      <c r="A4117" s="2" t="s">
        <v>4162</v>
      </c>
      <c r="B4117" s="3">
        <v>45215</v>
      </c>
      <c r="C4117" s="2" t="s">
        <v>22</v>
      </c>
      <c r="D4117" s="2" t="s">
        <v>17</v>
      </c>
      <c r="E4117" s="2" t="s">
        <v>18</v>
      </c>
      <c r="F4117" s="2">
        <v>826.64</v>
      </c>
      <c r="G4117" s="2">
        <v>162.24</v>
      </c>
      <c r="H4117" s="2" t="s">
        <v>19</v>
      </c>
      <c r="I4117" s="2" t="s">
        <v>14</v>
      </c>
    </row>
    <row r="4118" spans="1:9" x14ac:dyDescent="0.35">
      <c r="A4118" s="2" t="s">
        <v>4163</v>
      </c>
      <c r="B4118" s="3">
        <v>44833</v>
      </c>
      <c r="C4118" s="2" t="s">
        <v>16</v>
      </c>
      <c r="D4118" s="2" t="s">
        <v>50</v>
      </c>
      <c r="E4118" s="2" t="s">
        <v>12</v>
      </c>
      <c r="F4118" s="2">
        <v>1969.18</v>
      </c>
      <c r="G4118" s="2">
        <v>397.69</v>
      </c>
      <c r="H4118" s="2" t="s">
        <v>13</v>
      </c>
      <c r="I4118" s="2" t="s">
        <v>14</v>
      </c>
    </row>
    <row r="4119" spans="1:9" x14ac:dyDescent="0.35">
      <c r="A4119" s="2" t="s">
        <v>4164</v>
      </c>
      <c r="B4119" s="3">
        <v>45183</v>
      </c>
      <c r="C4119" s="2" t="s">
        <v>25</v>
      </c>
      <c r="D4119" s="2" t="s">
        <v>41</v>
      </c>
      <c r="E4119" s="2" t="s">
        <v>12</v>
      </c>
      <c r="F4119" s="2">
        <v>636.09</v>
      </c>
      <c r="G4119" s="2">
        <v>48.32</v>
      </c>
      <c r="H4119" s="2" t="s">
        <v>19</v>
      </c>
      <c r="I4119" s="2" t="s">
        <v>34</v>
      </c>
    </row>
    <row r="4120" spans="1:9" x14ac:dyDescent="0.35">
      <c r="A4120" s="2" t="s">
        <v>4165</v>
      </c>
      <c r="B4120" s="3">
        <v>44815</v>
      </c>
      <c r="C4120" s="2" t="s">
        <v>22</v>
      </c>
      <c r="D4120" s="2" t="s">
        <v>33</v>
      </c>
      <c r="E4120" s="2" t="s">
        <v>18</v>
      </c>
      <c r="F4120" s="2">
        <v>1686.83</v>
      </c>
      <c r="G4120" s="2">
        <v>472.23</v>
      </c>
      <c r="H4120" s="2" t="s">
        <v>19</v>
      </c>
      <c r="I4120" s="2" t="s">
        <v>34</v>
      </c>
    </row>
    <row r="4121" spans="1:9" x14ac:dyDescent="0.35">
      <c r="A4121" s="2" t="s">
        <v>4166</v>
      </c>
      <c r="B4121" s="3">
        <v>45414</v>
      </c>
      <c r="C4121" s="2" t="s">
        <v>16</v>
      </c>
      <c r="D4121" s="2" t="s">
        <v>95</v>
      </c>
      <c r="E4121" s="2" t="s">
        <v>18</v>
      </c>
      <c r="F4121" s="2">
        <v>1795.88</v>
      </c>
      <c r="G4121" s="2">
        <v>245.84</v>
      </c>
      <c r="H4121" s="2" t="s">
        <v>28</v>
      </c>
      <c r="I4121" s="2" t="s">
        <v>34</v>
      </c>
    </row>
    <row r="4122" spans="1:9" x14ac:dyDescent="0.35">
      <c r="A4122" s="2" t="s">
        <v>4167</v>
      </c>
      <c r="B4122" s="3">
        <v>44612</v>
      </c>
      <c r="C4122" s="2" t="s">
        <v>16</v>
      </c>
      <c r="D4122" s="2" t="s">
        <v>31</v>
      </c>
      <c r="E4122" s="2" t="s">
        <v>12</v>
      </c>
      <c r="F4122" s="2">
        <v>126.28</v>
      </c>
      <c r="G4122" s="2">
        <v>7.67</v>
      </c>
      <c r="H4122" s="2" t="s">
        <v>19</v>
      </c>
      <c r="I4122" s="2" t="s">
        <v>29</v>
      </c>
    </row>
    <row r="4123" spans="1:9" x14ac:dyDescent="0.35">
      <c r="A4123" s="2" t="s">
        <v>4168</v>
      </c>
      <c r="B4123" s="3">
        <v>45257</v>
      </c>
      <c r="C4123" s="2" t="s">
        <v>10</v>
      </c>
      <c r="D4123" s="2" t="s">
        <v>95</v>
      </c>
      <c r="E4123" s="2" t="s">
        <v>18</v>
      </c>
      <c r="F4123" s="2">
        <v>1822.65</v>
      </c>
      <c r="G4123" s="2">
        <v>346.22</v>
      </c>
      <c r="H4123" s="2" t="s">
        <v>19</v>
      </c>
      <c r="I4123" s="2" t="s">
        <v>29</v>
      </c>
    </row>
    <row r="4124" spans="1:9" x14ac:dyDescent="0.35">
      <c r="A4124" s="2" t="s">
        <v>4169</v>
      </c>
      <c r="B4124" s="3">
        <v>45118</v>
      </c>
      <c r="C4124" s="2" t="s">
        <v>10</v>
      </c>
      <c r="D4124" s="2" t="s">
        <v>26</v>
      </c>
      <c r="E4124" s="2" t="s">
        <v>27</v>
      </c>
      <c r="F4124" s="2">
        <v>981.65</v>
      </c>
      <c r="G4124" s="2">
        <v>142.11000000000001</v>
      </c>
      <c r="H4124" s="2" t="s">
        <v>19</v>
      </c>
      <c r="I4124" s="2" t="s">
        <v>14</v>
      </c>
    </row>
    <row r="4125" spans="1:9" x14ac:dyDescent="0.35">
      <c r="A4125" s="2" t="s">
        <v>4170</v>
      </c>
      <c r="B4125" s="3">
        <v>45066</v>
      </c>
      <c r="C4125" s="2" t="s">
        <v>25</v>
      </c>
      <c r="D4125" s="2" t="s">
        <v>38</v>
      </c>
      <c r="E4125" s="2" t="s">
        <v>12</v>
      </c>
      <c r="F4125" s="2">
        <v>1046.6500000000001</v>
      </c>
      <c r="G4125" s="2">
        <v>180.48</v>
      </c>
      <c r="H4125" s="2" t="s">
        <v>28</v>
      </c>
      <c r="I4125" s="2" t="s">
        <v>34</v>
      </c>
    </row>
    <row r="4126" spans="1:9" x14ac:dyDescent="0.35">
      <c r="A4126" s="2" t="s">
        <v>4171</v>
      </c>
      <c r="B4126" s="3">
        <v>45648</v>
      </c>
      <c r="C4126" s="2" t="s">
        <v>10</v>
      </c>
      <c r="D4126" s="2" t="s">
        <v>46</v>
      </c>
      <c r="E4126" s="2" t="s">
        <v>18</v>
      </c>
      <c r="F4126" s="2">
        <v>1242.42</v>
      </c>
      <c r="G4126" s="2">
        <v>192.34</v>
      </c>
      <c r="H4126" s="2" t="s">
        <v>28</v>
      </c>
      <c r="I4126" s="2" t="s">
        <v>20</v>
      </c>
    </row>
    <row r="4127" spans="1:9" x14ac:dyDescent="0.35">
      <c r="A4127" s="2" t="s">
        <v>4172</v>
      </c>
      <c r="B4127" s="3">
        <v>44569</v>
      </c>
      <c r="C4127" s="2" t="s">
        <v>22</v>
      </c>
      <c r="D4127" s="2" t="s">
        <v>97</v>
      </c>
      <c r="E4127" s="2" t="s">
        <v>27</v>
      </c>
      <c r="F4127" s="2">
        <v>1329.81</v>
      </c>
      <c r="G4127" s="2">
        <v>234.9</v>
      </c>
      <c r="H4127" s="2" t="s">
        <v>19</v>
      </c>
      <c r="I4127" s="2" t="s">
        <v>14</v>
      </c>
    </row>
    <row r="4128" spans="1:9" x14ac:dyDescent="0.35">
      <c r="A4128" s="2" t="s">
        <v>4173</v>
      </c>
      <c r="B4128" s="3">
        <v>45286</v>
      </c>
      <c r="C4128" s="2" t="s">
        <v>16</v>
      </c>
      <c r="D4128" s="2" t="s">
        <v>62</v>
      </c>
      <c r="E4128" s="2" t="s">
        <v>27</v>
      </c>
      <c r="F4128" s="2">
        <v>1773.9</v>
      </c>
      <c r="G4128" s="2">
        <v>370.9</v>
      </c>
      <c r="H4128" s="2" t="s">
        <v>28</v>
      </c>
      <c r="I4128" s="2" t="s">
        <v>14</v>
      </c>
    </row>
    <row r="4129" spans="1:9" x14ac:dyDescent="0.35">
      <c r="A4129" s="2" t="s">
        <v>4174</v>
      </c>
      <c r="B4129" s="3">
        <v>45424</v>
      </c>
      <c r="C4129" s="2" t="s">
        <v>16</v>
      </c>
      <c r="D4129" s="2" t="s">
        <v>41</v>
      </c>
      <c r="E4129" s="2" t="s">
        <v>12</v>
      </c>
      <c r="F4129" s="2">
        <v>259.05</v>
      </c>
      <c r="G4129" s="2">
        <v>65.64</v>
      </c>
      <c r="H4129" s="2" t="s">
        <v>19</v>
      </c>
      <c r="I4129" s="2" t="s">
        <v>14</v>
      </c>
    </row>
    <row r="4130" spans="1:9" x14ac:dyDescent="0.35">
      <c r="A4130" s="2" t="s">
        <v>4175</v>
      </c>
      <c r="B4130" s="3">
        <v>45049</v>
      </c>
      <c r="C4130" s="2" t="s">
        <v>22</v>
      </c>
      <c r="D4130" s="2" t="s">
        <v>57</v>
      </c>
      <c r="E4130" s="2" t="s">
        <v>27</v>
      </c>
      <c r="F4130" s="2">
        <v>1379.81</v>
      </c>
      <c r="G4130" s="2">
        <v>369.11</v>
      </c>
      <c r="H4130" s="2" t="s">
        <v>19</v>
      </c>
      <c r="I4130" s="2" t="s">
        <v>34</v>
      </c>
    </row>
    <row r="4131" spans="1:9" x14ac:dyDescent="0.35">
      <c r="A4131" s="2" t="s">
        <v>4176</v>
      </c>
      <c r="B4131" s="3">
        <v>45258</v>
      </c>
      <c r="C4131" s="2" t="s">
        <v>10</v>
      </c>
      <c r="D4131" s="2" t="s">
        <v>23</v>
      </c>
      <c r="E4131" s="2" t="s">
        <v>18</v>
      </c>
      <c r="F4131" s="2">
        <v>269.66000000000003</v>
      </c>
      <c r="G4131" s="2">
        <v>28.49</v>
      </c>
      <c r="H4131" s="2" t="s">
        <v>13</v>
      </c>
      <c r="I4131" s="2" t="s">
        <v>14</v>
      </c>
    </row>
    <row r="4132" spans="1:9" x14ac:dyDescent="0.35">
      <c r="A4132" s="2" t="s">
        <v>4177</v>
      </c>
      <c r="B4132" s="3">
        <v>45451</v>
      </c>
      <c r="C4132" s="2" t="s">
        <v>25</v>
      </c>
      <c r="D4132" s="2" t="s">
        <v>38</v>
      </c>
      <c r="E4132" s="2" t="s">
        <v>12</v>
      </c>
      <c r="F4132" s="2">
        <v>1149.24</v>
      </c>
      <c r="G4132" s="2">
        <v>183.62</v>
      </c>
      <c r="H4132" s="2" t="s">
        <v>19</v>
      </c>
      <c r="I4132" s="2" t="s">
        <v>20</v>
      </c>
    </row>
    <row r="4133" spans="1:9" x14ac:dyDescent="0.35">
      <c r="A4133" s="2" t="s">
        <v>4178</v>
      </c>
      <c r="B4133" s="3">
        <v>45450</v>
      </c>
      <c r="C4133" s="2" t="s">
        <v>16</v>
      </c>
      <c r="D4133" s="2" t="s">
        <v>95</v>
      </c>
      <c r="E4133" s="2" t="s">
        <v>18</v>
      </c>
      <c r="F4133" s="2">
        <v>1638.19</v>
      </c>
      <c r="G4133" s="2">
        <v>422.64</v>
      </c>
      <c r="H4133" s="2" t="s">
        <v>28</v>
      </c>
      <c r="I4133" s="2" t="s">
        <v>34</v>
      </c>
    </row>
    <row r="4134" spans="1:9" x14ac:dyDescent="0.35">
      <c r="A4134" s="2" t="s">
        <v>4179</v>
      </c>
      <c r="B4134" s="3">
        <v>45146</v>
      </c>
      <c r="C4134" s="2" t="s">
        <v>25</v>
      </c>
      <c r="D4134" s="2" t="s">
        <v>33</v>
      </c>
      <c r="E4134" s="2" t="s">
        <v>18</v>
      </c>
      <c r="F4134" s="2">
        <v>467.71</v>
      </c>
      <c r="G4134" s="2">
        <v>114.55</v>
      </c>
      <c r="H4134" s="2" t="s">
        <v>28</v>
      </c>
      <c r="I4134" s="2" t="s">
        <v>29</v>
      </c>
    </row>
    <row r="4135" spans="1:9" x14ac:dyDescent="0.35">
      <c r="A4135" s="2" t="s">
        <v>4180</v>
      </c>
      <c r="B4135" s="3">
        <v>44993</v>
      </c>
      <c r="C4135" s="2" t="s">
        <v>22</v>
      </c>
      <c r="D4135" s="2" t="s">
        <v>95</v>
      </c>
      <c r="E4135" s="2" t="s">
        <v>18</v>
      </c>
      <c r="F4135" s="2">
        <v>1285.46</v>
      </c>
      <c r="G4135" s="2">
        <v>187.64</v>
      </c>
      <c r="H4135" s="2" t="s">
        <v>13</v>
      </c>
      <c r="I4135" s="2" t="s">
        <v>14</v>
      </c>
    </row>
    <row r="4136" spans="1:9" x14ac:dyDescent="0.35">
      <c r="A4136" s="2" t="s">
        <v>4181</v>
      </c>
      <c r="B4136" s="3">
        <v>45464</v>
      </c>
      <c r="C4136" s="2" t="s">
        <v>25</v>
      </c>
      <c r="D4136" s="2" t="s">
        <v>46</v>
      </c>
      <c r="E4136" s="2" t="s">
        <v>18</v>
      </c>
      <c r="F4136" s="2">
        <v>1255.4100000000001</v>
      </c>
      <c r="G4136" s="2">
        <v>365.91</v>
      </c>
      <c r="H4136" s="2" t="s">
        <v>28</v>
      </c>
      <c r="I4136" s="2" t="s">
        <v>20</v>
      </c>
    </row>
    <row r="4137" spans="1:9" x14ac:dyDescent="0.35">
      <c r="A4137" s="2" t="s">
        <v>4182</v>
      </c>
      <c r="B4137" s="3">
        <v>45331</v>
      </c>
      <c r="C4137" s="2" t="s">
        <v>25</v>
      </c>
      <c r="D4137" s="2" t="s">
        <v>17</v>
      </c>
      <c r="E4137" s="2" t="s">
        <v>18</v>
      </c>
      <c r="F4137" s="2">
        <v>1346.19</v>
      </c>
      <c r="G4137" s="2">
        <v>177.87</v>
      </c>
      <c r="H4137" s="2" t="s">
        <v>28</v>
      </c>
      <c r="I4137" s="2" t="s">
        <v>14</v>
      </c>
    </row>
    <row r="4138" spans="1:9" x14ac:dyDescent="0.35">
      <c r="A4138" s="2" t="s">
        <v>4183</v>
      </c>
      <c r="B4138" s="3">
        <v>45276</v>
      </c>
      <c r="C4138" s="2" t="s">
        <v>22</v>
      </c>
      <c r="D4138" s="2" t="s">
        <v>41</v>
      </c>
      <c r="E4138" s="2" t="s">
        <v>12</v>
      </c>
      <c r="F4138" s="2">
        <v>1287.94</v>
      </c>
      <c r="G4138" s="2">
        <v>197.96</v>
      </c>
      <c r="H4138" s="2" t="s">
        <v>28</v>
      </c>
      <c r="I4138" s="2" t="s">
        <v>20</v>
      </c>
    </row>
    <row r="4139" spans="1:9" x14ac:dyDescent="0.35">
      <c r="A4139" s="2" t="s">
        <v>4184</v>
      </c>
      <c r="B4139" s="3">
        <v>45250</v>
      </c>
      <c r="C4139" s="2" t="s">
        <v>16</v>
      </c>
      <c r="D4139" s="2" t="s">
        <v>31</v>
      </c>
      <c r="E4139" s="2" t="s">
        <v>12</v>
      </c>
      <c r="F4139" s="2">
        <v>1829.6</v>
      </c>
      <c r="G4139" s="2">
        <v>319.63</v>
      </c>
      <c r="H4139" s="2" t="s">
        <v>13</v>
      </c>
      <c r="I4139" s="2" t="s">
        <v>34</v>
      </c>
    </row>
    <row r="4140" spans="1:9" x14ac:dyDescent="0.35">
      <c r="A4140" s="2" t="s">
        <v>4185</v>
      </c>
      <c r="B4140" s="3">
        <v>44644</v>
      </c>
      <c r="C4140" s="2" t="s">
        <v>22</v>
      </c>
      <c r="D4140" s="2" t="s">
        <v>17</v>
      </c>
      <c r="E4140" s="2" t="s">
        <v>18</v>
      </c>
      <c r="F4140" s="2">
        <v>1790.01</v>
      </c>
      <c r="G4140" s="2">
        <v>503.05</v>
      </c>
      <c r="H4140" s="2" t="s">
        <v>13</v>
      </c>
      <c r="I4140" s="2" t="s">
        <v>29</v>
      </c>
    </row>
    <row r="4141" spans="1:9" x14ac:dyDescent="0.35">
      <c r="A4141" s="2" t="s">
        <v>4186</v>
      </c>
      <c r="B4141" s="3">
        <v>45277</v>
      </c>
      <c r="C4141" s="2" t="s">
        <v>22</v>
      </c>
      <c r="D4141" s="2" t="s">
        <v>73</v>
      </c>
      <c r="E4141" s="2" t="s">
        <v>27</v>
      </c>
      <c r="F4141" s="2">
        <v>1550.09</v>
      </c>
      <c r="G4141" s="2">
        <v>436.39</v>
      </c>
      <c r="H4141" s="2" t="s">
        <v>19</v>
      </c>
      <c r="I4141" s="2" t="s">
        <v>20</v>
      </c>
    </row>
    <row r="4142" spans="1:9" x14ac:dyDescent="0.35">
      <c r="A4142" s="2" t="s">
        <v>4187</v>
      </c>
      <c r="B4142" s="3">
        <v>45575</v>
      </c>
      <c r="C4142" s="2" t="s">
        <v>25</v>
      </c>
      <c r="D4142" s="2" t="s">
        <v>17</v>
      </c>
      <c r="E4142" s="2" t="s">
        <v>18</v>
      </c>
      <c r="F4142" s="2">
        <v>1564.28</v>
      </c>
      <c r="G4142" s="2">
        <v>199.03</v>
      </c>
      <c r="H4142" s="2" t="s">
        <v>28</v>
      </c>
      <c r="I4142" s="2" t="s">
        <v>20</v>
      </c>
    </row>
    <row r="4143" spans="1:9" x14ac:dyDescent="0.35">
      <c r="A4143" s="2" t="s">
        <v>4188</v>
      </c>
      <c r="B4143" s="3">
        <v>45401</v>
      </c>
      <c r="C4143" s="2" t="s">
        <v>10</v>
      </c>
      <c r="D4143" s="2" t="s">
        <v>11</v>
      </c>
      <c r="E4143" s="2" t="s">
        <v>12</v>
      </c>
      <c r="F4143" s="2">
        <v>1446.28</v>
      </c>
      <c r="G4143" s="2">
        <v>375.75</v>
      </c>
      <c r="H4143" s="2" t="s">
        <v>28</v>
      </c>
      <c r="I4143" s="2" t="s">
        <v>29</v>
      </c>
    </row>
    <row r="4144" spans="1:9" x14ac:dyDescent="0.35">
      <c r="A4144" s="2" t="s">
        <v>4189</v>
      </c>
      <c r="B4144" s="3">
        <v>44865</v>
      </c>
      <c r="C4144" s="2" t="s">
        <v>16</v>
      </c>
      <c r="D4144" s="2" t="s">
        <v>73</v>
      </c>
      <c r="E4144" s="2" t="s">
        <v>27</v>
      </c>
      <c r="F4144" s="2">
        <v>122.48</v>
      </c>
      <c r="G4144" s="2">
        <v>20.82</v>
      </c>
      <c r="H4144" s="2" t="s">
        <v>28</v>
      </c>
      <c r="I4144" s="2" t="s">
        <v>20</v>
      </c>
    </row>
    <row r="4145" spans="1:9" x14ac:dyDescent="0.35">
      <c r="A4145" s="2" t="s">
        <v>4190</v>
      </c>
      <c r="B4145" s="3">
        <v>45122</v>
      </c>
      <c r="C4145" s="2" t="s">
        <v>25</v>
      </c>
      <c r="D4145" s="2" t="s">
        <v>23</v>
      </c>
      <c r="E4145" s="2" t="s">
        <v>18</v>
      </c>
      <c r="F4145" s="2">
        <v>311.58</v>
      </c>
      <c r="G4145" s="2">
        <v>86.39</v>
      </c>
      <c r="H4145" s="2" t="s">
        <v>19</v>
      </c>
      <c r="I4145" s="2" t="s">
        <v>29</v>
      </c>
    </row>
    <row r="4146" spans="1:9" x14ac:dyDescent="0.35">
      <c r="A4146" s="2" t="s">
        <v>4191</v>
      </c>
      <c r="B4146" s="3">
        <v>44820</v>
      </c>
      <c r="C4146" s="2" t="s">
        <v>10</v>
      </c>
      <c r="D4146" s="2" t="s">
        <v>17</v>
      </c>
      <c r="E4146" s="2" t="s">
        <v>18</v>
      </c>
      <c r="F4146" s="2">
        <v>1695.62</v>
      </c>
      <c r="G4146" s="2">
        <v>475.53</v>
      </c>
      <c r="H4146" s="2" t="s">
        <v>28</v>
      </c>
      <c r="I4146" s="2" t="s">
        <v>29</v>
      </c>
    </row>
    <row r="4147" spans="1:9" x14ac:dyDescent="0.35">
      <c r="A4147" s="2" t="s">
        <v>4192</v>
      </c>
      <c r="B4147" s="3">
        <v>44694</v>
      </c>
      <c r="C4147" s="2" t="s">
        <v>16</v>
      </c>
      <c r="D4147" s="2" t="s">
        <v>23</v>
      </c>
      <c r="E4147" s="2" t="s">
        <v>18</v>
      </c>
      <c r="F4147" s="2">
        <v>1198.5999999999999</v>
      </c>
      <c r="G4147" s="2">
        <v>242.75</v>
      </c>
      <c r="H4147" s="2" t="s">
        <v>28</v>
      </c>
      <c r="I4147" s="2" t="s">
        <v>29</v>
      </c>
    </row>
    <row r="4148" spans="1:9" x14ac:dyDescent="0.35">
      <c r="A4148" s="2" t="s">
        <v>4193</v>
      </c>
      <c r="B4148" s="3">
        <v>45106</v>
      </c>
      <c r="C4148" s="2" t="s">
        <v>16</v>
      </c>
      <c r="D4148" s="2" t="s">
        <v>97</v>
      </c>
      <c r="E4148" s="2" t="s">
        <v>27</v>
      </c>
      <c r="F4148" s="2">
        <v>1465.73</v>
      </c>
      <c r="G4148" s="2">
        <v>120.92</v>
      </c>
      <c r="H4148" s="2" t="s">
        <v>28</v>
      </c>
      <c r="I4148" s="2" t="s">
        <v>20</v>
      </c>
    </row>
    <row r="4149" spans="1:9" x14ac:dyDescent="0.35">
      <c r="A4149" s="2" t="s">
        <v>4194</v>
      </c>
      <c r="B4149" s="3">
        <v>44582</v>
      </c>
      <c r="C4149" s="2" t="s">
        <v>16</v>
      </c>
      <c r="D4149" s="2" t="s">
        <v>17</v>
      </c>
      <c r="E4149" s="2" t="s">
        <v>18</v>
      </c>
      <c r="F4149" s="2">
        <v>1000.44</v>
      </c>
      <c r="G4149" s="2">
        <v>249.92</v>
      </c>
      <c r="H4149" s="2" t="s">
        <v>13</v>
      </c>
      <c r="I4149" s="2" t="s">
        <v>29</v>
      </c>
    </row>
    <row r="4150" spans="1:9" x14ac:dyDescent="0.35">
      <c r="A4150" s="2" t="s">
        <v>4195</v>
      </c>
      <c r="B4150" s="3">
        <v>45650</v>
      </c>
      <c r="C4150" s="2" t="s">
        <v>16</v>
      </c>
      <c r="D4150" s="2" t="s">
        <v>41</v>
      </c>
      <c r="E4150" s="2" t="s">
        <v>12</v>
      </c>
      <c r="F4150" s="2">
        <v>618.14</v>
      </c>
      <c r="G4150" s="2">
        <v>57.33</v>
      </c>
      <c r="H4150" s="2" t="s">
        <v>13</v>
      </c>
      <c r="I4150" s="2" t="s">
        <v>29</v>
      </c>
    </row>
    <row r="4151" spans="1:9" x14ac:dyDescent="0.35">
      <c r="A4151" s="2" t="s">
        <v>4196</v>
      </c>
      <c r="B4151" s="3">
        <v>45339</v>
      </c>
      <c r="C4151" s="2" t="s">
        <v>10</v>
      </c>
      <c r="D4151" s="2" t="s">
        <v>95</v>
      </c>
      <c r="E4151" s="2" t="s">
        <v>18</v>
      </c>
      <c r="F4151" s="2">
        <v>1168.79</v>
      </c>
      <c r="G4151" s="2">
        <v>66.13</v>
      </c>
      <c r="H4151" s="2" t="s">
        <v>13</v>
      </c>
      <c r="I4151" s="2" t="s">
        <v>20</v>
      </c>
    </row>
    <row r="4152" spans="1:9" x14ac:dyDescent="0.35">
      <c r="A4152" s="2" t="s">
        <v>4197</v>
      </c>
      <c r="B4152" s="3">
        <v>45521</v>
      </c>
      <c r="C4152" s="2" t="s">
        <v>25</v>
      </c>
      <c r="D4152" s="2" t="s">
        <v>95</v>
      </c>
      <c r="E4152" s="2" t="s">
        <v>18</v>
      </c>
      <c r="F4152" s="2">
        <v>1538.39</v>
      </c>
      <c r="G4152" s="2">
        <v>429.77</v>
      </c>
      <c r="H4152" s="2" t="s">
        <v>13</v>
      </c>
      <c r="I4152" s="2" t="s">
        <v>14</v>
      </c>
    </row>
    <row r="4153" spans="1:9" x14ac:dyDescent="0.35">
      <c r="A4153" s="2" t="s">
        <v>4198</v>
      </c>
      <c r="B4153" s="3">
        <v>44884</v>
      </c>
      <c r="C4153" s="2" t="s">
        <v>22</v>
      </c>
      <c r="D4153" s="2" t="s">
        <v>95</v>
      </c>
      <c r="E4153" s="2" t="s">
        <v>18</v>
      </c>
      <c r="F4153" s="2">
        <v>180.35</v>
      </c>
      <c r="G4153" s="2">
        <v>24.54</v>
      </c>
      <c r="H4153" s="2" t="s">
        <v>28</v>
      </c>
      <c r="I4153" s="2" t="s">
        <v>29</v>
      </c>
    </row>
    <row r="4154" spans="1:9" x14ac:dyDescent="0.35">
      <c r="A4154" s="2" t="s">
        <v>4199</v>
      </c>
      <c r="B4154" s="3">
        <v>45024</v>
      </c>
      <c r="C4154" s="2" t="s">
        <v>22</v>
      </c>
      <c r="D4154" s="2" t="s">
        <v>23</v>
      </c>
      <c r="E4154" s="2" t="s">
        <v>18</v>
      </c>
      <c r="F4154" s="2">
        <v>565.28</v>
      </c>
      <c r="G4154" s="2">
        <v>135.87</v>
      </c>
      <c r="H4154" s="2" t="s">
        <v>13</v>
      </c>
      <c r="I4154" s="2" t="s">
        <v>29</v>
      </c>
    </row>
    <row r="4155" spans="1:9" x14ac:dyDescent="0.35">
      <c r="A4155" s="2" t="s">
        <v>4200</v>
      </c>
      <c r="B4155" s="3">
        <v>45463</v>
      </c>
      <c r="C4155" s="2" t="s">
        <v>22</v>
      </c>
      <c r="D4155" s="2" t="s">
        <v>41</v>
      </c>
      <c r="E4155" s="2" t="s">
        <v>12</v>
      </c>
      <c r="F4155" s="2">
        <v>1400.91</v>
      </c>
      <c r="G4155" s="2">
        <v>180.29</v>
      </c>
      <c r="H4155" s="2" t="s">
        <v>19</v>
      </c>
      <c r="I4155" s="2" t="s">
        <v>34</v>
      </c>
    </row>
    <row r="4156" spans="1:9" x14ac:dyDescent="0.35">
      <c r="A4156" s="2" t="s">
        <v>4201</v>
      </c>
      <c r="B4156" s="3">
        <v>45069</v>
      </c>
      <c r="C4156" s="2" t="s">
        <v>10</v>
      </c>
      <c r="D4156" s="2" t="s">
        <v>46</v>
      </c>
      <c r="E4156" s="2" t="s">
        <v>18</v>
      </c>
      <c r="F4156" s="2">
        <v>1232.1099999999999</v>
      </c>
      <c r="G4156" s="2">
        <v>347.29</v>
      </c>
      <c r="H4156" s="2" t="s">
        <v>19</v>
      </c>
      <c r="I4156" s="2" t="s">
        <v>34</v>
      </c>
    </row>
    <row r="4157" spans="1:9" x14ac:dyDescent="0.35">
      <c r="A4157" s="2" t="s">
        <v>4202</v>
      </c>
      <c r="B4157" s="3">
        <v>45402</v>
      </c>
      <c r="C4157" s="2" t="s">
        <v>10</v>
      </c>
      <c r="D4157" s="2" t="s">
        <v>23</v>
      </c>
      <c r="E4157" s="2" t="s">
        <v>18</v>
      </c>
      <c r="F4157" s="2">
        <v>98.45</v>
      </c>
      <c r="G4157" s="2">
        <v>19.88</v>
      </c>
      <c r="H4157" s="2" t="s">
        <v>13</v>
      </c>
      <c r="I4157" s="2" t="s">
        <v>29</v>
      </c>
    </row>
    <row r="4158" spans="1:9" x14ac:dyDescent="0.35">
      <c r="A4158" s="2" t="s">
        <v>4203</v>
      </c>
      <c r="B4158" s="3">
        <v>45079</v>
      </c>
      <c r="C4158" s="2" t="s">
        <v>10</v>
      </c>
      <c r="D4158" s="2" t="s">
        <v>62</v>
      </c>
      <c r="E4158" s="2" t="s">
        <v>27</v>
      </c>
      <c r="F4158" s="2">
        <v>1878.88</v>
      </c>
      <c r="G4158" s="2">
        <v>176.55</v>
      </c>
      <c r="H4158" s="2" t="s">
        <v>28</v>
      </c>
      <c r="I4158" s="2" t="s">
        <v>14</v>
      </c>
    </row>
    <row r="4159" spans="1:9" x14ac:dyDescent="0.35">
      <c r="A4159" s="2" t="s">
        <v>4204</v>
      </c>
      <c r="B4159" s="3">
        <v>44861</v>
      </c>
      <c r="C4159" s="2" t="s">
        <v>25</v>
      </c>
      <c r="D4159" s="2" t="s">
        <v>38</v>
      </c>
      <c r="E4159" s="2" t="s">
        <v>12</v>
      </c>
      <c r="F4159" s="2">
        <v>840.44</v>
      </c>
      <c r="G4159" s="2">
        <v>101.23</v>
      </c>
      <c r="H4159" s="2" t="s">
        <v>28</v>
      </c>
      <c r="I4159" s="2" t="s">
        <v>34</v>
      </c>
    </row>
    <row r="4160" spans="1:9" x14ac:dyDescent="0.35">
      <c r="A4160" s="2" t="s">
        <v>4205</v>
      </c>
      <c r="B4160" s="3">
        <v>44862</v>
      </c>
      <c r="C4160" s="2" t="s">
        <v>22</v>
      </c>
      <c r="D4160" s="2" t="s">
        <v>41</v>
      </c>
      <c r="E4160" s="2" t="s">
        <v>12</v>
      </c>
      <c r="F4160" s="2">
        <v>1445.48</v>
      </c>
      <c r="G4160" s="2">
        <v>399.95</v>
      </c>
      <c r="H4160" s="2" t="s">
        <v>28</v>
      </c>
      <c r="I4160" s="2" t="s">
        <v>34</v>
      </c>
    </row>
    <row r="4161" spans="1:9" x14ac:dyDescent="0.35">
      <c r="A4161" s="2" t="s">
        <v>4206</v>
      </c>
      <c r="B4161" s="3">
        <v>44887</v>
      </c>
      <c r="C4161" s="2" t="s">
        <v>22</v>
      </c>
      <c r="D4161" s="2" t="s">
        <v>50</v>
      </c>
      <c r="E4161" s="2" t="s">
        <v>12</v>
      </c>
      <c r="F4161" s="2">
        <v>844.06</v>
      </c>
      <c r="G4161" s="2">
        <v>175.74</v>
      </c>
      <c r="H4161" s="2" t="s">
        <v>28</v>
      </c>
      <c r="I4161" s="2" t="s">
        <v>20</v>
      </c>
    </row>
    <row r="4162" spans="1:9" x14ac:dyDescent="0.35">
      <c r="A4162" s="2" t="s">
        <v>4207</v>
      </c>
      <c r="B4162" s="3">
        <v>45436</v>
      </c>
      <c r="C4162" s="2" t="s">
        <v>10</v>
      </c>
      <c r="D4162" s="2" t="s">
        <v>31</v>
      </c>
      <c r="E4162" s="2" t="s">
        <v>12</v>
      </c>
      <c r="F4162" s="2">
        <v>1982.42</v>
      </c>
      <c r="G4162" s="2">
        <v>582.67999999999995</v>
      </c>
      <c r="H4162" s="2" t="s">
        <v>13</v>
      </c>
      <c r="I4162" s="2" t="s">
        <v>29</v>
      </c>
    </row>
    <row r="4163" spans="1:9" x14ac:dyDescent="0.35">
      <c r="A4163" s="2" t="s">
        <v>4208</v>
      </c>
      <c r="B4163" s="3">
        <v>45063</v>
      </c>
      <c r="C4163" s="2" t="s">
        <v>25</v>
      </c>
      <c r="D4163" s="2" t="s">
        <v>33</v>
      </c>
      <c r="E4163" s="2" t="s">
        <v>18</v>
      </c>
      <c r="F4163" s="2">
        <v>901.11</v>
      </c>
      <c r="G4163" s="2">
        <v>89.13</v>
      </c>
      <c r="H4163" s="2" t="s">
        <v>28</v>
      </c>
      <c r="I4163" s="2" t="s">
        <v>14</v>
      </c>
    </row>
    <row r="4164" spans="1:9" x14ac:dyDescent="0.35">
      <c r="A4164" s="2" t="s">
        <v>4209</v>
      </c>
      <c r="B4164" s="3">
        <v>45445</v>
      </c>
      <c r="C4164" s="2" t="s">
        <v>10</v>
      </c>
      <c r="D4164" s="2" t="s">
        <v>95</v>
      </c>
      <c r="E4164" s="2" t="s">
        <v>18</v>
      </c>
      <c r="F4164" s="2">
        <v>869.76</v>
      </c>
      <c r="G4164" s="2">
        <v>210.25</v>
      </c>
      <c r="H4164" s="2" t="s">
        <v>13</v>
      </c>
      <c r="I4164" s="2" t="s">
        <v>20</v>
      </c>
    </row>
    <row r="4165" spans="1:9" x14ac:dyDescent="0.35">
      <c r="A4165" s="2" t="s">
        <v>4210</v>
      </c>
      <c r="B4165" s="3">
        <v>45022</v>
      </c>
      <c r="C4165" s="2" t="s">
        <v>10</v>
      </c>
      <c r="D4165" s="2" t="s">
        <v>50</v>
      </c>
      <c r="E4165" s="2" t="s">
        <v>12</v>
      </c>
      <c r="F4165" s="2">
        <v>1659.6</v>
      </c>
      <c r="G4165" s="2">
        <v>159.96</v>
      </c>
      <c r="H4165" s="2" t="s">
        <v>13</v>
      </c>
      <c r="I4165" s="2" t="s">
        <v>20</v>
      </c>
    </row>
    <row r="4166" spans="1:9" x14ac:dyDescent="0.35">
      <c r="A4166" s="2" t="s">
        <v>4211</v>
      </c>
      <c r="B4166" s="3">
        <v>45040</v>
      </c>
      <c r="C4166" s="2" t="s">
        <v>10</v>
      </c>
      <c r="D4166" s="2" t="s">
        <v>33</v>
      </c>
      <c r="E4166" s="2" t="s">
        <v>18</v>
      </c>
      <c r="F4166" s="2">
        <v>359.47</v>
      </c>
      <c r="G4166" s="2">
        <v>23.6</v>
      </c>
      <c r="H4166" s="2" t="s">
        <v>13</v>
      </c>
      <c r="I4166" s="2" t="s">
        <v>14</v>
      </c>
    </row>
    <row r="4167" spans="1:9" x14ac:dyDescent="0.35">
      <c r="A4167" s="2" t="s">
        <v>4212</v>
      </c>
      <c r="B4167" s="3">
        <v>45035</v>
      </c>
      <c r="C4167" s="2" t="s">
        <v>10</v>
      </c>
      <c r="D4167" s="2" t="s">
        <v>26</v>
      </c>
      <c r="E4167" s="2" t="s">
        <v>27</v>
      </c>
      <c r="F4167" s="2">
        <v>1701.27</v>
      </c>
      <c r="G4167" s="2">
        <v>188.21</v>
      </c>
      <c r="H4167" s="2" t="s">
        <v>19</v>
      </c>
      <c r="I4167" s="2" t="s">
        <v>20</v>
      </c>
    </row>
    <row r="4168" spans="1:9" x14ac:dyDescent="0.35">
      <c r="A4168" s="2" t="s">
        <v>4213</v>
      </c>
      <c r="B4168" s="3">
        <v>45289</v>
      </c>
      <c r="C4168" s="2" t="s">
        <v>16</v>
      </c>
      <c r="D4168" s="2" t="s">
        <v>46</v>
      </c>
      <c r="E4168" s="2" t="s">
        <v>18</v>
      </c>
      <c r="F4168" s="2">
        <v>943</v>
      </c>
      <c r="G4168" s="2">
        <v>97.68</v>
      </c>
      <c r="H4168" s="2" t="s">
        <v>13</v>
      </c>
      <c r="I4168" s="2" t="s">
        <v>14</v>
      </c>
    </row>
    <row r="4169" spans="1:9" x14ac:dyDescent="0.35">
      <c r="A4169" s="2" t="s">
        <v>4214</v>
      </c>
      <c r="B4169" s="3">
        <v>44572</v>
      </c>
      <c r="C4169" s="2" t="s">
        <v>25</v>
      </c>
      <c r="D4169" s="2" t="s">
        <v>38</v>
      </c>
      <c r="E4169" s="2" t="s">
        <v>12</v>
      </c>
      <c r="F4169" s="2">
        <v>1103.07</v>
      </c>
      <c r="G4169" s="2">
        <v>155.38</v>
      </c>
      <c r="H4169" s="2" t="s">
        <v>19</v>
      </c>
      <c r="I4169" s="2" t="s">
        <v>14</v>
      </c>
    </row>
    <row r="4170" spans="1:9" x14ac:dyDescent="0.35">
      <c r="A4170" s="2" t="s">
        <v>4215</v>
      </c>
      <c r="B4170" s="3">
        <v>44722</v>
      </c>
      <c r="C4170" s="2" t="s">
        <v>25</v>
      </c>
      <c r="D4170" s="2" t="s">
        <v>41</v>
      </c>
      <c r="E4170" s="2" t="s">
        <v>12</v>
      </c>
      <c r="F4170" s="2">
        <v>1484.79</v>
      </c>
      <c r="G4170" s="2">
        <v>337.97</v>
      </c>
      <c r="H4170" s="2" t="s">
        <v>13</v>
      </c>
      <c r="I4170" s="2" t="s">
        <v>29</v>
      </c>
    </row>
    <row r="4171" spans="1:9" x14ac:dyDescent="0.35">
      <c r="A4171" s="2" t="s">
        <v>4216</v>
      </c>
      <c r="B4171" s="3">
        <v>45425</v>
      </c>
      <c r="C4171" s="2" t="s">
        <v>16</v>
      </c>
      <c r="D4171" s="2" t="s">
        <v>17</v>
      </c>
      <c r="E4171" s="2" t="s">
        <v>18</v>
      </c>
      <c r="F4171" s="2">
        <v>679.74</v>
      </c>
      <c r="G4171" s="2">
        <v>153.59</v>
      </c>
      <c r="H4171" s="2" t="s">
        <v>13</v>
      </c>
      <c r="I4171" s="2" t="s">
        <v>14</v>
      </c>
    </row>
    <row r="4172" spans="1:9" x14ac:dyDescent="0.35">
      <c r="A4172" s="2" t="s">
        <v>4217</v>
      </c>
      <c r="B4172" s="3">
        <v>45293</v>
      </c>
      <c r="C4172" s="2" t="s">
        <v>10</v>
      </c>
      <c r="D4172" s="2" t="s">
        <v>17</v>
      </c>
      <c r="E4172" s="2" t="s">
        <v>18</v>
      </c>
      <c r="F4172" s="2">
        <v>1107.5</v>
      </c>
      <c r="G4172" s="2">
        <v>192.8</v>
      </c>
      <c r="H4172" s="2" t="s">
        <v>13</v>
      </c>
      <c r="I4172" s="2" t="s">
        <v>14</v>
      </c>
    </row>
    <row r="4173" spans="1:9" x14ac:dyDescent="0.35">
      <c r="A4173" s="2" t="s">
        <v>4218</v>
      </c>
      <c r="B4173" s="3">
        <v>45330</v>
      </c>
      <c r="C4173" s="2" t="s">
        <v>25</v>
      </c>
      <c r="D4173" s="2" t="s">
        <v>73</v>
      </c>
      <c r="E4173" s="2" t="s">
        <v>27</v>
      </c>
      <c r="F4173" s="2">
        <v>1103.03</v>
      </c>
      <c r="G4173" s="2">
        <v>290.81</v>
      </c>
      <c r="H4173" s="2" t="s">
        <v>19</v>
      </c>
      <c r="I4173" s="2" t="s">
        <v>14</v>
      </c>
    </row>
    <row r="4174" spans="1:9" x14ac:dyDescent="0.35">
      <c r="A4174" s="2" t="s">
        <v>4219</v>
      </c>
      <c r="B4174" s="3">
        <v>44842</v>
      </c>
      <c r="C4174" s="2" t="s">
        <v>10</v>
      </c>
      <c r="D4174" s="2" t="s">
        <v>26</v>
      </c>
      <c r="E4174" s="2" t="s">
        <v>27</v>
      </c>
      <c r="F4174" s="2">
        <v>1699.63</v>
      </c>
      <c r="G4174" s="2">
        <v>253.89</v>
      </c>
      <c r="H4174" s="2" t="s">
        <v>19</v>
      </c>
      <c r="I4174" s="2" t="s">
        <v>34</v>
      </c>
    </row>
    <row r="4175" spans="1:9" x14ac:dyDescent="0.35">
      <c r="A4175" s="2" t="s">
        <v>4220</v>
      </c>
      <c r="B4175" s="3">
        <v>45306</v>
      </c>
      <c r="C4175" s="2" t="s">
        <v>10</v>
      </c>
      <c r="D4175" s="2" t="s">
        <v>57</v>
      </c>
      <c r="E4175" s="2" t="s">
        <v>27</v>
      </c>
      <c r="F4175" s="2">
        <v>1848.52</v>
      </c>
      <c r="G4175" s="2">
        <v>442.79</v>
      </c>
      <c r="H4175" s="2" t="s">
        <v>28</v>
      </c>
      <c r="I4175" s="2" t="s">
        <v>14</v>
      </c>
    </row>
    <row r="4176" spans="1:9" x14ac:dyDescent="0.35">
      <c r="A4176" s="2" t="s">
        <v>4221</v>
      </c>
      <c r="B4176" s="3">
        <v>45290</v>
      </c>
      <c r="C4176" s="2" t="s">
        <v>22</v>
      </c>
      <c r="D4176" s="2" t="s">
        <v>38</v>
      </c>
      <c r="E4176" s="2" t="s">
        <v>12</v>
      </c>
      <c r="F4176" s="2">
        <v>481.69</v>
      </c>
      <c r="G4176" s="2">
        <v>47.07</v>
      </c>
      <c r="H4176" s="2" t="s">
        <v>28</v>
      </c>
      <c r="I4176" s="2" t="s">
        <v>29</v>
      </c>
    </row>
    <row r="4177" spans="1:9" x14ac:dyDescent="0.35">
      <c r="A4177" s="2" t="s">
        <v>4222</v>
      </c>
      <c r="B4177" s="3">
        <v>45649</v>
      </c>
      <c r="C4177" s="2" t="s">
        <v>25</v>
      </c>
      <c r="D4177" s="2" t="s">
        <v>46</v>
      </c>
      <c r="E4177" s="2" t="s">
        <v>18</v>
      </c>
      <c r="F4177" s="2">
        <v>308.7</v>
      </c>
      <c r="G4177" s="2">
        <v>42.5</v>
      </c>
      <c r="H4177" s="2" t="s">
        <v>13</v>
      </c>
      <c r="I4177" s="2" t="s">
        <v>29</v>
      </c>
    </row>
    <row r="4178" spans="1:9" x14ac:dyDescent="0.35">
      <c r="A4178" s="2" t="s">
        <v>4223</v>
      </c>
      <c r="B4178" s="3">
        <v>45255</v>
      </c>
      <c r="C4178" s="2" t="s">
        <v>22</v>
      </c>
      <c r="D4178" s="2" t="s">
        <v>33</v>
      </c>
      <c r="E4178" s="2" t="s">
        <v>18</v>
      </c>
      <c r="F4178" s="2">
        <v>1982.6</v>
      </c>
      <c r="G4178" s="2">
        <v>328.07</v>
      </c>
      <c r="H4178" s="2" t="s">
        <v>13</v>
      </c>
      <c r="I4178" s="2" t="s">
        <v>34</v>
      </c>
    </row>
    <row r="4179" spans="1:9" x14ac:dyDescent="0.35">
      <c r="A4179" s="2" t="s">
        <v>4224</v>
      </c>
      <c r="B4179" s="3">
        <v>45040</v>
      </c>
      <c r="C4179" s="2" t="s">
        <v>16</v>
      </c>
      <c r="D4179" s="2" t="s">
        <v>57</v>
      </c>
      <c r="E4179" s="2" t="s">
        <v>27</v>
      </c>
      <c r="F4179" s="2">
        <v>1598.12</v>
      </c>
      <c r="G4179" s="2">
        <v>403.59</v>
      </c>
      <c r="H4179" s="2" t="s">
        <v>28</v>
      </c>
      <c r="I4179" s="2" t="s">
        <v>14</v>
      </c>
    </row>
    <row r="4180" spans="1:9" x14ac:dyDescent="0.35">
      <c r="A4180" s="2" t="s">
        <v>4225</v>
      </c>
      <c r="B4180" s="3">
        <v>44758</v>
      </c>
      <c r="C4180" s="2" t="s">
        <v>22</v>
      </c>
      <c r="D4180" s="2" t="s">
        <v>57</v>
      </c>
      <c r="E4180" s="2" t="s">
        <v>27</v>
      </c>
      <c r="F4180" s="2">
        <v>1509.91</v>
      </c>
      <c r="G4180" s="2">
        <v>387.29</v>
      </c>
      <c r="H4180" s="2" t="s">
        <v>19</v>
      </c>
      <c r="I4180" s="2" t="s">
        <v>29</v>
      </c>
    </row>
    <row r="4181" spans="1:9" x14ac:dyDescent="0.35">
      <c r="A4181" s="2" t="s">
        <v>4226</v>
      </c>
      <c r="B4181" s="3">
        <v>44633</v>
      </c>
      <c r="C4181" s="2" t="s">
        <v>22</v>
      </c>
      <c r="D4181" s="2" t="s">
        <v>50</v>
      </c>
      <c r="E4181" s="2" t="s">
        <v>12</v>
      </c>
      <c r="F4181" s="2">
        <v>135.63</v>
      </c>
      <c r="G4181" s="2">
        <v>13.44</v>
      </c>
      <c r="H4181" s="2" t="s">
        <v>28</v>
      </c>
      <c r="I4181" s="2" t="s">
        <v>34</v>
      </c>
    </row>
    <row r="4182" spans="1:9" x14ac:dyDescent="0.35">
      <c r="A4182" s="2" t="s">
        <v>4227</v>
      </c>
      <c r="B4182" s="3">
        <v>45189</v>
      </c>
      <c r="C4182" s="2" t="s">
        <v>10</v>
      </c>
      <c r="D4182" s="2" t="s">
        <v>26</v>
      </c>
      <c r="E4182" s="2" t="s">
        <v>27</v>
      </c>
      <c r="F4182" s="2">
        <v>1432.32</v>
      </c>
      <c r="G4182" s="2">
        <v>129.83000000000001</v>
      </c>
      <c r="H4182" s="2" t="s">
        <v>19</v>
      </c>
      <c r="I4182" s="2" t="s">
        <v>20</v>
      </c>
    </row>
    <row r="4183" spans="1:9" x14ac:dyDescent="0.35">
      <c r="A4183" s="2" t="s">
        <v>4228</v>
      </c>
      <c r="B4183" s="3">
        <v>45447</v>
      </c>
      <c r="C4183" s="2" t="s">
        <v>16</v>
      </c>
      <c r="D4183" s="2" t="s">
        <v>38</v>
      </c>
      <c r="E4183" s="2" t="s">
        <v>12</v>
      </c>
      <c r="F4183" s="2">
        <v>1450.06</v>
      </c>
      <c r="G4183" s="2">
        <v>170.39</v>
      </c>
      <c r="H4183" s="2" t="s">
        <v>19</v>
      </c>
      <c r="I4183" s="2" t="s">
        <v>34</v>
      </c>
    </row>
    <row r="4184" spans="1:9" x14ac:dyDescent="0.35">
      <c r="A4184" s="2" t="s">
        <v>4229</v>
      </c>
      <c r="B4184" s="3">
        <v>44624</v>
      </c>
      <c r="C4184" s="2" t="s">
        <v>16</v>
      </c>
      <c r="D4184" s="2" t="s">
        <v>38</v>
      </c>
      <c r="E4184" s="2" t="s">
        <v>12</v>
      </c>
      <c r="F4184" s="2">
        <v>1167.26</v>
      </c>
      <c r="G4184" s="2">
        <v>301.89999999999998</v>
      </c>
      <c r="H4184" s="2" t="s">
        <v>19</v>
      </c>
      <c r="I4184" s="2" t="s">
        <v>14</v>
      </c>
    </row>
    <row r="4185" spans="1:9" x14ac:dyDescent="0.35">
      <c r="A4185" s="2" t="s">
        <v>4230</v>
      </c>
      <c r="B4185" s="3">
        <v>45411</v>
      </c>
      <c r="C4185" s="2" t="s">
        <v>25</v>
      </c>
      <c r="D4185" s="2" t="s">
        <v>11</v>
      </c>
      <c r="E4185" s="2" t="s">
        <v>12</v>
      </c>
      <c r="F4185" s="2">
        <v>1996.34</v>
      </c>
      <c r="G4185" s="2">
        <v>229.78</v>
      </c>
      <c r="H4185" s="2" t="s">
        <v>19</v>
      </c>
      <c r="I4185" s="2" t="s">
        <v>34</v>
      </c>
    </row>
    <row r="4186" spans="1:9" x14ac:dyDescent="0.35">
      <c r="A4186" s="2" t="s">
        <v>4231</v>
      </c>
      <c r="B4186" s="3">
        <v>44600</v>
      </c>
      <c r="C4186" s="2" t="s">
        <v>10</v>
      </c>
      <c r="D4186" s="2" t="s">
        <v>73</v>
      </c>
      <c r="E4186" s="2" t="s">
        <v>27</v>
      </c>
      <c r="F4186" s="2">
        <v>1229.54</v>
      </c>
      <c r="G4186" s="2">
        <v>339.91</v>
      </c>
      <c r="H4186" s="2" t="s">
        <v>28</v>
      </c>
      <c r="I4186" s="2" t="s">
        <v>20</v>
      </c>
    </row>
    <row r="4187" spans="1:9" x14ac:dyDescent="0.35">
      <c r="A4187" s="2" t="s">
        <v>4232</v>
      </c>
      <c r="B4187" s="3">
        <v>44692</v>
      </c>
      <c r="C4187" s="2" t="s">
        <v>16</v>
      </c>
      <c r="D4187" s="2" t="s">
        <v>11</v>
      </c>
      <c r="E4187" s="2" t="s">
        <v>12</v>
      </c>
      <c r="F4187" s="2">
        <v>919.2</v>
      </c>
      <c r="G4187" s="2">
        <v>235.52</v>
      </c>
      <c r="H4187" s="2" t="s">
        <v>13</v>
      </c>
      <c r="I4187" s="2" t="s">
        <v>20</v>
      </c>
    </row>
    <row r="4188" spans="1:9" x14ac:dyDescent="0.35">
      <c r="A4188" s="2" t="s">
        <v>4233</v>
      </c>
      <c r="B4188" s="3">
        <v>45372</v>
      </c>
      <c r="C4188" s="2" t="s">
        <v>22</v>
      </c>
      <c r="D4188" s="2" t="s">
        <v>26</v>
      </c>
      <c r="E4188" s="2" t="s">
        <v>27</v>
      </c>
      <c r="F4188" s="2">
        <v>1794.13</v>
      </c>
      <c r="G4188" s="2">
        <v>290.77</v>
      </c>
      <c r="H4188" s="2" t="s">
        <v>28</v>
      </c>
      <c r="I4188" s="2" t="s">
        <v>29</v>
      </c>
    </row>
    <row r="4189" spans="1:9" x14ac:dyDescent="0.35">
      <c r="A4189" s="2" t="s">
        <v>4234</v>
      </c>
      <c r="B4189" s="3">
        <v>44939</v>
      </c>
      <c r="C4189" s="2" t="s">
        <v>25</v>
      </c>
      <c r="D4189" s="2" t="s">
        <v>17</v>
      </c>
      <c r="E4189" s="2" t="s">
        <v>18</v>
      </c>
      <c r="F4189" s="2">
        <v>1386.01</v>
      </c>
      <c r="G4189" s="2">
        <v>124.72</v>
      </c>
      <c r="H4189" s="2" t="s">
        <v>28</v>
      </c>
      <c r="I4189" s="2" t="s">
        <v>14</v>
      </c>
    </row>
    <row r="4190" spans="1:9" x14ac:dyDescent="0.35">
      <c r="A4190" s="2" t="s">
        <v>4235</v>
      </c>
      <c r="B4190" s="3">
        <v>44988</v>
      </c>
      <c r="C4190" s="2" t="s">
        <v>10</v>
      </c>
      <c r="D4190" s="2" t="s">
        <v>33</v>
      </c>
      <c r="E4190" s="2" t="s">
        <v>18</v>
      </c>
      <c r="F4190" s="2">
        <v>1619.7</v>
      </c>
      <c r="G4190" s="2">
        <v>201.1</v>
      </c>
      <c r="H4190" s="2" t="s">
        <v>13</v>
      </c>
      <c r="I4190" s="2" t="s">
        <v>14</v>
      </c>
    </row>
    <row r="4191" spans="1:9" x14ac:dyDescent="0.35">
      <c r="A4191" s="2" t="s">
        <v>4236</v>
      </c>
      <c r="B4191" s="3">
        <v>45264</v>
      </c>
      <c r="C4191" s="2" t="s">
        <v>22</v>
      </c>
      <c r="D4191" s="2" t="s">
        <v>46</v>
      </c>
      <c r="E4191" s="2" t="s">
        <v>18</v>
      </c>
      <c r="F4191" s="2">
        <v>1831.12</v>
      </c>
      <c r="G4191" s="2">
        <v>125.24</v>
      </c>
      <c r="H4191" s="2" t="s">
        <v>13</v>
      </c>
      <c r="I4191" s="2" t="s">
        <v>20</v>
      </c>
    </row>
    <row r="4192" spans="1:9" x14ac:dyDescent="0.35">
      <c r="A4192" s="2" t="s">
        <v>4237</v>
      </c>
      <c r="B4192" s="3">
        <v>44687</v>
      </c>
      <c r="C4192" s="2" t="s">
        <v>10</v>
      </c>
      <c r="D4192" s="2" t="s">
        <v>73</v>
      </c>
      <c r="E4192" s="2" t="s">
        <v>27</v>
      </c>
      <c r="F4192" s="2">
        <v>267.54000000000002</v>
      </c>
      <c r="G4192" s="2">
        <v>27.17</v>
      </c>
      <c r="H4192" s="2" t="s">
        <v>13</v>
      </c>
      <c r="I4192" s="2" t="s">
        <v>34</v>
      </c>
    </row>
    <row r="4193" spans="1:9" x14ac:dyDescent="0.35">
      <c r="A4193" s="2" t="s">
        <v>4238</v>
      </c>
      <c r="B4193" s="3">
        <v>45576</v>
      </c>
      <c r="C4193" s="2" t="s">
        <v>25</v>
      </c>
      <c r="D4193" s="2" t="s">
        <v>41</v>
      </c>
      <c r="E4193" s="2" t="s">
        <v>12</v>
      </c>
      <c r="F4193" s="2">
        <v>1436.86</v>
      </c>
      <c r="G4193" s="2">
        <v>82.24</v>
      </c>
      <c r="H4193" s="2" t="s">
        <v>28</v>
      </c>
      <c r="I4193" s="2" t="s">
        <v>34</v>
      </c>
    </row>
    <row r="4194" spans="1:9" x14ac:dyDescent="0.35">
      <c r="A4194" s="2" t="s">
        <v>4239</v>
      </c>
      <c r="B4194" s="3">
        <v>44826</v>
      </c>
      <c r="C4194" s="2" t="s">
        <v>10</v>
      </c>
      <c r="D4194" s="2" t="s">
        <v>11</v>
      </c>
      <c r="E4194" s="2" t="s">
        <v>12</v>
      </c>
      <c r="F4194" s="2">
        <v>1907.09</v>
      </c>
      <c r="G4194" s="2">
        <v>241.05</v>
      </c>
      <c r="H4194" s="2" t="s">
        <v>13</v>
      </c>
      <c r="I4194" s="2" t="s">
        <v>14</v>
      </c>
    </row>
    <row r="4195" spans="1:9" x14ac:dyDescent="0.35">
      <c r="A4195" s="2" t="s">
        <v>4240</v>
      </c>
      <c r="B4195" s="3">
        <v>44765</v>
      </c>
      <c r="C4195" s="2" t="s">
        <v>16</v>
      </c>
      <c r="D4195" s="2" t="s">
        <v>31</v>
      </c>
      <c r="E4195" s="2" t="s">
        <v>12</v>
      </c>
      <c r="F4195" s="2">
        <v>1741.25</v>
      </c>
      <c r="G4195" s="2">
        <v>243.14</v>
      </c>
      <c r="H4195" s="2" t="s">
        <v>13</v>
      </c>
      <c r="I4195" s="2" t="s">
        <v>29</v>
      </c>
    </row>
    <row r="4196" spans="1:9" x14ac:dyDescent="0.35">
      <c r="A4196" s="2" t="s">
        <v>4241</v>
      </c>
      <c r="B4196" s="3">
        <v>44589</v>
      </c>
      <c r="C4196" s="2" t="s">
        <v>16</v>
      </c>
      <c r="D4196" s="2" t="s">
        <v>11</v>
      </c>
      <c r="E4196" s="2" t="s">
        <v>12</v>
      </c>
      <c r="F4196" s="2">
        <v>1277.8699999999999</v>
      </c>
      <c r="G4196" s="2">
        <v>284.32</v>
      </c>
      <c r="H4196" s="2" t="s">
        <v>13</v>
      </c>
      <c r="I4196" s="2" t="s">
        <v>29</v>
      </c>
    </row>
    <row r="4197" spans="1:9" x14ac:dyDescent="0.35">
      <c r="A4197" s="2" t="s">
        <v>4242</v>
      </c>
      <c r="B4197" s="3">
        <v>44809</v>
      </c>
      <c r="C4197" s="2" t="s">
        <v>16</v>
      </c>
      <c r="D4197" s="2" t="s">
        <v>38</v>
      </c>
      <c r="E4197" s="2" t="s">
        <v>12</v>
      </c>
      <c r="F4197" s="2">
        <v>656.37</v>
      </c>
      <c r="G4197" s="2">
        <v>75.930000000000007</v>
      </c>
      <c r="H4197" s="2" t="s">
        <v>13</v>
      </c>
      <c r="I4197" s="2" t="s">
        <v>34</v>
      </c>
    </row>
    <row r="4198" spans="1:9" x14ac:dyDescent="0.35">
      <c r="A4198" s="2" t="s">
        <v>4243</v>
      </c>
      <c r="B4198" s="3">
        <v>45168</v>
      </c>
      <c r="C4198" s="2" t="s">
        <v>10</v>
      </c>
      <c r="D4198" s="2" t="s">
        <v>11</v>
      </c>
      <c r="E4198" s="2" t="s">
        <v>12</v>
      </c>
      <c r="F4198" s="2">
        <v>936.53</v>
      </c>
      <c r="G4198" s="2">
        <v>188.38</v>
      </c>
      <c r="H4198" s="2" t="s">
        <v>13</v>
      </c>
      <c r="I4198" s="2" t="s">
        <v>14</v>
      </c>
    </row>
    <row r="4199" spans="1:9" x14ac:dyDescent="0.35">
      <c r="A4199" s="2" t="s">
        <v>4244</v>
      </c>
      <c r="B4199" s="3">
        <v>45263</v>
      </c>
      <c r="C4199" s="2" t="s">
        <v>22</v>
      </c>
      <c r="D4199" s="2" t="s">
        <v>73</v>
      </c>
      <c r="E4199" s="2" t="s">
        <v>27</v>
      </c>
      <c r="F4199" s="2">
        <v>841.63</v>
      </c>
      <c r="G4199" s="2">
        <v>196.41</v>
      </c>
      <c r="H4199" s="2" t="s">
        <v>13</v>
      </c>
      <c r="I4199" s="2" t="s">
        <v>14</v>
      </c>
    </row>
    <row r="4200" spans="1:9" x14ac:dyDescent="0.35">
      <c r="A4200" s="2" t="s">
        <v>4245</v>
      </c>
      <c r="B4200" s="3">
        <v>45045</v>
      </c>
      <c r="C4200" s="2" t="s">
        <v>10</v>
      </c>
      <c r="D4200" s="2" t="s">
        <v>11</v>
      </c>
      <c r="E4200" s="2" t="s">
        <v>12</v>
      </c>
      <c r="F4200" s="2">
        <v>133.63999999999999</v>
      </c>
      <c r="G4200" s="2">
        <v>34.619999999999997</v>
      </c>
      <c r="H4200" s="2" t="s">
        <v>19</v>
      </c>
      <c r="I4200" s="2" t="s">
        <v>29</v>
      </c>
    </row>
    <row r="4201" spans="1:9" x14ac:dyDescent="0.35">
      <c r="A4201" s="2" t="s">
        <v>4246</v>
      </c>
      <c r="B4201" s="3">
        <v>44705</v>
      </c>
      <c r="C4201" s="2" t="s">
        <v>25</v>
      </c>
      <c r="D4201" s="2" t="s">
        <v>46</v>
      </c>
      <c r="E4201" s="2" t="s">
        <v>18</v>
      </c>
      <c r="F4201" s="2">
        <v>657.27</v>
      </c>
      <c r="G4201" s="2">
        <v>71.23</v>
      </c>
      <c r="H4201" s="2" t="s">
        <v>13</v>
      </c>
      <c r="I4201" s="2" t="s">
        <v>14</v>
      </c>
    </row>
    <row r="4202" spans="1:9" x14ac:dyDescent="0.35">
      <c r="A4202" s="2" t="s">
        <v>4247</v>
      </c>
      <c r="B4202" s="3">
        <v>45183</v>
      </c>
      <c r="C4202" s="2" t="s">
        <v>22</v>
      </c>
      <c r="D4202" s="2" t="s">
        <v>23</v>
      </c>
      <c r="E4202" s="2" t="s">
        <v>18</v>
      </c>
      <c r="F4202" s="2">
        <v>384.91</v>
      </c>
      <c r="G4202" s="2">
        <v>72.55</v>
      </c>
      <c r="H4202" s="2" t="s">
        <v>19</v>
      </c>
      <c r="I4202" s="2" t="s">
        <v>20</v>
      </c>
    </row>
    <row r="4203" spans="1:9" x14ac:dyDescent="0.35">
      <c r="A4203" s="2" t="s">
        <v>4248</v>
      </c>
      <c r="B4203" s="3">
        <v>45524</v>
      </c>
      <c r="C4203" s="2" t="s">
        <v>16</v>
      </c>
      <c r="D4203" s="2" t="s">
        <v>31</v>
      </c>
      <c r="E4203" s="2" t="s">
        <v>12</v>
      </c>
      <c r="F4203" s="2">
        <v>254.38</v>
      </c>
      <c r="G4203" s="2">
        <v>22.91</v>
      </c>
      <c r="H4203" s="2" t="s">
        <v>28</v>
      </c>
      <c r="I4203" s="2" t="s">
        <v>34</v>
      </c>
    </row>
    <row r="4204" spans="1:9" x14ac:dyDescent="0.35">
      <c r="A4204" s="2" t="s">
        <v>4249</v>
      </c>
      <c r="B4204" s="3">
        <v>45211</v>
      </c>
      <c r="C4204" s="2" t="s">
        <v>10</v>
      </c>
      <c r="D4204" s="2" t="s">
        <v>95</v>
      </c>
      <c r="E4204" s="2" t="s">
        <v>18</v>
      </c>
      <c r="F4204" s="2">
        <v>947.22</v>
      </c>
      <c r="G4204" s="2">
        <v>115.02</v>
      </c>
      <c r="H4204" s="2" t="s">
        <v>13</v>
      </c>
      <c r="I4204" s="2" t="s">
        <v>34</v>
      </c>
    </row>
    <row r="4205" spans="1:9" x14ac:dyDescent="0.35">
      <c r="A4205" s="2" t="s">
        <v>4250</v>
      </c>
      <c r="B4205" s="3">
        <v>44656</v>
      </c>
      <c r="C4205" s="2" t="s">
        <v>25</v>
      </c>
      <c r="D4205" s="2" t="s">
        <v>33</v>
      </c>
      <c r="E4205" s="2" t="s">
        <v>18</v>
      </c>
      <c r="F4205" s="2">
        <v>920.18</v>
      </c>
      <c r="G4205" s="2">
        <v>247.45</v>
      </c>
      <c r="H4205" s="2" t="s">
        <v>13</v>
      </c>
      <c r="I4205" s="2" t="s">
        <v>34</v>
      </c>
    </row>
    <row r="4206" spans="1:9" x14ac:dyDescent="0.35">
      <c r="A4206" s="2" t="s">
        <v>4251</v>
      </c>
      <c r="B4206" s="3">
        <v>45583</v>
      </c>
      <c r="C4206" s="2" t="s">
        <v>16</v>
      </c>
      <c r="D4206" s="2" t="s">
        <v>73</v>
      </c>
      <c r="E4206" s="2" t="s">
        <v>27</v>
      </c>
      <c r="F4206" s="2">
        <v>968.78</v>
      </c>
      <c r="G4206" s="2">
        <v>158.19</v>
      </c>
      <c r="H4206" s="2" t="s">
        <v>28</v>
      </c>
      <c r="I4206" s="2" t="s">
        <v>14</v>
      </c>
    </row>
    <row r="4207" spans="1:9" x14ac:dyDescent="0.35">
      <c r="A4207" s="2" t="s">
        <v>4252</v>
      </c>
      <c r="B4207" s="3">
        <v>44668</v>
      </c>
      <c r="C4207" s="2" t="s">
        <v>22</v>
      </c>
      <c r="D4207" s="2" t="s">
        <v>17</v>
      </c>
      <c r="E4207" s="2" t="s">
        <v>18</v>
      </c>
      <c r="F4207" s="2">
        <v>366.19</v>
      </c>
      <c r="G4207" s="2">
        <v>99.94</v>
      </c>
      <c r="H4207" s="2" t="s">
        <v>19</v>
      </c>
      <c r="I4207" s="2" t="s">
        <v>20</v>
      </c>
    </row>
    <row r="4208" spans="1:9" x14ac:dyDescent="0.35">
      <c r="A4208" s="2" t="s">
        <v>4253</v>
      </c>
      <c r="B4208" s="3">
        <v>44812</v>
      </c>
      <c r="C4208" s="2" t="s">
        <v>22</v>
      </c>
      <c r="D4208" s="2" t="s">
        <v>50</v>
      </c>
      <c r="E4208" s="2" t="s">
        <v>12</v>
      </c>
      <c r="F4208" s="2">
        <v>1415.03</v>
      </c>
      <c r="G4208" s="2">
        <v>295.69</v>
      </c>
      <c r="H4208" s="2" t="s">
        <v>19</v>
      </c>
      <c r="I4208" s="2" t="s">
        <v>34</v>
      </c>
    </row>
    <row r="4209" spans="1:9" x14ac:dyDescent="0.35">
      <c r="A4209" s="2" t="s">
        <v>4254</v>
      </c>
      <c r="B4209" s="3">
        <v>45604</v>
      </c>
      <c r="C4209" s="2" t="s">
        <v>16</v>
      </c>
      <c r="D4209" s="2" t="s">
        <v>73</v>
      </c>
      <c r="E4209" s="2" t="s">
        <v>27</v>
      </c>
      <c r="F4209" s="2">
        <v>894.65</v>
      </c>
      <c r="G4209" s="2">
        <v>245.58</v>
      </c>
      <c r="H4209" s="2" t="s">
        <v>19</v>
      </c>
      <c r="I4209" s="2" t="s">
        <v>34</v>
      </c>
    </row>
    <row r="4210" spans="1:9" x14ac:dyDescent="0.35">
      <c r="A4210" s="2" t="s">
        <v>4255</v>
      </c>
      <c r="B4210" s="3">
        <v>45299</v>
      </c>
      <c r="C4210" s="2" t="s">
        <v>10</v>
      </c>
      <c r="D4210" s="2" t="s">
        <v>46</v>
      </c>
      <c r="E4210" s="2" t="s">
        <v>18</v>
      </c>
      <c r="F4210" s="2">
        <v>1659.2</v>
      </c>
      <c r="G4210" s="2">
        <v>186.41</v>
      </c>
      <c r="H4210" s="2" t="s">
        <v>28</v>
      </c>
      <c r="I4210" s="2" t="s">
        <v>20</v>
      </c>
    </row>
    <row r="4211" spans="1:9" x14ac:dyDescent="0.35">
      <c r="A4211" s="2" t="s">
        <v>4256</v>
      </c>
      <c r="B4211" s="3">
        <v>45313</v>
      </c>
      <c r="C4211" s="2" t="s">
        <v>25</v>
      </c>
      <c r="D4211" s="2" t="s">
        <v>26</v>
      </c>
      <c r="E4211" s="2" t="s">
        <v>27</v>
      </c>
      <c r="F4211" s="2">
        <v>592.1</v>
      </c>
      <c r="G4211" s="2">
        <v>47.16</v>
      </c>
      <c r="H4211" s="2" t="s">
        <v>19</v>
      </c>
      <c r="I4211" s="2" t="s">
        <v>14</v>
      </c>
    </row>
    <row r="4212" spans="1:9" x14ac:dyDescent="0.35">
      <c r="A4212" s="2" t="s">
        <v>4257</v>
      </c>
      <c r="B4212" s="3">
        <v>44853</v>
      </c>
      <c r="C4212" s="2" t="s">
        <v>25</v>
      </c>
      <c r="D4212" s="2" t="s">
        <v>17</v>
      </c>
      <c r="E4212" s="2" t="s">
        <v>18</v>
      </c>
      <c r="F4212" s="2">
        <v>1266.1600000000001</v>
      </c>
      <c r="G4212" s="2">
        <v>102.32</v>
      </c>
      <c r="H4212" s="2" t="s">
        <v>19</v>
      </c>
      <c r="I4212" s="2" t="s">
        <v>14</v>
      </c>
    </row>
    <row r="4213" spans="1:9" x14ac:dyDescent="0.35">
      <c r="A4213" s="2" t="s">
        <v>4258</v>
      </c>
      <c r="B4213" s="3">
        <v>44632</v>
      </c>
      <c r="C4213" s="2" t="s">
        <v>22</v>
      </c>
      <c r="D4213" s="2" t="s">
        <v>41</v>
      </c>
      <c r="E4213" s="2" t="s">
        <v>12</v>
      </c>
      <c r="F4213" s="2">
        <v>859.15</v>
      </c>
      <c r="G4213" s="2">
        <v>189.94</v>
      </c>
      <c r="H4213" s="2" t="s">
        <v>28</v>
      </c>
      <c r="I4213" s="2" t="s">
        <v>14</v>
      </c>
    </row>
    <row r="4214" spans="1:9" x14ac:dyDescent="0.35">
      <c r="A4214" s="2" t="s">
        <v>4259</v>
      </c>
      <c r="B4214" s="3">
        <v>44998</v>
      </c>
      <c r="C4214" s="2" t="s">
        <v>25</v>
      </c>
      <c r="D4214" s="2" t="s">
        <v>62</v>
      </c>
      <c r="E4214" s="2" t="s">
        <v>27</v>
      </c>
      <c r="F4214" s="2">
        <v>1532.57</v>
      </c>
      <c r="G4214" s="2">
        <v>138.22999999999999</v>
      </c>
      <c r="H4214" s="2" t="s">
        <v>28</v>
      </c>
      <c r="I4214" s="2" t="s">
        <v>29</v>
      </c>
    </row>
    <row r="4215" spans="1:9" x14ac:dyDescent="0.35">
      <c r="A4215" s="2" t="s">
        <v>4260</v>
      </c>
      <c r="B4215" s="3">
        <v>44969</v>
      </c>
      <c r="C4215" s="2" t="s">
        <v>25</v>
      </c>
      <c r="D4215" s="2" t="s">
        <v>57</v>
      </c>
      <c r="E4215" s="2" t="s">
        <v>27</v>
      </c>
      <c r="F4215" s="2">
        <v>1583.66</v>
      </c>
      <c r="G4215" s="2">
        <v>332.96</v>
      </c>
      <c r="H4215" s="2" t="s">
        <v>28</v>
      </c>
      <c r="I4215" s="2" t="s">
        <v>20</v>
      </c>
    </row>
    <row r="4216" spans="1:9" x14ac:dyDescent="0.35">
      <c r="A4216" s="2" t="s">
        <v>4261</v>
      </c>
      <c r="B4216" s="3">
        <v>45286</v>
      </c>
      <c r="C4216" s="2" t="s">
        <v>25</v>
      </c>
      <c r="D4216" s="2" t="s">
        <v>97</v>
      </c>
      <c r="E4216" s="2" t="s">
        <v>27</v>
      </c>
      <c r="F4216" s="2">
        <v>605.17999999999995</v>
      </c>
      <c r="G4216" s="2">
        <v>167.94</v>
      </c>
      <c r="H4216" s="2" t="s">
        <v>19</v>
      </c>
      <c r="I4216" s="2" t="s">
        <v>34</v>
      </c>
    </row>
    <row r="4217" spans="1:9" x14ac:dyDescent="0.35">
      <c r="A4217" s="2" t="s">
        <v>4262</v>
      </c>
      <c r="B4217" s="3">
        <v>44805</v>
      </c>
      <c r="C4217" s="2" t="s">
        <v>25</v>
      </c>
      <c r="D4217" s="2" t="s">
        <v>38</v>
      </c>
      <c r="E4217" s="2" t="s">
        <v>12</v>
      </c>
      <c r="F4217" s="2">
        <v>316.99</v>
      </c>
      <c r="G4217" s="2">
        <v>55.18</v>
      </c>
      <c r="H4217" s="2" t="s">
        <v>13</v>
      </c>
      <c r="I4217" s="2" t="s">
        <v>29</v>
      </c>
    </row>
    <row r="4218" spans="1:9" x14ac:dyDescent="0.35">
      <c r="A4218" s="2" t="s">
        <v>4263</v>
      </c>
      <c r="B4218" s="3">
        <v>45154</v>
      </c>
      <c r="C4218" s="2" t="s">
        <v>16</v>
      </c>
      <c r="D4218" s="2" t="s">
        <v>73</v>
      </c>
      <c r="E4218" s="2" t="s">
        <v>27</v>
      </c>
      <c r="F4218" s="2">
        <v>1439.41</v>
      </c>
      <c r="G4218" s="2">
        <v>217.36</v>
      </c>
      <c r="H4218" s="2" t="s">
        <v>19</v>
      </c>
      <c r="I4218" s="2" t="s">
        <v>34</v>
      </c>
    </row>
    <row r="4219" spans="1:9" x14ac:dyDescent="0.35">
      <c r="A4219" s="2" t="s">
        <v>4264</v>
      </c>
      <c r="B4219" s="3">
        <v>44579</v>
      </c>
      <c r="C4219" s="2" t="s">
        <v>16</v>
      </c>
      <c r="D4219" s="2" t="s">
        <v>50</v>
      </c>
      <c r="E4219" s="2" t="s">
        <v>12</v>
      </c>
      <c r="F4219" s="2">
        <v>1730.01</v>
      </c>
      <c r="G4219" s="2">
        <v>420.1</v>
      </c>
      <c r="H4219" s="2" t="s">
        <v>13</v>
      </c>
      <c r="I4219" s="2" t="s">
        <v>29</v>
      </c>
    </row>
    <row r="4220" spans="1:9" x14ac:dyDescent="0.35">
      <c r="A4220" s="2" t="s">
        <v>4265</v>
      </c>
      <c r="B4220" s="3">
        <v>45501</v>
      </c>
      <c r="C4220" s="2" t="s">
        <v>16</v>
      </c>
      <c r="D4220" s="2" t="s">
        <v>95</v>
      </c>
      <c r="E4220" s="2" t="s">
        <v>18</v>
      </c>
      <c r="F4220" s="2">
        <v>1276.0899999999999</v>
      </c>
      <c r="G4220" s="2">
        <v>255.21</v>
      </c>
      <c r="H4220" s="2" t="s">
        <v>13</v>
      </c>
      <c r="I4220" s="2" t="s">
        <v>14</v>
      </c>
    </row>
    <row r="4221" spans="1:9" x14ac:dyDescent="0.35">
      <c r="A4221" s="2" t="s">
        <v>4266</v>
      </c>
      <c r="B4221" s="3">
        <v>45233</v>
      </c>
      <c r="C4221" s="2" t="s">
        <v>10</v>
      </c>
      <c r="D4221" s="2" t="s">
        <v>11</v>
      </c>
      <c r="E4221" s="2" t="s">
        <v>12</v>
      </c>
      <c r="F4221" s="2">
        <v>335.61</v>
      </c>
      <c r="G4221" s="2">
        <v>24.26</v>
      </c>
      <c r="H4221" s="2" t="s">
        <v>19</v>
      </c>
      <c r="I4221" s="2" t="s">
        <v>34</v>
      </c>
    </row>
    <row r="4222" spans="1:9" x14ac:dyDescent="0.35">
      <c r="A4222" s="2" t="s">
        <v>4267</v>
      </c>
      <c r="B4222" s="3">
        <v>45400</v>
      </c>
      <c r="C4222" s="2" t="s">
        <v>16</v>
      </c>
      <c r="D4222" s="2" t="s">
        <v>23</v>
      </c>
      <c r="E4222" s="2" t="s">
        <v>18</v>
      </c>
      <c r="F4222" s="2">
        <v>1210.6300000000001</v>
      </c>
      <c r="G4222" s="2">
        <v>337.4</v>
      </c>
      <c r="H4222" s="2" t="s">
        <v>19</v>
      </c>
      <c r="I4222" s="2" t="s">
        <v>14</v>
      </c>
    </row>
    <row r="4223" spans="1:9" x14ac:dyDescent="0.35">
      <c r="A4223" s="2" t="s">
        <v>4268</v>
      </c>
      <c r="B4223" s="3">
        <v>44853</v>
      </c>
      <c r="C4223" s="2" t="s">
        <v>16</v>
      </c>
      <c r="D4223" s="2" t="s">
        <v>17</v>
      </c>
      <c r="E4223" s="2" t="s">
        <v>18</v>
      </c>
      <c r="F4223" s="2">
        <v>939.99</v>
      </c>
      <c r="G4223" s="2">
        <v>140.15</v>
      </c>
      <c r="H4223" s="2" t="s">
        <v>13</v>
      </c>
      <c r="I4223" s="2" t="s">
        <v>20</v>
      </c>
    </row>
    <row r="4224" spans="1:9" x14ac:dyDescent="0.35">
      <c r="A4224" s="2" t="s">
        <v>4269</v>
      </c>
      <c r="B4224" s="3">
        <v>45005</v>
      </c>
      <c r="C4224" s="2" t="s">
        <v>10</v>
      </c>
      <c r="D4224" s="2" t="s">
        <v>31</v>
      </c>
      <c r="E4224" s="2" t="s">
        <v>12</v>
      </c>
      <c r="F4224" s="2">
        <v>776.67</v>
      </c>
      <c r="G4224" s="2">
        <v>174.07</v>
      </c>
      <c r="H4224" s="2" t="s">
        <v>13</v>
      </c>
      <c r="I4224" s="2" t="s">
        <v>14</v>
      </c>
    </row>
    <row r="4225" spans="1:9" x14ac:dyDescent="0.35">
      <c r="A4225" s="2" t="s">
        <v>4270</v>
      </c>
      <c r="B4225" s="3">
        <v>44892</v>
      </c>
      <c r="C4225" s="2" t="s">
        <v>22</v>
      </c>
      <c r="D4225" s="2" t="s">
        <v>95</v>
      </c>
      <c r="E4225" s="2" t="s">
        <v>18</v>
      </c>
      <c r="F4225" s="2">
        <v>1915.74</v>
      </c>
      <c r="G4225" s="2">
        <v>182.47</v>
      </c>
      <c r="H4225" s="2" t="s">
        <v>28</v>
      </c>
      <c r="I4225" s="2" t="s">
        <v>29</v>
      </c>
    </row>
    <row r="4226" spans="1:9" x14ac:dyDescent="0.35">
      <c r="A4226" s="2" t="s">
        <v>4271</v>
      </c>
      <c r="B4226" s="3">
        <v>45161</v>
      </c>
      <c r="C4226" s="2" t="s">
        <v>16</v>
      </c>
      <c r="D4226" s="2" t="s">
        <v>95</v>
      </c>
      <c r="E4226" s="2" t="s">
        <v>18</v>
      </c>
      <c r="F4226" s="2">
        <v>1199.52</v>
      </c>
      <c r="G4226" s="2">
        <v>158.84</v>
      </c>
      <c r="H4226" s="2" t="s">
        <v>28</v>
      </c>
      <c r="I4226" s="2" t="s">
        <v>34</v>
      </c>
    </row>
    <row r="4227" spans="1:9" x14ac:dyDescent="0.35">
      <c r="A4227" s="2" t="s">
        <v>4272</v>
      </c>
      <c r="B4227" s="3">
        <v>44809</v>
      </c>
      <c r="C4227" s="2" t="s">
        <v>10</v>
      </c>
      <c r="D4227" s="2" t="s">
        <v>17</v>
      </c>
      <c r="E4227" s="2" t="s">
        <v>18</v>
      </c>
      <c r="F4227" s="2">
        <v>772.85</v>
      </c>
      <c r="G4227" s="2">
        <v>104.64</v>
      </c>
      <c r="H4227" s="2" t="s">
        <v>28</v>
      </c>
      <c r="I4227" s="2" t="s">
        <v>34</v>
      </c>
    </row>
    <row r="4228" spans="1:9" x14ac:dyDescent="0.35">
      <c r="A4228" s="2" t="s">
        <v>4273</v>
      </c>
      <c r="B4228" s="3">
        <v>45091</v>
      </c>
      <c r="C4228" s="2" t="s">
        <v>16</v>
      </c>
      <c r="D4228" s="2" t="s">
        <v>50</v>
      </c>
      <c r="E4228" s="2" t="s">
        <v>12</v>
      </c>
      <c r="F4228" s="2">
        <v>1620.94</v>
      </c>
      <c r="G4228" s="2">
        <v>104.06</v>
      </c>
      <c r="H4228" s="2" t="s">
        <v>19</v>
      </c>
      <c r="I4228" s="2" t="s">
        <v>29</v>
      </c>
    </row>
    <row r="4229" spans="1:9" x14ac:dyDescent="0.35">
      <c r="A4229" s="2" t="s">
        <v>4274</v>
      </c>
      <c r="B4229" s="3">
        <v>44993</v>
      </c>
      <c r="C4229" s="2" t="s">
        <v>10</v>
      </c>
      <c r="D4229" s="2" t="s">
        <v>26</v>
      </c>
      <c r="E4229" s="2" t="s">
        <v>27</v>
      </c>
      <c r="F4229" s="2">
        <v>1189.74</v>
      </c>
      <c r="G4229" s="2">
        <v>344.26</v>
      </c>
      <c r="H4229" s="2" t="s">
        <v>19</v>
      </c>
      <c r="I4229" s="2" t="s">
        <v>20</v>
      </c>
    </row>
    <row r="4230" spans="1:9" x14ac:dyDescent="0.35">
      <c r="A4230" s="2" t="s">
        <v>4275</v>
      </c>
      <c r="B4230" s="3">
        <v>45196</v>
      </c>
      <c r="C4230" s="2" t="s">
        <v>25</v>
      </c>
      <c r="D4230" s="2" t="s">
        <v>17</v>
      </c>
      <c r="E4230" s="2" t="s">
        <v>18</v>
      </c>
      <c r="F4230" s="2">
        <v>1182.81</v>
      </c>
      <c r="G4230" s="2">
        <v>177.48</v>
      </c>
      <c r="H4230" s="2" t="s">
        <v>28</v>
      </c>
      <c r="I4230" s="2" t="s">
        <v>20</v>
      </c>
    </row>
    <row r="4231" spans="1:9" x14ac:dyDescent="0.35">
      <c r="A4231" s="2" t="s">
        <v>4276</v>
      </c>
      <c r="B4231" s="3">
        <v>45635</v>
      </c>
      <c r="C4231" s="2" t="s">
        <v>10</v>
      </c>
      <c r="D4231" s="2" t="s">
        <v>62</v>
      </c>
      <c r="E4231" s="2" t="s">
        <v>27</v>
      </c>
      <c r="F4231" s="2">
        <v>1695.95</v>
      </c>
      <c r="G4231" s="2">
        <v>255.42</v>
      </c>
      <c r="H4231" s="2" t="s">
        <v>19</v>
      </c>
      <c r="I4231" s="2" t="s">
        <v>34</v>
      </c>
    </row>
    <row r="4232" spans="1:9" x14ac:dyDescent="0.35">
      <c r="A4232" s="2" t="s">
        <v>4277</v>
      </c>
      <c r="B4232" s="3">
        <v>45529</v>
      </c>
      <c r="C4232" s="2" t="s">
        <v>22</v>
      </c>
      <c r="D4232" s="2" t="s">
        <v>97</v>
      </c>
      <c r="E4232" s="2" t="s">
        <v>27</v>
      </c>
      <c r="F4232" s="2">
        <v>1051.8499999999999</v>
      </c>
      <c r="G4232" s="2">
        <v>185.03</v>
      </c>
      <c r="H4232" s="2" t="s">
        <v>13</v>
      </c>
      <c r="I4232" s="2" t="s">
        <v>14</v>
      </c>
    </row>
    <row r="4233" spans="1:9" x14ac:dyDescent="0.35">
      <c r="A4233" s="2" t="s">
        <v>4278</v>
      </c>
      <c r="B4233" s="3">
        <v>44630</v>
      </c>
      <c r="C4233" s="2" t="s">
        <v>25</v>
      </c>
      <c r="D4233" s="2" t="s">
        <v>62</v>
      </c>
      <c r="E4233" s="2" t="s">
        <v>27</v>
      </c>
      <c r="F4233" s="2">
        <v>1281.3800000000001</v>
      </c>
      <c r="G4233" s="2">
        <v>148.61000000000001</v>
      </c>
      <c r="H4233" s="2" t="s">
        <v>13</v>
      </c>
      <c r="I4233" s="2" t="s">
        <v>34</v>
      </c>
    </row>
    <row r="4234" spans="1:9" x14ac:dyDescent="0.35">
      <c r="A4234" s="2" t="s">
        <v>4279</v>
      </c>
      <c r="B4234" s="3">
        <v>44789</v>
      </c>
      <c r="C4234" s="2" t="s">
        <v>22</v>
      </c>
      <c r="D4234" s="2" t="s">
        <v>26</v>
      </c>
      <c r="E4234" s="2" t="s">
        <v>27</v>
      </c>
      <c r="F4234" s="2">
        <v>1264.8</v>
      </c>
      <c r="G4234" s="2">
        <v>97.07</v>
      </c>
      <c r="H4234" s="2" t="s">
        <v>19</v>
      </c>
      <c r="I4234" s="2" t="s">
        <v>34</v>
      </c>
    </row>
    <row r="4235" spans="1:9" x14ac:dyDescent="0.35">
      <c r="A4235" s="2" t="s">
        <v>4280</v>
      </c>
      <c r="B4235" s="3">
        <v>45148</v>
      </c>
      <c r="C4235" s="2" t="s">
        <v>10</v>
      </c>
      <c r="D4235" s="2" t="s">
        <v>17</v>
      </c>
      <c r="E4235" s="2" t="s">
        <v>18</v>
      </c>
      <c r="F4235" s="2">
        <v>1582.47</v>
      </c>
      <c r="G4235" s="2">
        <v>405.74</v>
      </c>
      <c r="H4235" s="2" t="s">
        <v>19</v>
      </c>
      <c r="I4235" s="2" t="s">
        <v>29</v>
      </c>
    </row>
    <row r="4236" spans="1:9" x14ac:dyDescent="0.35">
      <c r="A4236" s="2" t="s">
        <v>4281</v>
      </c>
      <c r="B4236" s="3">
        <v>44605</v>
      </c>
      <c r="C4236" s="2" t="s">
        <v>25</v>
      </c>
      <c r="D4236" s="2" t="s">
        <v>57</v>
      </c>
      <c r="E4236" s="2" t="s">
        <v>27</v>
      </c>
      <c r="F4236" s="2">
        <v>1557.48</v>
      </c>
      <c r="G4236" s="2">
        <v>144.44</v>
      </c>
      <c r="H4236" s="2" t="s">
        <v>28</v>
      </c>
      <c r="I4236" s="2" t="s">
        <v>14</v>
      </c>
    </row>
    <row r="4237" spans="1:9" x14ac:dyDescent="0.35">
      <c r="A4237" s="2" t="s">
        <v>4282</v>
      </c>
      <c r="B4237" s="3">
        <v>44572</v>
      </c>
      <c r="C4237" s="2" t="s">
        <v>22</v>
      </c>
      <c r="D4237" s="2" t="s">
        <v>57</v>
      </c>
      <c r="E4237" s="2" t="s">
        <v>27</v>
      </c>
      <c r="F4237" s="2">
        <v>270.13</v>
      </c>
      <c r="G4237" s="2">
        <v>21.63</v>
      </c>
      <c r="H4237" s="2" t="s">
        <v>28</v>
      </c>
      <c r="I4237" s="2" t="s">
        <v>29</v>
      </c>
    </row>
    <row r="4238" spans="1:9" x14ac:dyDescent="0.35">
      <c r="A4238" s="2" t="s">
        <v>4283</v>
      </c>
      <c r="B4238" s="3">
        <v>44745</v>
      </c>
      <c r="C4238" s="2" t="s">
        <v>22</v>
      </c>
      <c r="D4238" s="2" t="s">
        <v>23</v>
      </c>
      <c r="E4238" s="2" t="s">
        <v>18</v>
      </c>
      <c r="F4238" s="2">
        <v>801.55</v>
      </c>
      <c r="G4238" s="2">
        <v>40.53</v>
      </c>
      <c r="H4238" s="2" t="s">
        <v>28</v>
      </c>
      <c r="I4238" s="2" t="s">
        <v>34</v>
      </c>
    </row>
    <row r="4239" spans="1:9" x14ac:dyDescent="0.35">
      <c r="A4239" s="2" t="s">
        <v>4284</v>
      </c>
      <c r="B4239" s="3">
        <v>45127</v>
      </c>
      <c r="C4239" s="2" t="s">
        <v>16</v>
      </c>
      <c r="D4239" s="2" t="s">
        <v>26</v>
      </c>
      <c r="E4239" s="2" t="s">
        <v>27</v>
      </c>
      <c r="F4239" s="2">
        <v>1542.91</v>
      </c>
      <c r="G4239" s="2">
        <v>335.38</v>
      </c>
      <c r="H4239" s="2" t="s">
        <v>13</v>
      </c>
      <c r="I4239" s="2" t="s">
        <v>14</v>
      </c>
    </row>
    <row r="4240" spans="1:9" x14ac:dyDescent="0.35">
      <c r="A4240" s="2" t="s">
        <v>4285</v>
      </c>
      <c r="B4240" s="3">
        <v>44762</v>
      </c>
      <c r="C4240" s="2" t="s">
        <v>10</v>
      </c>
      <c r="D4240" s="2" t="s">
        <v>95</v>
      </c>
      <c r="E4240" s="2" t="s">
        <v>18</v>
      </c>
      <c r="F4240" s="2">
        <v>151.41</v>
      </c>
      <c r="G4240" s="2">
        <v>33.68</v>
      </c>
      <c r="H4240" s="2" t="s">
        <v>19</v>
      </c>
      <c r="I4240" s="2" t="s">
        <v>14</v>
      </c>
    </row>
    <row r="4241" spans="1:9" x14ac:dyDescent="0.35">
      <c r="A4241" s="2" t="s">
        <v>4286</v>
      </c>
      <c r="B4241" s="3">
        <v>45419</v>
      </c>
      <c r="C4241" s="2" t="s">
        <v>25</v>
      </c>
      <c r="D4241" s="2" t="s">
        <v>41</v>
      </c>
      <c r="E4241" s="2" t="s">
        <v>12</v>
      </c>
      <c r="F4241" s="2">
        <v>1721.38</v>
      </c>
      <c r="G4241" s="2">
        <v>489.31</v>
      </c>
      <c r="H4241" s="2" t="s">
        <v>13</v>
      </c>
      <c r="I4241" s="2" t="s">
        <v>34</v>
      </c>
    </row>
    <row r="4242" spans="1:9" x14ac:dyDescent="0.35">
      <c r="A4242" s="2" t="s">
        <v>4287</v>
      </c>
      <c r="B4242" s="3">
        <v>44728</v>
      </c>
      <c r="C4242" s="2" t="s">
        <v>25</v>
      </c>
      <c r="D4242" s="2" t="s">
        <v>95</v>
      </c>
      <c r="E4242" s="2" t="s">
        <v>18</v>
      </c>
      <c r="F4242" s="2">
        <v>803.85</v>
      </c>
      <c r="G4242" s="2">
        <v>144.12</v>
      </c>
      <c r="H4242" s="2" t="s">
        <v>28</v>
      </c>
      <c r="I4242" s="2" t="s">
        <v>20</v>
      </c>
    </row>
    <row r="4243" spans="1:9" x14ac:dyDescent="0.35">
      <c r="A4243" s="2" t="s">
        <v>4288</v>
      </c>
      <c r="B4243" s="3">
        <v>45411</v>
      </c>
      <c r="C4243" s="2" t="s">
        <v>22</v>
      </c>
      <c r="D4243" s="2" t="s">
        <v>97</v>
      </c>
      <c r="E4243" s="2" t="s">
        <v>27</v>
      </c>
      <c r="F4243" s="2">
        <v>1815.45</v>
      </c>
      <c r="G4243" s="2">
        <v>129.32</v>
      </c>
      <c r="H4243" s="2" t="s">
        <v>28</v>
      </c>
      <c r="I4243" s="2" t="s">
        <v>20</v>
      </c>
    </row>
    <row r="4244" spans="1:9" x14ac:dyDescent="0.35">
      <c r="A4244" s="2" t="s">
        <v>4289</v>
      </c>
      <c r="B4244" s="3">
        <v>45476</v>
      </c>
      <c r="C4244" s="2" t="s">
        <v>10</v>
      </c>
      <c r="D4244" s="2" t="s">
        <v>33</v>
      </c>
      <c r="E4244" s="2" t="s">
        <v>18</v>
      </c>
      <c r="F4244" s="2">
        <v>1911.09</v>
      </c>
      <c r="G4244" s="2">
        <v>123.58</v>
      </c>
      <c r="H4244" s="2" t="s">
        <v>28</v>
      </c>
      <c r="I4244" s="2" t="s">
        <v>20</v>
      </c>
    </row>
    <row r="4245" spans="1:9" x14ac:dyDescent="0.35">
      <c r="A4245" s="2" t="s">
        <v>4290</v>
      </c>
      <c r="B4245" s="3">
        <v>45119</v>
      </c>
      <c r="C4245" s="2" t="s">
        <v>16</v>
      </c>
      <c r="D4245" s="2" t="s">
        <v>17</v>
      </c>
      <c r="E4245" s="2" t="s">
        <v>18</v>
      </c>
      <c r="F4245" s="2">
        <v>491.67</v>
      </c>
      <c r="G4245" s="2">
        <v>29.75</v>
      </c>
      <c r="H4245" s="2" t="s">
        <v>13</v>
      </c>
      <c r="I4245" s="2" t="s">
        <v>34</v>
      </c>
    </row>
    <row r="4246" spans="1:9" x14ac:dyDescent="0.35">
      <c r="A4246" s="2" t="s">
        <v>4291</v>
      </c>
      <c r="B4246" s="3">
        <v>44651</v>
      </c>
      <c r="C4246" s="2" t="s">
        <v>10</v>
      </c>
      <c r="D4246" s="2" t="s">
        <v>46</v>
      </c>
      <c r="E4246" s="2" t="s">
        <v>18</v>
      </c>
      <c r="F4246" s="2">
        <v>1668.1</v>
      </c>
      <c r="G4246" s="2">
        <v>397.53</v>
      </c>
      <c r="H4246" s="2" t="s">
        <v>19</v>
      </c>
      <c r="I4246" s="2" t="s">
        <v>29</v>
      </c>
    </row>
    <row r="4247" spans="1:9" x14ac:dyDescent="0.35">
      <c r="A4247" s="2" t="s">
        <v>4292</v>
      </c>
      <c r="B4247" s="3">
        <v>45059</v>
      </c>
      <c r="C4247" s="2" t="s">
        <v>16</v>
      </c>
      <c r="D4247" s="2" t="s">
        <v>57</v>
      </c>
      <c r="E4247" s="2" t="s">
        <v>27</v>
      </c>
      <c r="F4247" s="2">
        <v>933.26</v>
      </c>
      <c r="G4247" s="2">
        <v>244.97</v>
      </c>
      <c r="H4247" s="2" t="s">
        <v>13</v>
      </c>
      <c r="I4247" s="2" t="s">
        <v>14</v>
      </c>
    </row>
    <row r="4248" spans="1:9" x14ac:dyDescent="0.35">
      <c r="A4248" s="2" t="s">
        <v>4293</v>
      </c>
      <c r="B4248" s="3">
        <v>45268</v>
      </c>
      <c r="C4248" s="2" t="s">
        <v>10</v>
      </c>
      <c r="D4248" s="2" t="s">
        <v>57</v>
      </c>
      <c r="E4248" s="2" t="s">
        <v>27</v>
      </c>
      <c r="F4248" s="2">
        <v>377.17</v>
      </c>
      <c r="G4248" s="2">
        <v>88.16</v>
      </c>
      <c r="H4248" s="2" t="s">
        <v>19</v>
      </c>
      <c r="I4248" s="2" t="s">
        <v>34</v>
      </c>
    </row>
    <row r="4249" spans="1:9" x14ac:dyDescent="0.35">
      <c r="A4249" s="2" t="s">
        <v>4294</v>
      </c>
      <c r="B4249" s="3">
        <v>45481</v>
      </c>
      <c r="C4249" s="2" t="s">
        <v>16</v>
      </c>
      <c r="D4249" s="2" t="s">
        <v>26</v>
      </c>
      <c r="E4249" s="2" t="s">
        <v>27</v>
      </c>
      <c r="F4249" s="2">
        <v>1764.78</v>
      </c>
      <c r="G4249" s="2">
        <v>380.95</v>
      </c>
      <c r="H4249" s="2" t="s">
        <v>19</v>
      </c>
      <c r="I4249" s="2" t="s">
        <v>29</v>
      </c>
    </row>
    <row r="4250" spans="1:9" x14ac:dyDescent="0.35">
      <c r="A4250" s="2" t="s">
        <v>4295</v>
      </c>
      <c r="B4250" s="3">
        <v>45440</v>
      </c>
      <c r="C4250" s="2" t="s">
        <v>16</v>
      </c>
      <c r="D4250" s="2" t="s">
        <v>23</v>
      </c>
      <c r="E4250" s="2" t="s">
        <v>18</v>
      </c>
      <c r="F4250" s="2">
        <v>809.28</v>
      </c>
      <c r="G4250" s="2">
        <v>236.88</v>
      </c>
      <c r="H4250" s="2" t="s">
        <v>19</v>
      </c>
      <c r="I4250" s="2" t="s">
        <v>29</v>
      </c>
    </row>
    <row r="4251" spans="1:9" x14ac:dyDescent="0.35">
      <c r="A4251" s="2" t="s">
        <v>4296</v>
      </c>
      <c r="B4251" s="3">
        <v>44797</v>
      </c>
      <c r="C4251" s="2" t="s">
        <v>25</v>
      </c>
      <c r="D4251" s="2" t="s">
        <v>73</v>
      </c>
      <c r="E4251" s="2" t="s">
        <v>27</v>
      </c>
      <c r="F4251" s="2">
        <v>573.22</v>
      </c>
      <c r="G4251" s="2">
        <v>85.65</v>
      </c>
      <c r="H4251" s="2" t="s">
        <v>13</v>
      </c>
      <c r="I4251" s="2" t="s">
        <v>14</v>
      </c>
    </row>
    <row r="4252" spans="1:9" x14ac:dyDescent="0.35">
      <c r="A4252" s="2" t="s">
        <v>4297</v>
      </c>
      <c r="B4252" s="3">
        <v>45475</v>
      </c>
      <c r="C4252" s="2" t="s">
        <v>16</v>
      </c>
      <c r="D4252" s="2" t="s">
        <v>73</v>
      </c>
      <c r="E4252" s="2" t="s">
        <v>27</v>
      </c>
      <c r="F4252" s="2">
        <v>1700.68</v>
      </c>
      <c r="G4252" s="2">
        <v>203.37</v>
      </c>
      <c r="H4252" s="2" t="s">
        <v>13</v>
      </c>
      <c r="I4252" s="2" t="s">
        <v>20</v>
      </c>
    </row>
    <row r="4253" spans="1:9" x14ac:dyDescent="0.35">
      <c r="A4253" s="2" t="s">
        <v>4298</v>
      </c>
      <c r="B4253" s="3">
        <v>45276</v>
      </c>
      <c r="C4253" s="2" t="s">
        <v>25</v>
      </c>
      <c r="D4253" s="2" t="s">
        <v>62</v>
      </c>
      <c r="E4253" s="2" t="s">
        <v>27</v>
      </c>
      <c r="F4253" s="2">
        <v>1068.83</v>
      </c>
      <c r="G4253" s="2">
        <v>260.31</v>
      </c>
      <c r="H4253" s="2" t="s">
        <v>13</v>
      </c>
      <c r="I4253" s="2" t="s">
        <v>20</v>
      </c>
    </row>
    <row r="4254" spans="1:9" x14ac:dyDescent="0.35">
      <c r="A4254" s="2" t="s">
        <v>4299</v>
      </c>
      <c r="B4254" s="3">
        <v>45534</v>
      </c>
      <c r="C4254" s="2" t="s">
        <v>25</v>
      </c>
      <c r="D4254" s="2" t="s">
        <v>97</v>
      </c>
      <c r="E4254" s="2" t="s">
        <v>27</v>
      </c>
      <c r="F4254" s="2">
        <v>1565.57</v>
      </c>
      <c r="G4254" s="2">
        <v>348.18</v>
      </c>
      <c r="H4254" s="2" t="s">
        <v>13</v>
      </c>
      <c r="I4254" s="2" t="s">
        <v>34</v>
      </c>
    </row>
    <row r="4255" spans="1:9" x14ac:dyDescent="0.35">
      <c r="A4255" s="2" t="s">
        <v>4300</v>
      </c>
      <c r="B4255" s="3">
        <v>45033</v>
      </c>
      <c r="C4255" s="2" t="s">
        <v>10</v>
      </c>
      <c r="D4255" s="2" t="s">
        <v>95</v>
      </c>
      <c r="E4255" s="2" t="s">
        <v>18</v>
      </c>
      <c r="F4255" s="2">
        <v>1335.97</v>
      </c>
      <c r="G4255" s="2">
        <v>221.23</v>
      </c>
      <c r="H4255" s="2" t="s">
        <v>13</v>
      </c>
      <c r="I4255" s="2" t="s">
        <v>14</v>
      </c>
    </row>
    <row r="4256" spans="1:9" x14ac:dyDescent="0.35">
      <c r="A4256" s="2" t="s">
        <v>4301</v>
      </c>
      <c r="B4256" s="3">
        <v>45128</v>
      </c>
      <c r="C4256" s="2" t="s">
        <v>10</v>
      </c>
      <c r="D4256" s="2" t="s">
        <v>17</v>
      </c>
      <c r="E4256" s="2" t="s">
        <v>18</v>
      </c>
      <c r="F4256" s="2">
        <v>904.44</v>
      </c>
      <c r="G4256" s="2">
        <v>137.61000000000001</v>
      </c>
      <c r="H4256" s="2" t="s">
        <v>13</v>
      </c>
      <c r="I4256" s="2" t="s">
        <v>29</v>
      </c>
    </row>
    <row r="4257" spans="1:9" x14ac:dyDescent="0.35">
      <c r="A4257" s="2" t="s">
        <v>4302</v>
      </c>
      <c r="B4257" s="3">
        <v>45407</v>
      </c>
      <c r="C4257" s="2" t="s">
        <v>22</v>
      </c>
      <c r="D4257" s="2" t="s">
        <v>50</v>
      </c>
      <c r="E4257" s="2" t="s">
        <v>12</v>
      </c>
      <c r="F4257" s="2">
        <v>1040.1400000000001</v>
      </c>
      <c r="G4257" s="2">
        <v>146.28</v>
      </c>
      <c r="H4257" s="2" t="s">
        <v>28</v>
      </c>
      <c r="I4257" s="2" t="s">
        <v>29</v>
      </c>
    </row>
    <row r="4258" spans="1:9" x14ac:dyDescent="0.35">
      <c r="A4258" s="2" t="s">
        <v>4303</v>
      </c>
      <c r="B4258" s="3">
        <v>44833</v>
      </c>
      <c r="C4258" s="2" t="s">
        <v>22</v>
      </c>
      <c r="D4258" s="2" t="s">
        <v>17</v>
      </c>
      <c r="E4258" s="2" t="s">
        <v>18</v>
      </c>
      <c r="F4258" s="2">
        <v>1793.43</v>
      </c>
      <c r="G4258" s="2">
        <v>113.08</v>
      </c>
      <c r="H4258" s="2" t="s">
        <v>13</v>
      </c>
      <c r="I4258" s="2" t="s">
        <v>29</v>
      </c>
    </row>
    <row r="4259" spans="1:9" x14ac:dyDescent="0.35">
      <c r="A4259" s="2" t="s">
        <v>4304</v>
      </c>
      <c r="B4259" s="3">
        <v>44879</v>
      </c>
      <c r="C4259" s="2" t="s">
        <v>16</v>
      </c>
      <c r="D4259" s="2" t="s">
        <v>26</v>
      </c>
      <c r="E4259" s="2" t="s">
        <v>27</v>
      </c>
      <c r="F4259" s="2">
        <v>1749.99</v>
      </c>
      <c r="G4259" s="2">
        <v>135.5</v>
      </c>
      <c r="H4259" s="2" t="s">
        <v>13</v>
      </c>
      <c r="I4259" s="2" t="s">
        <v>29</v>
      </c>
    </row>
    <row r="4260" spans="1:9" x14ac:dyDescent="0.35">
      <c r="A4260" s="2" t="s">
        <v>4305</v>
      </c>
      <c r="B4260" s="3">
        <v>44791</v>
      </c>
      <c r="C4260" s="2" t="s">
        <v>10</v>
      </c>
      <c r="D4260" s="2" t="s">
        <v>31</v>
      </c>
      <c r="E4260" s="2" t="s">
        <v>12</v>
      </c>
      <c r="F4260" s="2">
        <v>428.39</v>
      </c>
      <c r="G4260" s="2">
        <v>63.69</v>
      </c>
      <c r="H4260" s="2" t="s">
        <v>28</v>
      </c>
      <c r="I4260" s="2" t="s">
        <v>34</v>
      </c>
    </row>
    <row r="4261" spans="1:9" x14ac:dyDescent="0.35">
      <c r="A4261" s="2" t="s">
        <v>4306</v>
      </c>
      <c r="B4261" s="3">
        <v>45218</v>
      </c>
      <c r="C4261" s="2" t="s">
        <v>22</v>
      </c>
      <c r="D4261" s="2" t="s">
        <v>33</v>
      </c>
      <c r="E4261" s="2" t="s">
        <v>18</v>
      </c>
      <c r="F4261" s="2">
        <v>1995.87</v>
      </c>
      <c r="G4261" s="2">
        <v>544.45000000000005</v>
      </c>
      <c r="H4261" s="2" t="s">
        <v>28</v>
      </c>
      <c r="I4261" s="2" t="s">
        <v>29</v>
      </c>
    </row>
    <row r="4262" spans="1:9" x14ac:dyDescent="0.35">
      <c r="A4262" s="2" t="s">
        <v>4307</v>
      </c>
      <c r="B4262" s="3">
        <v>45583</v>
      </c>
      <c r="C4262" s="2" t="s">
        <v>25</v>
      </c>
      <c r="D4262" s="2" t="s">
        <v>97</v>
      </c>
      <c r="E4262" s="2" t="s">
        <v>27</v>
      </c>
      <c r="F4262" s="2">
        <v>849.91</v>
      </c>
      <c r="G4262" s="2">
        <v>176.58</v>
      </c>
      <c r="H4262" s="2" t="s">
        <v>13</v>
      </c>
      <c r="I4262" s="2" t="s">
        <v>34</v>
      </c>
    </row>
    <row r="4263" spans="1:9" x14ac:dyDescent="0.35">
      <c r="A4263" s="2" t="s">
        <v>4308</v>
      </c>
      <c r="B4263" s="3">
        <v>45529</v>
      </c>
      <c r="C4263" s="2" t="s">
        <v>22</v>
      </c>
      <c r="D4263" s="2" t="s">
        <v>17</v>
      </c>
      <c r="E4263" s="2" t="s">
        <v>18</v>
      </c>
      <c r="F4263" s="2">
        <v>171.22</v>
      </c>
      <c r="G4263" s="2">
        <v>23.18</v>
      </c>
      <c r="H4263" s="2" t="s">
        <v>19</v>
      </c>
      <c r="I4263" s="2" t="s">
        <v>29</v>
      </c>
    </row>
    <row r="4264" spans="1:9" x14ac:dyDescent="0.35">
      <c r="A4264" s="2" t="s">
        <v>4309</v>
      </c>
      <c r="B4264" s="3">
        <v>45636</v>
      </c>
      <c r="C4264" s="2" t="s">
        <v>22</v>
      </c>
      <c r="D4264" s="2" t="s">
        <v>33</v>
      </c>
      <c r="E4264" s="2" t="s">
        <v>18</v>
      </c>
      <c r="F4264" s="2">
        <v>1754.85</v>
      </c>
      <c r="G4264" s="2">
        <v>439.68</v>
      </c>
      <c r="H4264" s="2" t="s">
        <v>28</v>
      </c>
      <c r="I4264" s="2" t="s">
        <v>29</v>
      </c>
    </row>
    <row r="4265" spans="1:9" x14ac:dyDescent="0.35">
      <c r="A4265" s="2" t="s">
        <v>4310</v>
      </c>
      <c r="B4265" s="3">
        <v>44764</v>
      </c>
      <c r="C4265" s="2" t="s">
        <v>16</v>
      </c>
      <c r="D4265" s="2" t="s">
        <v>17</v>
      </c>
      <c r="E4265" s="2" t="s">
        <v>18</v>
      </c>
      <c r="F4265" s="2">
        <v>619.51</v>
      </c>
      <c r="G4265" s="2">
        <v>77.09</v>
      </c>
      <c r="H4265" s="2" t="s">
        <v>19</v>
      </c>
      <c r="I4265" s="2" t="s">
        <v>34</v>
      </c>
    </row>
    <row r="4266" spans="1:9" x14ac:dyDescent="0.35">
      <c r="A4266" s="2" t="s">
        <v>4311</v>
      </c>
      <c r="B4266" s="3">
        <v>45472</v>
      </c>
      <c r="C4266" s="2" t="s">
        <v>10</v>
      </c>
      <c r="D4266" s="2" t="s">
        <v>57</v>
      </c>
      <c r="E4266" s="2" t="s">
        <v>27</v>
      </c>
      <c r="F4266" s="2">
        <v>124.38</v>
      </c>
      <c r="G4266" s="2">
        <v>15.76</v>
      </c>
      <c r="H4266" s="2" t="s">
        <v>28</v>
      </c>
      <c r="I4266" s="2" t="s">
        <v>14</v>
      </c>
    </row>
    <row r="4267" spans="1:9" x14ac:dyDescent="0.35">
      <c r="A4267" s="2" t="s">
        <v>4312</v>
      </c>
      <c r="B4267" s="3">
        <v>45035</v>
      </c>
      <c r="C4267" s="2" t="s">
        <v>25</v>
      </c>
      <c r="D4267" s="2" t="s">
        <v>26</v>
      </c>
      <c r="E4267" s="2" t="s">
        <v>27</v>
      </c>
      <c r="F4267" s="2">
        <v>1813.54</v>
      </c>
      <c r="G4267" s="2">
        <v>138.72</v>
      </c>
      <c r="H4267" s="2" t="s">
        <v>19</v>
      </c>
      <c r="I4267" s="2" t="s">
        <v>20</v>
      </c>
    </row>
    <row r="4268" spans="1:9" x14ac:dyDescent="0.35">
      <c r="A4268" s="2" t="s">
        <v>4313</v>
      </c>
      <c r="B4268" s="3">
        <v>44858</v>
      </c>
      <c r="C4268" s="2" t="s">
        <v>22</v>
      </c>
      <c r="D4268" s="2" t="s">
        <v>97</v>
      </c>
      <c r="E4268" s="2" t="s">
        <v>27</v>
      </c>
      <c r="F4268" s="2">
        <v>1566.52</v>
      </c>
      <c r="G4268" s="2">
        <v>292.06</v>
      </c>
      <c r="H4268" s="2" t="s">
        <v>28</v>
      </c>
      <c r="I4268" s="2" t="s">
        <v>14</v>
      </c>
    </row>
    <row r="4269" spans="1:9" x14ac:dyDescent="0.35">
      <c r="A4269" s="2" t="s">
        <v>4314</v>
      </c>
      <c r="B4269" s="3">
        <v>45312</v>
      </c>
      <c r="C4269" s="2" t="s">
        <v>25</v>
      </c>
      <c r="D4269" s="2" t="s">
        <v>50</v>
      </c>
      <c r="E4269" s="2" t="s">
        <v>12</v>
      </c>
      <c r="F4269" s="2">
        <v>1248.1400000000001</v>
      </c>
      <c r="G4269" s="2">
        <v>321.52</v>
      </c>
      <c r="H4269" s="2" t="s">
        <v>13</v>
      </c>
      <c r="I4269" s="2" t="s">
        <v>20</v>
      </c>
    </row>
    <row r="4270" spans="1:9" x14ac:dyDescent="0.35">
      <c r="A4270" s="2" t="s">
        <v>4315</v>
      </c>
      <c r="B4270" s="3">
        <v>44873</v>
      </c>
      <c r="C4270" s="2" t="s">
        <v>25</v>
      </c>
      <c r="D4270" s="2" t="s">
        <v>57</v>
      </c>
      <c r="E4270" s="2" t="s">
        <v>27</v>
      </c>
      <c r="F4270" s="2">
        <v>337.55</v>
      </c>
      <c r="G4270" s="2">
        <v>27.8</v>
      </c>
      <c r="H4270" s="2" t="s">
        <v>19</v>
      </c>
      <c r="I4270" s="2" t="s">
        <v>34</v>
      </c>
    </row>
    <row r="4271" spans="1:9" x14ac:dyDescent="0.35">
      <c r="A4271" s="2" t="s">
        <v>4316</v>
      </c>
      <c r="B4271" s="3">
        <v>44568</v>
      </c>
      <c r="C4271" s="2" t="s">
        <v>25</v>
      </c>
      <c r="D4271" s="2" t="s">
        <v>46</v>
      </c>
      <c r="E4271" s="2" t="s">
        <v>18</v>
      </c>
      <c r="F4271" s="2">
        <v>530.89</v>
      </c>
      <c r="G4271" s="2">
        <v>46.19</v>
      </c>
      <c r="H4271" s="2" t="s">
        <v>28</v>
      </c>
      <c r="I4271" s="2" t="s">
        <v>14</v>
      </c>
    </row>
    <row r="4272" spans="1:9" x14ac:dyDescent="0.35">
      <c r="A4272" s="2" t="s">
        <v>4317</v>
      </c>
      <c r="B4272" s="3">
        <v>45335</v>
      </c>
      <c r="C4272" s="2" t="s">
        <v>16</v>
      </c>
      <c r="D4272" s="2" t="s">
        <v>95</v>
      </c>
      <c r="E4272" s="2" t="s">
        <v>18</v>
      </c>
      <c r="F4272" s="2">
        <v>305.93</v>
      </c>
      <c r="G4272" s="2">
        <v>19.71</v>
      </c>
      <c r="H4272" s="2" t="s">
        <v>13</v>
      </c>
      <c r="I4272" s="2" t="s">
        <v>14</v>
      </c>
    </row>
    <row r="4273" spans="1:9" x14ac:dyDescent="0.35">
      <c r="A4273" s="2" t="s">
        <v>4318</v>
      </c>
      <c r="B4273" s="3">
        <v>45049</v>
      </c>
      <c r="C4273" s="2" t="s">
        <v>25</v>
      </c>
      <c r="D4273" s="2" t="s">
        <v>97</v>
      </c>
      <c r="E4273" s="2" t="s">
        <v>27</v>
      </c>
      <c r="F4273" s="2">
        <v>603.76</v>
      </c>
      <c r="G4273" s="2">
        <v>125.21</v>
      </c>
      <c r="H4273" s="2" t="s">
        <v>13</v>
      </c>
      <c r="I4273" s="2" t="s">
        <v>34</v>
      </c>
    </row>
    <row r="4274" spans="1:9" x14ac:dyDescent="0.35">
      <c r="A4274" s="2" t="s">
        <v>4319</v>
      </c>
      <c r="B4274" s="3">
        <v>45349</v>
      </c>
      <c r="C4274" s="2" t="s">
        <v>25</v>
      </c>
      <c r="D4274" s="2" t="s">
        <v>73</v>
      </c>
      <c r="E4274" s="2" t="s">
        <v>27</v>
      </c>
      <c r="F4274" s="2">
        <v>988.49</v>
      </c>
      <c r="G4274" s="2">
        <v>141.54</v>
      </c>
      <c r="H4274" s="2" t="s">
        <v>28</v>
      </c>
      <c r="I4274" s="2" t="s">
        <v>29</v>
      </c>
    </row>
    <row r="4275" spans="1:9" x14ac:dyDescent="0.35">
      <c r="A4275" s="2" t="s">
        <v>4320</v>
      </c>
      <c r="B4275" s="3">
        <v>45430</v>
      </c>
      <c r="C4275" s="2" t="s">
        <v>10</v>
      </c>
      <c r="D4275" s="2" t="s">
        <v>62</v>
      </c>
      <c r="E4275" s="2" t="s">
        <v>27</v>
      </c>
      <c r="F4275" s="2">
        <v>325.60000000000002</v>
      </c>
      <c r="G4275" s="2">
        <v>83.52</v>
      </c>
      <c r="H4275" s="2" t="s">
        <v>28</v>
      </c>
      <c r="I4275" s="2" t="s">
        <v>34</v>
      </c>
    </row>
    <row r="4276" spans="1:9" x14ac:dyDescent="0.35">
      <c r="A4276" s="2" t="s">
        <v>4321</v>
      </c>
      <c r="B4276" s="3">
        <v>45605</v>
      </c>
      <c r="C4276" s="2" t="s">
        <v>10</v>
      </c>
      <c r="D4276" s="2" t="s">
        <v>17</v>
      </c>
      <c r="E4276" s="2" t="s">
        <v>18</v>
      </c>
      <c r="F4276" s="2">
        <v>1773.48</v>
      </c>
      <c r="G4276" s="2">
        <v>305.18</v>
      </c>
      <c r="H4276" s="2" t="s">
        <v>28</v>
      </c>
      <c r="I4276" s="2" t="s">
        <v>34</v>
      </c>
    </row>
    <row r="4277" spans="1:9" x14ac:dyDescent="0.35">
      <c r="A4277" s="2" t="s">
        <v>4322</v>
      </c>
      <c r="B4277" s="3">
        <v>45029</v>
      </c>
      <c r="C4277" s="2" t="s">
        <v>16</v>
      </c>
      <c r="D4277" s="2" t="s">
        <v>17</v>
      </c>
      <c r="E4277" s="2" t="s">
        <v>18</v>
      </c>
      <c r="F4277" s="2">
        <v>776.51</v>
      </c>
      <c r="G4277" s="2">
        <v>101.15</v>
      </c>
      <c r="H4277" s="2" t="s">
        <v>19</v>
      </c>
      <c r="I4277" s="2" t="s">
        <v>29</v>
      </c>
    </row>
    <row r="4278" spans="1:9" x14ac:dyDescent="0.35">
      <c r="A4278" s="2" t="s">
        <v>4323</v>
      </c>
      <c r="B4278" s="3">
        <v>44645</v>
      </c>
      <c r="C4278" s="2" t="s">
        <v>10</v>
      </c>
      <c r="D4278" s="2" t="s">
        <v>57</v>
      </c>
      <c r="E4278" s="2" t="s">
        <v>27</v>
      </c>
      <c r="F4278" s="2">
        <v>940.43</v>
      </c>
      <c r="G4278" s="2">
        <v>223.09</v>
      </c>
      <c r="H4278" s="2" t="s">
        <v>28</v>
      </c>
      <c r="I4278" s="2" t="s">
        <v>14</v>
      </c>
    </row>
    <row r="4279" spans="1:9" x14ac:dyDescent="0.35">
      <c r="A4279" s="2" t="s">
        <v>4324</v>
      </c>
      <c r="B4279" s="3">
        <v>45629</v>
      </c>
      <c r="C4279" s="2" t="s">
        <v>22</v>
      </c>
      <c r="D4279" s="2" t="s">
        <v>11</v>
      </c>
      <c r="E4279" s="2" t="s">
        <v>12</v>
      </c>
      <c r="F4279" s="2">
        <v>1662.68</v>
      </c>
      <c r="G4279" s="2">
        <v>384.09</v>
      </c>
      <c r="H4279" s="2" t="s">
        <v>13</v>
      </c>
      <c r="I4279" s="2" t="s">
        <v>20</v>
      </c>
    </row>
    <row r="4280" spans="1:9" x14ac:dyDescent="0.35">
      <c r="A4280" s="2" t="s">
        <v>4325</v>
      </c>
      <c r="B4280" s="3">
        <v>44799</v>
      </c>
      <c r="C4280" s="2" t="s">
        <v>25</v>
      </c>
      <c r="D4280" s="2" t="s">
        <v>62</v>
      </c>
      <c r="E4280" s="2" t="s">
        <v>27</v>
      </c>
      <c r="F4280" s="2">
        <v>825.27</v>
      </c>
      <c r="G4280" s="2">
        <v>146.11000000000001</v>
      </c>
      <c r="H4280" s="2" t="s">
        <v>19</v>
      </c>
      <c r="I4280" s="2" t="s">
        <v>29</v>
      </c>
    </row>
    <row r="4281" spans="1:9" x14ac:dyDescent="0.35">
      <c r="A4281" s="2" t="s">
        <v>4326</v>
      </c>
      <c r="B4281" s="3">
        <v>44847</v>
      </c>
      <c r="C4281" s="2" t="s">
        <v>22</v>
      </c>
      <c r="D4281" s="2" t="s">
        <v>57</v>
      </c>
      <c r="E4281" s="2" t="s">
        <v>27</v>
      </c>
      <c r="F4281" s="2">
        <v>382.75</v>
      </c>
      <c r="G4281" s="2">
        <v>105.98</v>
      </c>
      <c r="H4281" s="2" t="s">
        <v>28</v>
      </c>
      <c r="I4281" s="2" t="s">
        <v>29</v>
      </c>
    </row>
    <row r="4282" spans="1:9" x14ac:dyDescent="0.35">
      <c r="A4282" s="2" t="s">
        <v>4327</v>
      </c>
      <c r="B4282" s="3">
        <v>45116</v>
      </c>
      <c r="C4282" s="2" t="s">
        <v>10</v>
      </c>
      <c r="D4282" s="2" t="s">
        <v>46</v>
      </c>
      <c r="E4282" s="2" t="s">
        <v>18</v>
      </c>
      <c r="F4282" s="2">
        <v>247.37</v>
      </c>
      <c r="G4282" s="2">
        <v>28.84</v>
      </c>
      <c r="H4282" s="2" t="s">
        <v>28</v>
      </c>
      <c r="I4282" s="2" t="s">
        <v>20</v>
      </c>
    </row>
    <row r="4283" spans="1:9" x14ac:dyDescent="0.35">
      <c r="A4283" s="2" t="s">
        <v>4328</v>
      </c>
      <c r="B4283" s="3">
        <v>45405</v>
      </c>
      <c r="C4283" s="2" t="s">
        <v>16</v>
      </c>
      <c r="D4283" s="2" t="s">
        <v>31</v>
      </c>
      <c r="E4283" s="2" t="s">
        <v>12</v>
      </c>
      <c r="F4283" s="2">
        <v>1256.8800000000001</v>
      </c>
      <c r="G4283" s="2">
        <v>197.62</v>
      </c>
      <c r="H4283" s="2" t="s">
        <v>28</v>
      </c>
      <c r="I4283" s="2" t="s">
        <v>29</v>
      </c>
    </row>
    <row r="4284" spans="1:9" x14ac:dyDescent="0.35">
      <c r="A4284" s="2" t="s">
        <v>4329</v>
      </c>
      <c r="B4284" s="3">
        <v>45015</v>
      </c>
      <c r="C4284" s="2" t="s">
        <v>16</v>
      </c>
      <c r="D4284" s="2" t="s">
        <v>57</v>
      </c>
      <c r="E4284" s="2" t="s">
        <v>27</v>
      </c>
      <c r="F4284" s="2">
        <v>1466.48</v>
      </c>
      <c r="G4284" s="2">
        <v>134.22999999999999</v>
      </c>
      <c r="H4284" s="2" t="s">
        <v>19</v>
      </c>
      <c r="I4284" s="2" t="s">
        <v>14</v>
      </c>
    </row>
    <row r="4285" spans="1:9" x14ac:dyDescent="0.35">
      <c r="A4285" s="2" t="s">
        <v>4330</v>
      </c>
      <c r="B4285" s="3">
        <v>44987</v>
      </c>
      <c r="C4285" s="2" t="s">
        <v>10</v>
      </c>
      <c r="D4285" s="2" t="s">
        <v>46</v>
      </c>
      <c r="E4285" s="2" t="s">
        <v>18</v>
      </c>
      <c r="F4285" s="2">
        <v>1718.72</v>
      </c>
      <c r="G4285" s="2">
        <v>511.03</v>
      </c>
      <c r="H4285" s="2" t="s">
        <v>13</v>
      </c>
      <c r="I4285" s="2" t="s">
        <v>14</v>
      </c>
    </row>
    <row r="4286" spans="1:9" x14ac:dyDescent="0.35">
      <c r="A4286" s="2" t="s">
        <v>4331</v>
      </c>
      <c r="B4286" s="3">
        <v>45441</v>
      </c>
      <c r="C4286" s="2" t="s">
        <v>25</v>
      </c>
      <c r="D4286" s="2" t="s">
        <v>33</v>
      </c>
      <c r="E4286" s="2" t="s">
        <v>18</v>
      </c>
      <c r="F4286" s="2">
        <v>1802.65</v>
      </c>
      <c r="G4286" s="2">
        <v>285.01</v>
      </c>
      <c r="H4286" s="2" t="s">
        <v>13</v>
      </c>
      <c r="I4286" s="2" t="s">
        <v>20</v>
      </c>
    </row>
    <row r="4287" spans="1:9" x14ac:dyDescent="0.35">
      <c r="A4287" s="2" t="s">
        <v>4332</v>
      </c>
      <c r="B4287" s="3">
        <v>45361</v>
      </c>
      <c r="C4287" s="2" t="s">
        <v>10</v>
      </c>
      <c r="D4287" s="2" t="s">
        <v>57</v>
      </c>
      <c r="E4287" s="2" t="s">
        <v>27</v>
      </c>
      <c r="F4287" s="2">
        <v>1171.8900000000001</v>
      </c>
      <c r="G4287" s="2">
        <v>334.13</v>
      </c>
      <c r="H4287" s="2" t="s">
        <v>13</v>
      </c>
      <c r="I4287" s="2" t="s">
        <v>20</v>
      </c>
    </row>
    <row r="4288" spans="1:9" x14ac:dyDescent="0.35">
      <c r="A4288" s="2" t="s">
        <v>4333</v>
      </c>
      <c r="B4288" s="3">
        <v>45317</v>
      </c>
      <c r="C4288" s="2" t="s">
        <v>25</v>
      </c>
      <c r="D4288" s="2" t="s">
        <v>11</v>
      </c>
      <c r="E4288" s="2" t="s">
        <v>12</v>
      </c>
      <c r="F4288" s="2">
        <v>939.16</v>
      </c>
      <c r="G4288" s="2">
        <v>64.83</v>
      </c>
      <c r="H4288" s="2" t="s">
        <v>13</v>
      </c>
      <c r="I4288" s="2" t="s">
        <v>20</v>
      </c>
    </row>
    <row r="4289" spans="1:9" x14ac:dyDescent="0.35">
      <c r="A4289" s="2" t="s">
        <v>4334</v>
      </c>
      <c r="B4289" s="3">
        <v>44949</v>
      </c>
      <c r="C4289" s="2" t="s">
        <v>25</v>
      </c>
      <c r="D4289" s="2" t="s">
        <v>11</v>
      </c>
      <c r="E4289" s="2" t="s">
        <v>12</v>
      </c>
      <c r="F4289" s="2">
        <v>598.21</v>
      </c>
      <c r="G4289" s="2">
        <v>142.66999999999999</v>
      </c>
      <c r="H4289" s="2" t="s">
        <v>19</v>
      </c>
      <c r="I4289" s="2" t="s">
        <v>20</v>
      </c>
    </row>
    <row r="4290" spans="1:9" x14ac:dyDescent="0.35">
      <c r="A4290" s="2" t="s">
        <v>4335</v>
      </c>
      <c r="B4290" s="3">
        <v>44769</v>
      </c>
      <c r="C4290" s="2" t="s">
        <v>10</v>
      </c>
      <c r="D4290" s="2" t="s">
        <v>46</v>
      </c>
      <c r="E4290" s="2" t="s">
        <v>18</v>
      </c>
      <c r="F4290" s="2">
        <v>1795.21</v>
      </c>
      <c r="G4290" s="2">
        <v>109.56</v>
      </c>
      <c r="H4290" s="2" t="s">
        <v>28</v>
      </c>
      <c r="I4290" s="2" t="s">
        <v>14</v>
      </c>
    </row>
    <row r="4291" spans="1:9" x14ac:dyDescent="0.35">
      <c r="A4291" s="2" t="s">
        <v>4336</v>
      </c>
      <c r="B4291" s="3">
        <v>44629</v>
      </c>
      <c r="C4291" s="2" t="s">
        <v>22</v>
      </c>
      <c r="D4291" s="2" t="s">
        <v>97</v>
      </c>
      <c r="E4291" s="2" t="s">
        <v>27</v>
      </c>
      <c r="F4291" s="2">
        <v>431.78</v>
      </c>
      <c r="G4291" s="2">
        <v>28.6</v>
      </c>
      <c r="H4291" s="2" t="s">
        <v>13</v>
      </c>
      <c r="I4291" s="2" t="s">
        <v>20</v>
      </c>
    </row>
    <row r="4292" spans="1:9" x14ac:dyDescent="0.35">
      <c r="A4292" s="2" t="s">
        <v>4337</v>
      </c>
      <c r="B4292" s="3">
        <v>45280</v>
      </c>
      <c r="C4292" s="2" t="s">
        <v>25</v>
      </c>
      <c r="D4292" s="2" t="s">
        <v>17</v>
      </c>
      <c r="E4292" s="2" t="s">
        <v>18</v>
      </c>
      <c r="F4292" s="2">
        <v>1036.72</v>
      </c>
      <c r="G4292" s="2">
        <v>116.52</v>
      </c>
      <c r="H4292" s="2" t="s">
        <v>13</v>
      </c>
      <c r="I4292" s="2" t="s">
        <v>20</v>
      </c>
    </row>
    <row r="4293" spans="1:9" x14ac:dyDescent="0.35">
      <c r="A4293" s="2" t="s">
        <v>4338</v>
      </c>
      <c r="B4293" s="3">
        <v>44624</v>
      </c>
      <c r="C4293" s="2" t="s">
        <v>10</v>
      </c>
      <c r="D4293" s="2" t="s">
        <v>97</v>
      </c>
      <c r="E4293" s="2" t="s">
        <v>27</v>
      </c>
      <c r="F4293" s="2">
        <v>126.41</v>
      </c>
      <c r="G4293" s="2">
        <v>32.619999999999997</v>
      </c>
      <c r="H4293" s="2" t="s">
        <v>19</v>
      </c>
      <c r="I4293" s="2" t="s">
        <v>34</v>
      </c>
    </row>
    <row r="4294" spans="1:9" x14ac:dyDescent="0.35">
      <c r="A4294" s="2" t="s">
        <v>4339</v>
      </c>
      <c r="B4294" s="3">
        <v>45601</v>
      </c>
      <c r="C4294" s="2" t="s">
        <v>22</v>
      </c>
      <c r="D4294" s="2" t="s">
        <v>38</v>
      </c>
      <c r="E4294" s="2" t="s">
        <v>12</v>
      </c>
      <c r="F4294" s="2">
        <v>1694.09</v>
      </c>
      <c r="G4294" s="2">
        <v>353.79</v>
      </c>
      <c r="H4294" s="2" t="s">
        <v>13</v>
      </c>
      <c r="I4294" s="2" t="s">
        <v>14</v>
      </c>
    </row>
    <row r="4295" spans="1:9" x14ac:dyDescent="0.35">
      <c r="A4295" s="2" t="s">
        <v>4340</v>
      </c>
      <c r="B4295" s="3">
        <v>44985</v>
      </c>
      <c r="C4295" s="2" t="s">
        <v>16</v>
      </c>
      <c r="D4295" s="2" t="s">
        <v>50</v>
      </c>
      <c r="E4295" s="2" t="s">
        <v>12</v>
      </c>
      <c r="F4295" s="2">
        <v>1494.63</v>
      </c>
      <c r="G4295" s="2">
        <v>421.48</v>
      </c>
      <c r="H4295" s="2" t="s">
        <v>13</v>
      </c>
      <c r="I4295" s="2" t="s">
        <v>14</v>
      </c>
    </row>
    <row r="4296" spans="1:9" x14ac:dyDescent="0.35">
      <c r="A4296" s="2" t="s">
        <v>4341</v>
      </c>
      <c r="B4296" s="3">
        <v>45198</v>
      </c>
      <c r="C4296" s="2" t="s">
        <v>25</v>
      </c>
      <c r="D4296" s="2" t="s">
        <v>11</v>
      </c>
      <c r="E4296" s="2" t="s">
        <v>12</v>
      </c>
      <c r="F4296" s="2">
        <v>1428.12</v>
      </c>
      <c r="G4296" s="2">
        <v>203.39</v>
      </c>
      <c r="H4296" s="2" t="s">
        <v>13</v>
      </c>
      <c r="I4296" s="2" t="s">
        <v>34</v>
      </c>
    </row>
    <row r="4297" spans="1:9" x14ac:dyDescent="0.35">
      <c r="A4297" s="2" t="s">
        <v>4342</v>
      </c>
      <c r="B4297" s="3">
        <v>45352</v>
      </c>
      <c r="C4297" s="2" t="s">
        <v>16</v>
      </c>
      <c r="D4297" s="2" t="s">
        <v>41</v>
      </c>
      <c r="E4297" s="2" t="s">
        <v>12</v>
      </c>
      <c r="F4297" s="2">
        <v>852.21</v>
      </c>
      <c r="G4297" s="2">
        <v>84.1</v>
      </c>
      <c r="H4297" s="2" t="s">
        <v>13</v>
      </c>
      <c r="I4297" s="2" t="s">
        <v>14</v>
      </c>
    </row>
    <row r="4298" spans="1:9" x14ac:dyDescent="0.35">
      <c r="A4298" s="2" t="s">
        <v>4343</v>
      </c>
      <c r="B4298" s="3">
        <v>44944</v>
      </c>
      <c r="C4298" s="2" t="s">
        <v>25</v>
      </c>
      <c r="D4298" s="2" t="s">
        <v>11</v>
      </c>
      <c r="E4298" s="2" t="s">
        <v>12</v>
      </c>
      <c r="F4298" s="2">
        <v>1943.92</v>
      </c>
      <c r="G4298" s="2">
        <v>527.83000000000004</v>
      </c>
      <c r="H4298" s="2" t="s">
        <v>19</v>
      </c>
      <c r="I4298" s="2" t="s">
        <v>29</v>
      </c>
    </row>
    <row r="4299" spans="1:9" x14ac:dyDescent="0.35">
      <c r="A4299" s="2" t="s">
        <v>4344</v>
      </c>
      <c r="B4299" s="3">
        <v>44636</v>
      </c>
      <c r="C4299" s="2" t="s">
        <v>10</v>
      </c>
      <c r="D4299" s="2" t="s">
        <v>33</v>
      </c>
      <c r="E4299" s="2" t="s">
        <v>18</v>
      </c>
      <c r="F4299" s="2">
        <v>320.82</v>
      </c>
      <c r="G4299" s="2">
        <v>16.91</v>
      </c>
      <c r="H4299" s="2" t="s">
        <v>28</v>
      </c>
      <c r="I4299" s="2" t="s">
        <v>29</v>
      </c>
    </row>
    <row r="4300" spans="1:9" x14ac:dyDescent="0.35">
      <c r="A4300" s="2" t="s">
        <v>4345</v>
      </c>
      <c r="B4300" s="3">
        <v>45104</v>
      </c>
      <c r="C4300" s="2" t="s">
        <v>22</v>
      </c>
      <c r="D4300" s="2" t="s">
        <v>97</v>
      </c>
      <c r="E4300" s="2" t="s">
        <v>27</v>
      </c>
      <c r="F4300" s="2">
        <v>605.77</v>
      </c>
      <c r="G4300" s="2">
        <v>32.659999999999997</v>
      </c>
      <c r="H4300" s="2" t="s">
        <v>28</v>
      </c>
      <c r="I4300" s="2" t="s">
        <v>20</v>
      </c>
    </row>
    <row r="4301" spans="1:9" x14ac:dyDescent="0.35">
      <c r="A4301" s="2" t="s">
        <v>4346</v>
      </c>
      <c r="B4301" s="3">
        <v>45601</v>
      </c>
      <c r="C4301" s="2" t="s">
        <v>10</v>
      </c>
      <c r="D4301" s="2" t="s">
        <v>38</v>
      </c>
      <c r="E4301" s="2" t="s">
        <v>12</v>
      </c>
      <c r="F4301" s="2">
        <v>1418.71</v>
      </c>
      <c r="G4301" s="2">
        <v>338.49</v>
      </c>
      <c r="H4301" s="2" t="s">
        <v>19</v>
      </c>
      <c r="I4301" s="2" t="s">
        <v>29</v>
      </c>
    </row>
    <row r="4302" spans="1:9" x14ac:dyDescent="0.35">
      <c r="A4302" s="2" t="s">
        <v>4347</v>
      </c>
      <c r="B4302" s="3">
        <v>45452</v>
      </c>
      <c r="C4302" s="2" t="s">
        <v>22</v>
      </c>
      <c r="D4302" s="2" t="s">
        <v>26</v>
      </c>
      <c r="E4302" s="2" t="s">
        <v>27</v>
      </c>
      <c r="F4302" s="2">
        <v>603.51</v>
      </c>
      <c r="G4302" s="2">
        <v>92.97</v>
      </c>
      <c r="H4302" s="2" t="s">
        <v>19</v>
      </c>
      <c r="I4302" s="2" t="s">
        <v>34</v>
      </c>
    </row>
    <row r="4303" spans="1:9" x14ac:dyDescent="0.35">
      <c r="A4303" s="2" t="s">
        <v>4348</v>
      </c>
      <c r="B4303" s="3">
        <v>44609</v>
      </c>
      <c r="C4303" s="2" t="s">
        <v>25</v>
      </c>
      <c r="D4303" s="2" t="s">
        <v>50</v>
      </c>
      <c r="E4303" s="2" t="s">
        <v>12</v>
      </c>
      <c r="F4303" s="2">
        <v>371.72</v>
      </c>
      <c r="G4303" s="2">
        <v>55.2</v>
      </c>
      <c r="H4303" s="2" t="s">
        <v>28</v>
      </c>
      <c r="I4303" s="2" t="s">
        <v>34</v>
      </c>
    </row>
    <row r="4304" spans="1:9" x14ac:dyDescent="0.35">
      <c r="A4304" s="2" t="s">
        <v>4349</v>
      </c>
      <c r="B4304" s="3">
        <v>45143</v>
      </c>
      <c r="C4304" s="2" t="s">
        <v>16</v>
      </c>
      <c r="D4304" s="2" t="s">
        <v>26</v>
      </c>
      <c r="E4304" s="2" t="s">
        <v>27</v>
      </c>
      <c r="F4304" s="2">
        <v>1062.6199999999999</v>
      </c>
      <c r="G4304" s="2">
        <v>66.28</v>
      </c>
      <c r="H4304" s="2" t="s">
        <v>28</v>
      </c>
      <c r="I4304" s="2" t="s">
        <v>20</v>
      </c>
    </row>
    <row r="4305" spans="1:9" x14ac:dyDescent="0.35">
      <c r="A4305" s="2" t="s">
        <v>4350</v>
      </c>
      <c r="B4305" s="3">
        <v>45371</v>
      </c>
      <c r="C4305" s="2" t="s">
        <v>10</v>
      </c>
      <c r="D4305" s="2" t="s">
        <v>31</v>
      </c>
      <c r="E4305" s="2" t="s">
        <v>12</v>
      </c>
      <c r="F4305" s="2">
        <v>1204.23</v>
      </c>
      <c r="G4305" s="2">
        <v>356.1</v>
      </c>
      <c r="H4305" s="2" t="s">
        <v>19</v>
      </c>
      <c r="I4305" s="2" t="s">
        <v>14</v>
      </c>
    </row>
    <row r="4306" spans="1:9" x14ac:dyDescent="0.35">
      <c r="A4306" s="2" t="s">
        <v>4351</v>
      </c>
      <c r="B4306" s="3">
        <v>45174</v>
      </c>
      <c r="C4306" s="2" t="s">
        <v>10</v>
      </c>
      <c r="D4306" s="2" t="s">
        <v>41</v>
      </c>
      <c r="E4306" s="2" t="s">
        <v>12</v>
      </c>
      <c r="F4306" s="2">
        <v>221.3</v>
      </c>
      <c r="G4306" s="2">
        <v>33.47</v>
      </c>
      <c r="H4306" s="2" t="s">
        <v>28</v>
      </c>
      <c r="I4306" s="2" t="s">
        <v>29</v>
      </c>
    </row>
    <row r="4307" spans="1:9" x14ac:dyDescent="0.35">
      <c r="A4307" s="2" t="s">
        <v>4352</v>
      </c>
      <c r="B4307" s="3">
        <v>45135</v>
      </c>
      <c r="C4307" s="2" t="s">
        <v>25</v>
      </c>
      <c r="D4307" s="2" t="s">
        <v>57</v>
      </c>
      <c r="E4307" s="2" t="s">
        <v>27</v>
      </c>
      <c r="F4307" s="2">
        <v>827.74</v>
      </c>
      <c r="G4307" s="2">
        <v>128.11000000000001</v>
      </c>
      <c r="H4307" s="2" t="s">
        <v>19</v>
      </c>
      <c r="I4307" s="2" t="s">
        <v>20</v>
      </c>
    </row>
    <row r="4308" spans="1:9" x14ac:dyDescent="0.35">
      <c r="A4308" s="2" t="s">
        <v>4353</v>
      </c>
      <c r="B4308" s="3">
        <v>45651</v>
      </c>
      <c r="C4308" s="2" t="s">
        <v>25</v>
      </c>
      <c r="D4308" s="2" t="s">
        <v>62</v>
      </c>
      <c r="E4308" s="2" t="s">
        <v>27</v>
      </c>
      <c r="F4308" s="2">
        <v>1261.45</v>
      </c>
      <c r="G4308" s="2">
        <v>156.46</v>
      </c>
      <c r="H4308" s="2" t="s">
        <v>13</v>
      </c>
      <c r="I4308" s="2" t="s">
        <v>20</v>
      </c>
    </row>
    <row r="4309" spans="1:9" x14ac:dyDescent="0.35">
      <c r="A4309" s="2" t="s">
        <v>4354</v>
      </c>
      <c r="B4309" s="3">
        <v>45109</v>
      </c>
      <c r="C4309" s="2" t="s">
        <v>16</v>
      </c>
      <c r="D4309" s="2" t="s">
        <v>38</v>
      </c>
      <c r="E4309" s="2" t="s">
        <v>12</v>
      </c>
      <c r="F4309" s="2">
        <v>704.33</v>
      </c>
      <c r="G4309" s="2">
        <v>101.81</v>
      </c>
      <c r="H4309" s="2" t="s">
        <v>28</v>
      </c>
      <c r="I4309" s="2" t="s">
        <v>34</v>
      </c>
    </row>
    <row r="4310" spans="1:9" x14ac:dyDescent="0.35">
      <c r="A4310" s="2" t="s">
        <v>4355</v>
      </c>
      <c r="B4310" s="3">
        <v>45531</v>
      </c>
      <c r="C4310" s="2" t="s">
        <v>22</v>
      </c>
      <c r="D4310" s="2" t="s">
        <v>17</v>
      </c>
      <c r="E4310" s="2" t="s">
        <v>18</v>
      </c>
      <c r="F4310" s="2">
        <v>1500.09</v>
      </c>
      <c r="G4310" s="2">
        <v>244.21</v>
      </c>
      <c r="H4310" s="2" t="s">
        <v>19</v>
      </c>
      <c r="I4310" s="2" t="s">
        <v>34</v>
      </c>
    </row>
    <row r="4311" spans="1:9" x14ac:dyDescent="0.35">
      <c r="A4311" s="2" t="s">
        <v>4356</v>
      </c>
      <c r="B4311" s="3">
        <v>45044</v>
      </c>
      <c r="C4311" s="2" t="s">
        <v>22</v>
      </c>
      <c r="D4311" s="2" t="s">
        <v>50</v>
      </c>
      <c r="E4311" s="2" t="s">
        <v>12</v>
      </c>
      <c r="F4311" s="2">
        <v>476.46</v>
      </c>
      <c r="G4311" s="2">
        <v>53.29</v>
      </c>
      <c r="H4311" s="2" t="s">
        <v>19</v>
      </c>
      <c r="I4311" s="2" t="s">
        <v>34</v>
      </c>
    </row>
    <row r="4312" spans="1:9" x14ac:dyDescent="0.35">
      <c r="A4312" s="2" t="s">
        <v>4357</v>
      </c>
      <c r="B4312" s="3">
        <v>44568</v>
      </c>
      <c r="C4312" s="2" t="s">
        <v>25</v>
      </c>
      <c r="D4312" s="2" t="s">
        <v>46</v>
      </c>
      <c r="E4312" s="2" t="s">
        <v>18</v>
      </c>
      <c r="F4312" s="2">
        <v>619.42999999999995</v>
      </c>
      <c r="G4312" s="2">
        <v>153.03</v>
      </c>
      <c r="H4312" s="2" t="s">
        <v>28</v>
      </c>
      <c r="I4312" s="2" t="s">
        <v>20</v>
      </c>
    </row>
    <row r="4313" spans="1:9" x14ac:dyDescent="0.35">
      <c r="A4313" s="2" t="s">
        <v>4358</v>
      </c>
      <c r="B4313" s="3">
        <v>45324</v>
      </c>
      <c r="C4313" s="2" t="s">
        <v>25</v>
      </c>
      <c r="D4313" s="2" t="s">
        <v>26</v>
      </c>
      <c r="E4313" s="2" t="s">
        <v>27</v>
      </c>
      <c r="F4313" s="2">
        <v>1732.94</v>
      </c>
      <c r="G4313" s="2">
        <v>491.79</v>
      </c>
      <c r="H4313" s="2" t="s">
        <v>13</v>
      </c>
      <c r="I4313" s="2" t="s">
        <v>14</v>
      </c>
    </row>
    <row r="4314" spans="1:9" x14ac:dyDescent="0.35">
      <c r="A4314" s="2" t="s">
        <v>4359</v>
      </c>
      <c r="B4314" s="3">
        <v>44847</v>
      </c>
      <c r="C4314" s="2" t="s">
        <v>25</v>
      </c>
      <c r="D4314" s="2" t="s">
        <v>23</v>
      </c>
      <c r="E4314" s="2" t="s">
        <v>18</v>
      </c>
      <c r="F4314" s="2">
        <v>1794.8</v>
      </c>
      <c r="G4314" s="2">
        <v>182.56</v>
      </c>
      <c r="H4314" s="2" t="s">
        <v>19</v>
      </c>
      <c r="I4314" s="2" t="s">
        <v>29</v>
      </c>
    </row>
    <row r="4315" spans="1:9" x14ac:dyDescent="0.35">
      <c r="A4315" s="2" t="s">
        <v>4360</v>
      </c>
      <c r="B4315" s="3">
        <v>45288</v>
      </c>
      <c r="C4315" s="2" t="s">
        <v>25</v>
      </c>
      <c r="D4315" s="2" t="s">
        <v>38</v>
      </c>
      <c r="E4315" s="2" t="s">
        <v>12</v>
      </c>
      <c r="F4315" s="2">
        <v>1327.76</v>
      </c>
      <c r="G4315" s="2">
        <v>67.62</v>
      </c>
      <c r="H4315" s="2" t="s">
        <v>28</v>
      </c>
      <c r="I4315" s="2" t="s">
        <v>34</v>
      </c>
    </row>
    <row r="4316" spans="1:9" x14ac:dyDescent="0.35">
      <c r="A4316" s="2" t="s">
        <v>4361</v>
      </c>
      <c r="B4316" s="3">
        <v>44819</v>
      </c>
      <c r="C4316" s="2" t="s">
        <v>10</v>
      </c>
      <c r="D4316" s="2" t="s">
        <v>50</v>
      </c>
      <c r="E4316" s="2" t="s">
        <v>12</v>
      </c>
      <c r="F4316" s="2">
        <v>797.76</v>
      </c>
      <c r="G4316" s="2">
        <v>139.06</v>
      </c>
      <c r="H4316" s="2" t="s">
        <v>13</v>
      </c>
      <c r="I4316" s="2" t="s">
        <v>20</v>
      </c>
    </row>
    <row r="4317" spans="1:9" x14ac:dyDescent="0.35">
      <c r="A4317" s="2" t="s">
        <v>4362</v>
      </c>
      <c r="B4317" s="3">
        <v>44853</v>
      </c>
      <c r="C4317" s="2" t="s">
        <v>25</v>
      </c>
      <c r="D4317" s="2" t="s">
        <v>97</v>
      </c>
      <c r="E4317" s="2" t="s">
        <v>27</v>
      </c>
      <c r="F4317" s="2">
        <v>1500.12</v>
      </c>
      <c r="G4317" s="2">
        <v>234.73</v>
      </c>
      <c r="H4317" s="2" t="s">
        <v>28</v>
      </c>
      <c r="I4317" s="2" t="s">
        <v>34</v>
      </c>
    </row>
    <row r="4318" spans="1:9" x14ac:dyDescent="0.35">
      <c r="A4318" s="2" t="s">
        <v>4364</v>
      </c>
      <c r="B4318" s="3">
        <v>45200</v>
      </c>
      <c r="C4318" s="2" t="s">
        <v>25</v>
      </c>
      <c r="D4318" s="2" t="s">
        <v>31</v>
      </c>
      <c r="E4318" s="2" t="s">
        <v>12</v>
      </c>
      <c r="F4318" s="2">
        <v>1799.36</v>
      </c>
      <c r="G4318" s="2">
        <v>516.09</v>
      </c>
      <c r="H4318" s="2" t="s">
        <v>19</v>
      </c>
      <c r="I4318" s="2" t="s">
        <v>29</v>
      </c>
    </row>
    <row r="4319" spans="1:9" x14ac:dyDescent="0.35">
      <c r="A4319" s="2" t="s">
        <v>4365</v>
      </c>
      <c r="B4319" s="3">
        <v>45156</v>
      </c>
      <c r="C4319" s="2" t="s">
        <v>10</v>
      </c>
      <c r="D4319" s="2" t="s">
        <v>11</v>
      </c>
      <c r="E4319" s="2" t="s">
        <v>12</v>
      </c>
      <c r="F4319" s="2">
        <v>1189.43</v>
      </c>
      <c r="G4319" s="2">
        <v>123.39</v>
      </c>
      <c r="H4319" s="2" t="s">
        <v>19</v>
      </c>
      <c r="I4319" s="2" t="s">
        <v>34</v>
      </c>
    </row>
    <row r="4320" spans="1:9" x14ac:dyDescent="0.35">
      <c r="A4320" s="2" t="s">
        <v>4366</v>
      </c>
      <c r="B4320" s="3">
        <v>44957</v>
      </c>
      <c r="C4320" s="2" t="s">
        <v>16</v>
      </c>
      <c r="D4320" s="2" t="s">
        <v>97</v>
      </c>
      <c r="E4320" s="2" t="s">
        <v>27</v>
      </c>
      <c r="F4320" s="2">
        <v>1795.43</v>
      </c>
      <c r="G4320" s="2">
        <v>516.45000000000005</v>
      </c>
      <c r="H4320" s="2" t="s">
        <v>19</v>
      </c>
      <c r="I4320" s="2" t="s">
        <v>34</v>
      </c>
    </row>
    <row r="4321" spans="1:9" x14ac:dyDescent="0.35">
      <c r="A4321" s="2" t="s">
        <v>4367</v>
      </c>
      <c r="B4321" s="3">
        <v>45067</v>
      </c>
      <c r="C4321" s="2" t="s">
        <v>16</v>
      </c>
      <c r="D4321" s="2" t="s">
        <v>11</v>
      </c>
      <c r="E4321" s="2" t="s">
        <v>12</v>
      </c>
      <c r="F4321" s="2">
        <v>1351.92</v>
      </c>
      <c r="G4321" s="2">
        <v>399.08</v>
      </c>
      <c r="H4321" s="2" t="s">
        <v>13</v>
      </c>
      <c r="I4321" s="2" t="s">
        <v>29</v>
      </c>
    </row>
    <row r="4322" spans="1:9" x14ac:dyDescent="0.35">
      <c r="A4322" s="2" t="s">
        <v>4368</v>
      </c>
      <c r="B4322" s="3">
        <v>44582</v>
      </c>
      <c r="C4322" s="2" t="s">
        <v>10</v>
      </c>
      <c r="D4322" s="2" t="s">
        <v>95</v>
      </c>
      <c r="E4322" s="2" t="s">
        <v>18</v>
      </c>
      <c r="F4322" s="2">
        <v>1692.22</v>
      </c>
      <c r="G4322" s="2">
        <v>353.41</v>
      </c>
      <c r="H4322" s="2" t="s">
        <v>28</v>
      </c>
      <c r="I4322" s="2" t="s">
        <v>29</v>
      </c>
    </row>
    <row r="4323" spans="1:9" x14ac:dyDescent="0.35">
      <c r="A4323" s="2" t="s">
        <v>4369</v>
      </c>
      <c r="B4323" s="3">
        <v>45577</v>
      </c>
      <c r="C4323" s="2" t="s">
        <v>25</v>
      </c>
      <c r="D4323" s="2" t="s">
        <v>95</v>
      </c>
      <c r="E4323" s="2" t="s">
        <v>18</v>
      </c>
      <c r="F4323" s="2">
        <v>885.78</v>
      </c>
      <c r="G4323" s="2">
        <v>161.99</v>
      </c>
      <c r="H4323" s="2" t="s">
        <v>19</v>
      </c>
      <c r="I4323" s="2" t="s">
        <v>14</v>
      </c>
    </row>
    <row r="4324" spans="1:9" x14ac:dyDescent="0.35">
      <c r="A4324" s="2" t="s">
        <v>4370</v>
      </c>
      <c r="B4324" s="3">
        <v>45447</v>
      </c>
      <c r="C4324" s="2" t="s">
        <v>22</v>
      </c>
      <c r="D4324" s="2" t="s">
        <v>95</v>
      </c>
      <c r="E4324" s="2" t="s">
        <v>18</v>
      </c>
      <c r="F4324" s="2">
        <v>481.56</v>
      </c>
      <c r="G4324" s="2">
        <v>55.1</v>
      </c>
      <c r="H4324" s="2" t="s">
        <v>19</v>
      </c>
      <c r="I4324" s="2" t="s">
        <v>34</v>
      </c>
    </row>
    <row r="4325" spans="1:9" x14ac:dyDescent="0.35">
      <c r="A4325" s="2" t="s">
        <v>4371</v>
      </c>
      <c r="B4325" s="3">
        <v>44618</v>
      </c>
      <c r="C4325" s="2" t="s">
        <v>22</v>
      </c>
      <c r="D4325" s="2" t="s">
        <v>97</v>
      </c>
      <c r="E4325" s="2" t="s">
        <v>27</v>
      </c>
      <c r="F4325" s="2">
        <v>1575.43</v>
      </c>
      <c r="G4325" s="2">
        <v>407.62</v>
      </c>
      <c r="H4325" s="2" t="s">
        <v>13</v>
      </c>
      <c r="I4325" s="2" t="s">
        <v>29</v>
      </c>
    </row>
    <row r="4326" spans="1:9" x14ac:dyDescent="0.35">
      <c r="A4326" s="2" t="s">
        <v>4372</v>
      </c>
      <c r="B4326" s="3">
        <v>45501</v>
      </c>
      <c r="C4326" s="2" t="s">
        <v>25</v>
      </c>
      <c r="D4326" s="2" t="s">
        <v>41</v>
      </c>
      <c r="E4326" s="2" t="s">
        <v>12</v>
      </c>
      <c r="F4326" s="2">
        <v>288.8</v>
      </c>
      <c r="G4326" s="2">
        <v>56.83</v>
      </c>
      <c r="H4326" s="2" t="s">
        <v>13</v>
      </c>
      <c r="I4326" s="2" t="s">
        <v>14</v>
      </c>
    </row>
    <row r="4327" spans="1:9" x14ac:dyDescent="0.35">
      <c r="A4327" s="2" t="s">
        <v>4373</v>
      </c>
      <c r="B4327" s="3">
        <v>44832</v>
      </c>
      <c r="C4327" s="2" t="s">
        <v>25</v>
      </c>
      <c r="D4327" s="2" t="s">
        <v>23</v>
      </c>
      <c r="E4327" s="2" t="s">
        <v>18</v>
      </c>
      <c r="F4327" s="2">
        <v>1655.19</v>
      </c>
      <c r="G4327" s="2">
        <v>184.24</v>
      </c>
      <c r="H4327" s="2" t="s">
        <v>28</v>
      </c>
      <c r="I4327" s="2" t="s">
        <v>20</v>
      </c>
    </row>
    <row r="4328" spans="1:9" x14ac:dyDescent="0.35">
      <c r="A4328" s="2" t="s">
        <v>4374</v>
      </c>
      <c r="B4328" s="3">
        <v>44785</v>
      </c>
      <c r="C4328" s="2" t="s">
        <v>10</v>
      </c>
      <c r="D4328" s="2" t="s">
        <v>11</v>
      </c>
      <c r="E4328" s="2" t="s">
        <v>12</v>
      </c>
      <c r="F4328" s="2">
        <v>139.63999999999999</v>
      </c>
      <c r="G4328" s="2">
        <v>10.41</v>
      </c>
      <c r="H4328" s="2" t="s">
        <v>28</v>
      </c>
      <c r="I4328" s="2" t="s">
        <v>34</v>
      </c>
    </row>
    <row r="4329" spans="1:9" x14ac:dyDescent="0.35">
      <c r="A4329" s="2" t="s">
        <v>4375</v>
      </c>
      <c r="B4329" s="3">
        <v>45109</v>
      </c>
      <c r="C4329" s="2" t="s">
        <v>22</v>
      </c>
      <c r="D4329" s="2" t="s">
        <v>11</v>
      </c>
      <c r="E4329" s="2" t="s">
        <v>12</v>
      </c>
      <c r="F4329" s="2">
        <v>1832.79</v>
      </c>
      <c r="G4329" s="2">
        <v>217.21</v>
      </c>
      <c r="H4329" s="2" t="s">
        <v>28</v>
      </c>
      <c r="I4329" s="2" t="s">
        <v>29</v>
      </c>
    </row>
    <row r="4330" spans="1:9" x14ac:dyDescent="0.35">
      <c r="A4330" s="2" t="s">
        <v>4376</v>
      </c>
      <c r="B4330" s="3">
        <v>44821</v>
      </c>
      <c r="C4330" s="2" t="s">
        <v>16</v>
      </c>
      <c r="D4330" s="2" t="s">
        <v>57</v>
      </c>
      <c r="E4330" s="2" t="s">
        <v>27</v>
      </c>
      <c r="F4330" s="2">
        <v>88.13</v>
      </c>
      <c r="G4330" s="2">
        <v>22.89</v>
      </c>
      <c r="H4330" s="2" t="s">
        <v>28</v>
      </c>
      <c r="I4330" s="2" t="s">
        <v>14</v>
      </c>
    </row>
    <row r="4331" spans="1:9" x14ac:dyDescent="0.35">
      <c r="A4331" s="2" t="s">
        <v>4377</v>
      </c>
      <c r="B4331" s="3">
        <v>44841</v>
      </c>
      <c r="C4331" s="2" t="s">
        <v>16</v>
      </c>
      <c r="D4331" s="2" t="s">
        <v>11</v>
      </c>
      <c r="E4331" s="2" t="s">
        <v>12</v>
      </c>
      <c r="F4331" s="2">
        <v>1554.36</v>
      </c>
      <c r="G4331" s="2">
        <v>123.65</v>
      </c>
      <c r="H4331" s="2" t="s">
        <v>28</v>
      </c>
      <c r="I4331" s="2" t="s">
        <v>34</v>
      </c>
    </row>
    <row r="4332" spans="1:9" x14ac:dyDescent="0.35">
      <c r="A4332" s="2" t="s">
        <v>4378</v>
      </c>
      <c r="B4332" s="3">
        <v>45302</v>
      </c>
      <c r="C4332" s="2" t="s">
        <v>25</v>
      </c>
      <c r="D4332" s="2" t="s">
        <v>62</v>
      </c>
      <c r="E4332" s="2" t="s">
        <v>27</v>
      </c>
      <c r="F4332" s="2">
        <v>1596.07</v>
      </c>
      <c r="G4332" s="2">
        <v>455.53</v>
      </c>
      <c r="H4332" s="2" t="s">
        <v>28</v>
      </c>
      <c r="I4332" s="2" t="s">
        <v>14</v>
      </c>
    </row>
    <row r="4333" spans="1:9" x14ac:dyDescent="0.35">
      <c r="A4333" s="2" t="s">
        <v>4379</v>
      </c>
      <c r="B4333" s="3">
        <v>45612</v>
      </c>
      <c r="C4333" s="2" t="s">
        <v>16</v>
      </c>
      <c r="D4333" s="2" t="s">
        <v>50</v>
      </c>
      <c r="E4333" s="2" t="s">
        <v>12</v>
      </c>
      <c r="F4333" s="2">
        <v>751.22</v>
      </c>
      <c r="G4333" s="2">
        <v>55.03</v>
      </c>
      <c r="H4333" s="2" t="s">
        <v>28</v>
      </c>
      <c r="I4333" s="2" t="s">
        <v>14</v>
      </c>
    </row>
    <row r="4334" spans="1:9" x14ac:dyDescent="0.35">
      <c r="A4334" s="2" t="s">
        <v>4380</v>
      </c>
      <c r="B4334" s="3">
        <v>45597</v>
      </c>
      <c r="C4334" s="2" t="s">
        <v>16</v>
      </c>
      <c r="D4334" s="2" t="s">
        <v>50</v>
      </c>
      <c r="E4334" s="2" t="s">
        <v>12</v>
      </c>
      <c r="F4334" s="2">
        <v>1452.63</v>
      </c>
      <c r="G4334" s="2">
        <v>350.23</v>
      </c>
      <c r="H4334" s="2" t="s">
        <v>13</v>
      </c>
      <c r="I4334" s="2" t="s">
        <v>20</v>
      </c>
    </row>
    <row r="4335" spans="1:9" x14ac:dyDescent="0.35">
      <c r="A4335" s="2" t="s">
        <v>4381</v>
      </c>
      <c r="B4335" s="3">
        <v>44928</v>
      </c>
      <c r="C4335" s="2" t="s">
        <v>25</v>
      </c>
      <c r="D4335" s="2" t="s">
        <v>26</v>
      </c>
      <c r="E4335" s="2" t="s">
        <v>27</v>
      </c>
      <c r="F4335" s="2">
        <v>1814.61</v>
      </c>
      <c r="G4335" s="2">
        <v>375.68</v>
      </c>
      <c r="H4335" s="2" t="s">
        <v>28</v>
      </c>
      <c r="I4335" s="2" t="s">
        <v>20</v>
      </c>
    </row>
    <row r="4336" spans="1:9" x14ac:dyDescent="0.35">
      <c r="A4336" s="2" t="s">
        <v>4382</v>
      </c>
      <c r="B4336" s="3">
        <v>44576</v>
      </c>
      <c r="C4336" s="2" t="s">
        <v>22</v>
      </c>
      <c r="D4336" s="2" t="s">
        <v>50</v>
      </c>
      <c r="E4336" s="2" t="s">
        <v>12</v>
      </c>
      <c r="F4336" s="2">
        <v>802.41</v>
      </c>
      <c r="G4336" s="2">
        <v>165.58</v>
      </c>
      <c r="H4336" s="2" t="s">
        <v>19</v>
      </c>
      <c r="I4336" s="2" t="s">
        <v>29</v>
      </c>
    </row>
    <row r="4337" spans="1:9" x14ac:dyDescent="0.35">
      <c r="A4337" s="2" t="s">
        <v>4383</v>
      </c>
      <c r="B4337" s="3">
        <v>44807</v>
      </c>
      <c r="C4337" s="2" t="s">
        <v>10</v>
      </c>
      <c r="D4337" s="2" t="s">
        <v>73</v>
      </c>
      <c r="E4337" s="2" t="s">
        <v>27</v>
      </c>
      <c r="F4337" s="2">
        <v>355.06</v>
      </c>
      <c r="G4337" s="2">
        <v>39.020000000000003</v>
      </c>
      <c r="H4337" s="2" t="s">
        <v>28</v>
      </c>
      <c r="I4337" s="2" t="s">
        <v>20</v>
      </c>
    </row>
    <row r="4338" spans="1:9" x14ac:dyDescent="0.35">
      <c r="A4338" s="2" t="s">
        <v>4384</v>
      </c>
      <c r="B4338" s="3">
        <v>45051</v>
      </c>
      <c r="C4338" s="2" t="s">
        <v>22</v>
      </c>
      <c r="D4338" s="2" t="s">
        <v>31</v>
      </c>
      <c r="E4338" s="2" t="s">
        <v>12</v>
      </c>
      <c r="F4338" s="2">
        <v>484.03</v>
      </c>
      <c r="G4338" s="2">
        <v>63.06</v>
      </c>
      <c r="H4338" s="2" t="s">
        <v>13</v>
      </c>
      <c r="I4338" s="2" t="s">
        <v>29</v>
      </c>
    </row>
    <row r="4339" spans="1:9" x14ac:dyDescent="0.35">
      <c r="A4339" s="2" t="s">
        <v>4385</v>
      </c>
      <c r="B4339" s="3">
        <v>45206</v>
      </c>
      <c r="C4339" s="2" t="s">
        <v>22</v>
      </c>
      <c r="D4339" s="2" t="s">
        <v>38</v>
      </c>
      <c r="E4339" s="2" t="s">
        <v>12</v>
      </c>
      <c r="F4339" s="2">
        <v>1472.95</v>
      </c>
      <c r="G4339" s="2">
        <v>337</v>
      </c>
      <c r="H4339" s="2" t="s">
        <v>13</v>
      </c>
      <c r="I4339" s="2" t="s">
        <v>29</v>
      </c>
    </row>
    <row r="4340" spans="1:9" x14ac:dyDescent="0.35">
      <c r="A4340" s="2" t="s">
        <v>4386</v>
      </c>
      <c r="B4340" s="3">
        <v>44713</v>
      </c>
      <c r="C4340" s="2" t="s">
        <v>16</v>
      </c>
      <c r="D4340" s="2" t="s">
        <v>38</v>
      </c>
      <c r="E4340" s="2" t="s">
        <v>12</v>
      </c>
      <c r="F4340" s="2">
        <v>424.04</v>
      </c>
      <c r="G4340" s="2">
        <v>89.16</v>
      </c>
      <c r="H4340" s="2" t="s">
        <v>19</v>
      </c>
      <c r="I4340" s="2" t="s">
        <v>29</v>
      </c>
    </row>
    <row r="4341" spans="1:9" x14ac:dyDescent="0.35">
      <c r="A4341" s="2" t="s">
        <v>4387</v>
      </c>
      <c r="B4341" s="3">
        <v>45136</v>
      </c>
      <c r="C4341" s="2" t="s">
        <v>25</v>
      </c>
      <c r="D4341" s="2" t="s">
        <v>62</v>
      </c>
      <c r="E4341" s="2" t="s">
        <v>27</v>
      </c>
      <c r="F4341" s="2">
        <v>879.52</v>
      </c>
      <c r="G4341" s="2">
        <v>227.02</v>
      </c>
      <c r="H4341" s="2" t="s">
        <v>19</v>
      </c>
      <c r="I4341" s="2" t="s">
        <v>14</v>
      </c>
    </row>
    <row r="4342" spans="1:9" x14ac:dyDescent="0.35">
      <c r="A4342" s="2" t="s">
        <v>4388</v>
      </c>
      <c r="B4342" s="3">
        <v>45638</v>
      </c>
      <c r="C4342" s="2" t="s">
        <v>16</v>
      </c>
      <c r="D4342" s="2" t="s">
        <v>97</v>
      </c>
      <c r="E4342" s="2" t="s">
        <v>27</v>
      </c>
      <c r="F4342" s="2">
        <v>411.27</v>
      </c>
      <c r="G4342" s="2">
        <v>40.98</v>
      </c>
      <c r="H4342" s="2" t="s">
        <v>19</v>
      </c>
      <c r="I4342" s="2" t="s">
        <v>34</v>
      </c>
    </row>
    <row r="4343" spans="1:9" x14ac:dyDescent="0.35">
      <c r="A4343" s="2" t="s">
        <v>4389</v>
      </c>
      <c r="B4343" s="3">
        <v>44925</v>
      </c>
      <c r="C4343" s="2" t="s">
        <v>22</v>
      </c>
      <c r="D4343" s="2" t="s">
        <v>26</v>
      </c>
      <c r="E4343" s="2" t="s">
        <v>27</v>
      </c>
      <c r="F4343" s="2">
        <v>1567.7</v>
      </c>
      <c r="G4343" s="2">
        <v>153.61000000000001</v>
      </c>
      <c r="H4343" s="2" t="s">
        <v>13</v>
      </c>
      <c r="I4343" s="2" t="s">
        <v>14</v>
      </c>
    </row>
    <row r="4344" spans="1:9" x14ac:dyDescent="0.35">
      <c r="A4344" s="2" t="s">
        <v>4390</v>
      </c>
      <c r="B4344" s="3">
        <v>45237</v>
      </c>
      <c r="C4344" s="2" t="s">
        <v>25</v>
      </c>
      <c r="D4344" s="2" t="s">
        <v>26</v>
      </c>
      <c r="E4344" s="2" t="s">
        <v>27</v>
      </c>
      <c r="F4344" s="2">
        <v>1981.85</v>
      </c>
      <c r="G4344" s="2">
        <v>196.3</v>
      </c>
      <c r="H4344" s="2" t="s">
        <v>13</v>
      </c>
      <c r="I4344" s="2" t="s">
        <v>14</v>
      </c>
    </row>
    <row r="4345" spans="1:9" x14ac:dyDescent="0.35">
      <c r="A4345" s="2" t="s">
        <v>4391</v>
      </c>
      <c r="B4345" s="3">
        <v>45083</v>
      </c>
      <c r="C4345" s="2" t="s">
        <v>10</v>
      </c>
      <c r="D4345" s="2" t="s">
        <v>17</v>
      </c>
      <c r="E4345" s="2" t="s">
        <v>18</v>
      </c>
      <c r="F4345" s="2">
        <v>936.13</v>
      </c>
      <c r="G4345" s="2">
        <v>94.43</v>
      </c>
      <c r="H4345" s="2" t="s">
        <v>19</v>
      </c>
      <c r="I4345" s="2" t="s">
        <v>29</v>
      </c>
    </row>
    <row r="4346" spans="1:9" x14ac:dyDescent="0.35">
      <c r="A4346" s="2" t="s">
        <v>4392</v>
      </c>
      <c r="B4346" s="3">
        <v>44999</v>
      </c>
      <c r="C4346" s="2" t="s">
        <v>10</v>
      </c>
      <c r="D4346" s="2" t="s">
        <v>26</v>
      </c>
      <c r="E4346" s="2" t="s">
        <v>27</v>
      </c>
      <c r="F4346" s="2">
        <v>1698.39</v>
      </c>
      <c r="G4346" s="2">
        <v>201.51</v>
      </c>
      <c r="H4346" s="2" t="s">
        <v>28</v>
      </c>
      <c r="I4346" s="2" t="s">
        <v>29</v>
      </c>
    </row>
    <row r="4347" spans="1:9" x14ac:dyDescent="0.35">
      <c r="A4347" s="2" t="s">
        <v>4393</v>
      </c>
      <c r="B4347" s="3">
        <v>45571</v>
      </c>
      <c r="C4347" s="2" t="s">
        <v>25</v>
      </c>
      <c r="D4347" s="2" t="s">
        <v>31</v>
      </c>
      <c r="E4347" s="2" t="s">
        <v>12</v>
      </c>
      <c r="F4347" s="2">
        <v>711.85</v>
      </c>
      <c r="G4347" s="2">
        <v>195.68</v>
      </c>
      <c r="H4347" s="2" t="s">
        <v>28</v>
      </c>
      <c r="I4347" s="2" t="s">
        <v>29</v>
      </c>
    </row>
    <row r="4348" spans="1:9" x14ac:dyDescent="0.35">
      <c r="A4348" s="2" t="s">
        <v>4394</v>
      </c>
      <c r="B4348" s="3">
        <v>44716</v>
      </c>
      <c r="C4348" s="2" t="s">
        <v>10</v>
      </c>
      <c r="D4348" s="2" t="s">
        <v>17</v>
      </c>
      <c r="E4348" s="2" t="s">
        <v>18</v>
      </c>
      <c r="F4348" s="2">
        <v>444.68</v>
      </c>
      <c r="G4348" s="2">
        <v>73.38</v>
      </c>
      <c r="H4348" s="2" t="s">
        <v>13</v>
      </c>
      <c r="I4348" s="2" t="s">
        <v>14</v>
      </c>
    </row>
    <row r="4349" spans="1:9" x14ac:dyDescent="0.35">
      <c r="A4349" s="2" t="s">
        <v>4395</v>
      </c>
      <c r="B4349" s="3">
        <v>44977</v>
      </c>
      <c r="C4349" s="2" t="s">
        <v>25</v>
      </c>
      <c r="D4349" s="2" t="s">
        <v>33</v>
      </c>
      <c r="E4349" s="2" t="s">
        <v>18</v>
      </c>
      <c r="F4349" s="2">
        <v>537.91</v>
      </c>
      <c r="G4349" s="2">
        <v>160.68</v>
      </c>
      <c r="H4349" s="2" t="s">
        <v>13</v>
      </c>
      <c r="I4349" s="2" t="s">
        <v>14</v>
      </c>
    </row>
    <row r="4350" spans="1:9" x14ac:dyDescent="0.35">
      <c r="A4350" s="2" t="s">
        <v>4396</v>
      </c>
      <c r="B4350" s="3">
        <v>45295</v>
      </c>
      <c r="C4350" s="2" t="s">
        <v>10</v>
      </c>
      <c r="D4350" s="2" t="s">
        <v>46</v>
      </c>
      <c r="E4350" s="2" t="s">
        <v>18</v>
      </c>
      <c r="F4350" s="2">
        <v>295.73</v>
      </c>
      <c r="G4350" s="2">
        <v>43.85</v>
      </c>
      <c r="H4350" s="2" t="s">
        <v>19</v>
      </c>
      <c r="I4350" s="2" t="s">
        <v>29</v>
      </c>
    </row>
    <row r="4351" spans="1:9" x14ac:dyDescent="0.35">
      <c r="A4351" s="2" t="s">
        <v>4397</v>
      </c>
      <c r="B4351" s="3">
        <v>44697</v>
      </c>
      <c r="C4351" s="2" t="s">
        <v>25</v>
      </c>
      <c r="D4351" s="2" t="s">
        <v>38</v>
      </c>
      <c r="E4351" s="2" t="s">
        <v>12</v>
      </c>
      <c r="F4351" s="2">
        <v>189.98</v>
      </c>
      <c r="G4351" s="2">
        <v>10.67</v>
      </c>
      <c r="H4351" s="2" t="s">
        <v>19</v>
      </c>
      <c r="I4351" s="2" t="s">
        <v>20</v>
      </c>
    </row>
    <row r="4352" spans="1:9" x14ac:dyDescent="0.35">
      <c r="A4352" s="2" t="s">
        <v>4398</v>
      </c>
      <c r="B4352" s="3">
        <v>45225</v>
      </c>
      <c r="C4352" s="2" t="s">
        <v>10</v>
      </c>
      <c r="D4352" s="2" t="s">
        <v>41</v>
      </c>
      <c r="E4352" s="2" t="s">
        <v>12</v>
      </c>
      <c r="F4352" s="2">
        <v>429.71</v>
      </c>
      <c r="G4352" s="2">
        <v>115.9</v>
      </c>
      <c r="H4352" s="2" t="s">
        <v>13</v>
      </c>
      <c r="I4352" s="2" t="s">
        <v>20</v>
      </c>
    </row>
    <row r="4353" spans="1:9" x14ac:dyDescent="0.35">
      <c r="A4353" s="2" t="s">
        <v>4399</v>
      </c>
      <c r="B4353" s="3">
        <v>45606</v>
      </c>
      <c r="C4353" s="2" t="s">
        <v>25</v>
      </c>
      <c r="D4353" s="2" t="s">
        <v>11</v>
      </c>
      <c r="E4353" s="2" t="s">
        <v>12</v>
      </c>
      <c r="F4353" s="2">
        <v>417.49</v>
      </c>
      <c r="G4353" s="2">
        <v>119.47</v>
      </c>
      <c r="H4353" s="2" t="s">
        <v>28</v>
      </c>
      <c r="I4353" s="2" t="s">
        <v>20</v>
      </c>
    </row>
    <row r="4354" spans="1:9" x14ac:dyDescent="0.35">
      <c r="A4354" s="2" t="s">
        <v>4400</v>
      </c>
      <c r="B4354" s="3">
        <v>45332</v>
      </c>
      <c r="C4354" s="2" t="s">
        <v>25</v>
      </c>
      <c r="D4354" s="2" t="s">
        <v>41</v>
      </c>
      <c r="E4354" s="2" t="s">
        <v>12</v>
      </c>
      <c r="F4354" s="2">
        <v>1243.24</v>
      </c>
      <c r="G4354" s="2">
        <v>369.87</v>
      </c>
      <c r="H4354" s="2" t="s">
        <v>19</v>
      </c>
      <c r="I4354" s="2" t="s">
        <v>20</v>
      </c>
    </row>
    <row r="4355" spans="1:9" x14ac:dyDescent="0.35">
      <c r="A4355" s="2" t="s">
        <v>4401</v>
      </c>
      <c r="B4355" s="3">
        <v>44806</v>
      </c>
      <c r="C4355" s="2" t="s">
        <v>25</v>
      </c>
      <c r="D4355" s="2" t="s">
        <v>26</v>
      </c>
      <c r="E4355" s="2" t="s">
        <v>27</v>
      </c>
      <c r="F4355" s="2">
        <v>1256.79</v>
      </c>
      <c r="G4355" s="2">
        <v>345.52</v>
      </c>
      <c r="H4355" s="2" t="s">
        <v>19</v>
      </c>
      <c r="I4355" s="2" t="s">
        <v>14</v>
      </c>
    </row>
    <row r="4356" spans="1:9" x14ac:dyDescent="0.35">
      <c r="A4356" s="2" t="s">
        <v>4402</v>
      </c>
      <c r="B4356" s="3">
        <v>44746</v>
      </c>
      <c r="C4356" s="2" t="s">
        <v>16</v>
      </c>
      <c r="D4356" s="2" t="s">
        <v>17</v>
      </c>
      <c r="E4356" s="2" t="s">
        <v>18</v>
      </c>
      <c r="F4356" s="2">
        <v>1673.81</v>
      </c>
      <c r="G4356" s="2">
        <v>306.79000000000002</v>
      </c>
      <c r="H4356" s="2" t="s">
        <v>19</v>
      </c>
      <c r="I4356" s="2" t="s">
        <v>14</v>
      </c>
    </row>
    <row r="4357" spans="1:9" x14ac:dyDescent="0.35">
      <c r="A4357" s="2" t="s">
        <v>4403</v>
      </c>
      <c r="B4357" s="3">
        <v>44681</v>
      </c>
      <c r="C4357" s="2" t="s">
        <v>16</v>
      </c>
      <c r="D4357" s="2" t="s">
        <v>57</v>
      </c>
      <c r="E4357" s="2" t="s">
        <v>27</v>
      </c>
      <c r="F4357" s="2">
        <v>1818.36</v>
      </c>
      <c r="G4357" s="2">
        <v>161.75</v>
      </c>
      <c r="H4357" s="2" t="s">
        <v>19</v>
      </c>
      <c r="I4357" s="2" t="s">
        <v>14</v>
      </c>
    </row>
    <row r="4358" spans="1:9" x14ac:dyDescent="0.35">
      <c r="A4358" s="2" t="s">
        <v>4404</v>
      </c>
      <c r="B4358" s="3">
        <v>45024</v>
      </c>
      <c r="C4358" s="2" t="s">
        <v>16</v>
      </c>
      <c r="D4358" s="2" t="s">
        <v>62</v>
      </c>
      <c r="E4358" s="2" t="s">
        <v>27</v>
      </c>
      <c r="F4358" s="2">
        <v>738.54</v>
      </c>
      <c r="G4358" s="2">
        <v>194.55</v>
      </c>
      <c r="H4358" s="2" t="s">
        <v>28</v>
      </c>
      <c r="I4358" s="2" t="s">
        <v>29</v>
      </c>
    </row>
    <row r="4359" spans="1:9" x14ac:dyDescent="0.35">
      <c r="A4359" s="2" t="s">
        <v>4405</v>
      </c>
      <c r="B4359" s="3">
        <v>44987</v>
      </c>
      <c r="C4359" s="2" t="s">
        <v>16</v>
      </c>
      <c r="D4359" s="2" t="s">
        <v>41</v>
      </c>
      <c r="E4359" s="2" t="s">
        <v>12</v>
      </c>
      <c r="F4359" s="2">
        <v>134.94999999999999</v>
      </c>
      <c r="G4359" s="2">
        <v>11.49</v>
      </c>
      <c r="H4359" s="2" t="s">
        <v>28</v>
      </c>
      <c r="I4359" s="2" t="s">
        <v>14</v>
      </c>
    </row>
    <row r="4360" spans="1:9" x14ac:dyDescent="0.35">
      <c r="A4360" s="2" t="s">
        <v>4406</v>
      </c>
      <c r="B4360" s="3">
        <v>45043</v>
      </c>
      <c r="C4360" s="2" t="s">
        <v>25</v>
      </c>
      <c r="D4360" s="2" t="s">
        <v>41</v>
      </c>
      <c r="E4360" s="2" t="s">
        <v>12</v>
      </c>
      <c r="F4360" s="2">
        <v>339.23</v>
      </c>
      <c r="G4360" s="2">
        <v>53.57</v>
      </c>
      <c r="H4360" s="2" t="s">
        <v>19</v>
      </c>
      <c r="I4360" s="2" t="s">
        <v>14</v>
      </c>
    </row>
    <row r="4361" spans="1:9" x14ac:dyDescent="0.35">
      <c r="A4361" s="2" t="s">
        <v>4407</v>
      </c>
      <c r="B4361" s="3">
        <v>45422</v>
      </c>
      <c r="C4361" s="2" t="s">
        <v>16</v>
      </c>
      <c r="D4361" s="2" t="s">
        <v>73</v>
      </c>
      <c r="E4361" s="2" t="s">
        <v>27</v>
      </c>
      <c r="F4361" s="2">
        <v>308.98</v>
      </c>
      <c r="G4361" s="2">
        <v>22.65</v>
      </c>
      <c r="H4361" s="2" t="s">
        <v>13</v>
      </c>
      <c r="I4361" s="2" t="s">
        <v>34</v>
      </c>
    </row>
    <row r="4362" spans="1:9" x14ac:dyDescent="0.35">
      <c r="A4362" s="2" t="s">
        <v>4408</v>
      </c>
      <c r="B4362" s="3">
        <v>44858</v>
      </c>
      <c r="C4362" s="2" t="s">
        <v>25</v>
      </c>
      <c r="D4362" s="2" t="s">
        <v>11</v>
      </c>
      <c r="E4362" s="2" t="s">
        <v>12</v>
      </c>
      <c r="F4362" s="2">
        <v>327.36</v>
      </c>
      <c r="G4362" s="2">
        <v>39.69</v>
      </c>
      <c r="H4362" s="2" t="s">
        <v>13</v>
      </c>
      <c r="I4362" s="2" t="s">
        <v>14</v>
      </c>
    </row>
    <row r="4363" spans="1:9" x14ac:dyDescent="0.35">
      <c r="A4363" s="2" t="s">
        <v>4409</v>
      </c>
      <c r="B4363" s="3">
        <v>44853</v>
      </c>
      <c r="C4363" s="2" t="s">
        <v>10</v>
      </c>
      <c r="D4363" s="2" t="s">
        <v>50</v>
      </c>
      <c r="E4363" s="2" t="s">
        <v>12</v>
      </c>
      <c r="F4363" s="2">
        <v>1912.47</v>
      </c>
      <c r="G4363" s="2">
        <v>553.54999999999995</v>
      </c>
      <c r="H4363" s="2" t="s">
        <v>19</v>
      </c>
      <c r="I4363" s="2" t="s">
        <v>14</v>
      </c>
    </row>
    <row r="4364" spans="1:9" x14ac:dyDescent="0.35">
      <c r="A4364" s="2" t="s">
        <v>4410</v>
      </c>
      <c r="B4364" s="3">
        <v>44771</v>
      </c>
      <c r="C4364" s="2" t="s">
        <v>10</v>
      </c>
      <c r="D4364" s="2" t="s">
        <v>97</v>
      </c>
      <c r="E4364" s="2" t="s">
        <v>27</v>
      </c>
      <c r="F4364" s="2">
        <v>363.89</v>
      </c>
      <c r="G4364" s="2">
        <v>108.74</v>
      </c>
      <c r="H4364" s="2" t="s">
        <v>13</v>
      </c>
      <c r="I4364" s="2" t="s">
        <v>20</v>
      </c>
    </row>
    <row r="4365" spans="1:9" x14ac:dyDescent="0.35">
      <c r="A4365" s="2" t="s">
        <v>4411</v>
      </c>
      <c r="B4365" s="3">
        <v>44805</v>
      </c>
      <c r="C4365" s="2" t="s">
        <v>10</v>
      </c>
      <c r="D4365" s="2" t="s">
        <v>23</v>
      </c>
      <c r="E4365" s="2" t="s">
        <v>18</v>
      </c>
      <c r="F4365" s="2">
        <v>1449.41</v>
      </c>
      <c r="G4365" s="2">
        <v>331.57</v>
      </c>
      <c r="H4365" s="2" t="s">
        <v>28</v>
      </c>
      <c r="I4365" s="2" t="s">
        <v>34</v>
      </c>
    </row>
    <row r="4366" spans="1:9" x14ac:dyDescent="0.35">
      <c r="A4366" s="2" t="s">
        <v>4412</v>
      </c>
      <c r="B4366" s="3">
        <v>45071</v>
      </c>
      <c r="C4366" s="2" t="s">
        <v>16</v>
      </c>
      <c r="D4366" s="2" t="s">
        <v>23</v>
      </c>
      <c r="E4366" s="2" t="s">
        <v>18</v>
      </c>
      <c r="F4366" s="2">
        <v>1794.28</v>
      </c>
      <c r="G4366" s="2">
        <v>249.05</v>
      </c>
      <c r="H4366" s="2" t="s">
        <v>28</v>
      </c>
      <c r="I4366" s="2" t="s">
        <v>29</v>
      </c>
    </row>
    <row r="4367" spans="1:9" x14ac:dyDescent="0.35">
      <c r="A4367" s="2" t="s">
        <v>4413</v>
      </c>
      <c r="B4367" s="3">
        <v>45052</v>
      </c>
      <c r="C4367" s="2" t="s">
        <v>16</v>
      </c>
      <c r="D4367" s="2" t="s">
        <v>11</v>
      </c>
      <c r="E4367" s="2" t="s">
        <v>12</v>
      </c>
      <c r="F4367" s="2">
        <v>1321.18</v>
      </c>
      <c r="G4367" s="2">
        <v>266.95999999999998</v>
      </c>
      <c r="H4367" s="2" t="s">
        <v>13</v>
      </c>
      <c r="I4367" s="2" t="s">
        <v>20</v>
      </c>
    </row>
    <row r="4368" spans="1:9" x14ac:dyDescent="0.35">
      <c r="A4368" s="2" t="s">
        <v>4414</v>
      </c>
      <c r="B4368" s="3">
        <v>45625</v>
      </c>
      <c r="C4368" s="2" t="s">
        <v>25</v>
      </c>
      <c r="D4368" s="2" t="s">
        <v>17</v>
      </c>
      <c r="E4368" s="2" t="s">
        <v>18</v>
      </c>
      <c r="F4368" s="2">
        <v>1428.85</v>
      </c>
      <c r="G4368" s="2">
        <v>331.98</v>
      </c>
      <c r="H4368" s="2" t="s">
        <v>28</v>
      </c>
      <c r="I4368" s="2" t="s">
        <v>14</v>
      </c>
    </row>
    <row r="4369" spans="1:9" x14ac:dyDescent="0.35">
      <c r="A4369" s="2" t="s">
        <v>4415</v>
      </c>
      <c r="B4369" s="3">
        <v>45037</v>
      </c>
      <c r="C4369" s="2" t="s">
        <v>10</v>
      </c>
      <c r="D4369" s="2" t="s">
        <v>57</v>
      </c>
      <c r="E4369" s="2" t="s">
        <v>27</v>
      </c>
      <c r="F4369" s="2">
        <v>808.45</v>
      </c>
      <c r="G4369" s="2">
        <v>225.06</v>
      </c>
      <c r="H4369" s="2" t="s">
        <v>28</v>
      </c>
      <c r="I4369" s="2" t="s">
        <v>29</v>
      </c>
    </row>
    <row r="4370" spans="1:9" x14ac:dyDescent="0.35">
      <c r="A4370" s="2" t="s">
        <v>4416</v>
      </c>
      <c r="B4370" s="3">
        <v>45622</v>
      </c>
      <c r="C4370" s="2" t="s">
        <v>16</v>
      </c>
      <c r="D4370" s="2" t="s">
        <v>11</v>
      </c>
      <c r="E4370" s="2" t="s">
        <v>12</v>
      </c>
      <c r="F4370" s="2">
        <v>375.06</v>
      </c>
      <c r="G4370" s="2">
        <v>37.46</v>
      </c>
      <c r="H4370" s="2" t="s">
        <v>28</v>
      </c>
      <c r="I4370" s="2" t="s">
        <v>14</v>
      </c>
    </row>
    <row r="4371" spans="1:9" x14ac:dyDescent="0.35">
      <c r="A4371" s="2" t="s">
        <v>4417</v>
      </c>
      <c r="B4371" s="3">
        <v>45143</v>
      </c>
      <c r="C4371" s="2" t="s">
        <v>25</v>
      </c>
      <c r="D4371" s="2" t="s">
        <v>57</v>
      </c>
      <c r="E4371" s="2" t="s">
        <v>27</v>
      </c>
      <c r="F4371" s="2">
        <v>366.83</v>
      </c>
      <c r="G4371" s="2">
        <v>73.11</v>
      </c>
      <c r="H4371" s="2" t="s">
        <v>19</v>
      </c>
      <c r="I4371" s="2" t="s">
        <v>34</v>
      </c>
    </row>
    <row r="4372" spans="1:9" x14ac:dyDescent="0.35">
      <c r="A4372" s="2" t="s">
        <v>4418</v>
      </c>
      <c r="B4372" s="3">
        <v>45123</v>
      </c>
      <c r="C4372" s="2" t="s">
        <v>16</v>
      </c>
      <c r="D4372" s="2" t="s">
        <v>38</v>
      </c>
      <c r="E4372" s="2" t="s">
        <v>12</v>
      </c>
      <c r="F4372" s="2">
        <v>1509.99</v>
      </c>
      <c r="G4372" s="2">
        <v>231.36</v>
      </c>
      <c r="H4372" s="2" t="s">
        <v>28</v>
      </c>
      <c r="I4372" s="2" t="s">
        <v>34</v>
      </c>
    </row>
    <row r="4373" spans="1:9" x14ac:dyDescent="0.35">
      <c r="A4373" s="2" t="s">
        <v>4419</v>
      </c>
      <c r="B4373" s="3">
        <v>44646</v>
      </c>
      <c r="C4373" s="2" t="s">
        <v>10</v>
      </c>
      <c r="D4373" s="2" t="s">
        <v>31</v>
      </c>
      <c r="E4373" s="2" t="s">
        <v>12</v>
      </c>
      <c r="F4373" s="2">
        <v>518.11</v>
      </c>
      <c r="G4373" s="2">
        <v>70.48</v>
      </c>
      <c r="H4373" s="2" t="s">
        <v>13</v>
      </c>
      <c r="I4373" s="2" t="s">
        <v>29</v>
      </c>
    </row>
    <row r="4374" spans="1:9" x14ac:dyDescent="0.35">
      <c r="A4374" s="2" t="s">
        <v>4420</v>
      </c>
      <c r="B4374" s="3">
        <v>45161</v>
      </c>
      <c r="C4374" s="2" t="s">
        <v>25</v>
      </c>
      <c r="D4374" s="2" t="s">
        <v>50</v>
      </c>
      <c r="E4374" s="2" t="s">
        <v>12</v>
      </c>
      <c r="F4374" s="2">
        <v>1831.19</v>
      </c>
      <c r="G4374" s="2">
        <v>470.85</v>
      </c>
      <c r="H4374" s="2" t="s">
        <v>19</v>
      </c>
      <c r="I4374" s="2" t="s">
        <v>34</v>
      </c>
    </row>
    <row r="4375" spans="1:9" x14ac:dyDescent="0.35">
      <c r="A4375" s="2" t="s">
        <v>4421</v>
      </c>
      <c r="B4375" s="3">
        <v>45608</v>
      </c>
      <c r="C4375" s="2" t="s">
        <v>25</v>
      </c>
      <c r="D4375" s="2" t="s">
        <v>46</v>
      </c>
      <c r="E4375" s="2" t="s">
        <v>18</v>
      </c>
      <c r="F4375" s="2">
        <v>618.83000000000004</v>
      </c>
      <c r="G4375" s="2">
        <v>83.34</v>
      </c>
      <c r="H4375" s="2" t="s">
        <v>13</v>
      </c>
      <c r="I4375" s="2" t="s">
        <v>29</v>
      </c>
    </row>
    <row r="4376" spans="1:9" x14ac:dyDescent="0.35">
      <c r="A4376" s="2" t="s">
        <v>4422</v>
      </c>
      <c r="B4376" s="3">
        <v>44913</v>
      </c>
      <c r="C4376" s="2" t="s">
        <v>16</v>
      </c>
      <c r="D4376" s="2" t="s">
        <v>31</v>
      </c>
      <c r="E4376" s="2" t="s">
        <v>12</v>
      </c>
      <c r="F4376" s="2">
        <v>221.46</v>
      </c>
      <c r="G4376" s="2">
        <v>63.93</v>
      </c>
      <c r="H4376" s="2" t="s">
        <v>19</v>
      </c>
      <c r="I4376" s="2" t="s">
        <v>34</v>
      </c>
    </row>
    <row r="4377" spans="1:9" x14ac:dyDescent="0.35">
      <c r="A4377" s="2" t="s">
        <v>4423</v>
      </c>
      <c r="B4377" s="3">
        <v>44654</v>
      </c>
      <c r="C4377" s="2" t="s">
        <v>25</v>
      </c>
      <c r="D4377" s="2" t="s">
        <v>38</v>
      </c>
      <c r="E4377" s="2" t="s">
        <v>12</v>
      </c>
      <c r="F4377" s="2">
        <v>460.3</v>
      </c>
      <c r="G4377" s="2">
        <v>62.97</v>
      </c>
      <c r="H4377" s="2" t="s">
        <v>13</v>
      </c>
      <c r="I4377" s="2" t="s">
        <v>20</v>
      </c>
    </row>
    <row r="4378" spans="1:9" x14ac:dyDescent="0.35">
      <c r="A4378" s="2" t="s">
        <v>4424</v>
      </c>
      <c r="B4378" s="3">
        <v>45218</v>
      </c>
      <c r="C4378" s="2" t="s">
        <v>16</v>
      </c>
      <c r="D4378" s="2" t="s">
        <v>41</v>
      </c>
      <c r="E4378" s="2" t="s">
        <v>12</v>
      </c>
      <c r="F4378" s="2">
        <v>848.16</v>
      </c>
      <c r="G4378" s="2">
        <v>164.72</v>
      </c>
      <c r="H4378" s="2" t="s">
        <v>19</v>
      </c>
      <c r="I4378" s="2" t="s">
        <v>14</v>
      </c>
    </row>
    <row r="4379" spans="1:9" x14ac:dyDescent="0.35">
      <c r="A4379" s="2" t="s">
        <v>4425</v>
      </c>
      <c r="B4379" s="3">
        <v>45267</v>
      </c>
      <c r="C4379" s="2" t="s">
        <v>22</v>
      </c>
      <c r="D4379" s="2" t="s">
        <v>57</v>
      </c>
      <c r="E4379" s="2" t="s">
        <v>27</v>
      </c>
      <c r="F4379" s="2">
        <v>558.08000000000004</v>
      </c>
      <c r="G4379" s="2">
        <v>104.79</v>
      </c>
      <c r="H4379" s="2" t="s">
        <v>13</v>
      </c>
      <c r="I4379" s="2" t="s">
        <v>20</v>
      </c>
    </row>
    <row r="4380" spans="1:9" x14ac:dyDescent="0.35">
      <c r="A4380" s="2" t="s">
        <v>4426</v>
      </c>
      <c r="B4380" s="3">
        <v>45175</v>
      </c>
      <c r="C4380" s="2" t="s">
        <v>10</v>
      </c>
      <c r="D4380" s="2" t="s">
        <v>46</v>
      </c>
      <c r="E4380" s="2" t="s">
        <v>18</v>
      </c>
      <c r="F4380" s="2">
        <v>1990.64</v>
      </c>
      <c r="G4380" s="2">
        <v>371.25</v>
      </c>
      <c r="H4380" s="2" t="s">
        <v>13</v>
      </c>
      <c r="I4380" s="2" t="s">
        <v>29</v>
      </c>
    </row>
    <row r="4381" spans="1:9" x14ac:dyDescent="0.35">
      <c r="A4381" s="2" t="s">
        <v>4427</v>
      </c>
      <c r="B4381" s="3">
        <v>45221</v>
      </c>
      <c r="C4381" s="2" t="s">
        <v>25</v>
      </c>
      <c r="D4381" s="2" t="s">
        <v>41</v>
      </c>
      <c r="E4381" s="2" t="s">
        <v>12</v>
      </c>
      <c r="F4381" s="2">
        <v>183.09</v>
      </c>
      <c r="G4381" s="2">
        <v>51.51</v>
      </c>
      <c r="H4381" s="2" t="s">
        <v>28</v>
      </c>
      <c r="I4381" s="2" t="s">
        <v>34</v>
      </c>
    </row>
    <row r="4382" spans="1:9" x14ac:dyDescent="0.35">
      <c r="A4382" s="2" t="s">
        <v>4428</v>
      </c>
      <c r="B4382" s="3">
        <v>44763</v>
      </c>
      <c r="C4382" s="2" t="s">
        <v>22</v>
      </c>
      <c r="D4382" s="2" t="s">
        <v>50</v>
      </c>
      <c r="E4382" s="2" t="s">
        <v>12</v>
      </c>
      <c r="F4382" s="2">
        <v>909.47</v>
      </c>
      <c r="G4382" s="2">
        <v>154.30000000000001</v>
      </c>
      <c r="H4382" s="2" t="s">
        <v>19</v>
      </c>
      <c r="I4382" s="2" t="s">
        <v>34</v>
      </c>
    </row>
    <row r="4383" spans="1:9" x14ac:dyDescent="0.35">
      <c r="A4383" s="2" t="s">
        <v>4429</v>
      </c>
      <c r="B4383" s="3">
        <v>45484</v>
      </c>
      <c r="C4383" s="2" t="s">
        <v>10</v>
      </c>
      <c r="D4383" s="2" t="s">
        <v>17</v>
      </c>
      <c r="E4383" s="2" t="s">
        <v>18</v>
      </c>
      <c r="F4383" s="2">
        <v>224.05</v>
      </c>
      <c r="G4383" s="2">
        <v>63.46</v>
      </c>
      <c r="H4383" s="2" t="s">
        <v>28</v>
      </c>
      <c r="I4383" s="2" t="s">
        <v>14</v>
      </c>
    </row>
    <row r="4384" spans="1:9" x14ac:dyDescent="0.35">
      <c r="A4384" s="2" t="s">
        <v>4430</v>
      </c>
      <c r="B4384" s="3">
        <v>44929</v>
      </c>
      <c r="C4384" s="2" t="s">
        <v>25</v>
      </c>
      <c r="D4384" s="2" t="s">
        <v>97</v>
      </c>
      <c r="E4384" s="2" t="s">
        <v>27</v>
      </c>
      <c r="F4384" s="2">
        <v>259.77999999999997</v>
      </c>
      <c r="G4384" s="2">
        <v>69.41</v>
      </c>
      <c r="H4384" s="2" t="s">
        <v>28</v>
      </c>
      <c r="I4384" s="2" t="s">
        <v>34</v>
      </c>
    </row>
    <row r="4385" spans="1:9" x14ac:dyDescent="0.35">
      <c r="A4385" s="2" t="s">
        <v>4431</v>
      </c>
      <c r="B4385" s="3">
        <v>44729</v>
      </c>
      <c r="C4385" s="2" t="s">
        <v>16</v>
      </c>
      <c r="D4385" s="2" t="s">
        <v>57</v>
      </c>
      <c r="E4385" s="2" t="s">
        <v>27</v>
      </c>
      <c r="F4385" s="2">
        <v>136.74</v>
      </c>
      <c r="G4385" s="2">
        <v>25.83</v>
      </c>
      <c r="H4385" s="2" t="s">
        <v>19</v>
      </c>
      <c r="I4385" s="2" t="s">
        <v>14</v>
      </c>
    </row>
    <row r="4386" spans="1:9" x14ac:dyDescent="0.35">
      <c r="A4386" s="2" t="s">
        <v>4432</v>
      </c>
      <c r="B4386" s="3">
        <v>44872</v>
      </c>
      <c r="C4386" s="2" t="s">
        <v>16</v>
      </c>
      <c r="D4386" s="2" t="s">
        <v>26</v>
      </c>
      <c r="E4386" s="2" t="s">
        <v>27</v>
      </c>
      <c r="F4386" s="2">
        <v>1209.1500000000001</v>
      </c>
      <c r="G4386" s="2">
        <v>91.28</v>
      </c>
      <c r="H4386" s="2" t="s">
        <v>28</v>
      </c>
      <c r="I4386" s="2" t="s">
        <v>14</v>
      </c>
    </row>
    <row r="4387" spans="1:9" x14ac:dyDescent="0.35">
      <c r="A4387" s="2" t="s">
        <v>4433</v>
      </c>
      <c r="B4387" s="3">
        <v>45539</v>
      </c>
      <c r="C4387" s="2" t="s">
        <v>16</v>
      </c>
      <c r="D4387" s="2" t="s">
        <v>62</v>
      </c>
      <c r="E4387" s="2" t="s">
        <v>27</v>
      </c>
      <c r="F4387" s="2">
        <v>104.67</v>
      </c>
      <c r="G4387" s="2">
        <v>22.86</v>
      </c>
      <c r="H4387" s="2" t="s">
        <v>28</v>
      </c>
      <c r="I4387" s="2" t="s">
        <v>20</v>
      </c>
    </row>
    <row r="4388" spans="1:9" x14ac:dyDescent="0.35">
      <c r="A4388" s="2" t="s">
        <v>4434</v>
      </c>
      <c r="B4388" s="3">
        <v>44823</v>
      </c>
      <c r="C4388" s="2" t="s">
        <v>10</v>
      </c>
      <c r="D4388" s="2" t="s">
        <v>11</v>
      </c>
      <c r="E4388" s="2" t="s">
        <v>12</v>
      </c>
      <c r="F4388" s="2">
        <v>515.20000000000005</v>
      </c>
      <c r="G4388" s="2">
        <v>35.75</v>
      </c>
      <c r="H4388" s="2" t="s">
        <v>28</v>
      </c>
      <c r="I4388" s="2" t="s">
        <v>14</v>
      </c>
    </row>
    <row r="4389" spans="1:9" x14ac:dyDescent="0.35">
      <c r="A4389" s="2" t="s">
        <v>4435</v>
      </c>
      <c r="B4389" s="3">
        <v>44576</v>
      </c>
      <c r="C4389" s="2" t="s">
        <v>22</v>
      </c>
      <c r="D4389" s="2" t="s">
        <v>97</v>
      </c>
      <c r="E4389" s="2" t="s">
        <v>27</v>
      </c>
      <c r="F4389" s="2">
        <v>544.09</v>
      </c>
      <c r="G4389" s="2">
        <v>142.69</v>
      </c>
      <c r="H4389" s="2" t="s">
        <v>19</v>
      </c>
      <c r="I4389" s="2" t="s">
        <v>34</v>
      </c>
    </row>
    <row r="4390" spans="1:9" x14ac:dyDescent="0.35">
      <c r="A4390" s="2" t="s">
        <v>4436</v>
      </c>
      <c r="B4390" s="3">
        <v>45025</v>
      </c>
      <c r="C4390" s="2" t="s">
        <v>10</v>
      </c>
      <c r="D4390" s="2" t="s">
        <v>31</v>
      </c>
      <c r="E4390" s="2" t="s">
        <v>12</v>
      </c>
      <c r="F4390" s="2">
        <v>1645.19</v>
      </c>
      <c r="G4390" s="2">
        <v>186.77</v>
      </c>
      <c r="H4390" s="2" t="s">
        <v>19</v>
      </c>
      <c r="I4390" s="2" t="s">
        <v>29</v>
      </c>
    </row>
    <row r="4391" spans="1:9" x14ac:dyDescent="0.35">
      <c r="A4391" s="2" t="s">
        <v>4437</v>
      </c>
      <c r="B4391" s="3">
        <v>45025</v>
      </c>
      <c r="C4391" s="2" t="s">
        <v>10</v>
      </c>
      <c r="D4391" s="2" t="s">
        <v>31</v>
      </c>
      <c r="E4391" s="2" t="s">
        <v>12</v>
      </c>
      <c r="F4391" s="2">
        <v>758.59</v>
      </c>
      <c r="G4391" s="2">
        <v>83.15</v>
      </c>
      <c r="H4391" s="2" t="s">
        <v>13</v>
      </c>
      <c r="I4391" s="2" t="s">
        <v>34</v>
      </c>
    </row>
    <row r="4392" spans="1:9" x14ac:dyDescent="0.35">
      <c r="A4392" s="2" t="s">
        <v>4438</v>
      </c>
      <c r="B4392" s="3">
        <v>44688</v>
      </c>
      <c r="C4392" s="2" t="s">
        <v>25</v>
      </c>
      <c r="D4392" s="2" t="s">
        <v>50</v>
      </c>
      <c r="E4392" s="2" t="s">
        <v>12</v>
      </c>
      <c r="F4392" s="2">
        <v>1808.74</v>
      </c>
      <c r="G4392" s="2">
        <v>490.02</v>
      </c>
      <c r="H4392" s="2" t="s">
        <v>19</v>
      </c>
      <c r="I4392" s="2" t="s">
        <v>34</v>
      </c>
    </row>
    <row r="4393" spans="1:9" x14ac:dyDescent="0.35">
      <c r="A4393" s="2" t="s">
        <v>4439</v>
      </c>
      <c r="B4393" s="3">
        <v>44893</v>
      </c>
      <c r="C4393" s="2" t="s">
        <v>22</v>
      </c>
      <c r="D4393" s="2" t="s">
        <v>97</v>
      </c>
      <c r="E4393" s="2" t="s">
        <v>27</v>
      </c>
      <c r="F4393" s="2">
        <v>1117.18</v>
      </c>
      <c r="G4393" s="2">
        <v>82.65</v>
      </c>
      <c r="H4393" s="2" t="s">
        <v>13</v>
      </c>
      <c r="I4393" s="2" t="s">
        <v>14</v>
      </c>
    </row>
    <row r="4394" spans="1:9" x14ac:dyDescent="0.35">
      <c r="A4394" s="2" t="s">
        <v>4440</v>
      </c>
      <c r="B4394" s="3">
        <v>45044</v>
      </c>
      <c r="C4394" s="2" t="s">
        <v>25</v>
      </c>
      <c r="D4394" s="2" t="s">
        <v>31</v>
      </c>
      <c r="E4394" s="2" t="s">
        <v>12</v>
      </c>
      <c r="F4394" s="2">
        <v>737.51</v>
      </c>
      <c r="G4394" s="2">
        <v>210.16</v>
      </c>
      <c r="H4394" s="2" t="s">
        <v>19</v>
      </c>
      <c r="I4394" s="2" t="s">
        <v>14</v>
      </c>
    </row>
    <row r="4395" spans="1:9" x14ac:dyDescent="0.35">
      <c r="A4395" s="2" t="s">
        <v>4441</v>
      </c>
      <c r="B4395" s="3">
        <v>45090</v>
      </c>
      <c r="C4395" s="2" t="s">
        <v>10</v>
      </c>
      <c r="D4395" s="2" t="s">
        <v>23</v>
      </c>
      <c r="E4395" s="2" t="s">
        <v>18</v>
      </c>
      <c r="F4395" s="2">
        <v>461.45</v>
      </c>
      <c r="G4395" s="2">
        <v>129.72</v>
      </c>
      <c r="H4395" s="2" t="s">
        <v>28</v>
      </c>
      <c r="I4395" s="2" t="s">
        <v>20</v>
      </c>
    </row>
    <row r="4396" spans="1:9" x14ac:dyDescent="0.35">
      <c r="A4396" s="2" t="s">
        <v>4442</v>
      </c>
      <c r="B4396" s="3">
        <v>44789</v>
      </c>
      <c r="C4396" s="2" t="s">
        <v>10</v>
      </c>
      <c r="D4396" s="2" t="s">
        <v>23</v>
      </c>
      <c r="E4396" s="2" t="s">
        <v>18</v>
      </c>
      <c r="F4396" s="2">
        <v>328.43</v>
      </c>
      <c r="G4396" s="2">
        <v>33.07</v>
      </c>
      <c r="H4396" s="2" t="s">
        <v>13</v>
      </c>
      <c r="I4396" s="2" t="s">
        <v>20</v>
      </c>
    </row>
    <row r="4397" spans="1:9" x14ac:dyDescent="0.35">
      <c r="A4397" s="2" t="s">
        <v>4443</v>
      </c>
      <c r="B4397" s="3">
        <v>45582</v>
      </c>
      <c r="C4397" s="2" t="s">
        <v>16</v>
      </c>
      <c r="D4397" s="2" t="s">
        <v>17</v>
      </c>
      <c r="E4397" s="2" t="s">
        <v>18</v>
      </c>
      <c r="F4397" s="2">
        <v>792.02</v>
      </c>
      <c r="G4397" s="2">
        <v>68.39</v>
      </c>
      <c r="H4397" s="2" t="s">
        <v>13</v>
      </c>
      <c r="I4397" s="2" t="s">
        <v>20</v>
      </c>
    </row>
    <row r="4398" spans="1:9" x14ac:dyDescent="0.35">
      <c r="A4398" s="2" t="s">
        <v>4444</v>
      </c>
      <c r="B4398" s="3">
        <v>45564</v>
      </c>
      <c r="C4398" s="2" t="s">
        <v>16</v>
      </c>
      <c r="D4398" s="2" t="s">
        <v>62</v>
      </c>
      <c r="E4398" s="2" t="s">
        <v>27</v>
      </c>
      <c r="F4398" s="2">
        <v>282.33</v>
      </c>
      <c r="G4398" s="2">
        <v>78.3</v>
      </c>
      <c r="H4398" s="2" t="s">
        <v>13</v>
      </c>
      <c r="I4398" s="2" t="s">
        <v>34</v>
      </c>
    </row>
    <row r="4399" spans="1:9" x14ac:dyDescent="0.35">
      <c r="A4399" s="2" t="s">
        <v>4445</v>
      </c>
      <c r="B4399" s="3">
        <v>44971</v>
      </c>
      <c r="C4399" s="2" t="s">
        <v>25</v>
      </c>
      <c r="D4399" s="2" t="s">
        <v>50</v>
      </c>
      <c r="E4399" s="2" t="s">
        <v>12</v>
      </c>
      <c r="F4399" s="2">
        <v>1542.5</v>
      </c>
      <c r="G4399" s="2">
        <v>334.33</v>
      </c>
      <c r="H4399" s="2" t="s">
        <v>13</v>
      </c>
      <c r="I4399" s="2" t="s">
        <v>14</v>
      </c>
    </row>
    <row r="4400" spans="1:9" x14ac:dyDescent="0.35">
      <c r="A4400" s="2" t="s">
        <v>4446</v>
      </c>
      <c r="B4400" s="3">
        <v>44993</v>
      </c>
      <c r="C4400" s="2" t="s">
        <v>16</v>
      </c>
      <c r="D4400" s="2" t="s">
        <v>33</v>
      </c>
      <c r="E4400" s="2" t="s">
        <v>18</v>
      </c>
      <c r="F4400" s="2">
        <v>637.04999999999995</v>
      </c>
      <c r="G4400" s="2">
        <v>62.59</v>
      </c>
      <c r="H4400" s="2" t="s">
        <v>19</v>
      </c>
      <c r="I4400" s="2" t="s">
        <v>29</v>
      </c>
    </row>
    <row r="4401" spans="1:9" x14ac:dyDescent="0.35">
      <c r="A4401" s="2" t="s">
        <v>4447</v>
      </c>
      <c r="B4401" s="3">
        <v>45109</v>
      </c>
      <c r="C4401" s="2" t="s">
        <v>10</v>
      </c>
      <c r="D4401" s="2" t="s">
        <v>97</v>
      </c>
      <c r="E4401" s="2" t="s">
        <v>27</v>
      </c>
      <c r="F4401" s="2">
        <v>1729.21</v>
      </c>
      <c r="G4401" s="2">
        <v>384.07</v>
      </c>
      <c r="H4401" s="2" t="s">
        <v>13</v>
      </c>
      <c r="I4401" s="2" t="s">
        <v>34</v>
      </c>
    </row>
    <row r="4402" spans="1:9" x14ac:dyDescent="0.35">
      <c r="A4402" s="2" t="s">
        <v>4448</v>
      </c>
      <c r="B4402" s="3">
        <v>45085</v>
      </c>
      <c r="C4402" s="2" t="s">
        <v>22</v>
      </c>
      <c r="D4402" s="2" t="s">
        <v>97</v>
      </c>
      <c r="E4402" s="2" t="s">
        <v>27</v>
      </c>
      <c r="F4402" s="2">
        <v>1344.56</v>
      </c>
      <c r="G4402" s="2">
        <v>281.7</v>
      </c>
      <c r="H4402" s="2" t="s">
        <v>19</v>
      </c>
      <c r="I4402" s="2" t="s">
        <v>20</v>
      </c>
    </row>
    <row r="4403" spans="1:9" x14ac:dyDescent="0.35">
      <c r="A4403" s="2" t="s">
        <v>4449</v>
      </c>
      <c r="B4403" s="3">
        <v>44652</v>
      </c>
      <c r="C4403" s="2" t="s">
        <v>22</v>
      </c>
      <c r="D4403" s="2" t="s">
        <v>50</v>
      </c>
      <c r="E4403" s="2" t="s">
        <v>12</v>
      </c>
      <c r="F4403" s="2">
        <v>753.76</v>
      </c>
      <c r="G4403" s="2">
        <v>179.9</v>
      </c>
      <c r="H4403" s="2" t="s">
        <v>28</v>
      </c>
      <c r="I4403" s="2" t="s">
        <v>20</v>
      </c>
    </row>
    <row r="4404" spans="1:9" x14ac:dyDescent="0.35">
      <c r="A4404" s="2" t="s">
        <v>4450</v>
      </c>
      <c r="B4404" s="3">
        <v>45289</v>
      </c>
      <c r="C4404" s="2" t="s">
        <v>16</v>
      </c>
      <c r="D4404" s="2" t="s">
        <v>26</v>
      </c>
      <c r="E4404" s="2" t="s">
        <v>27</v>
      </c>
      <c r="F4404" s="2">
        <v>257.81</v>
      </c>
      <c r="G4404" s="2">
        <v>62.53</v>
      </c>
      <c r="H4404" s="2" t="s">
        <v>13</v>
      </c>
      <c r="I4404" s="2" t="s">
        <v>14</v>
      </c>
    </row>
    <row r="4405" spans="1:9" x14ac:dyDescent="0.35">
      <c r="A4405" s="2" t="s">
        <v>4451</v>
      </c>
      <c r="B4405" s="3">
        <v>45128</v>
      </c>
      <c r="C4405" s="2" t="s">
        <v>22</v>
      </c>
      <c r="D4405" s="2" t="s">
        <v>73</v>
      </c>
      <c r="E4405" s="2" t="s">
        <v>27</v>
      </c>
      <c r="F4405" s="2">
        <v>1892.68</v>
      </c>
      <c r="G4405" s="2">
        <v>543.20000000000005</v>
      </c>
      <c r="H4405" s="2" t="s">
        <v>19</v>
      </c>
      <c r="I4405" s="2" t="s">
        <v>14</v>
      </c>
    </row>
    <row r="4406" spans="1:9" x14ac:dyDescent="0.35">
      <c r="A4406" s="2" t="s">
        <v>4452</v>
      </c>
      <c r="B4406" s="3">
        <v>45008</v>
      </c>
      <c r="C4406" s="2" t="s">
        <v>22</v>
      </c>
      <c r="D4406" s="2" t="s">
        <v>97</v>
      </c>
      <c r="E4406" s="2" t="s">
        <v>27</v>
      </c>
      <c r="F4406" s="2">
        <v>1264.46</v>
      </c>
      <c r="G4406" s="2">
        <v>264.54000000000002</v>
      </c>
      <c r="H4406" s="2" t="s">
        <v>13</v>
      </c>
      <c r="I4406" s="2" t="s">
        <v>34</v>
      </c>
    </row>
    <row r="4407" spans="1:9" x14ac:dyDescent="0.35">
      <c r="A4407" s="2" t="s">
        <v>4453</v>
      </c>
      <c r="B4407" s="3">
        <v>44797</v>
      </c>
      <c r="C4407" s="2" t="s">
        <v>16</v>
      </c>
      <c r="D4407" s="2" t="s">
        <v>41</v>
      </c>
      <c r="E4407" s="2" t="s">
        <v>12</v>
      </c>
      <c r="F4407" s="2">
        <v>1477.33</v>
      </c>
      <c r="G4407" s="2">
        <v>150.08000000000001</v>
      </c>
      <c r="H4407" s="2" t="s">
        <v>19</v>
      </c>
      <c r="I4407" s="2" t="s">
        <v>20</v>
      </c>
    </row>
    <row r="4408" spans="1:9" x14ac:dyDescent="0.35">
      <c r="A4408" s="2" t="s">
        <v>4454</v>
      </c>
      <c r="B4408" s="3">
        <v>44733</v>
      </c>
      <c r="C4408" s="2" t="s">
        <v>25</v>
      </c>
      <c r="D4408" s="2" t="s">
        <v>33</v>
      </c>
      <c r="E4408" s="2" t="s">
        <v>18</v>
      </c>
      <c r="F4408" s="2">
        <v>412.15</v>
      </c>
      <c r="G4408" s="2">
        <v>67.78</v>
      </c>
      <c r="H4408" s="2" t="s">
        <v>19</v>
      </c>
      <c r="I4408" s="2" t="s">
        <v>34</v>
      </c>
    </row>
    <row r="4409" spans="1:9" x14ac:dyDescent="0.35">
      <c r="A4409" s="2" t="s">
        <v>4455</v>
      </c>
      <c r="B4409" s="3">
        <v>45630</v>
      </c>
      <c r="C4409" s="2" t="s">
        <v>10</v>
      </c>
      <c r="D4409" s="2" t="s">
        <v>95</v>
      </c>
      <c r="E4409" s="2" t="s">
        <v>18</v>
      </c>
      <c r="F4409" s="2">
        <v>719.96</v>
      </c>
      <c r="G4409" s="2">
        <v>39.869999999999997</v>
      </c>
      <c r="H4409" s="2" t="s">
        <v>13</v>
      </c>
      <c r="I4409" s="2" t="s">
        <v>29</v>
      </c>
    </row>
    <row r="4410" spans="1:9" x14ac:dyDescent="0.35">
      <c r="A4410" s="2" t="s">
        <v>4456</v>
      </c>
      <c r="B4410" s="3">
        <v>45613</v>
      </c>
      <c r="C4410" s="2" t="s">
        <v>16</v>
      </c>
      <c r="D4410" s="2" t="s">
        <v>11</v>
      </c>
      <c r="E4410" s="2" t="s">
        <v>12</v>
      </c>
      <c r="F4410" s="2">
        <v>550.23</v>
      </c>
      <c r="G4410" s="2">
        <v>128.97999999999999</v>
      </c>
      <c r="H4410" s="2" t="s">
        <v>19</v>
      </c>
      <c r="I4410" s="2" t="s">
        <v>29</v>
      </c>
    </row>
    <row r="4411" spans="1:9" x14ac:dyDescent="0.35">
      <c r="A4411" s="2" t="s">
        <v>4457</v>
      </c>
      <c r="B4411" s="3">
        <v>45466</v>
      </c>
      <c r="C4411" s="2" t="s">
        <v>22</v>
      </c>
      <c r="D4411" s="2" t="s">
        <v>23</v>
      </c>
      <c r="E4411" s="2" t="s">
        <v>18</v>
      </c>
      <c r="F4411" s="2">
        <v>183.9</v>
      </c>
      <c r="G4411" s="2">
        <v>10.73</v>
      </c>
      <c r="H4411" s="2" t="s">
        <v>28</v>
      </c>
      <c r="I4411" s="2" t="s">
        <v>14</v>
      </c>
    </row>
    <row r="4412" spans="1:9" x14ac:dyDescent="0.35">
      <c r="A4412" s="2" t="s">
        <v>4458</v>
      </c>
      <c r="B4412" s="3">
        <v>45637</v>
      </c>
      <c r="C4412" s="2" t="s">
        <v>25</v>
      </c>
      <c r="D4412" s="2" t="s">
        <v>26</v>
      </c>
      <c r="E4412" s="2" t="s">
        <v>27</v>
      </c>
      <c r="F4412" s="2">
        <v>1096.56</v>
      </c>
      <c r="G4412" s="2">
        <v>57.93</v>
      </c>
      <c r="H4412" s="2" t="s">
        <v>28</v>
      </c>
      <c r="I4412" s="2" t="s">
        <v>14</v>
      </c>
    </row>
    <row r="4413" spans="1:9" x14ac:dyDescent="0.35">
      <c r="A4413" s="2" t="s">
        <v>4459</v>
      </c>
      <c r="B4413" s="3">
        <v>44777</v>
      </c>
      <c r="C4413" s="2" t="s">
        <v>16</v>
      </c>
      <c r="D4413" s="2" t="s">
        <v>62</v>
      </c>
      <c r="E4413" s="2" t="s">
        <v>27</v>
      </c>
      <c r="F4413" s="2">
        <v>1940.49</v>
      </c>
      <c r="G4413" s="2">
        <v>121.27</v>
      </c>
      <c r="H4413" s="2" t="s">
        <v>28</v>
      </c>
      <c r="I4413" s="2" t="s">
        <v>34</v>
      </c>
    </row>
    <row r="4414" spans="1:9" x14ac:dyDescent="0.35">
      <c r="A4414" s="2" t="s">
        <v>4460</v>
      </c>
      <c r="B4414" s="3">
        <v>45321</v>
      </c>
      <c r="C4414" s="2" t="s">
        <v>10</v>
      </c>
      <c r="D4414" s="2" t="s">
        <v>73</v>
      </c>
      <c r="E4414" s="2" t="s">
        <v>27</v>
      </c>
      <c r="F4414" s="2">
        <v>1695.91</v>
      </c>
      <c r="G4414" s="2">
        <v>254.14</v>
      </c>
      <c r="H4414" s="2" t="s">
        <v>28</v>
      </c>
      <c r="I4414" s="2" t="s">
        <v>14</v>
      </c>
    </row>
    <row r="4415" spans="1:9" x14ac:dyDescent="0.35">
      <c r="A4415" s="2" t="s">
        <v>4461</v>
      </c>
      <c r="B4415" s="3">
        <v>45469</v>
      </c>
      <c r="C4415" s="2" t="s">
        <v>25</v>
      </c>
      <c r="D4415" s="2" t="s">
        <v>26</v>
      </c>
      <c r="E4415" s="2" t="s">
        <v>27</v>
      </c>
      <c r="F4415" s="2">
        <v>101.11</v>
      </c>
      <c r="G4415" s="2">
        <v>20.18</v>
      </c>
      <c r="H4415" s="2" t="s">
        <v>28</v>
      </c>
      <c r="I4415" s="2" t="s">
        <v>34</v>
      </c>
    </row>
    <row r="4416" spans="1:9" x14ac:dyDescent="0.35">
      <c r="A4416" s="2" t="s">
        <v>4462</v>
      </c>
      <c r="B4416" s="3">
        <v>44589</v>
      </c>
      <c r="C4416" s="2" t="s">
        <v>25</v>
      </c>
      <c r="D4416" s="2" t="s">
        <v>33</v>
      </c>
      <c r="E4416" s="2" t="s">
        <v>18</v>
      </c>
      <c r="F4416" s="2">
        <v>1184.42</v>
      </c>
      <c r="G4416" s="2">
        <v>159.43</v>
      </c>
      <c r="H4416" s="2" t="s">
        <v>28</v>
      </c>
      <c r="I4416" s="2" t="s">
        <v>14</v>
      </c>
    </row>
    <row r="4417" spans="1:9" x14ac:dyDescent="0.35">
      <c r="A4417" s="2" t="s">
        <v>4463</v>
      </c>
      <c r="B4417" s="3">
        <v>45522</v>
      </c>
      <c r="C4417" s="2" t="s">
        <v>22</v>
      </c>
      <c r="D4417" s="2" t="s">
        <v>23</v>
      </c>
      <c r="E4417" s="2" t="s">
        <v>18</v>
      </c>
      <c r="F4417" s="2">
        <v>1818.18</v>
      </c>
      <c r="G4417" s="2">
        <v>495.25</v>
      </c>
      <c r="H4417" s="2" t="s">
        <v>28</v>
      </c>
      <c r="I4417" s="2" t="s">
        <v>34</v>
      </c>
    </row>
    <row r="4418" spans="1:9" x14ac:dyDescent="0.35">
      <c r="A4418" s="2" t="s">
        <v>4464</v>
      </c>
      <c r="B4418" s="3">
        <v>44736</v>
      </c>
      <c r="C4418" s="2" t="s">
        <v>16</v>
      </c>
      <c r="D4418" s="2" t="s">
        <v>38</v>
      </c>
      <c r="E4418" s="2" t="s">
        <v>12</v>
      </c>
      <c r="F4418" s="2">
        <v>1834.55</v>
      </c>
      <c r="G4418" s="2">
        <v>535.34</v>
      </c>
      <c r="H4418" s="2" t="s">
        <v>13</v>
      </c>
      <c r="I4418" s="2" t="s">
        <v>34</v>
      </c>
    </row>
    <row r="4419" spans="1:9" x14ac:dyDescent="0.35">
      <c r="A4419" s="2" t="s">
        <v>4465</v>
      </c>
      <c r="B4419" s="3">
        <v>45162</v>
      </c>
      <c r="C4419" s="2" t="s">
        <v>10</v>
      </c>
      <c r="D4419" s="2" t="s">
        <v>57</v>
      </c>
      <c r="E4419" s="2" t="s">
        <v>27</v>
      </c>
      <c r="F4419" s="2">
        <v>585.62</v>
      </c>
      <c r="G4419" s="2">
        <v>160.84</v>
      </c>
      <c r="H4419" s="2" t="s">
        <v>28</v>
      </c>
      <c r="I4419" s="2" t="s">
        <v>34</v>
      </c>
    </row>
    <row r="4420" spans="1:9" x14ac:dyDescent="0.35">
      <c r="A4420" s="2" t="s">
        <v>4466</v>
      </c>
      <c r="B4420" s="3">
        <v>44715</v>
      </c>
      <c r="C4420" s="2" t="s">
        <v>16</v>
      </c>
      <c r="D4420" s="2" t="s">
        <v>41</v>
      </c>
      <c r="E4420" s="2" t="s">
        <v>12</v>
      </c>
      <c r="F4420" s="2">
        <v>574.29</v>
      </c>
      <c r="G4420" s="2">
        <v>107.32</v>
      </c>
      <c r="H4420" s="2" t="s">
        <v>13</v>
      </c>
      <c r="I4420" s="2" t="s">
        <v>34</v>
      </c>
    </row>
    <row r="4421" spans="1:9" x14ac:dyDescent="0.35">
      <c r="A4421" s="2" t="s">
        <v>4467</v>
      </c>
      <c r="B4421" s="3">
        <v>44707</v>
      </c>
      <c r="C4421" s="2" t="s">
        <v>10</v>
      </c>
      <c r="D4421" s="2" t="s">
        <v>73</v>
      </c>
      <c r="E4421" s="2" t="s">
        <v>27</v>
      </c>
      <c r="F4421" s="2">
        <v>809.99</v>
      </c>
      <c r="G4421" s="2">
        <v>89.13</v>
      </c>
      <c r="H4421" s="2" t="s">
        <v>28</v>
      </c>
      <c r="I4421" s="2" t="s">
        <v>14</v>
      </c>
    </row>
    <row r="4422" spans="1:9" x14ac:dyDescent="0.35">
      <c r="A4422" s="2" t="s">
        <v>4468</v>
      </c>
      <c r="B4422" s="3">
        <v>44714</v>
      </c>
      <c r="C4422" s="2" t="s">
        <v>16</v>
      </c>
      <c r="D4422" s="2" t="s">
        <v>31</v>
      </c>
      <c r="E4422" s="2" t="s">
        <v>12</v>
      </c>
      <c r="F4422" s="2">
        <v>98.31</v>
      </c>
      <c r="G4422" s="2">
        <v>9.92</v>
      </c>
      <c r="H4422" s="2" t="s">
        <v>28</v>
      </c>
      <c r="I4422" s="2" t="s">
        <v>20</v>
      </c>
    </row>
    <row r="4423" spans="1:9" x14ac:dyDescent="0.35">
      <c r="A4423" s="2" t="s">
        <v>4469</v>
      </c>
      <c r="B4423" s="3">
        <v>44951</v>
      </c>
      <c r="C4423" s="2" t="s">
        <v>22</v>
      </c>
      <c r="D4423" s="2" t="s">
        <v>97</v>
      </c>
      <c r="E4423" s="2" t="s">
        <v>27</v>
      </c>
      <c r="F4423" s="2">
        <v>114.82</v>
      </c>
      <c r="G4423" s="2">
        <v>12.13</v>
      </c>
      <c r="H4423" s="2" t="s">
        <v>13</v>
      </c>
      <c r="I4423" s="2" t="s">
        <v>29</v>
      </c>
    </row>
    <row r="4424" spans="1:9" x14ac:dyDescent="0.35">
      <c r="A4424" s="2" t="s">
        <v>4470</v>
      </c>
      <c r="B4424" s="3">
        <v>44953</v>
      </c>
      <c r="C4424" s="2" t="s">
        <v>16</v>
      </c>
      <c r="D4424" s="2" t="s">
        <v>95</v>
      </c>
      <c r="E4424" s="2" t="s">
        <v>18</v>
      </c>
      <c r="F4424" s="2">
        <v>668.91</v>
      </c>
      <c r="G4424" s="2">
        <v>86.53</v>
      </c>
      <c r="H4424" s="2" t="s">
        <v>13</v>
      </c>
      <c r="I4424" s="2" t="s">
        <v>34</v>
      </c>
    </row>
    <row r="4425" spans="1:9" x14ac:dyDescent="0.35">
      <c r="A4425" s="2" t="s">
        <v>4471</v>
      </c>
      <c r="B4425" s="3">
        <v>44658</v>
      </c>
      <c r="C4425" s="2" t="s">
        <v>25</v>
      </c>
      <c r="D4425" s="2" t="s">
        <v>11</v>
      </c>
      <c r="E4425" s="2" t="s">
        <v>12</v>
      </c>
      <c r="F4425" s="2">
        <v>650.94000000000005</v>
      </c>
      <c r="G4425" s="2">
        <v>96.56</v>
      </c>
      <c r="H4425" s="2" t="s">
        <v>19</v>
      </c>
      <c r="I4425" s="2" t="s">
        <v>34</v>
      </c>
    </row>
    <row r="4426" spans="1:9" x14ac:dyDescent="0.35">
      <c r="A4426" s="2" t="s">
        <v>4472</v>
      </c>
      <c r="B4426" s="3">
        <v>44862</v>
      </c>
      <c r="C4426" s="2" t="s">
        <v>16</v>
      </c>
      <c r="D4426" s="2" t="s">
        <v>73</v>
      </c>
      <c r="E4426" s="2" t="s">
        <v>27</v>
      </c>
      <c r="F4426" s="2">
        <v>887.89</v>
      </c>
      <c r="G4426" s="2">
        <v>101.48</v>
      </c>
      <c r="H4426" s="2" t="s">
        <v>13</v>
      </c>
      <c r="I4426" s="2" t="s">
        <v>29</v>
      </c>
    </row>
    <row r="4427" spans="1:9" x14ac:dyDescent="0.35">
      <c r="A4427" s="2" t="s">
        <v>4473</v>
      </c>
      <c r="B4427" s="3">
        <v>45495</v>
      </c>
      <c r="C4427" s="2" t="s">
        <v>22</v>
      </c>
      <c r="D4427" s="2" t="s">
        <v>33</v>
      </c>
      <c r="E4427" s="2" t="s">
        <v>18</v>
      </c>
      <c r="F4427" s="2">
        <v>790.46</v>
      </c>
      <c r="G4427" s="2">
        <v>209.79</v>
      </c>
      <c r="H4427" s="2" t="s">
        <v>19</v>
      </c>
      <c r="I4427" s="2" t="s">
        <v>14</v>
      </c>
    </row>
    <row r="4428" spans="1:9" x14ac:dyDescent="0.35">
      <c r="A4428" s="2" t="s">
        <v>4474</v>
      </c>
      <c r="B4428" s="3">
        <v>45505</v>
      </c>
      <c r="C4428" s="2" t="s">
        <v>16</v>
      </c>
      <c r="D4428" s="2" t="s">
        <v>11</v>
      </c>
      <c r="E4428" s="2" t="s">
        <v>12</v>
      </c>
      <c r="F4428" s="2">
        <v>1874.66</v>
      </c>
      <c r="G4428" s="2">
        <v>406.69</v>
      </c>
      <c r="H4428" s="2" t="s">
        <v>13</v>
      </c>
      <c r="I4428" s="2" t="s">
        <v>29</v>
      </c>
    </row>
    <row r="4429" spans="1:9" x14ac:dyDescent="0.35">
      <c r="A4429" s="2" t="s">
        <v>4475</v>
      </c>
      <c r="B4429" s="3">
        <v>44765</v>
      </c>
      <c r="C4429" s="2" t="s">
        <v>10</v>
      </c>
      <c r="D4429" s="2" t="s">
        <v>62</v>
      </c>
      <c r="E4429" s="2" t="s">
        <v>27</v>
      </c>
      <c r="F4429" s="2">
        <v>928.41</v>
      </c>
      <c r="G4429" s="2">
        <v>206.24</v>
      </c>
      <c r="H4429" s="2" t="s">
        <v>19</v>
      </c>
      <c r="I4429" s="2" t="s">
        <v>20</v>
      </c>
    </row>
    <row r="4430" spans="1:9" x14ac:dyDescent="0.35">
      <c r="A4430" s="2" t="s">
        <v>4476</v>
      </c>
      <c r="B4430" s="3">
        <v>44966</v>
      </c>
      <c r="C4430" s="2" t="s">
        <v>25</v>
      </c>
      <c r="D4430" s="2" t="s">
        <v>11</v>
      </c>
      <c r="E4430" s="2" t="s">
        <v>12</v>
      </c>
      <c r="F4430" s="2">
        <v>1992.46</v>
      </c>
      <c r="G4430" s="2">
        <v>479.8</v>
      </c>
      <c r="H4430" s="2" t="s">
        <v>13</v>
      </c>
      <c r="I4430" s="2" t="s">
        <v>14</v>
      </c>
    </row>
    <row r="4431" spans="1:9" x14ac:dyDescent="0.35">
      <c r="A4431" s="2" t="s">
        <v>4477</v>
      </c>
      <c r="B4431" s="3">
        <v>45105</v>
      </c>
      <c r="C4431" s="2" t="s">
        <v>25</v>
      </c>
      <c r="D4431" s="2" t="s">
        <v>33</v>
      </c>
      <c r="E4431" s="2" t="s">
        <v>18</v>
      </c>
      <c r="F4431" s="2">
        <v>1839.28</v>
      </c>
      <c r="G4431" s="2">
        <v>206.91</v>
      </c>
      <c r="H4431" s="2" t="s">
        <v>19</v>
      </c>
      <c r="I4431" s="2" t="s">
        <v>14</v>
      </c>
    </row>
    <row r="4432" spans="1:9" x14ac:dyDescent="0.35">
      <c r="A4432" s="2" t="s">
        <v>4478</v>
      </c>
      <c r="B4432" s="3">
        <v>44603</v>
      </c>
      <c r="C4432" s="2" t="s">
        <v>25</v>
      </c>
      <c r="D4432" s="2" t="s">
        <v>57</v>
      </c>
      <c r="E4432" s="2" t="s">
        <v>27</v>
      </c>
      <c r="F4432" s="2">
        <v>1920.56</v>
      </c>
      <c r="G4432" s="2">
        <v>328.12</v>
      </c>
      <c r="H4432" s="2" t="s">
        <v>13</v>
      </c>
      <c r="I4432" s="2" t="s">
        <v>14</v>
      </c>
    </row>
    <row r="4433" spans="1:9" x14ac:dyDescent="0.35">
      <c r="A4433" s="2" t="s">
        <v>4479</v>
      </c>
      <c r="B4433" s="3">
        <v>45351</v>
      </c>
      <c r="C4433" s="2" t="s">
        <v>22</v>
      </c>
      <c r="D4433" s="2" t="s">
        <v>23</v>
      </c>
      <c r="E4433" s="2" t="s">
        <v>18</v>
      </c>
      <c r="F4433" s="2">
        <v>856.47</v>
      </c>
      <c r="G4433" s="2">
        <v>46.06</v>
      </c>
      <c r="H4433" s="2" t="s">
        <v>19</v>
      </c>
      <c r="I4433" s="2" t="s">
        <v>29</v>
      </c>
    </row>
    <row r="4434" spans="1:9" x14ac:dyDescent="0.35">
      <c r="A4434" s="2" t="s">
        <v>4480</v>
      </c>
      <c r="B4434" s="3">
        <v>45631</v>
      </c>
      <c r="C4434" s="2" t="s">
        <v>10</v>
      </c>
      <c r="D4434" s="2" t="s">
        <v>23</v>
      </c>
      <c r="E4434" s="2" t="s">
        <v>18</v>
      </c>
      <c r="F4434" s="2">
        <v>322.32</v>
      </c>
      <c r="G4434" s="2">
        <v>70.22</v>
      </c>
      <c r="H4434" s="2" t="s">
        <v>13</v>
      </c>
      <c r="I4434" s="2" t="s">
        <v>20</v>
      </c>
    </row>
    <row r="4435" spans="1:9" x14ac:dyDescent="0.35">
      <c r="A4435" s="2" t="s">
        <v>4481</v>
      </c>
      <c r="B4435" s="3">
        <v>45627</v>
      </c>
      <c r="C4435" s="2" t="s">
        <v>16</v>
      </c>
      <c r="D4435" s="2" t="s">
        <v>97</v>
      </c>
      <c r="E4435" s="2" t="s">
        <v>27</v>
      </c>
      <c r="F4435" s="2">
        <v>1113.92</v>
      </c>
      <c r="G4435" s="2">
        <v>87.11</v>
      </c>
      <c r="H4435" s="2" t="s">
        <v>28</v>
      </c>
      <c r="I4435" s="2" t="s">
        <v>14</v>
      </c>
    </row>
    <row r="4436" spans="1:9" x14ac:dyDescent="0.35">
      <c r="A4436" s="2" t="s">
        <v>4482</v>
      </c>
      <c r="B4436" s="3">
        <v>44564</v>
      </c>
      <c r="C4436" s="2" t="s">
        <v>22</v>
      </c>
      <c r="D4436" s="2" t="s">
        <v>46</v>
      </c>
      <c r="E4436" s="2" t="s">
        <v>18</v>
      </c>
      <c r="F4436" s="2">
        <v>1799.38</v>
      </c>
      <c r="G4436" s="2">
        <v>389.53</v>
      </c>
      <c r="H4436" s="2" t="s">
        <v>28</v>
      </c>
      <c r="I4436" s="2" t="s">
        <v>34</v>
      </c>
    </row>
    <row r="4437" spans="1:9" x14ac:dyDescent="0.35">
      <c r="A4437" s="2" t="s">
        <v>4483</v>
      </c>
      <c r="B4437" s="3">
        <v>44591</v>
      </c>
      <c r="C4437" s="2" t="s">
        <v>16</v>
      </c>
      <c r="D4437" s="2" t="s">
        <v>62</v>
      </c>
      <c r="E4437" s="2" t="s">
        <v>27</v>
      </c>
      <c r="F4437" s="2">
        <v>1848.94</v>
      </c>
      <c r="G4437" s="2">
        <v>204.74</v>
      </c>
      <c r="H4437" s="2" t="s">
        <v>28</v>
      </c>
      <c r="I4437" s="2" t="s">
        <v>14</v>
      </c>
    </row>
    <row r="4438" spans="1:9" x14ac:dyDescent="0.35">
      <c r="A4438" s="2" t="s">
        <v>4484</v>
      </c>
      <c r="B4438" s="3">
        <v>45525</v>
      </c>
      <c r="C4438" s="2" t="s">
        <v>25</v>
      </c>
      <c r="D4438" s="2" t="s">
        <v>97</v>
      </c>
      <c r="E4438" s="2" t="s">
        <v>27</v>
      </c>
      <c r="F4438" s="2">
        <v>737.84</v>
      </c>
      <c r="G4438" s="2">
        <v>216.22</v>
      </c>
      <c r="H4438" s="2" t="s">
        <v>13</v>
      </c>
      <c r="I4438" s="2" t="s">
        <v>34</v>
      </c>
    </row>
    <row r="4439" spans="1:9" x14ac:dyDescent="0.35">
      <c r="A4439" s="2" t="s">
        <v>4485</v>
      </c>
      <c r="B4439" s="3">
        <v>45304</v>
      </c>
      <c r="C4439" s="2" t="s">
        <v>16</v>
      </c>
      <c r="D4439" s="2" t="s">
        <v>73</v>
      </c>
      <c r="E4439" s="2" t="s">
        <v>27</v>
      </c>
      <c r="F4439" s="2">
        <v>1394.77</v>
      </c>
      <c r="G4439" s="2">
        <v>347.02</v>
      </c>
      <c r="H4439" s="2" t="s">
        <v>19</v>
      </c>
      <c r="I4439" s="2" t="s">
        <v>14</v>
      </c>
    </row>
    <row r="4440" spans="1:9" x14ac:dyDescent="0.35">
      <c r="A4440" s="2" t="s">
        <v>4486</v>
      </c>
      <c r="B4440" s="3">
        <v>44794</v>
      </c>
      <c r="C4440" s="2" t="s">
        <v>10</v>
      </c>
      <c r="D4440" s="2" t="s">
        <v>57</v>
      </c>
      <c r="E4440" s="2" t="s">
        <v>27</v>
      </c>
      <c r="F4440" s="2">
        <v>578.22</v>
      </c>
      <c r="G4440" s="2">
        <v>73.33</v>
      </c>
      <c r="H4440" s="2" t="s">
        <v>28</v>
      </c>
      <c r="I4440" s="2" t="s">
        <v>34</v>
      </c>
    </row>
    <row r="4441" spans="1:9" x14ac:dyDescent="0.35">
      <c r="A4441" s="2" t="s">
        <v>4487</v>
      </c>
      <c r="B4441" s="3">
        <v>45185</v>
      </c>
      <c r="C4441" s="2" t="s">
        <v>10</v>
      </c>
      <c r="D4441" s="2" t="s">
        <v>73</v>
      </c>
      <c r="E4441" s="2" t="s">
        <v>27</v>
      </c>
      <c r="F4441" s="2">
        <v>918.07</v>
      </c>
      <c r="G4441" s="2">
        <v>203.16</v>
      </c>
      <c r="H4441" s="2" t="s">
        <v>28</v>
      </c>
      <c r="I4441" s="2" t="s">
        <v>34</v>
      </c>
    </row>
    <row r="4442" spans="1:9" x14ac:dyDescent="0.35">
      <c r="A4442" s="2" t="s">
        <v>4488</v>
      </c>
      <c r="B4442" s="3">
        <v>45061</v>
      </c>
      <c r="C4442" s="2" t="s">
        <v>10</v>
      </c>
      <c r="D4442" s="2" t="s">
        <v>62</v>
      </c>
      <c r="E4442" s="2" t="s">
        <v>27</v>
      </c>
      <c r="F4442" s="2">
        <v>794.77</v>
      </c>
      <c r="G4442" s="2">
        <v>129.34</v>
      </c>
      <c r="H4442" s="2" t="s">
        <v>13</v>
      </c>
      <c r="I4442" s="2" t="s">
        <v>14</v>
      </c>
    </row>
    <row r="4443" spans="1:9" x14ac:dyDescent="0.35">
      <c r="A4443" s="2" t="s">
        <v>4489</v>
      </c>
      <c r="B4443" s="3">
        <v>44569</v>
      </c>
      <c r="C4443" s="2" t="s">
        <v>16</v>
      </c>
      <c r="D4443" s="2" t="s">
        <v>11</v>
      </c>
      <c r="E4443" s="2" t="s">
        <v>12</v>
      </c>
      <c r="F4443" s="2">
        <v>1592.68</v>
      </c>
      <c r="G4443" s="2">
        <v>389.63</v>
      </c>
      <c r="H4443" s="2" t="s">
        <v>28</v>
      </c>
      <c r="I4443" s="2" t="s">
        <v>20</v>
      </c>
    </row>
    <row r="4444" spans="1:9" x14ac:dyDescent="0.35">
      <c r="A4444" s="2" t="s">
        <v>4490</v>
      </c>
      <c r="B4444" s="3">
        <v>45544</v>
      </c>
      <c r="C4444" s="2" t="s">
        <v>10</v>
      </c>
      <c r="D4444" s="2" t="s">
        <v>41</v>
      </c>
      <c r="E4444" s="2" t="s">
        <v>12</v>
      </c>
      <c r="F4444" s="2">
        <v>637.75</v>
      </c>
      <c r="G4444" s="2">
        <v>124.05</v>
      </c>
      <c r="H4444" s="2" t="s">
        <v>19</v>
      </c>
      <c r="I4444" s="2" t="s">
        <v>14</v>
      </c>
    </row>
    <row r="4445" spans="1:9" x14ac:dyDescent="0.35">
      <c r="A4445" s="2" t="s">
        <v>4491</v>
      </c>
      <c r="B4445" s="3">
        <v>45356</v>
      </c>
      <c r="C4445" s="2" t="s">
        <v>22</v>
      </c>
      <c r="D4445" s="2" t="s">
        <v>17</v>
      </c>
      <c r="E4445" s="2" t="s">
        <v>18</v>
      </c>
      <c r="F4445" s="2">
        <v>1388.28</v>
      </c>
      <c r="G4445" s="2">
        <v>187.61</v>
      </c>
      <c r="H4445" s="2" t="s">
        <v>13</v>
      </c>
      <c r="I4445" s="2" t="s">
        <v>20</v>
      </c>
    </row>
    <row r="4446" spans="1:9" x14ac:dyDescent="0.35">
      <c r="A4446" s="2" t="s">
        <v>4492</v>
      </c>
      <c r="B4446" s="3">
        <v>45388</v>
      </c>
      <c r="C4446" s="2" t="s">
        <v>10</v>
      </c>
      <c r="D4446" s="2" t="s">
        <v>46</v>
      </c>
      <c r="E4446" s="2" t="s">
        <v>18</v>
      </c>
      <c r="F4446" s="2">
        <v>1278.31</v>
      </c>
      <c r="G4446" s="2">
        <v>292.12</v>
      </c>
      <c r="H4446" s="2" t="s">
        <v>13</v>
      </c>
      <c r="I4446" s="2" t="s">
        <v>20</v>
      </c>
    </row>
    <row r="4447" spans="1:9" x14ac:dyDescent="0.35">
      <c r="A4447" s="2" t="s">
        <v>4493</v>
      </c>
      <c r="B4447" s="3">
        <v>45402</v>
      </c>
      <c r="C4447" s="2" t="s">
        <v>10</v>
      </c>
      <c r="D4447" s="2" t="s">
        <v>97</v>
      </c>
      <c r="E4447" s="2" t="s">
        <v>27</v>
      </c>
      <c r="F4447" s="2">
        <v>1223.1199999999999</v>
      </c>
      <c r="G4447" s="2">
        <v>146.87</v>
      </c>
      <c r="H4447" s="2" t="s">
        <v>19</v>
      </c>
      <c r="I4447" s="2" t="s">
        <v>14</v>
      </c>
    </row>
    <row r="4448" spans="1:9" x14ac:dyDescent="0.35">
      <c r="A4448" s="2" t="s">
        <v>4494</v>
      </c>
      <c r="B4448" s="3">
        <v>45590</v>
      </c>
      <c r="C4448" s="2" t="s">
        <v>25</v>
      </c>
      <c r="D4448" s="2" t="s">
        <v>11</v>
      </c>
      <c r="E4448" s="2" t="s">
        <v>12</v>
      </c>
      <c r="F4448" s="2">
        <v>1499.07</v>
      </c>
      <c r="G4448" s="2">
        <v>105.44</v>
      </c>
      <c r="H4448" s="2" t="s">
        <v>13</v>
      </c>
      <c r="I4448" s="2" t="s">
        <v>34</v>
      </c>
    </row>
    <row r="4449" spans="1:9" x14ac:dyDescent="0.35">
      <c r="A4449" s="2" t="s">
        <v>4495</v>
      </c>
      <c r="B4449" s="3">
        <v>44964</v>
      </c>
      <c r="C4449" s="2" t="s">
        <v>16</v>
      </c>
      <c r="D4449" s="2" t="s">
        <v>97</v>
      </c>
      <c r="E4449" s="2" t="s">
        <v>27</v>
      </c>
      <c r="F4449" s="2">
        <v>318.38</v>
      </c>
      <c r="G4449" s="2">
        <v>64.23</v>
      </c>
      <c r="H4449" s="2" t="s">
        <v>28</v>
      </c>
      <c r="I4449" s="2" t="s">
        <v>34</v>
      </c>
    </row>
    <row r="4450" spans="1:9" x14ac:dyDescent="0.35">
      <c r="A4450" s="2" t="s">
        <v>4496</v>
      </c>
      <c r="B4450" s="3">
        <v>45570</v>
      </c>
      <c r="C4450" s="2" t="s">
        <v>10</v>
      </c>
      <c r="D4450" s="2" t="s">
        <v>17</v>
      </c>
      <c r="E4450" s="2" t="s">
        <v>18</v>
      </c>
      <c r="F4450" s="2">
        <v>616.59</v>
      </c>
      <c r="G4450" s="2">
        <v>184.4</v>
      </c>
      <c r="H4450" s="2" t="s">
        <v>13</v>
      </c>
      <c r="I4450" s="2" t="s">
        <v>20</v>
      </c>
    </row>
    <row r="4451" spans="1:9" x14ac:dyDescent="0.35">
      <c r="A4451" s="2" t="s">
        <v>4497</v>
      </c>
      <c r="B4451" s="3">
        <v>44615</v>
      </c>
      <c r="C4451" s="2" t="s">
        <v>16</v>
      </c>
      <c r="D4451" s="2" t="s">
        <v>57</v>
      </c>
      <c r="E4451" s="2" t="s">
        <v>27</v>
      </c>
      <c r="F4451" s="2">
        <v>663.45</v>
      </c>
      <c r="G4451" s="2">
        <v>91.91</v>
      </c>
      <c r="H4451" s="2" t="s">
        <v>13</v>
      </c>
      <c r="I4451" s="2" t="s">
        <v>20</v>
      </c>
    </row>
    <row r="4452" spans="1:9" x14ac:dyDescent="0.35">
      <c r="A4452" s="2" t="s">
        <v>4498</v>
      </c>
      <c r="B4452" s="3">
        <v>45069</v>
      </c>
      <c r="C4452" s="2" t="s">
        <v>22</v>
      </c>
      <c r="D4452" s="2" t="s">
        <v>38</v>
      </c>
      <c r="E4452" s="2" t="s">
        <v>12</v>
      </c>
      <c r="F4452" s="2">
        <v>442.44</v>
      </c>
      <c r="G4452" s="2">
        <v>23.21</v>
      </c>
      <c r="H4452" s="2" t="s">
        <v>19</v>
      </c>
      <c r="I4452" s="2" t="s">
        <v>14</v>
      </c>
    </row>
    <row r="4453" spans="1:9" x14ac:dyDescent="0.35">
      <c r="A4453" s="2" t="s">
        <v>4499</v>
      </c>
      <c r="B4453" s="3">
        <v>44812</v>
      </c>
      <c r="C4453" s="2" t="s">
        <v>22</v>
      </c>
      <c r="D4453" s="2" t="s">
        <v>23</v>
      </c>
      <c r="E4453" s="2" t="s">
        <v>18</v>
      </c>
      <c r="F4453" s="2">
        <v>1108.47</v>
      </c>
      <c r="G4453" s="2">
        <v>146.47</v>
      </c>
      <c r="H4453" s="2" t="s">
        <v>19</v>
      </c>
      <c r="I4453" s="2" t="s">
        <v>34</v>
      </c>
    </row>
    <row r="4454" spans="1:9" x14ac:dyDescent="0.35">
      <c r="A4454" s="2" t="s">
        <v>4500</v>
      </c>
      <c r="B4454" s="3">
        <v>45528</v>
      </c>
      <c r="C4454" s="2" t="s">
        <v>16</v>
      </c>
      <c r="D4454" s="2" t="s">
        <v>46</v>
      </c>
      <c r="E4454" s="2" t="s">
        <v>18</v>
      </c>
      <c r="F4454" s="2">
        <v>1836.71</v>
      </c>
      <c r="G4454" s="2">
        <v>255.82</v>
      </c>
      <c r="H4454" s="2" t="s">
        <v>19</v>
      </c>
      <c r="I4454" s="2" t="s">
        <v>14</v>
      </c>
    </row>
    <row r="4455" spans="1:9" x14ac:dyDescent="0.35">
      <c r="A4455" s="2" t="s">
        <v>4501</v>
      </c>
      <c r="B4455" s="3">
        <v>45501</v>
      </c>
      <c r="C4455" s="2" t="s">
        <v>22</v>
      </c>
      <c r="D4455" s="2" t="s">
        <v>11</v>
      </c>
      <c r="E4455" s="2" t="s">
        <v>12</v>
      </c>
      <c r="F4455" s="2">
        <v>1773.07</v>
      </c>
      <c r="G4455" s="2">
        <v>339.96</v>
      </c>
      <c r="H4455" s="2" t="s">
        <v>13</v>
      </c>
      <c r="I4455" s="2" t="s">
        <v>20</v>
      </c>
    </row>
    <row r="4456" spans="1:9" x14ac:dyDescent="0.35">
      <c r="A4456" s="2" t="s">
        <v>4502</v>
      </c>
      <c r="B4456" s="3">
        <v>44705</v>
      </c>
      <c r="C4456" s="2" t="s">
        <v>16</v>
      </c>
      <c r="D4456" s="2" t="s">
        <v>46</v>
      </c>
      <c r="E4456" s="2" t="s">
        <v>18</v>
      </c>
      <c r="F4456" s="2">
        <v>1242.0899999999999</v>
      </c>
      <c r="G4456" s="2">
        <v>346.5</v>
      </c>
      <c r="H4456" s="2" t="s">
        <v>28</v>
      </c>
      <c r="I4456" s="2" t="s">
        <v>29</v>
      </c>
    </row>
    <row r="4457" spans="1:9" x14ac:dyDescent="0.35">
      <c r="A4457" s="2" t="s">
        <v>4503</v>
      </c>
      <c r="B4457" s="3">
        <v>45342</v>
      </c>
      <c r="C4457" s="2" t="s">
        <v>25</v>
      </c>
      <c r="D4457" s="2" t="s">
        <v>17</v>
      </c>
      <c r="E4457" s="2" t="s">
        <v>18</v>
      </c>
      <c r="F4457" s="2">
        <v>59.02</v>
      </c>
      <c r="G4457" s="2">
        <v>13.08</v>
      </c>
      <c r="H4457" s="2" t="s">
        <v>28</v>
      </c>
      <c r="I4457" s="2" t="s">
        <v>34</v>
      </c>
    </row>
    <row r="4458" spans="1:9" x14ac:dyDescent="0.35">
      <c r="A4458" s="2" t="s">
        <v>4504</v>
      </c>
      <c r="B4458" s="3">
        <v>45109</v>
      </c>
      <c r="C4458" s="2" t="s">
        <v>10</v>
      </c>
      <c r="D4458" s="2" t="s">
        <v>73</v>
      </c>
      <c r="E4458" s="2" t="s">
        <v>27</v>
      </c>
      <c r="F4458" s="2">
        <v>1297.6600000000001</v>
      </c>
      <c r="G4458" s="2">
        <v>371.38</v>
      </c>
      <c r="H4458" s="2" t="s">
        <v>28</v>
      </c>
      <c r="I4458" s="2" t="s">
        <v>20</v>
      </c>
    </row>
    <row r="4459" spans="1:9" x14ac:dyDescent="0.35">
      <c r="A4459" s="2" t="s">
        <v>4505</v>
      </c>
      <c r="B4459" s="3">
        <v>45283</v>
      </c>
      <c r="C4459" s="2" t="s">
        <v>22</v>
      </c>
      <c r="D4459" s="2" t="s">
        <v>57</v>
      </c>
      <c r="E4459" s="2" t="s">
        <v>27</v>
      </c>
      <c r="F4459" s="2">
        <v>539.70000000000005</v>
      </c>
      <c r="G4459" s="2">
        <v>53.15</v>
      </c>
      <c r="H4459" s="2" t="s">
        <v>28</v>
      </c>
      <c r="I4459" s="2" t="s">
        <v>20</v>
      </c>
    </row>
    <row r="4460" spans="1:9" x14ac:dyDescent="0.35">
      <c r="A4460" s="2" t="s">
        <v>4506</v>
      </c>
      <c r="B4460" s="3">
        <v>45580</v>
      </c>
      <c r="C4460" s="2" t="s">
        <v>16</v>
      </c>
      <c r="D4460" s="2" t="s">
        <v>33</v>
      </c>
      <c r="E4460" s="2" t="s">
        <v>18</v>
      </c>
      <c r="F4460" s="2">
        <v>1517.53</v>
      </c>
      <c r="G4460" s="2">
        <v>213.56</v>
      </c>
      <c r="H4460" s="2" t="s">
        <v>13</v>
      </c>
      <c r="I4460" s="2" t="s">
        <v>20</v>
      </c>
    </row>
    <row r="4461" spans="1:9" x14ac:dyDescent="0.35">
      <c r="A4461" s="2" t="s">
        <v>4507</v>
      </c>
      <c r="B4461" s="3">
        <v>44717</v>
      </c>
      <c r="C4461" s="2" t="s">
        <v>10</v>
      </c>
      <c r="D4461" s="2" t="s">
        <v>23</v>
      </c>
      <c r="E4461" s="2" t="s">
        <v>18</v>
      </c>
      <c r="F4461" s="2">
        <v>1497.16</v>
      </c>
      <c r="G4461" s="2">
        <v>136.82</v>
      </c>
      <c r="H4461" s="2" t="s">
        <v>19</v>
      </c>
      <c r="I4461" s="2" t="s">
        <v>20</v>
      </c>
    </row>
    <row r="4462" spans="1:9" x14ac:dyDescent="0.35">
      <c r="A4462" s="2" t="s">
        <v>4508</v>
      </c>
      <c r="B4462" s="3">
        <v>45340</v>
      </c>
      <c r="C4462" s="2" t="s">
        <v>10</v>
      </c>
      <c r="D4462" s="2" t="s">
        <v>95</v>
      </c>
      <c r="E4462" s="2" t="s">
        <v>18</v>
      </c>
      <c r="F4462" s="2">
        <v>1734.13</v>
      </c>
      <c r="G4462" s="2">
        <v>376.47</v>
      </c>
      <c r="H4462" s="2" t="s">
        <v>13</v>
      </c>
      <c r="I4462" s="2" t="s">
        <v>34</v>
      </c>
    </row>
    <row r="4463" spans="1:9" x14ac:dyDescent="0.35">
      <c r="A4463" s="2" t="s">
        <v>4509</v>
      </c>
      <c r="B4463" s="3">
        <v>45570</v>
      </c>
      <c r="C4463" s="2" t="s">
        <v>10</v>
      </c>
      <c r="D4463" s="2" t="s">
        <v>31</v>
      </c>
      <c r="E4463" s="2" t="s">
        <v>12</v>
      </c>
      <c r="F4463" s="2">
        <v>1883.62</v>
      </c>
      <c r="G4463" s="2">
        <v>420.32</v>
      </c>
      <c r="H4463" s="2" t="s">
        <v>28</v>
      </c>
      <c r="I4463" s="2" t="s">
        <v>34</v>
      </c>
    </row>
    <row r="4464" spans="1:9" x14ac:dyDescent="0.35">
      <c r="A4464" s="2" t="s">
        <v>4510</v>
      </c>
      <c r="B4464" s="3">
        <v>44770</v>
      </c>
      <c r="C4464" s="2" t="s">
        <v>22</v>
      </c>
      <c r="D4464" s="2" t="s">
        <v>41</v>
      </c>
      <c r="E4464" s="2" t="s">
        <v>12</v>
      </c>
      <c r="F4464" s="2">
        <v>1331.21</v>
      </c>
      <c r="G4464" s="2">
        <v>68.599999999999994</v>
      </c>
      <c r="H4464" s="2" t="s">
        <v>13</v>
      </c>
      <c r="I4464" s="2" t="s">
        <v>20</v>
      </c>
    </row>
    <row r="4465" spans="1:9" x14ac:dyDescent="0.35">
      <c r="A4465" s="2" t="s">
        <v>4511</v>
      </c>
      <c r="B4465" s="3">
        <v>44698</v>
      </c>
      <c r="C4465" s="2" t="s">
        <v>10</v>
      </c>
      <c r="D4465" s="2" t="s">
        <v>31</v>
      </c>
      <c r="E4465" s="2" t="s">
        <v>12</v>
      </c>
      <c r="F4465" s="2">
        <v>1455.94</v>
      </c>
      <c r="G4465" s="2">
        <v>104.58</v>
      </c>
      <c r="H4465" s="2" t="s">
        <v>28</v>
      </c>
      <c r="I4465" s="2" t="s">
        <v>14</v>
      </c>
    </row>
    <row r="4466" spans="1:9" x14ac:dyDescent="0.35">
      <c r="A4466" s="2" t="s">
        <v>4512</v>
      </c>
      <c r="B4466" s="3">
        <v>44711</v>
      </c>
      <c r="C4466" s="2" t="s">
        <v>22</v>
      </c>
      <c r="D4466" s="2" t="s">
        <v>31</v>
      </c>
      <c r="E4466" s="2" t="s">
        <v>12</v>
      </c>
      <c r="F4466" s="2">
        <v>852.79</v>
      </c>
      <c r="G4466" s="2">
        <v>105.64</v>
      </c>
      <c r="H4466" s="2" t="s">
        <v>19</v>
      </c>
      <c r="I4466" s="2" t="s">
        <v>14</v>
      </c>
    </row>
    <row r="4467" spans="1:9" x14ac:dyDescent="0.35">
      <c r="A4467" s="2" t="s">
        <v>4513</v>
      </c>
      <c r="B4467" s="3">
        <v>45015</v>
      </c>
      <c r="C4467" s="2" t="s">
        <v>25</v>
      </c>
      <c r="D4467" s="2" t="s">
        <v>95</v>
      </c>
      <c r="E4467" s="2" t="s">
        <v>18</v>
      </c>
      <c r="F4467" s="2">
        <v>1983.05</v>
      </c>
      <c r="G4467" s="2">
        <v>363.34</v>
      </c>
      <c r="H4467" s="2" t="s">
        <v>28</v>
      </c>
      <c r="I4467" s="2" t="s">
        <v>29</v>
      </c>
    </row>
    <row r="4468" spans="1:9" x14ac:dyDescent="0.35">
      <c r="A4468" s="2" t="s">
        <v>4514</v>
      </c>
      <c r="B4468" s="3">
        <v>45240</v>
      </c>
      <c r="C4468" s="2" t="s">
        <v>10</v>
      </c>
      <c r="D4468" s="2" t="s">
        <v>46</v>
      </c>
      <c r="E4468" s="2" t="s">
        <v>18</v>
      </c>
      <c r="F4468" s="2">
        <v>1563.28</v>
      </c>
      <c r="G4468" s="2">
        <v>163.53</v>
      </c>
      <c r="H4468" s="2" t="s">
        <v>13</v>
      </c>
      <c r="I4468" s="2" t="s">
        <v>34</v>
      </c>
    </row>
    <row r="4469" spans="1:9" x14ac:dyDescent="0.35">
      <c r="A4469" s="2" t="s">
        <v>4515</v>
      </c>
      <c r="B4469" s="3">
        <v>44951</v>
      </c>
      <c r="C4469" s="2" t="s">
        <v>22</v>
      </c>
      <c r="D4469" s="2" t="s">
        <v>97</v>
      </c>
      <c r="E4469" s="2" t="s">
        <v>27</v>
      </c>
      <c r="F4469" s="2">
        <v>460.09</v>
      </c>
      <c r="G4469" s="2">
        <v>114.21</v>
      </c>
      <c r="H4469" s="2" t="s">
        <v>13</v>
      </c>
      <c r="I4469" s="2" t="s">
        <v>20</v>
      </c>
    </row>
    <row r="4470" spans="1:9" x14ac:dyDescent="0.35">
      <c r="A4470" s="2" t="s">
        <v>4516</v>
      </c>
      <c r="B4470" s="3">
        <v>45264</v>
      </c>
      <c r="C4470" s="2" t="s">
        <v>16</v>
      </c>
      <c r="D4470" s="2" t="s">
        <v>17</v>
      </c>
      <c r="E4470" s="2" t="s">
        <v>18</v>
      </c>
      <c r="F4470" s="2">
        <v>1783.8</v>
      </c>
      <c r="G4470" s="2">
        <v>191.62</v>
      </c>
      <c r="H4470" s="2" t="s">
        <v>28</v>
      </c>
      <c r="I4470" s="2" t="s">
        <v>14</v>
      </c>
    </row>
    <row r="4471" spans="1:9" x14ac:dyDescent="0.35">
      <c r="A4471" s="2" t="s">
        <v>4517</v>
      </c>
      <c r="B4471" s="3">
        <v>45404</v>
      </c>
      <c r="C4471" s="2" t="s">
        <v>25</v>
      </c>
      <c r="D4471" s="2" t="s">
        <v>95</v>
      </c>
      <c r="E4471" s="2" t="s">
        <v>18</v>
      </c>
      <c r="F4471" s="2">
        <v>1738.75</v>
      </c>
      <c r="G4471" s="2">
        <v>92.95</v>
      </c>
      <c r="H4471" s="2" t="s">
        <v>28</v>
      </c>
      <c r="I4471" s="2" t="s">
        <v>34</v>
      </c>
    </row>
    <row r="4472" spans="1:9" x14ac:dyDescent="0.35">
      <c r="A4472" s="2" t="s">
        <v>4518</v>
      </c>
      <c r="B4472" s="3">
        <v>45084</v>
      </c>
      <c r="C4472" s="2" t="s">
        <v>22</v>
      </c>
      <c r="D4472" s="2" t="s">
        <v>33</v>
      </c>
      <c r="E4472" s="2" t="s">
        <v>18</v>
      </c>
      <c r="F4472" s="2">
        <v>1917.86</v>
      </c>
      <c r="G4472" s="2">
        <v>508.53</v>
      </c>
      <c r="H4472" s="2" t="s">
        <v>13</v>
      </c>
      <c r="I4472" s="2" t="s">
        <v>34</v>
      </c>
    </row>
    <row r="4473" spans="1:9" x14ac:dyDescent="0.35">
      <c r="A4473" s="2" t="s">
        <v>4519</v>
      </c>
      <c r="B4473" s="3">
        <v>45503</v>
      </c>
      <c r="C4473" s="2" t="s">
        <v>16</v>
      </c>
      <c r="D4473" s="2" t="s">
        <v>17</v>
      </c>
      <c r="E4473" s="2" t="s">
        <v>18</v>
      </c>
      <c r="F4473" s="2">
        <v>1797.45</v>
      </c>
      <c r="G4473" s="2">
        <v>195.7</v>
      </c>
      <c r="H4473" s="2" t="s">
        <v>19</v>
      </c>
      <c r="I4473" s="2" t="s">
        <v>29</v>
      </c>
    </row>
    <row r="4474" spans="1:9" x14ac:dyDescent="0.35">
      <c r="A4474" s="2" t="s">
        <v>4520</v>
      </c>
      <c r="B4474" s="3">
        <v>44706</v>
      </c>
      <c r="C4474" s="2" t="s">
        <v>22</v>
      </c>
      <c r="D4474" s="2" t="s">
        <v>38</v>
      </c>
      <c r="E4474" s="2" t="s">
        <v>12</v>
      </c>
      <c r="F4474" s="2">
        <v>1033.47</v>
      </c>
      <c r="G4474" s="2">
        <v>226.08</v>
      </c>
      <c r="H4474" s="2" t="s">
        <v>13</v>
      </c>
      <c r="I4474" s="2" t="s">
        <v>29</v>
      </c>
    </row>
    <row r="4475" spans="1:9" x14ac:dyDescent="0.35">
      <c r="A4475" s="2" t="s">
        <v>4521</v>
      </c>
      <c r="B4475" s="3">
        <v>45073</v>
      </c>
      <c r="C4475" s="2" t="s">
        <v>22</v>
      </c>
      <c r="D4475" s="2" t="s">
        <v>38</v>
      </c>
      <c r="E4475" s="2" t="s">
        <v>12</v>
      </c>
      <c r="F4475" s="2">
        <v>754.47</v>
      </c>
      <c r="G4475" s="2">
        <v>87.53</v>
      </c>
      <c r="H4475" s="2" t="s">
        <v>19</v>
      </c>
      <c r="I4475" s="2" t="s">
        <v>34</v>
      </c>
    </row>
    <row r="4476" spans="1:9" x14ac:dyDescent="0.35">
      <c r="A4476" s="2" t="s">
        <v>4522</v>
      </c>
      <c r="B4476" s="3">
        <v>45657</v>
      </c>
      <c r="C4476" s="2" t="s">
        <v>16</v>
      </c>
      <c r="D4476" s="2" t="s">
        <v>33</v>
      </c>
      <c r="E4476" s="2" t="s">
        <v>18</v>
      </c>
      <c r="F4476" s="2">
        <v>341.96</v>
      </c>
      <c r="G4476" s="2">
        <v>42.49</v>
      </c>
      <c r="H4476" s="2" t="s">
        <v>28</v>
      </c>
      <c r="I4476" s="2" t="s">
        <v>14</v>
      </c>
    </row>
    <row r="4477" spans="1:9" x14ac:dyDescent="0.35">
      <c r="A4477" s="2" t="s">
        <v>4523</v>
      </c>
      <c r="B4477" s="3">
        <v>45522</v>
      </c>
      <c r="C4477" s="2" t="s">
        <v>25</v>
      </c>
      <c r="D4477" s="2" t="s">
        <v>17</v>
      </c>
      <c r="E4477" s="2" t="s">
        <v>18</v>
      </c>
      <c r="F4477" s="2">
        <v>1104.94</v>
      </c>
      <c r="G4477" s="2">
        <v>243.99</v>
      </c>
      <c r="H4477" s="2" t="s">
        <v>28</v>
      </c>
      <c r="I4477" s="2" t="s">
        <v>34</v>
      </c>
    </row>
    <row r="4478" spans="1:9" x14ac:dyDescent="0.35">
      <c r="A4478" s="2" t="s">
        <v>4524</v>
      </c>
      <c r="B4478" s="3">
        <v>45115</v>
      </c>
      <c r="C4478" s="2" t="s">
        <v>16</v>
      </c>
      <c r="D4478" s="2" t="s">
        <v>73</v>
      </c>
      <c r="E4478" s="2" t="s">
        <v>27</v>
      </c>
      <c r="F4478" s="2">
        <v>603.29</v>
      </c>
      <c r="G4478" s="2">
        <v>39.44</v>
      </c>
      <c r="H4478" s="2" t="s">
        <v>13</v>
      </c>
      <c r="I4478" s="2" t="s">
        <v>34</v>
      </c>
    </row>
    <row r="4479" spans="1:9" x14ac:dyDescent="0.35">
      <c r="A4479" s="2" t="s">
        <v>4525</v>
      </c>
      <c r="B4479" s="3">
        <v>45311</v>
      </c>
      <c r="C4479" s="2" t="s">
        <v>16</v>
      </c>
      <c r="D4479" s="2" t="s">
        <v>23</v>
      </c>
      <c r="E4479" s="2" t="s">
        <v>18</v>
      </c>
      <c r="F4479" s="2">
        <v>1692.37</v>
      </c>
      <c r="G4479" s="2">
        <v>406.11</v>
      </c>
      <c r="H4479" s="2" t="s">
        <v>19</v>
      </c>
      <c r="I4479" s="2" t="s">
        <v>14</v>
      </c>
    </row>
    <row r="4480" spans="1:9" x14ac:dyDescent="0.35">
      <c r="A4480" s="2" t="s">
        <v>4526</v>
      </c>
      <c r="B4480" s="3">
        <v>44899</v>
      </c>
      <c r="C4480" s="2" t="s">
        <v>22</v>
      </c>
      <c r="D4480" s="2" t="s">
        <v>50</v>
      </c>
      <c r="E4480" s="2" t="s">
        <v>12</v>
      </c>
      <c r="F4480" s="2">
        <v>154.25</v>
      </c>
      <c r="G4480" s="2">
        <v>28.51</v>
      </c>
      <c r="H4480" s="2" t="s">
        <v>28</v>
      </c>
      <c r="I4480" s="2" t="s">
        <v>34</v>
      </c>
    </row>
    <row r="4481" spans="1:9" x14ac:dyDescent="0.35">
      <c r="A4481" s="2" t="s">
        <v>4527</v>
      </c>
      <c r="B4481" s="3">
        <v>45146</v>
      </c>
      <c r="C4481" s="2" t="s">
        <v>16</v>
      </c>
      <c r="D4481" s="2" t="s">
        <v>73</v>
      </c>
      <c r="E4481" s="2" t="s">
        <v>27</v>
      </c>
      <c r="F4481" s="2">
        <v>1158.8599999999999</v>
      </c>
      <c r="G4481" s="2">
        <v>80.05</v>
      </c>
      <c r="H4481" s="2" t="s">
        <v>28</v>
      </c>
      <c r="I4481" s="2" t="s">
        <v>20</v>
      </c>
    </row>
    <row r="4482" spans="1:9" x14ac:dyDescent="0.35">
      <c r="A4482" s="2" t="s">
        <v>4528</v>
      </c>
      <c r="B4482" s="3">
        <v>45411</v>
      </c>
      <c r="C4482" s="2" t="s">
        <v>22</v>
      </c>
      <c r="D4482" s="2" t="s">
        <v>57</v>
      </c>
      <c r="E4482" s="2" t="s">
        <v>27</v>
      </c>
      <c r="F4482" s="2">
        <v>1965.32</v>
      </c>
      <c r="G4482" s="2">
        <v>555.77</v>
      </c>
      <c r="H4482" s="2" t="s">
        <v>19</v>
      </c>
      <c r="I4482" s="2" t="s">
        <v>20</v>
      </c>
    </row>
    <row r="4483" spans="1:9" x14ac:dyDescent="0.35">
      <c r="A4483" s="2" t="s">
        <v>4529</v>
      </c>
      <c r="B4483" s="3">
        <v>44861</v>
      </c>
      <c r="C4483" s="2" t="s">
        <v>25</v>
      </c>
      <c r="D4483" s="2" t="s">
        <v>62</v>
      </c>
      <c r="E4483" s="2" t="s">
        <v>27</v>
      </c>
      <c r="F4483" s="2">
        <v>1848.21</v>
      </c>
      <c r="G4483" s="2">
        <v>524.49</v>
      </c>
      <c r="H4483" s="2" t="s">
        <v>19</v>
      </c>
      <c r="I4483" s="2" t="s">
        <v>14</v>
      </c>
    </row>
    <row r="4484" spans="1:9" x14ac:dyDescent="0.35">
      <c r="A4484" s="2" t="s">
        <v>4530</v>
      </c>
      <c r="B4484" s="3">
        <v>44747</v>
      </c>
      <c r="C4484" s="2" t="s">
        <v>22</v>
      </c>
      <c r="D4484" s="2" t="s">
        <v>73</v>
      </c>
      <c r="E4484" s="2" t="s">
        <v>27</v>
      </c>
      <c r="F4484" s="2">
        <v>234.38</v>
      </c>
      <c r="G4484" s="2">
        <v>42.95</v>
      </c>
      <c r="H4484" s="2" t="s">
        <v>13</v>
      </c>
      <c r="I4484" s="2" t="s">
        <v>20</v>
      </c>
    </row>
    <row r="4485" spans="1:9" x14ac:dyDescent="0.35">
      <c r="A4485" s="2" t="s">
        <v>4531</v>
      </c>
      <c r="B4485" s="3">
        <v>44910</v>
      </c>
      <c r="C4485" s="2" t="s">
        <v>10</v>
      </c>
      <c r="D4485" s="2" t="s">
        <v>73</v>
      </c>
      <c r="E4485" s="2" t="s">
        <v>27</v>
      </c>
      <c r="F4485" s="2">
        <v>596.82000000000005</v>
      </c>
      <c r="G4485" s="2">
        <v>51.06</v>
      </c>
      <c r="H4485" s="2" t="s">
        <v>19</v>
      </c>
      <c r="I4485" s="2" t="s">
        <v>14</v>
      </c>
    </row>
    <row r="4486" spans="1:9" x14ac:dyDescent="0.35">
      <c r="A4486" s="2" t="s">
        <v>4532</v>
      </c>
      <c r="B4486" s="3">
        <v>44790</v>
      </c>
      <c r="C4486" s="2" t="s">
        <v>22</v>
      </c>
      <c r="D4486" s="2" t="s">
        <v>50</v>
      </c>
      <c r="E4486" s="2" t="s">
        <v>12</v>
      </c>
      <c r="F4486" s="2">
        <v>972.83</v>
      </c>
      <c r="G4486" s="2">
        <v>212.08</v>
      </c>
      <c r="H4486" s="2" t="s">
        <v>13</v>
      </c>
      <c r="I4486" s="2" t="s">
        <v>14</v>
      </c>
    </row>
    <row r="4487" spans="1:9" x14ac:dyDescent="0.35">
      <c r="A4487" s="2" t="s">
        <v>4533</v>
      </c>
      <c r="B4487" s="3">
        <v>44981</v>
      </c>
      <c r="C4487" s="2" t="s">
        <v>22</v>
      </c>
      <c r="D4487" s="2" t="s">
        <v>26</v>
      </c>
      <c r="E4487" s="2" t="s">
        <v>27</v>
      </c>
      <c r="F4487" s="2">
        <v>1265.1300000000001</v>
      </c>
      <c r="G4487" s="2">
        <v>67.98</v>
      </c>
      <c r="H4487" s="2" t="s">
        <v>28</v>
      </c>
      <c r="I4487" s="2" t="s">
        <v>20</v>
      </c>
    </row>
    <row r="4488" spans="1:9" x14ac:dyDescent="0.35">
      <c r="A4488" s="2" t="s">
        <v>4534</v>
      </c>
      <c r="B4488" s="3">
        <v>45150</v>
      </c>
      <c r="C4488" s="2" t="s">
        <v>10</v>
      </c>
      <c r="D4488" s="2" t="s">
        <v>62</v>
      </c>
      <c r="E4488" s="2" t="s">
        <v>27</v>
      </c>
      <c r="F4488" s="2">
        <v>1934.1</v>
      </c>
      <c r="G4488" s="2">
        <v>138.87</v>
      </c>
      <c r="H4488" s="2" t="s">
        <v>19</v>
      </c>
      <c r="I4488" s="2" t="s">
        <v>20</v>
      </c>
    </row>
    <row r="4489" spans="1:9" x14ac:dyDescent="0.35">
      <c r="A4489" s="2" t="s">
        <v>4535</v>
      </c>
      <c r="B4489" s="3">
        <v>45359</v>
      </c>
      <c r="C4489" s="2" t="s">
        <v>10</v>
      </c>
      <c r="D4489" s="2" t="s">
        <v>11</v>
      </c>
      <c r="E4489" s="2" t="s">
        <v>12</v>
      </c>
      <c r="F4489" s="2">
        <v>1369.57</v>
      </c>
      <c r="G4489" s="2">
        <v>336.44</v>
      </c>
      <c r="H4489" s="2" t="s">
        <v>19</v>
      </c>
      <c r="I4489" s="2" t="s">
        <v>34</v>
      </c>
    </row>
    <row r="4490" spans="1:9" x14ac:dyDescent="0.35">
      <c r="A4490" s="2" t="s">
        <v>4536</v>
      </c>
      <c r="B4490" s="3">
        <v>45107</v>
      </c>
      <c r="C4490" s="2" t="s">
        <v>10</v>
      </c>
      <c r="D4490" s="2" t="s">
        <v>46</v>
      </c>
      <c r="E4490" s="2" t="s">
        <v>18</v>
      </c>
      <c r="F4490" s="2">
        <v>1573.95</v>
      </c>
      <c r="G4490" s="2">
        <v>452.52</v>
      </c>
      <c r="H4490" s="2" t="s">
        <v>13</v>
      </c>
      <c r="I4490" s="2" t="s">
        <v>20</v>
      </c>
    </row>
    <row r="4491" spans="1:9" x14ac:dyDescent="0.35">
      <c r="A4491" s="2" t="s">
        <v>4537</v>
      </c>
      <c r="B4491" s="3">
        <v>45220</v>
      </c>
      <c r="C4491" s="2" t="s">
        <v>25</v>
      </c>
      <c r="D4491" s="2" t="s">
        <v>73</v>
      </c>
      <c r="E4491" s="2" t="s">
        <v>27</v>
      </c>
      <c r="F4491" s="2">
        <v>911.23</v>
      </c>
      <c r="G4491" s="2">
        <v>247.59</v>
      </c>
      <c r="H4491" s="2" t="s">
        <v>19</v>
      </c>
      <c r="I4491" s="2" t="s">
        <v>14</v>
      </c>
    </row>
    <row r="4492" spans="1:9" x14ac:dyDescent="0.35">
      <c r="A4492" s="2" t="s">
        <v>4538</v>
      </c>
      <c r="B4492" s="3">
        <v>45487</v>
      </c>
      <c r="C4492" s="2" t="s">
        <v>10</v>
      </c>
      <c r="D4492" s="2" t="s">
        <v>62</v>
      </c>
      <c r="E4492" s="2" t="s">
        <v>27</v>
      </c>
      <c r="F4492" s="2">
        <v>511.66</v>
      </c>
      <c r="G4492" s="2">
        <v>111.78</v>
      </c>
      <c r="H4492" s="2" t="s">
        <v>28</v>
      </c>
      <c r="I4492" s="2" t="s">
        <v>29</v>
      </c>
    </row>
    <row r="4493" spans="1:9" x14ac:dyDescent="0.35">
      <c r="A4493" s="2" t="s">
        <v>4539</v>
      </c>
      <c r="B4493" s="3">
        <v>45374</v>
      </c>
      <c r="C4493" s="2" t="s">
        <v>25</v>
      </c>
      <c r="D4493" s="2" t="s">
        <v>46</v>
      </c>
      <c r="E4493" s="2" t="s">
        <v>18</v>
      </c>
      <c r="F4493" s="2">
        <v>404</v>
      </c>
      <c r="G4493" s="2">
        <v>94.04</v>
      </c>
      <c r="H4493" s="2" t="s">
        <v>28</v>
      </c>
      <c r="I4493" s="2" t="s">
        <v>29</v>
      </c>
    </row>
    <row r="4494" spans="1:9" x14ac:dyDescent="0.35">
      <c r="A4494" s="2" t="s">
        <v>4540</v>
      </c>
      <c r="B4494" s="3">
        <v>44686</v>
      </c>
      <c r="C4494" s="2" t="s">
        <v>22</v>
      </c>
      <c r="D4494" s="2" t="s">
        <v>41</v>
      </c>
      <c r="E4494" s="2" t="s">
        <v>12</v>
      </c>
      <c r="F4494" s="2">
        <v>460.59</v>
      </c>
      <c r="G4494" s="2">
        <v>45.34</v>
      </c>
      <c r="H4494" s="2" t="s">
        <v>19</v>
      </c>
      <c r="I4494" s="2" t="s">
        <v>20</v>
      </c>
    </row>
    <row r="4495" spans="1:9" x14ac:dyDescent="0.35">
      <c r="A4495" s="2" t="s">
        <v>4541</v>
      </c>
      <c r="B4495" s="3">
        <v>45624</v>
      </c>
      <c r="C4495" s="2" t="s">
        <v>22</v>
      </c>
      <c r="D4495" s="2" t="s">
        <v>26</v>
      </c>
      <c r="E4495" s="2" t="s">
        <v>27</v>
      </c>
      <c r="F4495" s="2">
        <v>349.94</v>
      </c>
      <c r="G4495" s="2">
        <v>33.53</v>
      </c>
      <c r="H4495" s="2" t="s">
        <v>13</v>
      </c>
      <c r="I4495" s="2" t="s">
        <v>29</v>
      </c>
    </row>
    <row r="4496" spans="1:9" x14ac:dyDescent="0.35">
      <c r="A4496" s="2" t="s">
        <v>4542</v>
      </c>
      <c r="B4496" s="3">
        <v>45037</v>
      </c>
      <c r="C4496" s="2" t="s">
        <v>16</v>
      </c>
      <c r="D4496" s="2" t="s">
        <v>97</v>
      </c>
      <c r="E4496" s="2" t="s">
        <v>27</v>
      </c>
      <c r="F4496" s="2">
        <v>300.87</v>
      </c>
      <c r="G4496" s="2">
        <v>45.33</v>
      </c>
      <c r="H4496" s="2" t="s">
        <v>19</v>
      </c>
      <c r="I4496" s="2" t="s">
        <v>14</v>
      </c>
    </row>
    <row r="4497" spans="1:9" x14ac:dyDescent="0.35">
      <c r="A4497" s="2" t="s">
        <v>4543</v>
      </c>
      <c r="B4497" s="3">
        <v>45499</v>
      </c>
      <c r="C4497" s="2" t="s">
        <v>10</v>
      </c>
      <c r="D4497" s="2" t="s">
        <v>33</v>
      </c>
      <c r="E4497" s="2" t="s">
        <v>18</v>
      </c>
      <c r="F4497" s="2">
        <v>1219.2</v>
      </c>
      <c r="G4497" s="2">
        <v>279.47000000000003</v>
      </c>
      <c r="H4497" s="2" t="s">
        <v>13</v>
      </c>
      <c r="I4497" s="2" t="s">
        <v>34</v>
      </c>
    </row>
    <row r="4498" spans="1:9" x14ac:dyDescent="0.35">
      <c r="A4498" s="2" t="s">
        <v>4544</v>
      </c>
      <c r="B4498" s="3">
        <v>45278</v>
      </c>
      <c r="C4498" s="2" t="s">
        <v>16</v>
      </c>
      <c r="D4498" s="2" t="s">
        <v>73</v>
      </c>
      <c r="E4498" s="2" t="s">
        <v>27</v>
      </c>
      <c r="F4498" s="2">
        <v>1078.99</v>
      </c>
      <c r="G4498" s="2">
        <v>243.82</v>
      </c>
      <c r="H4498" s="2" t="s">
        <v>28</v>
      </c>
      <c r="I4498" s="2" t="s">
        <v>20</v>
      </c>
    </row>
    <row r="4499" spans="1:9" x14ac:dyDescent="0.35">
      <c r="A4499" s="2" t="s">
        <v>4545</v>
      </c>
      <c r="B4499" s="3">
        <v>45009</v>
      </c>
      <c r="C4499" s="2" t="s">
        <v>22</v>
      </c>
      <c r="D4499" s="2" t="s">
        <v>73</v>
      </c>
      <c r="E4499" s="2" t="s">
        <v>27</v>
      </c>
      <c r="F4499" s="2">
        <v>582.29999999999995</v>
      </c>
      <c r="G4499" s="2">
        <v>70.94</v>
      </c>
      <c r="H4499" s="2" t="s">
        <v>28</v>
      </c>
      <c r="I4499" s="2" t="s">
        <v>29</v>
      </c>
    </row>
    <row r="4500" spans="1:9" x14ac:dyDescent="0.35">
      <c r="A4500" s="2" t="s">
        <v>4546</v>
      </c>
      <c r="B4500" s="3">
        <v>45536</v>
      </c>
      <c r="C4500" s="2" t="s">
        <v>16</v>
      </c>
      <c r="D4500" s="2" t="s">
        <v>33</v>
      </c>
      <c r="E4500" s="2" t="s">
        <v>18</v>
      </c>
      <c r="F4500" s="2">
        <v>1443.07</v>
      </c>
      <c r="G4500" s="2">
        <v>169.17</v>
      </c>
      <c r="H4500" s="2" t="s">
        <v>28</v>
      </c>
      <c r="I4500" s="2" t="s">
        <v>14</v>
      </c>
    </row>
    <row r="4501" spans="1:9" x14ac:dyDescent="0.35">
      <c r="A4501" s="2" t="s">
        <v>4547</v>
      </c>
      <c r="B4501" s="3">
        <v>44754</v>
      </c>
      <c r="C4501" s="2" t="s">
        <v>10</v>
      </c>
      <c r="D4501" s="2" t="s">
        <v>46</v>
      </c>
      <c r="E4501" s="2" t="s">
        <v>18</v>
      </c>
      <c r="F4501" s="2">
        <v>254.82</v>
      </c>
      <c r="G4501" s="2">
        <v>50.45</v>
      </c>
      <c r="H4501" s="2" t="s">
        <v>13</v>
      </c>
      <c r="I4501" s="2" t="s">
        <v>29</v>
      </c>
    </row>
    <row r="4502" spans="1:9" x14ac:dyDescent="0.35">
      <c r="A4502" s="2" t="s">
        <v>4548</v>
      </c>
      <c r="B4502" s="3">
        <v>45609</v>
      </c>
      <c r="C4502" s="2" t="s">
        <v>25</v>
      </c>
      <c r="D4502" s="2" t="s">
        <v>31</v>
      </c>
      <c r="E4502" s="2" t="s">
        <v>12</v>
      </c>
      <c r="F4502" s="2">
        <v>474.35</v>
      </c>
      <c r="G4502" s="2">
        <v>84.52</v>
      </c>
      <c r="H4502" s="2" t="s">
        <v>28</v>
      </c>
      <c r="I4502" s="2" t="s">
        <v>29</v>
      </c>
    </row>
    <row r="4503" spans="1:9" x14ac:dyDescent="0.35">
      <c r="A4503" s="2" t="s">
        <v>4549</v>
      </c>
      <c r="B4503" s="3">
        <v>45180</v>
      </c>
      <c r="C4503" s="2" t="s">
        <v>10</v>
      </c>
      <c r="D4503" s="2" t="s">
        <v>26</v>
      </c>
      <c r="E4503" s="2" t="s">
        <v>27</v>
      </c>
      <c r="F4503" s="2">
        <v>660.77</v>
      </c>
      <c r="G4503" s="2">
        <v>154.77000000000001</v>
      </c>
      <c r="H4503" s="2" t="s">
        <v>19</v>
      </c>
      <c r="I4503" s="2" t="s">
        <v>20</v>
      </c>
    </row>
    <row r="4504" spans="1:9" x14ac:dyDescent="0.35">
      <c r="A4504" s="2" t="s">
        <v>4550</v>
      </c>
      <c r="B4504" s="3">
        <v>45061</v>
      </c>
      <c r="C4504" s="2" t="s">
        <v>22</v>
      </c>
      <c r="D4504" s="2" t="s">
        <v>31</v>
      </c>
      <c r="E4504" s="2" t="s">
        <v>12</v>
      </c>
      <c r="F4504" s="2">
        <v>1628.04</v>
      </c>
      <c r="G4504" s="2">
        <v>470.5</v>
      </c>
      <c r="H4504" s="2" t="s">
        <v>19</v>
      </c>
      <c r="I4504" s="2" t="s">
        <v>29</v>
      </c>
    </row>
    <row r="4505" spans="1:9" x14ac:dyDescent="0.35">
      <c r="A4505" s="2" t="s">
        <v>4551</v>
      </c>
      <c r="B4505" s="3">
        <v>44914</v>
      </c>
      <c r="C4505" s="2" t="s">
        <v>16</v>
      </c>
      <c r="D4505" s="2" t="s">
        <v>62</v>
      </c>
      <c r="E4505" s="2" t="s">
        <v>27</v>
      </c>
      <c r="F4505" s="2">
        <v>1665.09</v>
      </c>
      <c r="G4505" s="2">
        <v>402.25</v>
      </c>
      <c r="H4505" s="2" t="s">
        <v>13</v>
      </c>
      <c r="I4505" s="2" t="s">
        <v>20</v>
      </c>
    </row>
    <row r="4506" spans="1:9" x14ac:dyDescent="0.35">
      <c r="A4506" s="2" t="s">
        <v>4552</v>
      </c>
      <c r="B4506" s="3">
        <v>45592</v>
      </c>
      <c r="C4506" s="2" t="s">
        <v>16</v>
      </c>
      <c r="D4506" s="2" t="s">
        <v>46</v>
      </c>
      <c r="E4506" s="2" t="s">
        <v>18</v>
      </c>
      <c r="F4506" s="2">
        <v>934.13</v>
      </c>
      <c r="G4506" s="2">
        <v>147.21</v>
      </c>
      <c r="H4506" s="2" t="s">
        <v>19</v>
      </c>
      <c r="I4506" s="2" t="s">
        <v>20</v>
      </c>
    </row>
    <row r="4507" spans="1:9" x14ac:dyDescent="0.35">
      <c r="A4507" s="2" t="s">
        <v>4553</v>
      </c>
      <c r="B4507" s="3">
        <v>45166</v>
      </c>
      <c r="C4507" s="2" t="s">
        <v>10</v>
      </c>
      <c r="D4507" s="2" t="s">
        <v>17</v>
      </c>
      <c r="E4507" s="2" t="s">
        <v>18</v>
      </c>
      <c r="F4507" s="2">
        <v>397.13</v>
      </c>
      <c r="G4507" s="2">
        <v>110.64</v>
      </c>
      <c r="H4507" s="2" t="s">
        <v>13</v>
      </c>
      <c r="I4507" s="2" t="s">
        <v>20</v>
      </c>
    </row>
    <row r="4508" spans="1:9" x14ac:dyDescent="0.35">
      <c r="A4508" s="2" t="s">
        <v>4554</v>
      </c>
      <c r="B4508" s="3">
        <v>45060</v>
      </c>
      <c r="C4508" s="2" t="s">
        <v>10</v>
      </c>
      <c r="D4508" s="2" t="s">
        <v>46</v>
      </c>
      <c r="E4508" s="2" t="s">
        <v>18</v>
      </c>
      <c r="F4508" s="2">
        <v>1987.04</v>
      </c>
      <c r="G4508" s="2">
        <v>414.82</v>
      </c>
      <c r="H4508" s="2" t="s">
        <v>13</v>
      </c>
      <c r="I4508" s="2" t="s">
        <v>34</v>
      </c>
    </row>
    <row r="4509" spans="1:9" x14ac:dyDescent="0.35">
      <c r="A4509" s="2" t="s">
        <v>4555</v>
      </c>
      <c r="B4509" s="3">
        <v>44895</v>
      </c>
      <c r="C4509" s="2" t="s">
        <v>22</v>
      </c>
      <c r="D4509" s="2" t="s">
        <v>73</v>
      </c>
      <c r="E4509" s="2" t="s">
        <v>27</v>
      </c>
      <c r="F4509" s="2">
        <v>1952.18</v>
      </c>
      <c r="G4509" s="2">
        <v>420.59</v>
      </c>
      <c r="H4509" s="2" t="s">
        <v>19</v>
      </c>
      <c r="I4509" s="2" t="s">
        <v>29</v>
      </c>
    </row>
    <row r="4510" spans="1:9" x14ac:dyDescent="0.35">
      <c r="A4510" s="2" t="s">
        <v>4556</v>
      </c>
      <c r="B4510" s="3">
        <v>44852</v>
      </c>
      <c r="C4510" s="2" t="s">
        <v>25</v>
      </c>
      <c r="D4510" s="2" t="s">
        <v>11</v>
      </c>
      <c r="E4510" s="2" t="s">
        <v>12</v>
      </c>
      <c r="F4510" s="2">
        <v>1465.61</v>
      </c>
      <c r="G4510" s="2">
        <v>332.32</v>
      </c>
      <c r="H4510" s="2" t="s">
        <v>28</v>
      </c>
      <c r="I4510" s="2" t="s">
        <v>34</v>
      </c>
    </row>
    <row r="4511" spans="1:9" x14ac:dyDescent="0.35">
      <c r="A4511" s="2" t="s">
        <v>4557</v>
      </c>
      <c r="B4511" s="3">
        <v>45168</v>
      </c>
      <c r="C4511" s="2" t="s">
        <v>10</v>
      </c>
      <c r="D4511" s="2" t="s">
        <v>41</v>
      </c>
      <c r="E4511" s="2" t="s">
        <v>12</v>
      </c>
      <c r="F4511" s="2">
        <v>86.12</v>
      </c>
      <c r="G4511" s="2">
        <v>9.1300000000000008</v>
      </c>
      <c r="H4511" s="2" t="s">
        <v>19</v>
      </c>
      <c r="I4511" s="2" t="s">
        <v>34</v>
      </c>
    </row>
    <row r="4512" spans="1:9" x14ac:dyDescent="0.35">
      <c r="A4512" s="2" t="s">
        <v>4558</v>
      </c>
      <c r="B4512" s="3">
        <v>45644</v>
      </c>
      <c r="C4512" s="2" t="s">
        <v>25</v>
      </c>
      <c r="D4512" s="2" t="s">
        <v>62</v>
      </c>
      <c r="E4512" s="2" t="s">
        <v>27</v>
      </c>
      <c r="F4512" s="2">
        <v>680.18</v>
      </c>
      <c r="G4512" s="2">
        <v>67.97</v>
      </c>
      <c r="H4512" s="2" t="s">
        <v>28</v>
      </c>
      <c r="I4512" s="2" t="s">
        <v>34</v>
      </c>
    </row>
    <row r="4513" spans="1:9" x14ac:dyDescent="0.35">
      <c r="A4513" s="2" t="s">
        <v>4559</v>
      </c>
      <c r="B4513" s="3">
        <v>45516</v>
      </c>
      <c r="C4513" s="2" t="s">
        <v>25</v>
      </c>
      <c r="D4513" s="2" t="s">
        <v>97</v>
      </c>
      <c r="E4513" s="2" t="s">
        <v>27</v>
      </c>
      <c r="F4513" s="2">
        <v>1937.59</v>
      </c>
      <c r="G4513" s="2">
        <v>495.93</v>
      </c>
      <c r="H4513" s="2" t="s">
        <v>19</v>
      </c>
      <c r="I4513" s="2" t="s">
        <v>34</v>
      </c>
    </row>
    <row r="4514" spans="1:9" x14ac:dyDescent="0.35">
      <c r="A4514" s="2" t="s">
        <v>4560</v>
      </c>
      <c r="B4514" s="3">
        <v>44858</v>
      </c>
      <c r="C4514" s="2" t="s">
        <v>22</v>
      </c>
      <c r="D4514" s="2" t="s">
        <v>97</v>
      </c>
      <c r="E4514" s="2" t="s">
        <v>27</v>
      </c>
      <c r="F4514" s="2">
        <v>1231.53</v>
      </c>
      <c r="G4514" s="2">
        <v>176.33</v>
      </c>
      <c r="H4514" s="2" t="s">
        <v>19</v>
      </c>
      <c r="I4514" s="2" t="s">
        <v>29</v>
      </c>
    </row>
    <row r="4515" spans="1:9" x14ac:dyDescent="0.35">
      <c r="A4515" s="2" t="s">
        <v>4561</v>
      </c>
      <c r="B4515" s="3">
        <v>44930</v>
      </c>
      <c r="C4515" s="2" t="s">
        <v>22</v>
      </c>
      <c r="D4515" s="2" t="s">
        <v>11</v>
      </c>
      <c r="E4515" s="2" t="s">
        <v>12</v>
      </c>
      <c r="F4515" s="2">
        <v>413.92</v>
      </c>
      <c r="G4515" s="2">
        <v>72.77</v>
      </c>
      <c r="H4515" s="2" t="s">
        <v>19</v>
      </c>
      <c r="I4515" s="2" t="s">
        <v>34</v>
      </c>
    </row>
    <row r="4516" spans="1:9" x14ac:dyDescent="0.35">
      <c r="A4516" s="2" t="s">
        <v>4562</v>
      </c>
      <c r="B4516" s="3">
        <v>44846</v>
      </c>
      <c r="C4516" s="2" t="s">
        <v>22</v>
      </c>
      <c r="D4516" s="2" t="s">
        <v>62</v>
      </c>
      <c r="E4516" s="2" t="s">
        <v>27</v>
      </c>
      <c r="F4516" s="2">
        <v>905.2</v>
      </c>
      <c r="G4516" s="2">
        <v>99.36</v>
      </c>
      <c r="H4516" s="2" t="s">
        <v>28</v>
      </c>
      <c r="I4516" s="2" t="s">
        <v>14</v>
      </c>
    </row>
    <row r="4517" spans="1:9" x14ac:dyDescent="0.35">
      <c r="A4517" s="2" t="s">
        <v>4563</v>
      </c>
      <c r="B4517" s="3">
        <v>44720</v>
      </c>
      <c r="C4517" s="2" t="s">
        <v>22</v>
      </c>
      <c r="D4517" s="2" t="s">
        <v>41</v>
      </c>
      <c r="E4517" s="2" t="s">
        <v>12</v>
      </c>
      <c r="F4517" s="2">
        <v>1290.03</v>
      </c>
      <c r="G4517" s="2">
        <v>325.57</v>
      </c>
      <c r="H4517" s="2" t="s">
        <v>28</v>
      </c>
      <c r="I4517" s="2" t="s">
        <v>14</v>
      </c>
    </row>
    <row r="4518" spans="1:9" x14ac:dyDescent="0.35">
      <c r="A4518" s="2" t="s">
        <v>4564</v>
      </c>
      <c r="B4518" s="3">
        <v>45063</v>
      </c>
      <c r="C4518" s="2" t="s">
        <v>10</v>
      </c>
      <c r="D4518" s="2" t="s">
        <v>31</v>
      </c>
      <c r="E4518" s="2" t="s">
        <v>12</v>
      </c>
      <c r="F4518" s="2">
        <v>765.65</v>
      </c>
      <c r="G4518" s="2">
        <v>63.39</v>
      </c>
      <c r="H4518" s="2" t="s">
        <v>19</v>
      </c>
      <c r="I4518" s="2" t="s">
        <v>20</v>
      </c>
    </row>
    <row r="4519" spans="1:9" x14ac:dyDescent="0.35">
      <c r="A4519" s="2" t="s">
        <v>4565</v>
      </c>
      <c r="B4519" s="3">
        <v>44871</v>
      </c>
      <c r="C4519" s="2" t="s">
        <v>10</v>
      </c>
      <c r="D4519" s="2" t="s">
        <v>95</v>
      </c>
      <c r="E4519" s="2" t="s">
        <v>18</v>
      </c>
      <c r="F4519" s="2">
        <v>382.87</v>
      </c>
      <c r="G4519" s="2">
        <v>58.28</v>
      </c>
      <c r="H4519" s="2" t="s">
        <v>13</v>
      </c>
      <c r="I4519" s="2" t="s">
        <v>34</v>
      </c>
    </row>
    <row r="4520" spans="1:9" x14ac:dyDescent="0.35">
      <c r="A4520" s="2" t="s">
        <v>4566</v>
      </c>
      <c r="B4520" s="3">
        <v>45168</v>
      </c>
      <c r="C4520" s="2" t="s">
        <v>25</v>
      </c>
      <c r="D4520" s="2" t="s">
        <v>38</v>
      </c>
      <c r="E4520" s="2" t="s">
        <v>12</v>
      </c>
      <c r="F4520" s="2">
        <v>450.58</v>
      </c>
      <c r="G4520" s="2">
        <v>42.11</v>
      </c>
      <c r="H4520" s="2" t="s">
        <v>13</v>
      </c>
      <c r="I4520" s="2" t="s">
        <v>20</v>
      </c>
    </row>
    <row r="4521" spans="1:9" x14ac:dyDescent="0.35">
      <c r="A4521" s="2" t="s">
        <v>4567</v>
      </c>
      <c r="B4521" s="3">
        <v>45188</v>
      </c>
      <c r="C4521" s="2" t="s">
        <v>10</v>
      </c>
      <c r="D4521" s="2" t="s">
        <v>38</v>
      </c>
      <c r="E4521" s="2" t="s">
        <v>12</v>
      </c>
      <c r="F4521" s="2">
        <v>1691.54</v>
      </c>
      <c r="G4521" s="2">
        <v>163.84</v>
      </c>
      <c r="H4521" s="2" t="s">
        <v>28</v>
      </c>
      <c r="I4521" s="2" t="s">
        <v>29</v>
      </c>
    </row>
    <row r="4522" spans="1:9" x14ac:dyDescent="0.35">
      <c r="A4522" s="2" t="s">
        <v>4568</v>
      </c>
      <c r="B4522" s="3">
        <v>45609</v>
      </c>
      <c r="C4522" s="2" t="s">
        <v>10</v>
      </c>
      <c r="D4522" s="2" t="s">
        <v>38</v>
      </c>
      <c r="E4522" s="2" t="s">
        <v>12</v>
      </c>
      <c r="F4522" s="2">
        <v>637.44000000000005</v>
      </c>
      <c r="G4522" s="2">
        <v>51.66</v>
      </c>
      <c r="H4522" s="2" t="s">
        <v>19</v>
      </c>
      <c r="I4522" s="2" t="s">
        <v>14</v>
      </c>
    </row>
    <row r="4523" spans="1:9" x14ac:dyDescent="0.35">
      <c r="A4523" s="2" t="s">
        <v>4569</v>
      </c>
      <c r="B4523" s="3">
        <v>44716</v>
      </c>
      <c r="C4523" s="2" t="s">
        <v>25</v>
      </c>
      <c r="D4523" s="2" t="s">
        <v>11</v>
      </c>
      <c r="E4523" s="2" t="s">
        <v>12</v>
      </c>
      <c r="F4523" s="2">
        <v>853.52</v>
      </c>
      <c r="G4523" s="2">
        <v>124.38</v>
      </c>
      <c r="H4523" s="2" t="s">
        <v>19</v>
      </c>
      <c r="I4523" s="2" t="s">
        <v>14</v>
      </c>
    </row>
    <row r="4524" spans="1:9" x14ac:dyDescent="0.35">
      <c r="A4524" s="2" t="s">
        <v>4570</v>
      </c>
      <c r="B4524" s="3">
        <v>44584</v>
      </c>
      <c r="C4524" s="2" t="s">
        <v>25</v>
      </c>
      <c r="D4524" s="2" t="s">
        <v>23</v>
      </c>
      <c r="E4524" s="2" t="s">
        <v>18</v>
      </c>
      <c r="F4524" s="2">
        <v>201.38</v>
      </c>
      <c r="G4524" s="2">
        <v>56.6</v>
      </c>
      <c r="H4524" s="2" t="s">
        <v>19</v>
      </c>
      <c r="I4524" s="2" t="s">
        <v>34</v>
      </c>
    </row>
    <row r="4525" spans="1:9" x14ac:dyDescent="0.35">
      <c r="A4525" s="2" t="s">
        <v>4571</v>
      </c>
      <c r="B4525" s="3">
        <v>44968</v>
      </c>
      <c r="C4525" s="2" t="s">
        <v>16</v>
      </c>
      <c r="D4525" s="2" t="s">
        <v>50</v>
      </c>
      <c r="E4525" s="2" t="s">
        <v>12</v>
      </c>
      <c r="F4525" s="2">
        <v>355.48</v>
      </c>
      <c r="G4525" s="2">
        <v>40.68</v>
      </c>
      <c r="H4525" s="2" t="s">
        <v>28</v>
      </c>
      <c r="I4525" s="2" t="s">
        <v>14</v>
      </c>
    </row>
    <row r="4526" spans="1:9" x14ac:dyDescent="0.35">
      <c r="A4526" s="2" t="s">
        <v>4572</v>
      </c>
      <c r="B4526" s="3">
        <v>44606</v>
      </c>
      <c r="C4526" s="2" t="s">
        <v>22</v>
      </c>
      <c r="D4526" s="2" t="s">
        <v>73</v>
      </c>
      <c r="E4526" s="2" t="s">
        <v>27</v>
      </c>
      <c r="F4526" s="2">
        <v>1193.8800000000001</v>
      </c>
      <c r="G4526" s="2">
        <v>63.15</v>
      </c>
      <c r="H4526" s="2" t="s">
        <v>19</v>
      </c>
      <c r="I4526" s="2" t="s">
        <v>20</v>
      </c>
    </row>
    <row r="4527" spans="1:9" x14ac:dyDescent="0.35">
      <c r="A4527" s="2" t="s">
        <v>4573</v>
      </c>
      <c r="B4527" s="3">
        <v>44596</v>
      </c>
      <c r="C4527" s="2" t="s">
        <v>16</v>
      </c>
      <c r="D4527" s="2" t="s">
        <v>38</v>
      </c>
      <c r="E4527" s="2" t="s">
        <v>12</v>
      </c>
      <c r="F4527" s="2">
        <v>1396.23</v>
      </c>
      <c r="G4527" s="2">
        <v>145.85</v>
      </c>
      <c r="H4527" s="2" t="s">
        <v>13</v>
      </c>
      <c r="I4527" s="2" t="s">
        <v>20</v>
      </c>
    </row>
    <row r="4528" spans="1:9" x14ac:dyDescent="0.35">
      <c r="A4528" s="2" t="s">
        <v>4574</v>
      </c>
      <c r="B4528" s="3">
        <v>44696</v>
      </c>
      <c r="C4528" s="2" t="s">
        <v>10</v>
      </c>
      <c r="D4528" s="2" t="s">
        <v>57</v>
      </c>
      <c r="E4528" s="2" t="s">
        <v>27</v>
      </c>
      <c r="F4528" s="2">
        <v>1535.29</v>
      </c>
      <c r="G4528" s="2">
        <v>340.45</v>
      </c>
      <c r="H4528" s="2" t="s">
        <v>28</v>
      </c>
      <c r="I4528" s="2" t="s">
        <v>14</v>
      </c>
    </row>
    <row r="4529" spans="1:9" x14ac:dyDescent="0.35">
      <c r="A4529" s="2" t="s">
        <v>4575</v>
      </c>
      <c r="B4529" s="3">
        <v>45334</v>
      </c>
      <c r="C4529" s="2" t="s">
        <v>10</v>
      </c>
      <c r="D4529" s="2" t="s">
        <v>62</v>
      </c>
      <c r="E4529" s="2" t="s">
        <v>27</v>
      </c>
      <c r="F4529" s="2">
        <v>1466.53</v>
      </c>
      <c r="G4529" s="2">
        <v>402.61</v>
      </c>
      <c r="H4529" s="2" t="s">
        <v>19</v>
      </c>
      <c r="I4529" s="2" t="s">
        <v>29</v>
      </c>
    </row>
    <row r="4530" spans="1:9" x14ac:dyDescent="0.35">
      <c r="A4530" s="2" t="s">
        <v>4576</v>
      </c>
      <c r="B4530" s="3">
        <v>44845</v>
      </c>
      <c r="C4530" s="2" t="s">
        <v>10</v>
      </c>
      <c r="D4530" s="2" t="s">
        <v>11</v>
      </c>
      <c r="E4530" s="2" t="s">
        <v>12</v>
      </c>
      <c r="F4530" s="2">
        <v>1838.56</v>
      </c>
      <c r="G4530" s="2">
        <v>144.57</v>
      </c>
      <c r="H4530" s="2" t="s">
        <v>28</v>
      </c>
      <c r="I4530" s="2" t="s">
        <v>20</v>
      </c>
    </row>
    <row r="4531" spans="1:9" x14ac:dyDescent="0.35">
      <c r="A4531" s="2" t="s">
        <v>4577</v>
      </c>
      <c r="B4531" s="3">
        <v>45482</v>
      </c>
      <c r="C4531" s="2" t="s">
        <v>22</v>
      </c>
      <c r="D4531" s="2" t="s">
        <v>73</v>
      </c>
      <c r="E4531" s="2" t="s">
        <v>27</v>
      </c>
      <c r="F4531" s="2">
        <v>394.33</v>
      </c>
      <c r="G4531" s="2">
        <v>21.62</v>
      </c>
      <c r="H4531" s="2" t="s">
        <v>19</v>
      </c>
      <c r="I4531" s="2" t="s">
        <v>14</v>
      </c>
    </row>
    <row r="4532" spans="1:9" x14ac:dyDescent="0.35">
      <c r="A4532" s="2" t="s">
        <v>4578</v>
      </c>
      <c r="B4532" s="3">
        <v>45522</v>
      </c>
      <c r="C4532" s="2" t="s">
        <v>25</v>
      </c>
      <c r="D4532" s="2" t="s">
        <v>17</v>
      </c>
      <c r="E4532" s="2" t="s">
        <v>18</v>
      </c>
      <c r="F4532" s="2">
        <v>1543.35</v>
      </c>
      <c r="G4532" s="2">
        <v>275.48</v>
      </c>
      <c r="H4532" s="2" t="s">
        <v>28</v>
      </c>
      <c r="I4532" s="2" t="s">
        <v>29</v>
      </c>
    </row>
    <row r="4533" spans="1:9" x14ac:dyDescent="0.35">
      <c r="A4533" s="2" t="s">
        <v>4579</v>
      </c>
      <c r="B4533" s="3">
        <v>44676</v>
      </c>
      <c r="C4533" s="2" t="s">
        <v>16</v>
      </c>
      <c r="D4533" s="2" t="s">
        <v>17</v>
      </c>
      <c r="E4533" s="2" t="s">
        <v>18</v>
      </c>
      <c r="F4533" s="2">
        <v>67.59</v>
      </c>
      <c r="G4533" s="2">
        <v>16.47</v>
      </c>
      <c r="H4533" s="2" t="s">
        <v>28</v>
      </c>
      <c r="I4533" s="2" t="s">
        <v>29</v>
      </c>
    </row>
    <row r="4534" spans="1:9" x14ac:dyDescent="0.35">
      <c r="A4534" s="2" t="s">
        <v>4580</v>
      </c>
      <c r="B4534" s="3">
        <v>45398</v>
      </c>
      <c r="C4534" s="2" t="s">
        <v>10</v>
      </c>
      <c r="D4534" s="2" t="s">
        <v>95</v>
      </c>
      <c r="E4534" s="2" t="s">
        <v>18</v>
      </c>
      <c r="F4534" s="2">
        <v>973.4</v>
      </c>
      <c r="G4534" s="2">
        <v>253.46</v>
      </c>
      <c r="H4534" s="2" t="s">
        <v>19</v>
      </c>
      <c r="I4534" s="2" t="s">
        <v>14</v>
      </c>
    </row>
    <row r="4535" spans="1:9" x14ac:dyDescent="0.35">
      <c r="A4535" s="2" t="s">
        <v>4581</v>
      </c>
      <c r="B4535" s="3">
        <v>44988</v>
      </c>
      <c r="C4535" s="2" t="s">
        <v>25</v>
      </c>
      <c r="D4535" s="2" t="s">
        <v>38</v>
      </c>
      <c r="E4535" s="2" t="s">
        <v>12</v>
      </c>
      <c r="F4535" s="2">
        <v>373.33</v>
      </c>
      <c r="G4535" s="2">
        <v>99.51</v>
      </c>
      <c r="H4535" s="2" t="s">
        <v>28</v>
      </c>
      <c r="I4535" s="2" t="s">
        <v>20</v>
      </c>
    </row>
    <row r="4536" spans="1:9" x14ac:dyDescent="0.35">
      <c r="A4536" s="2" t="s">
        <v>4582</v>
      </c>
      <c r="B4536" s="3">
        <v>44740</v>
      </c>
      <c r="C4536" s="2" t="s">
        <v>25</v>
      </c>
      <c r="D4536" s="2" t="s">
        <v>73</v>
      </c>
      <c r="E4536" s="2" t="s">
        <v>27</v>
      </c>
      <c r="F4536" s="2">
        <v>202.05</v>
      </c>
      <c r="G4536" s="2">
        <v>51.82</v>
      </c>
      <c r="H4536" s="2" t="s">
        <v>19</v>
      </c>
      <c r="I4536" s="2" t="s">
        <v>29</v>
      </c>
    </row>
    <row r="4537" spans="1:9" x14ac:dyDescent="0.35">
      <c r="A4537" s="2" t="s">
        <v>4583</v>
      </c>
      <c r="B4537" s="3">
        <v>44802</v>
      </c>
      <c r="C4537" s="2" t="s">
        <v>22</v>
      </c>
      <c r="D4537" s="2" t="s">
        <v>41</v>
      </c>
      <c r="E4537" s="2" t="s">
        <v>12</v>
      </c>
      <c r="F4537" s="2">
        <v>1459.24</v>
      </c>
      <c r="G4537" s="2">
        <v>433.87</v>
      </c>
      <c r="H4537" s="2" t="s">
        <v>13</v>
      </c>
      <c r="I4537" s="2" t="s">
        <v>20</v>
      </c>
    </row>
    <row r="4538" spans="1:9" x14ac:dyDescent="0.35">
      <c r="A4538" s="2" t="s">
        <v>4584</v>
      </c>
      <c r="B4538" s="3">
        <v>45378</v>
      </c>
      <c r="C4538" s="2" t="s">
        <v>16</v>
      </c>
      <c r="D4538" s="2" t="s">
        <v>23</v>
      </c>
      <c r="E4538" s="2" t="s">
        <v>18</v>
      </c>
      <c r="F4538" s="2">
        <v>673.25</v>
      </c>
      <c r="G4538" s="2">
        <v>86.39</v>
      </c>
      <c r="H4538" s="2" t="s">
        <v>13</v>
      </c>
      <c r="I4538" s="2" t="s">
        <v>14</v>
      </c>
    </row>
    <row r="4539" spans="1:9" x14ac:dyDescent="0.35">
      <c r="A4539" s="2" t="s">
        <v>4585</v>
      </c>
      <c r="B4539" s="3">
        <v>44734</v>
      </c>
      <c r="C4539" s="2" t="s">
        <v>22</v>
      </c>
      <c r="D4539" s="2" t="s">
        <v>50</v>
      </c>
      <c r="E4539" s="2" t="s">
        <v>12</v>
      </c>
      <c r="F4539" s="2">
        <v>1697.9</v>
      </c>
      <c r="G4539" s="2">
        <v>235.4</v>
      </c>
      <c r="H4539" s="2" t="s">
        <v>13</v>
      </c>
      <c r="I4539" s="2" t="s">
        <v>34</v>
      </c>
    </row>
    <row r="4540" spans="1:9" x14ac:dyDescent="0.35">
      <c r="A4540" s="2" t="s">
        <v>4586</v>
      </c>
      <c r="B4540" s="3">
        <v>44776</v>
      </c>
      <c r="C4540" s="2" t="s">
        <v>25</v>
      </c>
      <c r="D4540" s="2" t="s">
        <v>31</v>
      </c>
      <c r="E4540" s="2" t="s">
        <v>12</v>
      </c>
      <c r="F4540" s="2">
        <v>160.1</v>
      </c>
      <c r="G4540" s="2">
        <v>19.93</v>
      </c>
      <c r="H4540" s="2" t="s">
        <v>28</v>
      </c>
      <c r="I4540" s="2" t="s">
        <v>34</v>
      </c>
    </row>
    <row r="4541" spans="1:9" x14ac:dyDescent="0.35">
      <c r="A4541" s="2" t="s">
        <v>4587</v>
      </c>
      <c r="B4541" s="3">
        <v>45607</v>
      </c>
      <c r="C4541" s="2" t="s">
        <v>25</v>
      </c>
      <c r="D4541" s="2" t="s">
        <v>38</v>
      </c>
      <c r="E4541" s="2" t="s">
        <v>12</v>
      </c>
      <c r="F4541" s="2">
        <v>1082.72</v>
      </c>
      <c r="G4541" s="2">
        <v>190.6</v>
      </c>
      <c r="H4541" s="2" t="s">
        <v>13</v>
      </c>
      <c r="I4541" s="2" t="s">
        <v>29</v>
      </c>
    </row>
    <row r="4542" spans="1:9" x14ac:dyDescent="0.35">
      <c r="A4542" s="2" t="s">
        <v>4588</v>
      </c>
      <c r="B4542" s="3">
        <v>45557</v>
      </c>
      <c r="C4542" s="2" t="s">
        <v>16</v>
      </c>
      <c r="D4542" s="2" t="s">
        <v>73</v>
      </c>
      <c r="E4542" s="2" t="s">
        <v>27</v>
      </c>
      <c r="F4542" s="2">
        <v>1613.23</v>
      </c>
      <c r="G4542" s="2">
        <v>81.33</v>
      </c>
      <c r="H4542" s="2" t="s">
        <v>19</v>
      </c>
      <c r="I4542" s="2" t="s">
        <v>29</v>
      </c>
    </row>
    <row r="4543" spans="1:9" x14ac:dyDescent="0.35">
      <c r="A4543" s="2" t="s">
        <v>4589</v>
      </c>
      <c r="B4543" s="3">
        <v>45564</v>
      </c>
      <c r="C4543" s="2" t="s">
        <v>22</v>
      </c>
      <c r="D4543" s="2" t="s">
        <v>95</v>
      </c>
      <c r="E4543" s="2" t="s">
        <v>18</v>
      </c>
      <c r="F4543" s="2">
        <v>1850.08</v>
      </c>
      <c r="G4543" s="2">
        <v>503.87</v>
      </c>
      <c r="H4543" s="2" t="s">
        <v>28</v>
      </c>
      <c r="I4543" s="2" t="s">
        <v>29</v>
      </c>
    </row>
    <row r="4544" spans="1:9" x14ac:dyDescent="0.35">
      <c r="A4544" s="2" t="s">
        <v>4590</v>
      </c>
      <c r="B4544" s="3">
        <v>45431</v>
      </c>
      <c r="C4544" s="2" t="s">
        <v>16</v>
      </c>
      <c r="D4544" s="2" t="s">
        <v>26</v>
      </c>
      <c r="E4544" s="2" t="s">
        <v>27</v>
      </c>
      <c r="F4544" s="2">
        <v>1328.2</v>
      </c>
      <c r="G4544" s="2">
        <v>86.83</v>
      </c>
      <c r="H4544" s="2" t="s">
        <v>13</v>
      </c>
      <c r="I4544" s="2" t="s">
        <v>29</v>
      </c>
    </row>
    <row r="4545" spans="1:9" x14ac:dyDescent="0.35">
      <c r="A4545" s="2" t="s">
        <v>4591</v>
      </c>
      <c r="B4545" s="3">
        <v>44842</v>
      </c>
      <c r="C4545" s="2" t="s">
        <v>22</v>
      </c>
      <c r="D4545" s="2" t="s">
        <v>41</v>
      </c>
      <c r="E4545" s="2" t="s">
        <v>12</v>
      </c>
      <c r="F4545" s="2">
        <v>264.69</v>
      </c>
      <c r="G4545" s="2">
        <v>58.93</v>
      </c>
      <c r="H4545" s="2" t="s">
        <v>19</v>
      </c>
      <c r="I4545" s="2" t="s">
        <v>14</v>
      </c>
    </row>
    <row r="4546" spans="1:9" x14ac:dyDescent="0.35">
      <c r="A4546" s="2" t="s">
        <v>4592</v>
      </c>
      <c r="B4546" s="3">
        <v>44895</v>
      </c>
      <c r="C4546" s="2" t="s">
        <v>10</v>
      </c>
      <c r="D4546" s="2" t="s">
        <v>31</v>
      </c>
      <c r="E4546" s="2" t="s">
        <v>12</v>
      </c>
      <c r="F4546" s="2">
        <v>1652.33</v>
      </c>
      <c r="G4546" s="2">
        <v>297.81</v>
      </c>
      <c r="H4546" s="2" t="s">
        <v>28</v>
      </c>
      <c r="I4546" s="2" t="s">
        <v>14</v>
      </c>
    </row>
    <row r="4547" spans="1:9" x14ac:dyDescent="0.35">
      <c r="A4547" s="2" t="s">
        <v>4593</v>
      </c>
      <c r="B4547" s="3">
        <v>44750</v>
      </c>
      <c r="C4547" s="2" t="s">
        <v>22</v>
      </c>
      <c r="D4547" s="2" t="s">
        <v>97</v>
      </c>
      <c r="E4547" s="2" t="s">
        <v>27</v>
      </c>
      <c r="F4547" s="2">
        <v>1698.1</v>
      </c>
      <c r="G4547" s="2">
        <v>271.67</v>
      </c>
      <c r="H4547" s="2" t="s">
        <v>13</v>
      </c>
      <c r="I4547" s="2" t="s">
        <v>29</v>
      </c>
    </row>
    <row r="4548" spans="1:9" x14ac:dyDescent="0.35">
      <c r="A4548" s="2" t="s">
        <v>4594</v>
      </c>
      <c r="B4548" s="3">
        <v>45648</v>
      </c>
      <c r="C4548" s="2" t="s">
        <v>25</v>
      </c>
      <c r="D4548" s="2" t="s">
        <v>41</v>
      </c>
      <c r="E4548" s="2" t="s">
        <v>12</v>
      </c>
      <c r="F4548" s="2">
        <v>1938.6</v>
      </c>
      <c r="G4548" s="2">
        <v>238.56</v>
      </c>
      <c r="H4548" s="2" t="s">
        <v>19</v>
      </c>
      <c r="I4548" s="2" t="s">
        <v>20</v>
      </c>
    </row>
    <row r="4549" spans="1:9" x14ac:dyDescent="0.35">
      <c r="A4549" s="2" t="s">
        <v>4595</v>
      </c>
      <c r="B4549" s="3">
        <v>44573</v>
      </c>
      <c r="C4549" s="2" t="s">
        <v>22</v>
      </c>
      <c r="D4549" s="2" t="s">
        <v>95</v>
      </c>
      <c r="E4549" s="2" t="s">
        <v>18</v>
      </c>
      <c r="F4549" s="2">
        <v>1606.49</v>
      </c>
      <c r="G4549" s="2">
        <v>116.78</v>
      </c>
      <c r="H4549" s="2" t="s">
        <v>28</v>
      </c>
      <c r="I4549" s="2" t="s">
        <v>14</v>
      </c>
    </row>
    <row r="4550" spans="1:9" x14ac:dyDescent="0.35">
      <c r="A4550" s="2" t="s">
        <v>4596</v>
      </c>
      <c r="B4550" s="3">
        <v>44760</v>
      </c>
      <c r="C4550" s="2" t="s">
        <v>10</v>
      </c>
      <c r="D4550" s="2" t="s">
        <v>73</v>
      </c>
      <c r="E4550" s="2" t="s">
        <v>27</v>
      </c>
      <c r="F4550" s="2">
        <v>757.2</v>
      </c>
      <c r="G4550" s="2">
        <v>187.12</v>
      </c>
      <c r="H4550" s="2" t="s">
        <v>13</v>
      </c>
      <c r="I4550" s="2" t="s">
        <v>14</v>
      </c>
    </row>
    <row r="4551" spans="1:9" x14ac:dyDescent="0.35">
      <c r="A4551" s="2" t="s">
        <v>4597</v>
      </c>
      <c r="B4551" s="3">
        <v>44792</v>
      </c>
      <c r="C4551" s="2" t="s">
        <v>16</v>
      </c>
      <c r="D4551" s="2" t="s">
        <v>23</v>
      </c>
      <c r="E4551" s="2" t="s">
        <v>18</v>
      </c>
      <c r="F4551" s="2">
        <v>1395.99</v>
      </c>
      <c r="G4551" s="2">
        <v>325.75</v>
      </c>
      <c r="H4551" s="2" t="s">
        <v>28</v>
      </c>
      <c r="I4551" s="2" t="s">
        <v>20</v>
      </c>
    </row>
    <row r="4552" spans="1:9" x14ac:dyDescent="0.35">
      <c r="A4552" s="2" t="s">
        <v>4598</v>
      </c>
      <c r="B4552" s="3">
        <v>45030</v>
      </c>
      <c r="C4552" s="2" t="s">
        <v>10</v>
      </c>
      <c r="D4552" s="2" t="s">
        <v>38</v>
      </c>
      <c r="E4552" s="2" t="s">
        <v>12</v>
      </c>
      <c r="F4552" s="2">
        <v>1783.34</v>
      </c>
      <c r="G4552" s="2">
        <v>218.71</v>
      </c>
      <c r="H4552" s="2" t="s">
        <v>19</v>
      </c>
      <c r="I4552" s="2" t="s">
        <v>14</v>
      </c>
    </row>
    <row r="4553" spans="1:9" x14ac:dyDescent="0.35">
      <c r="A4553" s="2" t="s">
        <v>4599</v>
      </c>
      <c r="B4553" s="3">
        <v>45154</v>
      </c>
      <c r="C4553" s="2" t="s">
        <v>10</v>
      </c>
      <c r="D4553" s="2" t="s">
        <v>38</v>
      </c>
      <c r="E4553" s="2" t="s">
        <v>12</v>
      </c>
      <c r="F4553" s="2">
        <v>533.84</v>
      </c>
      <c r="G4553" s="2">
        <v>52.53</v>
      </c>
      <c r="H4553" s="2" t="s">
        <v>28</v>
      </c>
      <c r="I4553" s="2" t="s">
        <v>20</v>
      </c>
    </row>
    <row r="4554" spans="1:9" x14ac:dyDescent="0.35">
      <c r="A4554" s="2" t="s">
        <v>4600</v>
      </c>
      <c r="B4554" s="3">
        <v>45392</v>
      </c>
      <c r="C4554" s="2" t="s">
        <v>25</v>
      </c>
      <c r="D4554" s="2" t="s">
        <v>17</v>
      </c>
      <c r="E4554" s="2" t="s">
        <v>18</v>
      </c>
      <c r="F4554" s="2">
        <v>290.48</v>
      </c>
      <c r="G4554" s="2">
        <v>40.79</v>
      </c>
      <c r="H4554" s="2" t="s">
        <v>28</v>
      </c>
      <c r="I4554" s="2" t="s">
        <v>14</v>
      </c>
    </row>
    <row r="4555" spans="1:9" x14ac:dyDescent="0.35">
      <c r="A4555" s="2" t="s">
        <v>4601</v>
      </c>
      <c r="B4555" s="3">
        <v>45377</v>
      </c>
      <c r="C4555" s="2" t="s">
        <v>22</v>
      </c>
      <c r="D4555" s="2" t="s">
        <v>31</v>
      </c>
      <c r="E4555" s="2" t="s">
        <v>12</v>
      </c>
      <c r="F4555" s="2">
        <v>1396.55</v>
      </c>
      <c r="G4555" s="2">
        <v>203.48</v>
      </c>
      <c r="H4555" s="2" t="s">
        <v>19</v>
      </c>
      <c r="I4555" s="2" t="s">
        <v>20</v>
      </c>
    </row>
    <row r="4556" spans="1:9" x14ac:dyDescent="0.35">
      <c r="A4556" s="2" t="s">
        <v>4602</v>
      </c>
      <c r="B4556" s="3">
        <v>44788</v>
      </c>
      <c r="C4556" s="2" t="s">
        <v>16</v>
      </c>
      <c r="D4556" s="2" t="s">
        <v>57</v>
      </c>
      <c r="E4556" s="2" t="s">
        <v>27</v>
      </c>
      <c r="F4556" s="2">
        <v>330.2</v>
      </c>
      <c r="G4556" s="2">
        <v>65.099999999999994</v>
      </c>
      <c r="H4556" s="2" t="s">
        <v>19</v>
      </c>
      <c r="I4556" s="2" t="s">
        <v>14</v>
      </c>
    </row>
    <row r="4557" spans="1:9" x14ac:dyDescent="0.35">
      <c r="A4557" s="2" t="s">
        <v>4603</v>
      </c>
      <c r="B4557" s="3">
        <v>45442</v>
      </c>
      <c r="C4557" s="2" t="s">
        <v>16</v>
      </c>
      <c r="D4557" s="2" t="s">
        <v>33</v>
      </c>
      <c r="E4557" s="2" t="s">
        <v>18</v>
      </c>
      <c r="F4557" s="2">
        <v>1505.52</v>
      </c>
      <c r="G4557" s="2">
        <v>311.63</v>
      </c>
      <c r="H4557" s="2" t="s">
        <v>19</v>
      </c>
      <c r="I4557" s="2" t="s">
        <v>34</v>
      </c>
    </row>
    <row r="4558" spans="1:9" x14ac:dyDescent="0.35">
      <c r="A4558" s="2" t="s">
        <v>4604</v>
      </c>
      <c r="B4558" s="3">
        <v>45607</v>
      </c>
      <c r="C4558" s="2" t="s">
        <v>10</v>
      </c>
      <c r="D4558" s="2" t="s">
        <v>41</v>
      </c>
      <c r="E4558" s="2" t="s">
        <v>12</v>
      </c>
      <c r="F4558" s="2">
        <v>1665.19</v>
      </c>
      <c r="G4558" s="2">
        <v>485.07</v>
      </c>
      <c r="H4558" s="2" t="s">
        <v>13</v>
      </c>
      <c r="I4558" s="2" t="s">
        <v>14</v>
      </c>
    </row>
    <row r="4559" spans="1:9" x14ac:dyDescent="0.35">
      <c r="A4559" s="2" t="s">
        <v>4605</v>
      </c>
      <c r="B4559" s="3">
        <v>44807</v>
      </c>
      <c r="C4559" s="2" t="s">
        <v>10</v>
      </c>
      <c r="D4559" s="2" t="s">
        <v>33</v>
      </c>
      <c r="E4559" s="2" t="s">
        <v>18</v>
      </c>
      <c r="F4559" s="2">
        <v>1335.67</v>
      </c>
      <c r="G4559" s="2">
        <v>75.680000000000007</v>
      </c>
      <c r="H4559" s="2" t="s">
        <v>28</v>
      </c>
      <c r="I4559" s="2" t="s">
        <v>20</v>
      </c>
    </row>
    <row r="4560" spans="1:9" x14ac:dyDescent="0.35">
      <c r="A4560" s="2" t="s">
        <v>4606</v>
      </c>
      <c r="B4560" s="3">
        <v>45201</v>
      </c>
      <c r="C4560" s="2" t="s">
        <v>16</v>
      </c>
      <c r="D4560" s="2" t="s">
        <v>17</v>
      </c>
      <c r="E4560" s="2" t="s">
        <v>18</v>
      </c>
      <c r="F4560" s="2">
        <v>931.06</v>
      </c>
      <c r="G4560" s="2">
        <v>112.61</v>
      </c>
      <c r="H4560" s="2" t="s">
        <v>13</v>
      </c>
      <c r="I4560" s="2" t="s">
        <v>20</v>
      </c>
    </row>
    <row r="4561" spans="1:9" x14ac:dyDescent="0.35">
      <c r="A4561" s="2" t="s">
        <v>4607</v>
      </c>
      <c r="B4561" s="3">
        <v>44765</v>
      </c>
      <c r="C4561" s="2" t="s">
        <v>16</v>
      </c>
      <c r="D4561" s="2" t="s">
        <v>17</v>
      </c>
      <c r="E4561" s="2" t="s">
        <v>18</v>
      </c>
      <c r="F4561" s="2">
        <v>1871.91</v>
      </c>
      <c r="G4561" s="2">
        <v>147.63</v>
      </c>
      <c r="H4561" s="2" t="s">
        <v>13</v>
      </c>
      <c r="I4561" s="2" t="s">
        <v>34</v>
      </c>
    </row>
    <row r="4562" spans="1:9" x14ac:dyDescent="0.35">
      <c r="A4562" s="2" t="s">
        <v>4608</v>
      </c>
      <c r="B4562" s="3">
        <v>45431</v>
      </c>
      <c r="C4562" s="2" t="s">
        <v>10</v>
      </c>
      <c r="D4562" s="2" t="s">
        <v>26</v>
      </c>
      <c r="E4562" s="2" t="s">
        <v>27</v>
      </c>
      <c r="F4562" s="2">
        <v>1607.85</v>
      </c>
      <c r="G4562" s="2">
        <v>368.37</v>
      </c>
      <c r="H4562" s="2" t="s">
        <v>13</v>
      </c>
      <c r="I4562" s="2" t="s">
        <v>29</v>
      </c>
    </row>
    <row r="4563" spans="1:9" x14ac:dyDescent="0.35">
      <c r="A4563" s="2" t="s">
        <v>4609</v>
      </c>
      <c r="B4563" s="3">
        <v>45408</v>
      </c>
      <c r="C4563" s="2" t="s">
        <v>10</v>
      </c>
      <c r="D4563" s="2" t="s">
        <v>73</v>
      </c>
      <c r="E4563" s="2" t="s">
        <v>27</v>
      </c>
      <c r="F4563" s="2">
        <v>1173.51</v>
      </c>
      <c r="G4563" s="2">
        <v>129.33000000000001</v>
      </c>
      <c r="H4563" s="2" t="s">
        <v>19</v>
      </c>
      <c r="I4563" s="2" t="s">
        <v>20</v>
      </c>
    </row>
    <row r="4564" spans="1:9" x14ac:dyDescent="0.35">
      <c r="A4564" s="2" t="s">
        <v>4610</v>
      </c>
      <c r="B4564" s="3">
        <v>44605</v>
      </c>
      <c r="C4564" s="2" t="s">
        <v>25</v>
      </c>
      <c r="D4564" s="2" t="s">
        <v>23</v>
      </c>
      <c r="E4564" s="2" t="s">
        <v>18</v>
      </c>
      <c r="F4564" s="2">
        <v>637.98</v>
      </c>
      <c r="G4564" s="2">
        <v>49.79</v>
      </c>
      <c r="H4564" s="2" t="s">
        <v>28</v>
      </c>
      <c r="I4564" s="2" t="s">
        <v>34</v>
      </c>
    </row>
    <row r="4565" spans="1:9" x14ac:dyDescent="0.35">
      <c r="A4565" s="2" t="s">
        <v>4611</v>
      </c>
      <c r="B4565" s="3">
        <v>44794</v>
      </c>
      <c r="C4565" s="2" t="s">
        <v>25</v>
      </c>
      <c r="D4565" s="2" t="s">
        <v>97</v>
      </c>
      <c r="E4565" s="2" t="s">
        <v>27</v>
      </c>
      <c r="F4565" s="2">
        <v>1950.43</v>
      </c>
      <c r="G4565" s="2">
        <v>292.66000000000003</v>
      </c>
      <c r="H4565" s="2" t="s">
        <v>28</v>
      </c>
      <c r="I4565" s="2" t="s">
        <v>34</v>
      </c>
    </row>
    <row r="4566" spans="1:9" x14ac:dyDescent="0.35">
      <c r="A4566" s="2" t="s">
        <v>4612</v>
      </c>
      <c r="B4566" s="3">
        <v>45283</v>
      </c>
      <c r="C4566" s="2" t="s">
        <v>16</v>
      </c>
      <c r="D4566" s="2" t="s">
        <v>95</v>
      </c>
      <c r="E4566" s="2" t="s">
        <v>18</v>
      </c>
      <c r="F4566" s="2">
        <v>70.98</v>
      </c>
      <c r="G4566" s="2">
        <v>13.02</v>
      </c>
      <c r="H4566" s="2" t="s">
        <v>13</v>
      </c>
      <c r="I4566" s="2" t="s">
        <v>34</v>
      </c>
    </row>
    <row r="4567" spans="1:9" x14ac:dyDescent="0.35">
      <c r="A4567" s="2" t="s">
        <v>4613</v>
      </c>
      <c r="B4567" s="3">
        <v>45138</v>
      </c>
      <c r="C4567" s="2" t="s">
        <v>25</v>
      </c>
      <c r="D4567" s="2" t="s">
        <v>26</v>
      </c>
      <c r="E4567" s="2" t="s">
        <v>27</v>
      </c>
      <c r="F4567" s="2">
        <v>1813.93</v>
      </c>
      <c r="G4567" s="2">
        <v>298.8</v>
      </c>
      <c r="H4567" s="2" t="s">
        <v>13</v>
      </c>
      <c r="I4567" s="2" t="s">
        <v>34</v>
      </c>
    </row>
    <row r="4568" spans="1:9" x14ac:dyDescent="0.35">
      <c r="A4568" s="2" t="s">
        <v>4614</v>
      </c>
      <c r="B4568" s="3">
        <v>44717</v>
      </c>
      <c r="C4568" s="2" t="s">
        <v>25</v>
      </c>
      <c r="D4568" s="2" t="s">
        <v>73</v>
      </c>
      <c r="E4568" s="2" t="s">
        <v>27</v>
      </c>
      <c r="F4568" s="2">
        <v>400.29</v>
      </c>
      <c r="G4568" s="2">
        <v>49.43</v>
      </c>
      <c r="H4568" s="2" t="s">
        <v>13</v>
      </c>
      <c r="I4568" s="2" t="s">
        <v>34</v>
      </c>
    </row>
    <row r="4569" spans="1:9" x14ac:dyDescent="0.35">
      <c r="A4569" s="2" t="s">
        <v>4615</v>
      </c>
      <c r="B4569" s="3">
        <v>45277</v>
      </c>
      <c r="C4569" s="2" t="s">
        <v>25</v>
      </c>
      <c r="D4569" s="2" t="s">
        <v>57</v>
      </c>
      <c r="E4569" s="2" t="s">
        <v>27</v>
      </c>
      <c r="F4569" s="2">
        <v>111.27</v>
      </c>
      <c r="G4569" s="2">
        <v>16.07</v>
      </c>
      <c r="H4569" s="2" t="s">
        <v>13</v>
      </c>
      <c r="I4569" s="2" t="s">
        <v>29</v>
      </c>
    </row>
    <row r="4570" spans="1:9" x14ac:dyDescent="0.35">
      <c r="A4570" s="2" t="s">
        <v>4616</v>
      </c>
      <c r="B4570" s="3">
        <v>44623</v>
      </c>
      <c r="C4570" s="2" t="s">
        <v>10</v>
      </c>
      <c r="D4570" s="2" t="s">
        <v>11</v>
      </c>
      <c r="E4570" s="2" t="s">
        <v>12</v>
      </c>
      <c r="F4570" s="2">
        <v>1815.37</v>
      </c>
      <c r="G4570" s="2">
        <v>319.20999999999998</v>
      </c>
      <c r="H4570" s="2" t="s">
        <v>13</v>
      </c>
      <c r="I4570" s="2" t="s">
        <v>34</v>
      </c>
    </row>
    <row r="4571" spans="1:9" x14ac:dyDescent="0.35">
      <c r="A4571" s="2" t="s">
        <v>4617</v>
      </c>
      <c r="B4571" s="3">
        <v>45551</v>
      </c>
      <c r="C4571" s="2" t="s">
        <v>10</v>
      </c>
      <c r="D4571" s="2" t="s">
        <v>50</v>
      </c>
      <c r="E4571" s="2" t="s">
        <v>12</v>
      </c>
      <c r="F4571" s="2">
        <v>297.8</v>
      </c>
      <c r="G4571" s="2">
        <v>19.260000000000002</v>
      </c>
      <c r="H4571" s="2" t="s">
        <v>28</v>
      </c>
      <c r="I4571" s="2" t="s">
        <v>20</v>
      </c>
    </row>
    <row r="4572" spans="1:9" x14ac:dyDescent="0.35">
      <c r="A4572" s="2" t="s">
        <v>4618</v>
      </c>
      <c r="B4572" s="3">
        <v>45575</v>
      </c>
      <c r="C4572" s="2" t="s">
        <v>25</v>
      </c>
      <c r="D4572" s="2" t="s">
        <v>17</v>
      </c>
      <c r="E4572" s="2" t="s">
        <v>18</v>
      </c>
      <c r="F4572" s="2">
        <v>1746.32</v>
      </c>
      <c r="G4572" s="2">
        <v>179.5</v>
      </c>
      <c r="H4572" s="2" t="s">
        <v>13</v>
      </c>
      <c r="I4572" s="2" t="s">
        <v>34</v>
      </c>
    </row>
    <row r="4573" spans="1:9" x14ac:dyDescent="0.35">
      <c r="A4573" s="2" t="s">
        <v>4619</v>
      </c>
      <c r="B4573" s="3">
        <v>45169</v>
      </c>
      <c r="C4573" s="2" t="s">
        <v>16</v>
      </c>
      <c r="D4573" s="2" t="s">
        <v>38</v>
      </c>
      <c r="E4573" s="2" t="s">
        <v>12</v>
      </c>
      <c r="F4573" s="2">
        <v>696.6</v>
      </c>
      <c r="G4573" s="2">
        <v>157.9</v>
      </c>
      <c r="H4573" s="2" t="s">
        <v>13</v>
      </c>
      <c r="I4573" s="2" t="s">
        <v>34</v>
      </c>
    </row>
    <row r="4574" spans="1:9" x14ac:dyDescent="0.35">
      <c r="A4574" s="2" t="s">
        <v>4620</v>
      </c>
      <c r="B4574" s="3">
        <v>45230</v>
      </c>
      <c r="C4574" s="2" t="s">
        <v>22</v>
      </c>
      <c r="D4574" s="2" t="s">
        <v>97</v>
      </c>
      <c r="E4574" s="2" t="s">
        <v>27</v>
      </c>
      <c r="F4574" s="2">
        <v>1964.41</v>
      </c>
      <c r="G4574" s="2">
        <v>201.96</v>
      </c>
      <c r="H4574" s="2" t="s">
        <v>28</v>
      </c>
      <c r="I4574" s="2" t="s">
        <v>14</v>
      </c>
    </row>
    <row r="4575" spans="1:9" x14ac:dyDescent="0.35">
      <c r="A4575" s="2" t="s">
        <v>4621</v>
      </c>
      <c r="B4575" s="3">
        <v>45203</v>
      </c>
      <c r="C4575" s="2" t="s">
        <v>25</v>
      </c>
      <c r="D4575" s="2" t="s">
        <v>17</v>
      </c>
      <c r="E4575" s="2" t="s">
        <v>18</v>
      </c>
      <c r="F4575" s="2">
        <v>1817.96</v>
      </c>
      <c r="G4575" s="2">
        <v>218.02</v>
      </c>
      <c r="H4575" s="2" t="s">
        <v>28</v>
      </c>
      <c r="I4575" s="2" t="s">
        <v>20</v>
      </c>
    </row>
    <row r="4576" spans="1:9" x14ac:dyDescent="0.35">
      <c r="A4576" s="2" t="s">
        <v>4622</v>
      </c>
      <c r="B4576" s="3">
        <v>44617</v>
      </c>
      <c r="C4576" s="2" t="s">
        <v>22</v>
      </c>
      <c r="D4576" s="2" t="s">
        <v>23</v>
      </c>
      <c r="E4576" s="2" t="s">
        <v>18</v>
      </c>
      <c r="F4576" s="2">
        <v>729.41</v>
      </c>
      <c r="G4576" s="2">
        <v>50.16</v>
      </c>
      <c r="H4576" s="2" t="s">
        <v>28</v>
      </c>
      <c r="I4576" s="2" t="s">
        <v>29</v>
      </c>
    </row>
    <row r="4577" spans="1:9" x14ac:dyDescent="0.35">
      <c r="A4577" s="2" t="s">
        <v>4623</v>
      </c>
      <c r="B4577" s="3">
        <v>45395</v>
      </c>
      <c r="C4577" s="2" t="s">
        <v>16</v>
      </c>
      <c r="D4577" s="2" t="s">
        <v>50</v>
      </c>
      <c r="E4577" s="2" t="s">
        <v>12</v>
      </c>
      <c r="F4577" s="2">
        <v>1279.46</v>
      </c>
      <c r="G4577" s="2">
        <v>147.72</v>
      </c>
      <c r="H4577" s="2" t="s">
        <v>13</v>
      </c>
      <c r="I4577" s="2" t="s">
        <v>34</v>
      </c>
    </row>
    <row r="4578" spans="1:9" x14ac:dyDescent="0.35">
      <c r="A4578" s="2" t="s">
        <v>4624</v>
      </c>
      <c r="B4578" s="3">
        <v>45409</v>
      </c>
      <c r="C4578" s="2" t="s">
        <v>22</v>
      </c>
      <c r="D4578" s="2" t="s">
        <v>57</v>
      </c>
      <c r="E4578" s="2" t="s">
        <v>27</v>
      </c>
      <c r="F4578" s="2">
        <v>1998.4</v>
      </c>
      <c r="G4578" s="2">
        <v>276.86</v>
      </c>
      <c r="H4578" s="2" t="s">
        <v>13</v>
      </c>
      <c r="I4578" s="2" t="s">
        <v>34</v>
      </c>
    </row>
    <row r="4579" spans="1:9" x14ac:dyDescent="0.35">
      <c r="A4579" s="2" t="s">
        <v>4625</v>
      </c>
      <c r="B4579" s="3">
        <v>45189</v>
      </c>
      <c r="C4579" s="2" t="s">
        <v>25</v>
      </c>
      <c r="D4579" s="2" t="s">
        <v>46</v>
      </c>
      <c r="E4579" s="2" t="s">
        <v>18</v>
      </c>
      <c r="F4579" s="2">
        <v>1769.23</v>
      </c>
      <c r="G4579" s="2">
        <v>107.15</v>
      </c>
      <c r="H4579" s="2" t="s">
        <v>28</v>
      </c>
      <c r="I4579" s="2" t="s">
        <v>34</v>
      </c>
    </row>
    <row r="4580" spans="1:9" x14ac:dyDescent="0.35">
      <c r="A4580" s="2" t="s">
        <v>4626</v>
      </c>
      <c r="B4580" s="3">
        <v>45087</v>
      </c>
      <c r="C4580" s="2" t="s">
        <v>10</v>
      </c>
      <c r="D4580" s="2" t="s">
        <v>97</v>
      </c>
      <c r="E4580" s="2" t="s">
        <v>27</v>
      </c>
      <c r="F4580" s="2">
        <v>1818.02</v>
      </c>
      <c r="G4580" s="2">
        <v>416.54</v>
      </c>
      <c r="H4580" s="2" t="s">
        <v>13</v>
      </c>
      <c r="I4580" s="2" t="s">
        <v>34</v>
      </c>
    </row>
    <row r="4581" spans="1:9" x14ac:dyDescent="0.35">
      <c r="A4581" s="2" t="s">
        <v>4627</v>
      </c>
      <c r="B4581" s="3">
        <v>45290</v>
      </c>
      <c r="C4581" s="2" t="s">
        <v>25</v>
      </c>
      <c r="D4581" s="2" t="s">
        <v>17</v>
      </c>
      <c r="E4581" s="2" t="s">
        <v>18</v>
      </c>
      <c r="F4581" s="2">
        <v>428.06</v>
      </c>
      <c r="G4581" s="2">
        <v>90.27</v>
      </c>
      <c r="H4581" s="2" t="s">
        <v>13</v>
      </c>
      <c r="I4581" s="2" t="s">
        <v>20</v>
      </c>
    </row>
    <row r="4582" spans="1:9" x14ac:dyDescent="0.35">
      <c r="A4582" s="2" t="s">
        <v>4628</v>
      </c>
      <c r="B4582" s="3">
        <v>44656</v>
      </c>
      <c r="C4582" s="2" t="s">
        <v>10</v>
      </c>
      <c r="D4582" s="2" t="s">
        <v>31</v>
      </c>
      <c r="E4582" s="2" t="s">
        <v>12</v>
      </c>
      <c r="F4582" s="2">
        <v>1044.3499999999999</v>
      </c>
      <c r="G4582" s="2">
        <v>209.55</v>
      </c>
      <c r="H4582" s="2" t="s">
        <v>28</v>
      </c>
      <c r="I4582" s="2" t="s">
        <v>14</v>
      </c>
    </row>
    <row r="4583" spans="1:9" x14ac:dyDescent="0.35">
      <c r="A4583" s="2" t="s">
        <v>4629</v>
      </c>
      <c r="B4583" s="3">
        <v>44886</v>
      </c>
      <c r="C4583" s="2" t="s">
        <v>16</v>
      </c>
      <c r="D4583" s="2" t="s">
        <v>97</v>
      </c>
      <c r="E4583" s="2" t="s">
        <v>27</v>
      </c>
      <c r="F4583" s="2">
        <v>813.82</v>
      </c>
      <c r="G4583" s="2">
        <v>206.01</v>
      </c>
      <c r="H4583" s="2" t="s">
        <v>13</v>
      </c>
      <c r="I4583" s="2" t="s">
        <v>29</v>
      </c>
    </row>
    <row r="4584" spans="1:9" x14ac:dyDescent="0.35">
      <c r="A4584" s="2" t="s">
        <v>4630</v>
      </c>
      <c r="B4584" s="3">
        <v>45066</v>
      </c>
      <c r="C4584" s="2" t="s">
        <v>10</v>
      </c>
      <c r="D4584" s="2" t="s">
        <v>73</v>
      </c>
      <c r="E4584" s="2" t="s">
        <v>27</v>
      </c>
      <c r="F4584" s="2">
        <v>1733.24</v>
      </c>
      <c r="G4584" s="2">
        <v>98.09</v>
      </c>
      <c r="H4584" s="2" t="s">
        <v>13</v>
      </c>
      <c r="I4584" s="2" t="s">
        <v>29</v>
      </c>
    </row>
    <row r="4585" spans="1:9" x14ac:dyDescent="0.35">
      <c r="A4585" s="2" t="s">
        <v>4631</v>
      </c>
      <c r="B4585" s="3">
        <v>44935</v>
      </c>
      <c r="C4585" s="2" t="s">
        <v>10</v>
      </c>
      <c r="D4585" s="2" t="s">
        <v>38</v>
      </c>
      <c r="E4585" s="2" t="s">
        <v>12</v>
      </c>
      <c r="F4585" s="2">
        <v>1650.42</v>
      </c>
      <c r="G4585" s="2">
        <v>183.06</v>
      </c>
      <c r="H4585" s="2" t="s">
        <v>28</v>
      </c>
      <c r="I4585" s="2" t="s">
        <v>34</v>
      </c>
    </row>
    <row r="4586" spans="1:9" x14ac:dyDescent="0.35">
      <c r="A4586" s="2" t="s">
        <v>4632</v>
      </c>
      <c r="B4586" s="3">
        <v>44738</v>
      </c>
      <c r="C4586" s="2" t="s">
        <v>10</v>
      </c>
      <c r="D4586" s="2" t="s">
        <v>97</v>
      </c>
      <c r="E4586" s="2" t="s">
        <v>27</v>
      </c>
      <c r="F4586" s="2">
        <v>1783.11</v>
      </c>
      <c r="G4586" s="2">
        <v>289.31</v>
      </c>
      <c r="H4586" s="2" t="s">
        <v>13</v>
      </c>
      <c r="I4586" s="2" t="s">
        <v>20</v>
      </c>
    </row>
    <row r="4587" spans="1:9" x14ac:dyDescent="0.35">
      <c r="A4587" s="2" t="s">
        <v>4633</v>
      </c>
      <c r="B4587" s="3">
        <v>45634</v>
      </c>
      <c r="C4587" s="2" t="s">
        <v>25</v>
      </c>
      <c r="D4587" s="2" t="s">
        <v>11</v>
      </c>
      <c r="E4587" s="2" t="s">
        <v>12</v>
      </c>
      <c r="F4587" s="2">
        <v>476.36</v>
      </c>
      <c r="G4587" s="2">
        <v>82.51</v>
      </c>
      <c r="H4587" s="2" t="s">
        <v>19</v>
      </c>
      <c r="I4587" s="2" t="s">
        <v>20</v>
      </c>
    </row>
    <row r="4588" spans="1:9" x14ac:dyDescent="0.35">
      <c r="A4588" s="2" t="s">
        <v>4634</v>
      </c>
      <c r="B4588" s="3">
        <v>44610</v>
      </c>
      <c r="C4588" s="2" t="s">
        <v>25</v>
      </c>
      <c r="D4588" s="2" t="s">
        <v>26</v>
      </c>
      <c r="E4588" s="2" t="s">
        <v>27</v>
      </c>
      <c r="F4588" s="2">
        <v>677.27</v>
      </c>
      <c r="G4588" s="2">
        <v>48.77</v>
      </c>
      <c r="H4588" s="2" t="s">
        <v>19</v>
      </c>
      <c r="I4588" s="2" t="s">
        <v>14</v>
      </c>
    </row>
    <row r="4589" spans="1:9" x14ac:dyDescent="0.35">
      <c r="A4589" s="2" t="s">
        <v>4635</v>
      </c>
      <c r="B4589" s="3">
        <v>45307</v>
      </c>
      <c r="C4589" s="2" t="s">
        <v>10</v>
      </c>
      <c r="D4589" s="2" t="s">
        <v>57</v>
      </c>
      <c r="E4589" s="2" t="s">
        <v>27</v>
      </c>
      <c r="F4589" s="2">
        <v>1712.7</v>
      </c>
      <c r="G4589" s="2">
        <v>340.03</v>
      </c>
      <c r="H4589" s="2" t="s">
        <v>19</v>
      </c>
      <c r="I4589" s="2" t="s">
        <v>34</v>
      </c>
    </row>
    <row r="4590" spans="1:9" x14ac:dyDescent="0.35">
      <c r="A4590" s="2" t="s">
        <v>4636</v>
      </c>
      <c r="B4590" s="3">
        <v>45061</v>
      </c>
      <c r="C4590" s="2" t="s">
        <v>25</v>
      </c>
      <c r="D4590" s="2" t="s">
        <v>41</v>
      </c>
      <c r="E4590" s="2" t="s">
        <v>12</v>
      </c>
      <c r="F4590" s="2">
        <v>239.19</v>
      </c>
      <c r="G4590" s="2">
        <v>34.18</v>
      </c>
      <c r="H4590" s="2" t="s">
        <v>28</v>
      </c>
      <c r="I4590" s="2" t="s">
        <v>29</v>
      </c>
    </row>
    <row r="4591" spans="1:9" x14ac:dyDescent="0.35">
      <c r="A4591" s="2" t="s">
        <v>4637</v>
      </c>
      <c r="B4591" s="3">
        <v>44633</v>
      </c>
      <c r="C4591" s="2" t="s">
        <v>25</v>
      </c>
      <c r="D4591" s="2" t="s">
        <v>95</v>
      </c>
      <c r="E4591" s="2" t="s">
        <v>18</v>
      </c>
      <c r="F4591" s="2">
        <v>1456.32</v>
      </c>
      <c r="G4591" s="2">
        <v>280.98</v>
      </c>
      <c r="H4591" s="2" t="s">
        <v>19</v>
      </c>
      <c r="I4591" s="2" t="s">
        <v>20</v>
      </c>
    </row>
    <row r="4592" spans="1:9" x14ac:dyDescent="0.35">
      <c r="A4592" s="2" t="s">
        <v>4638</v>
      </c>
      <c r="B4592" s="3">
        <v>44686</v>
      </c>
      <c r="C4592" s="2" t="s">
        <v>10</v>
      </c>
      <c r="D4592" s="2" t="s">
        <v>46</v>
      </c>
      <c r="E4592" s="2" t="s">
        <v>18</v>
      </c>
      <c r="F4592" s="2">
        <v>586.17999999999995</v>
      </c>
      <c r="G4592" s="2">
        <v>162.08000000000001</v>
      </c>
      <c r="H4592" s="2" t="s">
        <v>19</v>
      </c>
      <c r="I4592" s="2" t="s">
        <v>34</v>
      </c>
    </row>
    <row r="4593" spans="1:9" x14ac:dyDescent="0.35">
      <c r="A4593" s="2" t="s">
        <v>4639</v>
      </c>
      <c r="B4593" s="3">
        <v>45298</v>
      </c>
      <c r="C4593" s="2" t="s">
        <v>16</v>
      </c>
      <c r="D4593" s="2" t="s">
        <v>62</v>
      </c>
      <c r="E4593" s="2" t="s">
        <v>27</v>
      </c>
      <c r="F4593" s="2">
        <v>449.49</v>
      </c>
      <c r="G4593" s="2">
        <v>127.34</v>
      </c>
      <c r="H4593" s="2" t="s">
        <v>13</v>
      </c>
      <c r="I4593" s="2" t="s">
        <v>29</v>
      </c>
    </row>
    <row r="4594" spans="1:9" x14ac:dyDescent="0.35">
      <c r="A4594" s="2" t="s">
        <v>4640</v>
      </c>
      <c r="B4594" s="3">
        <v>44580</v>
      </c>
      <c r="C4594" s="2" t="s">
        <v>16</v>
      </c>
      <c r="D4594" s="2" t="s">
        <v>31</v>
      </c>
      <c r="E4594" s="2" t="s">
        <v>12</v>
      </c>
      <c r="F4594" s="2">
        <v>1268.32</v>
      </c>
      <c r="G4594" s="2">
        <v>378.86</v>
      </c>
      <c r="H4594" s="2" t="s">
        <v>28</v>
      </c>
      <c r="I4594" s="2" t="s">
        <v>14</v>
      </c>
    </row>
    <row r="4595" spans="1:9" x14ac:dyDescent="0.35">
      <c r="A4595" s="2" t="s">
        <v>4641</v>
      </c>
      <c r="B4595" s="3">
        <v>45330</v>
      </c>
      <c r="C4595" s="2" t="s">
        <v>22</v>
      </c>
      <c r="D4595" s="2" t="s">
        <v>62</v>
      </c>
      <c r="E4595" s="2" t="s">
        <v>27</v>
      </c>
      <c r="F4595" s="2">
        <v>1201.19</v>
      </c>
      <c r="G4595" s="2">
        <v>67.03</v>
      </c>
      <c r="H4595" s="2" t="s">
        <v>19</v>
      </c>
      <c r="I4595" s="2" t="s">
        <v>34</v>
      </c>
    </row>
    <row r="4596" spans="1:9" x14ac:dyDescent="0.35">
      <c r="A4596" s="2" t="s">
        <v>4642</v>
      </c>
      <c r="B4596" s="3">
        <v>45020</v>
      </c>
      <c r="C4596" s="2" t="s">
        <v>25</v>
      </c>
      <c r="D4596" s="2" t="s">
        <v>41</v>
      </c>
      <c r="E4596" s="2" t="s">
        <v>12</v>
      </c>
      <c r="F4596" s="2">
        <v>1443.31</v>
      </c>
      <c r="G4596" s="2">
        <v>226.71</v>
      </c>
      <c r="H4596" s="2" t="s">
        <v>13</v>
      </c>
      <c r="I4596" s="2" t="s">
        <v>20</v>
      </c>
    </row>
    <row r="4597" spans="1:9" x14ac:dyDescent="0.35">
      <c r="A4597" s="2" t="s">
        <v>4643</v>
      </c>
      <c r="B4597" s="3">
        <v>44657</v>
      </c>
      <c r="C4597" s="2" t="s">
        <v>25</v>
      </c>
      <c r="D4597" s="2" t="s">
        <v>50</v>
      </c>
      <c r="E4597" s="2" t="s">
        <v>12</v>
      </c>
      <c r="F4597" s="2">
        <v>300.11</v>
      </c>
      <c r="G4597" s="2">
        <v>60.88</v>
      </c>
      <c r="H4597" s="2" t="s">
        <v>19</v>
      </c>
      <c r="I4597" s="2" t="s">
        <v>34</v>
      </c>
    </row>
    <row r="4598" spans="1:9" x14ac:dyDescent="0.35">
      <c r="A4598" s="2" t="s">
        <v>4644</v>
      </c>
      <c r="B4598" s="3">
        <v>44635</v>
      </c>
      <c r="C4598" s="2" t="s">
        <v>10</v>
      </c>
      <c r="D4598" s="2" t="s">
        <v>33</v>
      </c>
      <c r="E4598" s="2" t="s">
        <v>18</v>
      </c>
      <c r="F4598" s="2">
        <v>690.43</v>
      </c>
      <c r="G4598" s="2">
        <v>160.4</v>
      </c>
      <c r="H4598" s="2" t="s">
        <v>13</v>
      </c>
      <c r="I4598" s="2" t="s">
        <v>20</v>
      </c>
    </row>
    <row r="4599" spans="1:9" x14ac:dyDescent="0.35">
      <c r="A4599" s="2" t="s">
        <v>4645</v>
      </c>
      <c r="B4599" s="3">
        <v>45367</v>
      </c>
      <c r="C4599" s="2" t="s">
        <v>25</v>
      </c>
      <c r="D4599" s="2" t="s">
        <v>38</v>
      </c>
      <c r="E4599" s="2" t="s">
        <v>12</v>
      </c>
      <c r="F4599" s="2">
        <v>1160.76</v>
      </c>
      <c r="G4599" s="2">
        <v>347.21</v>
      </c>
      <c r="H4599" s="2" t="s">
        <v>19</v>
      </c>
      <c r="I4599" s="2" t="s">
        <v>20</v>
      </c>
    </row>
    <row r="4600" spans="1:9" x14ac:dyDescent="0.35">
      <c r="A4600" s="2" t="s">
        <v>4646</v>
      </c>
      <c r="B4600" s="3">
        <v>44657</v>
      </c>
      <c r="C4600" s="2" t="s">
        <v>22</v>
      </c>
      <c r="D4600" s="2" t="s">
        <v>95</v>
      </c>
      <c r="E4600" s="2" t="s">
        <v>18</v>
      </c>
      <c r="F4600" s="2">
        <v>152.30000000000001</v>
      </c>
      <c r="G4600" s="2">
        <v>44.83</v>
      </c>
      <c r="H4600" s="2" t="s">
        <v>13</v>
      </c>
      <c r="I4600" s="2" t="s">
        <v>29</v>
      </c>
    </row>
    <row r="4601" spans="1:9" x14ac:dyDescent="0.35">
      <c r="A4601" s="2" t="s">
        <v>4647</v>
      </c>
      <c r="B4601" s="3">
        <v>44960</v>
      </c>
      <c r="C4601" s="2" t="s">
        <v>25</v>
      </c>
      <c r="D4601" s="2" t="s">
        <v>17</v>
      </c>
      <c r="E4601" s="2" t="s">
        <v>18</v>
      </c>
      <c r="F4601" s="2">
        <v>1575.86</v>
      </c>
      <c r="G4601" s="2">
        <v>243.51</v>
      </c>
      <c r="H4601" s="2" t="s">
        <v>13</v>
      </c>
      <c r="I4601" s="2" t="s">
        <v>34</v>
      </c>
    </row>
    <row r="4602" spans="1:9" x14ac:dyDescent="0.35">
      <c r="A4602" s="2" t="s">
        <v>4648</v>
      </c>
      <c r="B4602" s="3">
        <v>45135</v>
      </c>
      <c r="C4602" s="2" t="s">
        <v>22</v>
      </c>
      <c r="D4602" s="2" t="s">
        <v>46</v>
      </c>
      <c r="E4602" s="2" t="s">
        <v>18</v>
      </c>
      <c r="F4602" s="2">
        <v>1077.95</v>
      </c>
      <c r="G4602" s="2">
        <v>185.24</v>
      </c>
      <c r="H4602" s="2" t="s">
        <v>19</v>
      </c>
      <c r="I4602" s="2" t="s">
        <v>14</v>
      </c>
    </row>
    <row r="4603" spans="1:9" x14ac:dyDescent="0.35">
      <c r="A4603" s="2" t="s">
        <v>4649</v>
      </c>
      <c r="B4603" s="3">
        <v>44995</v>
      </c>
      <c r="C4603" s="2" t="s">
        <v>10</v>
      </c>
      <c r="D4603" s="2" t="s">
        <v>73</v>
      </c>
      <c r="E4603" s="2" t="s">
        <v>27</v>
      </c>
      <c r="F4603" s="2">
        <v>981.28</v>
      </c>
      <c r="G4603" s="2">
        <v>216.66</v>
      </c>
      <c r="H4603" s="2" t="s">
        <v>19</v>
      </c>
      <c r="I4603" s="2" t="s">
        <v>34</v>
      </c>
    </row>
    <row r="4604" spans="1:9" x14ac:dyDescent="0.35">
      <c r="A4604" s="2" t="s">
        <v>4650</v>
      </c>
      <c r="B4604" s="3">
        <v>44693</v>
      </c>
      <c r="C4604" s="2" t="s">
        <v>10</v>
      </c>
      <c r="D4604" s="2" t="s">
        <v>95</v>
      </c>
      <c r="E4604" s="2" t="s">
        <v>18</v>
      </c>
      <c r="F4604" s="2">
        <v>870.44</v>
      </c>
      <c r="G4604" s="2">
        <v>97.2</v>
      </c>
      <c r="H4604" s="2" t="s">
        <v>19</v>
      </c>
      <c r="I4604" s="2" t="s">
        <v>34</v>
      </c>
    </row>
    <row r="4605" spans="1:9" x14ac:dyDescent="0.35">
      <c r="A4605" s="2" t="s">
        <v>4651</v>
      </c>
      <c r="B4605" s="3">
        <v>45025</v>
      </c>
      <c r="C4605" s="2" t="s">
        <v>25</v>
      </c>
      <c r="D4605" s="2" t="s">
        <v>73</v>
      </c>
      <c r="E4605" s="2" t="s">
        <v>27</v>
      </c>
      <c r="F4605" s="2">
        <v>1788.54</v>
      </c>
      <c r="G4605" s="2">
        <v>135.31</v>
      </c>
      <c r="H4605" s="2" t="s">
        <v>13</v>
      </c>
      <c r="I4605" s="2" t="s">
        <v>20</v>
      </c>
    </row>
    <row r="4606" spans="1:9" x14ac:dyDescent="0.35">
      <c r="A4606" s="2" t="s">
        <v>4652</v>
      </c>
      <c r="B4606" s="3">
        <v>45014</v>
      </c>
      <c r="C4606" s="2" t="s">
        <v>25</v>
      </c>
      <c r="D4606" s="2" t="s">
        <v>38</v>
      </c>
      <c r="E4606" s="2" t="s">
        <v>12</v>
      </c>
      <c r="F4606" s="2">
        <v>1907.2</v>
      </c>
      <c r="G4606" s="2">
        <v>159.96</v>
      </c>
      <c r="H4606" s="2" t="s">
        <v>13</v>
      </c>
      <c r="I4606" s="2" t="s">
        <v>34</v>
      </c>
    </row>
    <row r="4607" spans="1:9" x14ac:dyDescent="0.35">
      <c r="A4607" s="2" t="s">
        <v>4653</v>
      </c>
      <c r="B4607" s="3">
        <v>45561</v>
      </c>
      <c r="C4607" s="2" t="s">
        <v>16</v>
      </c>
      <c r="D4607" s="2" t="s">
        <v>46</v>
      </c>
      <c r="E4607" s="2" t="s">
        <v>18</v>
      </c>
      <c r="F4607" s="2">
        <v>1122.92</v>
      </c>
      <c r="G4607" s="2">
        <v>251.6</v>
      </c>
      <c r="H4607" s="2" t="s">
        <v>19</v>
      </c>
      <c r="I4607" s="2" t="s">
        <v>20</v>
      </c>
    </row>
    <row r="4608" spans="1:9" x14ac:dyDescent="0.35">
      <c r="A4608" s="2" t="s">
        <v>4654</v>
      </c>
      <c r="B4608" s="3">
        <v>44748</v>
      </c>
      <c r="C4608" s="2" t="s">
        <v>10</v>
      </c>
      <c r="D4608" s="2" t="s">
        <v>11</v>
      </c>
      <c r="E4608" s="2" t="s">
        <v>12</v>
      </c>
      <c r="F4608" s="2">
        <v>1093.04</v>
      </c>
      <c r="G4608" s="2">
        <v>289.02999999999997</v>
      </c>
      <c r="H4608" s="2" t="s">
        <v>19</v>
      </c>
      <c r="I4608" s="2" t="s">
        <v>29</v>
      </c>
    </row>
    <row r="4609" spans="1:9" x14ac:dyDescent="0.35">
      <c r="A4609" s="2" t="s">
        <v>4655</v>
      </c>
      <c r="B4609" s="3">
        <v>45144</v>
      </c>
      <c r="C4609" s="2" t="s">
        <v>22</v>
      </c>
      <c r="D4609" s="2" t="s">
        <v>17</v>
      </c>
      <c r="E4609" s="2" t="s">
        <v>18</v>
      </c>
      <c r="F4609" s="2">
        <v>448.37</v>
      </c>
      <c r="G4609" s="2">
        <v>121.77</v>
      </c>
      <c r="H4609" s="2" t="s">
        <v>19</v>
      </c>
      <c r="I4609" s="2" t="s">
        <v>20</v>
      </c>
    </row>
    <row r="4610" spans="1:9" x14ac:dyDescent="0.35">
      <c r="A4610" s="2" t="s">
        <v>4656</v>
      </c>
      <c r="B4610" s="3">
        <v>45412</v>
      </c>
      <c r="C4610" s="2" t="s">
        <v>25</v>
      </c>
      <c r="D4610" s="2" t="s">
        <v>11</v>
      </c>
      <c r="E4610" s="2" t="s">
        <v>12</v>
      </c>
      <c r="F4610" s="2">
        <v>742.8</v>
      </c>
      <c r="G4610" s="2">
        <v>39.450000000000003</v>
      </c>
      <c r="H4610" s="2" t="s">
        <v>13</v>
      </c>
      <c r="I4610" s="2" t="s">
        <v>14</v>
      </c>
    </row>
    <row r="4611" spans="1:9" x14ac:dyDescent="0.35">
      <c r="A4611" s="2" t="s">
        <v>4657</v>
      </c>
      <c r="B4611" s="3">
        <v>45200</v>
      </c>
      <c r="C4611" s="2" t="s">
        <v>22</v>
      </c>
      <c r="D4611" s="2" t="s">
        <v>73</v>
      </c>
      <c r="E4611" s="2" t="s">
        <v>27</v>
      </c>
      <c r="F4611" s="2">
        <v>942.83</v>
      </c>
      <c r="G4611" s="2">
        <v>209.55</v>
      </c>
      <c r="H4611" s="2" t="s">
        <v>19</v>
      </c>
      <c r="I4611" s="2" t="s">
        <v>29</v>
      </c>
    </row>
    <row r="4612" spans="1:9" x14ac:dyDescent="0.35">
      <c r="A4612" s="2" t="s">
        <v>4658</v>
      </c>
      <c r="B4612" s="3">
        <v>45304</v>
      </c>
      <c r="C4612" s="2" t="s">
        <v>16</v>
      </c>
      <c r="D4612" s="2" t="s">
        <v>26</v>
      </c>
      <c r="E4612" s="2" t="s">
        <v>27</v>
      </c>
      <c r="F4612" s="2">
        <v>171.83</v>
      </c>
      <c r="G4612" s="2">
        <v>37.35</v>
      </c>
      <c r="H4612" s="2" t="s">
        <v>28</v>
      </c>
      <c r="I4612" s="2" t="s">
        <v>20</v>
      </c>
    </row>
    <row r="4613" spans="1:9" x14ac:dyDescent="0.35">
      <c r="A4613" s="2" t="s">
        <v>4659</v>
      </c>
      <c r="B4613" s="3">
        <v>44582</v>
      </c>
      <c r="C4613" s="2" t="s">
        <v>22</v>
      </c>
      <c r="D4613" s="2" t="s">
        <v>41</v>
      </c>
      <c r="E4613" s="2" t="s">
        <v>12</v>
      </c>
      <c r="F4613" s="2">
        <v>271.79000000000002</v>
      </c>
      <c r="G4613" s="2">
        <v>63.32</v>
      </c>
      <c r="H4613" s="2" t="s">
        <v>13</v>
      </c>
      <c r="I4613" s="2" t="s">
        <v>34</v>
      </c>
    </row>
    <row r="4614" spans="1:9" x14ac:dyDescent="0.35">
      <c r="A4614" s="2" t="s">
        <v>4660</v>
      </c>
      <c r="B4614" s="3">
        <v>44983</v>
      </c>
      <c r="C4614" s="2" t="s">
        <v>22</v>
      </c>
      <c r="D4614" s="2" t="s">
        <v>41</v>
      </c>
      <c r="E4614" s="2" t="s">
        <v>12</v>
      </c>
      <c r="F4614" s="2">
        <v>1688.1</v>
      </c>
      <c r="G4614" s="2">
        <v>460.82</v>
      </c>
      <c r="H4614" s="2" t="s">
        <v>19</v>
      </c>
      <c r="I4614" s="2" t="s">
        <v>14</v>
      </c>
    </row>
    <row r="4615" spans="1:9" x14ac:dyDescent="0.35">
      <c r="A4615" s="2" t="s">
        <v>4661</v>
      </c>
      <c r="B4615" s="3">
        <v>45368</v>
      </c>
      <c r="C4615" s="2" t="s">
        <v>25</v>
      </c>
      <c r="D4615" s="2" t="s">
        <v>50</v>
      </c>
      <c r="E4615" s="2" t="s">
        <v>12</v>
      </c>
      <c r="F4615" s="2">
        <v>1096.33</v>
      </c>
      <c r="G4615" s="2">
        <v>212.22</v>
      </c>
      <c r="H4615" s="2" t="s">
        <v>19</v>
      </c>
      <c r="I4615" s="2" t="s">
        <v>29</v>
      </c>
    </row>
    <row r="4616" spans="1:9" x14ac:dyDescent="0.35">
      <c r="A4616" s="2" t="s">
        <v>4662</v>
      </c>
      <c r="B4616" s="3">
        <v>44817</v>
      </c>
      <c r="C4616" s="2" t="s">
        <v>25</v>
      </c>
      <c r="D4616" s="2" t="s">
        <v>62</v>
      </c>
      <c r="E4616" s="2" t="s">
        <v>27</v>
      </c>
      <c r="F4616" s="2">
        <v>344.69</v>
      </c>
      <c r="G4616" s="2">
        <v>61.29</v>
      </c>
      <c r="H4616" s="2" t="s">
        <v>19</v>
      </c>
      <c r="I4616" s="2" t="s">
        <v>20</v>
      </c>
    </row>
    <row r="4617" spans="1:9" x14ac:dyDescent="0.35">
      <c r="A4617" s="2" t="s">
        <v>4663</v>
      </c>
      <c r="B4617" s="3">
        <v>45602</v>
      </c>
      <c r="C4617" s="2" t="s">
        <v>10</v>
      </c>
      <c r="D4617" s="2" t="s">
        <v>26</v>
      </c>
      <c r="E4617" s="2" t="s">
        <v>27</v>
      </c>
      <c r="F4617" s="2">
        <v>1268.1500000000001</v>
      </c>
      <c r="G4617" s="2">
        <v>127.1</v>
      </c>
      <c r="H4617" s="2" t="s">
        <v>13</v>
      </c>
      <c r="I4617" s="2" t="s">
        <v>34</v>
      </c>
    </row>
    <row r="4618" spans="1:9" x14ac:dyDescent="0.35">
      <c r="A4618" s="2" t="s">
        <v>4664</v>
      </c>
      <c r="B4618" s="3">
        <v>45048</v>
      </c>
      <c r="C4618" s="2" t="s">
        <v>16</v>
      </c>
      <c r="D4618" s="2" t="s">
        <v>46</v>
      </c>
      <c r="E4618" s="2" t="s">
        <v>18</v>
      </c>
      <c r="F4618" s="2">
        <v>1939.01</v>
      </c>
      <c r="G4618" s="2">
        <v>441.76</v>
      </c>
      <c r="H4618" s="2" t="s">
        <v>13</v>
      </c>
      <c r="I4618" s="2" t="s">
        <v>14</v>
      </c>
    </row>
    <row r="4619" spans="1:9" x14ac:dyDescent="0.35">
      <c r="A4619" s="2" t="s">
        <v>4665</v>
      </c>
      <c r="B4619" s="3">
        <v>45649</v>
      </c>
      <c r="C4619" s="2" t="s">
        <v>25</v>
      </c>
      <c r="D4619" s="2" t="s">
        <v>17</v>
      </c>
      <c r="E4619" s="2" t="s">
        <v>18</v>
      </c>
      <c r="F4619" s="2">
        <v>1162.31</v>
      </c>
      <c r="G4619" s="2">
        <v>263.2</v>
      </c>
      <c r="H4619" s="2" t="s">
        <v>13</v>
      </c>
      <c r="I4619" s="2" t="s">
        <v>20</v>
      </c>
    </row>
    <row r="4620" spans="1:9" x14ac:dyDescent="0.35">
      <c r="A4620" s="2" t="s">
        <v>4666</v>
      </c>
      <c r="B4620" s="3">
        <v>44651</v>
      </c>
      <c r="C4620" s="2" t="s">
        <v>16</v>
      </c>
      <c r="D4620" s="2" t="s">
        <v>97</v>
      </c>
      <c r="E4620" s="2" t="s">
        <v>27</v>
      </c>
      <c r="F4620" s="2">
        <v>549.88</v>
      </c>
      <c r="G4620" s="2">
        <v>164.04</v>
      </c>
      <c r="H4620" s="2" t="s">
        <v>19</v>
      </c>
      <c r="I4620" s="2" t="s">
        <v>34</v>
      </c>
    </row>
    <row r="4621" spans="1:9" x14ac:dyDescent="0.35">
      <c r="A4621" s="2" t="s">
        <v>4667</v>
      </c>
      <c r="B4621" s="3">
        <v>45175</v>
      </c>
      <c r="C4621" s="2" t="s">
        <v>22</v>
      </c>
      <c r="D4621" s="2" t="s">
        <v>57</v>
      </c>
      <c r="E4621" s="2" t="s">
        <v>27</v>
      </c>
      <c r="F4621" s="2">
        <v>1141.8499999999999</v>
      </c>
      <c r="G4621" s="2">
        <v>176.55</v>
      </c>
      <c r="H4621" s="2" t="s">
        <v>19</v>
      </c>
      <c r="I4621" s="2" t="s">
        <v>20</v>
      </c>
    </row>
    <row r="4622" spans="1:9" x14ac:dyDescent="0.35">
      <c r="A4622" s="2" t="s">
        <v>4668</v>
      </c>
      <c r="B4622" s="3">
        <v>45465</v>
      </c>
      <c r="C4622" s="2" t="s">
        <v>22</v>
      </c>
      <c r="D4622" s="2" t="s">
        <v>23</v>
      </c>
      <c r="E4622" s="2" t="s">
        <v>18</v>
      </c>
      <c r="F4622" s="2">
        <v>1506.4</v>
      </c>
      <c r="G4622" s="2">
        <v>175.3</v>
      </c>
      <c r="H4622" s="2" t="s">
        <v>28</v>
      </c>
      <c r="I4622" s="2" t="s">
        <v>20</v>
      </c>
    </row>
    <row r="4623" spans="1:9" x14ac:dyDescent="0.35">
      <c r="A4623" s="2" t="s">
        <v>4669</v>
      </c>
      <c r="B4623" s="3">
        <v>45411</v>
      </c>
      <c r="C4623" s="2" t="s">
        <v>10</v>
      </c>
      <c r="D4623" s="2" t="s">
        <v>62</v>
      </c>
      <c r="E4623" s="2" t="s">
        <v>27</v>
      </c>
      <c r="F4623" s="2">
        <v>1643.69</v>
      </c>
      <c r="G4623" s="2">
        <v>447.75</v>
      </c>
      <c r="H4623" s="2" t="s">
        <v>28</v>
      </c>
      <c r="I4623" s="2" t="s">
        <v>20</v>
      </c>
    </row>
    <row r="4624" spans="1:9" x14ac:dyDescent="0.35">
      <c r="A4624" s="2" t="s">
        <v>4670</v>
      </c>
      <c r="B4624" s="3">
        <v>45082</v>
      </c>
      <c r="C4624" s="2" t="s">
        <v>10</v>
      </c>
      <c r="D4624" s="2" t="s">
        <v>50</v>
      </c>
      <c r="E4624" s="2" t="s">
        <v>12</v>
      </c>
      <c r="F4624" s="2">
        <v>558.16999999999996</v>
      </c>
      <c r="G4624" s="2">
        <v>29.94</v>
      </c>
      <c r="H4624" s="2" t="s">
        <v>19</v>
      </c>
      <c r="I4624" s="2" t="s">
        <v>29</v>
      </c>
    </row>
    <row r="4625" spans="1:9" x14ac:dyDescent="0.35">
      <c r="A4625" s="2" t="s">
        <v>4671</v>
      </c>
      <c r="B4625" s="3">
        <v>45498</v>
      </c>
      <c r="C4625" s="2" t="s">
        <v>16</v>
      </c>
      <c r="D4625" s="2" t="s">
        <v>31</v>
      </c>
      <c r="E4625" s="2" t="s">
        <v>12</v>
      </c>
      <c r="F4625" s="2">
        <v>1322.67</v>
      </c>
      <c r="G4625" s="2">
        <v>106.66</v>
      </c>
      <c r="H4625" s="2" t="s">
        <v>13</v>
      </c>
      <c r="I4625" s="2" t="s">
        <v>29</v>
      </c>
    </row>
    <row r="4626" spans="1:9" x14ac:dyDescent="0.35">
      <c r="A4626" s="2" t="s">
        <v>4672</v>
      </c>
      <c r="B4626" s="3">
        <v>45530</v>
      </c>
      <c r="C4626" s="2" t="s">
        <v>16</v>
      </c>
      <c r="D4626" s="2" t="s">
        <v>23</v>
      </c>
      <c r="E4626" s="2" t="s">
        <v>18</v>
      </c>
      <c r="F4626" s="2">
        <v>465.78</v>
      </c>
      <c r="G4626" s="2">
        <v>29.25</v>
      </c>
      <c r="H4626" s="2" t="s">
        <v>13</v>
      </c>
      <c r="I4626" s="2" t="s">
        <v>34</v>
      </c>
    </row>
    <row r="4627" spans="1:9" x14ac:dyDescent="0.35">
      <c r="A4627" s="2" t="s">
        <v>4673</v>
      </c>
      <c r="B4627" s="3">
        <v>44571</v>
      </c>
      <c r="C4627" s="2" t="s">
        <v>22</v>
      </c>
      <c r="D4627" s="2" t="s">
        <v>95</v>
      </c>
      <c r="E4627" s="2" t="s">
        <v>18</v>
      </c>
      <c r="F4627" s="2">
        <v>504.68</v>
      </c>
      <c r="G4627" s="2">
        <v>132.59</v>
      </c>
      <c r="H4627" s="2" t="s">
        <v>13</v>
      </c>
      <c r="I4627" s="2" t="s">
        <v>20</v>
      </c>
    </row>
    <row r="4628" spans="1:9" x14ac:dyDescent="0.35">
      <c r="A4628" s="2" t="s">
        <v>4674</v>
      </c>
      <c r="B4628" s="3">
        <v>45500</v>
      </c>
      <c r="C4628" s="2" t="s">
        <v>25</v>
      </c>
      <c r="D4628" s="2" t="s">
        <v>38</v>
      </c>
      <c r="E4628" s="2" t="s">
        <v>12</v>
      </c>
      <c r="F4628" s="2">
        <v>278.11</v>
      </c>
      <c r="G4628" s="2">
        <v>43.06</v>
      </c>
      <c r="H4628" s="2" t="s">
        <v>19</v>
      </c>
      <c r="I4628" s="2" t="s">
        <v>29</v>
      </c>
    </row>
    <row r="4629" spans="1:9" x14ac:dyDescent="0.35">
      <c r="A4629" s="2" t="s">
        <v>4675</v>
      </c>
      <c r="B4629" s="3">
        <v>45309</v>
      </c>
      <c r="C4629" s="2" t="s">
        <v>10</v>
      </c>
      <c r="D4629" s="2" t="s">
        <v>11</v>
      </c>
      <c r="E4629" s="2" t="s">
        <v>12</v>
      </c>
      <c r="F4629" s="2">
        <v>1062.94</v>
      </c>
      <c r="G4629" s="2">
        <v>277.22000000000003</v>
      </c>
      <c r="H4629" s="2" t="s">
        <v>28</v>
      </c>
      <c r="I4629" s="2" t="s">
        <v>29</v>
      </c>
    </row>
    <row r="4630" spans="1:9" x14ac:dyDescent="0.35">
      <c r="A4630" s="2" t="s">
        <v>4676</v>
      </c>
      <c r="B4630" s="3">
        <v>45229</v>
      </c>
      <c r="C4630" s="2" t="s">
        <v>22</v>
      </c>
      <c r="D4630" s="2" t="s">
        <v>62</v>
      </c>
      <c r="E4630" s="2" t="s">
        <v>27</v>
      </c>
      <c r="F4630" s="2">
        <v>87.47</v>
      </c>
      <c r="G4630" s="2">
        <v>18.77</v>
      </c>
      <c r="H4630" s="2" t="s">
        <v>28</v>
      </c>
      <c r="I4630" s="2" t="s">
        <v>29</v>
      </c>
    </row>
    <row r="4631" spans="1:9" x14ac:dyDescent="0.35">
      <c r="A4631" s="2" t="s">
        <v>4677</v>
      </c>
      <c r="B4631" s="3">
        <v>45068</v>
      </c>
      <c r="C4631" s="2" t="s">
        <v>22</v>
      </c>
      <c r="D4631" s="2" t="s">
        <v>31</v>
      </c>
      <c r="E4631" s="2" t="s">
        <v>12</v>
      </c>
      <c r="F4631" s="2">
        <v>1052.97</v>
      </c>
      <c r="G4631" s="2">
        <v>240.25</v>
      </c>
      <c r="H4631" s="2" t="s">
        <v>28</v>
      </c>
      <c r="I4631" s="2" t="s">
        <v>34</v>
      </c>
    </row>
    <row r="4632" spans="1:9" x14ac:dyDescent="0.35">
      <c r="A4632" s="2" t="s">
        <v>4678</v>
      </c>
      <c r="B4632" s="3">
        <v>45556</v>
      </c>
      <c r="C4632" s="2" t="s">
        <v>22</v>
      </c>
      <c r="D4632" s="2" t="s">
        <v>73</v>
      </c>
      <c r="E4632" s="2" t="s">
        <v>27</v>
      </c>
      <c r="F4632" s="2">
        <v>1174.21</v>
      </c>
      <c r="G4632" s="2">
        <v>225.43</v>
      </c>
      <c r="H4632" s="2" t="s">
        <v>19</v>
      </c>
      <c r="I4632" s="2" t="s">
        <v>29</v>
      </c>
    </row>
    <row r="4633" spans="1:9" x14ac:dyDescent="0.35">
      <c r="A4633" s="2" t="s">
        <v>4679</v>
      </c>
      <c r="B4633" s="3">
        <v>45165</v>
      </c>
      <c r="C4633" s="2" t="s">
        <v>10</v>
      </c>
      <c r="D4633" s="2" t="s">
        <v>97</v>
      </c>
      <c r="E4633" s="2" t="s">
        <v>27</v>
      </c>
      <c r="F4633" s="2">
        <v>434.52</v>
      </c>
      <c r="G4633" s="2">
        <v>93.61</v>
      </c>
      <c r="H4633" s="2" t="s">
        <v>28</v>
      </c>
      <c r="I4633" s="2" t="s">
        <v>14</v>
      </c>
    </row>
    <row r="4634" spans="1:9" x14ac:dyDescent="0.35">
      <c r="A4634" s="2" t="s">
        <v>4680</v>
      </c>
      <c r="B4634" s="3">
        <v>45281</v>
      </c>
      <c r="C4634" s="2" t="s">
        <v>16</v>
      </c>
      <c r="D4634" s="2" t="s">
        <v>11</v>
      </c>
      <c r="E4634" s="2" t="s">
        <v>12</v>
      </c>
      <c r="F4634" s="2">
        <v>699.07</v>
      </c>
      <c r="G4634" s="2">
        <v>161.74</v>
      </c>
      <c r="H4634" s="2" t="s">
        <v>28</v>
      </c>
      <c r="I4634" s="2" t="s">
        <v>14</v>
      </c>
    </row>
    <row r="4635" spans="1:9" x14ac:dyDescent="0.35">
      <c r="A4635" s="2" t="s">
        <v>4681</v>
      </c>
      <c r="B4635" s="3">
        <v>44863</v>
      </c>
      <c r="C4635" s="2" t="s">
        <v>22</v>
      </c>
      <c r="D4635" s="2" t="s">
        <v>46</v>
      </c>
      <c r="E4635" s="2" t="s">
        <v>18</v>
      </c>
      <c r="F4635" s="2">
        <v>1066.52</v>
      </c>
      <c r="G4635" s="2">
        <v>124.83</v>
      </c>
      <c r="H4635" s="2" t="s">
        <v>19</v>
      </c>
      <c r="I4635" s="2" t="s">
        <v>20</v>
      </c>
    </row>
    <row r="4636" spans="1:9" x14ac:dyDescent="0.35">
      <c r="A4636" s="2" t="s">
        <v>4682</v>
      </c>
      <c r="B4636" s="3">
        <v>45303</v>
      </c>
      <c r="C4636" s="2" t="s">
        <v>25</v>
      </c>
      <c r="D4636" s="2" t="s">
        <v>11</v>
      </c>
      <c r="E4636" s="2" t="s">
        <v>12</v>
      </c>
      <c r="F4636" s="2">
        <v>1421.92</v>
      </c>
      <c r="G4636" s="2">
        <v>204.24</v>
      </c>
      <c r="H4636" s="2" t="s">
        <v>19</v>
      </c>
      <c r="I4636" s="2" t="s">
        <v>20</v>
      </c>
    </row>
    <row r="4637" spans="1:9" x14ac:dyDescent="0.35">
      <c r="A4637" s="2" t="s">
        <v>4683</v>
      </c>
      <c r="B4637" s="3">
        <v>45355</v>
      </c>
      <c r="C4637" s="2" t="s">
        <v>25</v>
      </c>
      <c r="D4637" s="2" t="s">
        <v>50</v>
      </c>
      <c r="E4637" s="2" t="s">
        <v>12</v>
      </c>
      <c r="F4637" s="2">
        <v>473.09</v>
      </c>
      <c r="G4637" s="2">
        <v>128.13</v>
      </c>
      <c r="H4637" s="2" t="s">
        <v>28</v>
      </c>
      <c r="I4637" s="2" t="s">
        <v>34</v>
      </c>
    </row>
    <row r="4638" spans="1:9" x14ac:dyDescent="0.35">
      <c r="A4638" s="2" t="s">
        <v>4684</v>
      </c>
      <c r="B4638" s="3">
        <v>44582</v>
      </c>
      <c r="C4638" s="2" t="s">
        <v>10</v>
      </c>
      <c r="D4638" s="2" t="s">
        <v>23</v>
      </c>
      <c r="E4638" s="2" t="s">
        <v>18</v>
      </c>
      <c r="F4638" s="2">
        <v>1965.32</v>
      </c>
      <c r="G4638" s="2">
        <v>464.72</v>
      </c>
      <c r="H4638" s="2" t="s">
        <v>28</v>
      </c>
      <c r="I4638" s="2" t="s">
        <v>29</v>
      </c>
    </row>
    <row r="4639" spans="1:9" x14ac:dyDescent="0.35">
      <c r="A4639" s="2" t="s">
        <v>4685</v>
      </c>
      <c r="B4639" s="3">
        <v>45146</v>
      </c>
      <c r="C4639" s="2" t="s">
        <v>16</v>
      </c>
      <c r="D4639" s="2" t="s">
        <v>46</v>
      </c>
      <c r="E4639" s="2" t="s">
        <v>18</v>
      </c>
      <c r="F4639" s="2">
        <v>1998.28</v>
      </c>
      <c r="G4639" s="2">
        <v>578.69000000000005</v>
      </c>
      <c r="H4639" s="2" t="s">
        <v>28</v>
      </c>
      <c r="I4639" s="2" t="s">
        <v>29</v>
      </c>
    </row>
    <row r="4640" spans="1:9" x14ac:dyDescent="0.35">
      <c r="A4640" s="2" t="s">
        <v>4686</v>
      </c>
      <c r="B4640" s="3">
        <v>45263</v>
      </c>
      <c r="C4640" s="2" t="s">
        <v>16</v>
      </c>
      <c r="D4640" s="2" t="s">
        <v>95</v>
      </c>
      <c r="E4640" s="2" t="s">
        <v>18</v>
      </c>
      <c r="F4640" s="2">
        <v>1987.88</v>
      </c>
      <c r="G4640" s="2">
        <v>447.95</v>
      </c>
      <c r="H4640" s="2" t="s">
        <v>13</v>
      </c>
      <c r="I4640" s="2" t="s">
        <v>20</v>
      </c>
    </row>
    <row r="4641" spans="1:9" x14ac:dyDescent="0.35">
      <c r="A4641" s="2" t="s">
        <v>4687</v>
      </c>
      <c r="B4641" s="3">
        <v>45060</v>
      </c>
      <c r="C4641" s="2" t="s">
        <v>16</v>
      </c>
      <c r="D4641" s="2" t="s">
        <v>41</v>
      </c>
      <c r="E4641" s="2" t="s">
        <v>12</v>
      </c>
      <c r="F4641" s="2">
        <v>1617.94</v>
      </c>
      <c r="G4641" s="2">
        <v>321.25</v>
      </c>
      <c r="H4641" s="2" t="s">
        <v>13</v>
      </c>
      <c r="I4641" s="2" t="s">
        <v>34</v>
      </c>
    </row>
    <row r="4642" spans="1:9" x14ac:dyDescent="0.35">
      <c r="A4642" s="2" t="s">
        <v>4688</v>
      </c>
      <c r="B4642" s="3">
        <v>45131</v>
      </c>
      <c r="C4642" s="2" t="s">
        <v>16</v>
      </c>
      <c r="D4642" s="2" t="s">
        <v>38</v>
      </c>
      <c r="E4642" s="2" t="s">
        <v>12</v>
      </c>
      <c r="F4642" s="2">
        <v>1983.52</v>
      </c>
      <c r="G4642" s="2">
        <v>346.85</v>
      </c>
      <c r="H4642" s="2" t="s">
        <v>13</v>
      </c>
      <c r="I4642" s="2" t="s">
        <v>29</v>
      </c>
    </row>
    <row r="4643" spans="1:9" x14ac:dyDescent="0.35">
      <c r="A4643" s="2" t="s">
        <v>4689</v>
      </c>
      <c r="B4643" s="3">
        <v>45058</v>
      </c>
      <c r="C4643" s="2" t="s">
        <v>22</v>
      </c>
      <c r="D4643" s="2" t="s">
        <v>46</v>
      </c>
      <c r="E4643" s="2" t="s">
        <v>18</v>
      </c>
      <c r="F4643" s="2">
        <v>1873.26</v>
      </c>
      <c r="G4643" s="2">
        <v>123.14</v>
      </c>
      <c r="H4643" s="2" t="s">
        <v>13</v>
      </c>
      <c r="I4643" s="2" t="s">
        <v>14</v>
      </c>
    </row>
    <row r="4644" spans="1:9" x14ac:dyDescent="0.35">
      <c r="A4644" s="2" t="s">
        <v>4690</v>
      </c>
      <c r="B4644" s="3">
        <v>45051</v>
      </c>
      <c r="C4644" s="2" t="s">
        <v>22</v>
      </c>
      <c r="D4644" s="2" t="s">
        <v>73</v>
      </c>
      <c r="E4644" s="2" t="s">
        <v>27</v>
      </c>
      <c r="F4644" s="2">
        <v>281.08</v>
      </c>
      <c r="G4644" s="2">
        <v>14.92</v>
      </c>
      <c r="H4644" s="2" t="s">
        <v>13</v>
      </c>
      <c r="I4644" s="2" t="s">
        <v>34</v>
      </c>
    </row>
    <row r="4645" spans="1:9" x14ac:dyDescent="0.35">
      <c r="A4645" s="2" t="s">
        <v>4691</v>
      </c>
      <c r="B4645" s="3">
        <v>44986</v>
      </c>
      <c r="C4645" s="2" t="s">
        <v>25</v>
      </c>
      <c r="D4645" s="2" t="s">
        <v>95</v>
      </c>
      <c r="E4645" s="2" t="s">
        <v>18</v>
      </c>
      <c r="F4645" s="2">
        <v>556.78</v>
      </c>
      <c r="G4645" s="2">
        <v>64.540000000000006</v>
      </c>
      <c r="H4645" s="2" t="s">
        <v>28</v>
      </c>
      <c r="I4645" s="2" t="s">
        <v>34</v>
      </c>
    </row>
    <row r="4646" spans="1:9" x14ac:dyDescent="0.35">
      <c r="A4646" s="2" t="s">
        <v>4692</v>
      </c>
      <c r="B4646" s="3">
        <v>45131</v>
      </c>
      <c r="C4646" s="2" t="s">
        <v>22</v>
      </c>
      <c r="D4646" s="2" t="s">
        <v>97</v>
      </c>
      <c r="E4646" s="2" t="s">
        <v>27</v>
      </c>
      <c r="F4646" s="2">
        <v>468.43</v>
      </c>
      <c r="G4646" s="2">
        <v>119.99</v>
      </c>
      <c r="H4646" s="2" t="s">
        <v>19</v>
      </c>
      <c r="I4646" s="2" t="s">
        <v>20</v>
      </c>
    </row>
    <row r="4647" spans="1:9" x14ac:dyDescent="0.35">
      <c r="A4647" s="2" t="s">
        <v>4693</v>
      </c>
      <c r="B4647" s="3">
        <v>44692</v>
      </c>
      <c r="C4647" s="2" t="s">
        <v>25</v>
      </c>
      <c r="D4647" s="2" t="s">
        <v>95</v>
      </c>
      <c r="E4647" s="2" t="s">
        <v>18</v>
      </c>
      <c r="F4647" s="2">
        <v>1715.43</v>
      </c>
      <c r="G4647" s="2">
        <v>302.31</v>
      </c>
      <c r="H4647" s="2" t="s">
        <v>28</v>
      </c>
      <c r="I4647" s="2" t="s">
        <v>20</v>
      </c>
    </row>
    <row r="4648" spans="1:9" x14ac:dyDescent="0.35">
      <c r="A4648" s="2" t="s">
        <v>4694</v>
      </c>
      <c r="B4648" s="3">
        <v>45587</v>
      </c>
      <c r="C4648" s="2" t="s">
        <v>22</v>
      </c>
      <c r="D4648" s="2" t="s">
        <v>41</v>
      </c>
      <c r="E4648" s="2" t="s">
        <v>12</v>
      </c>
      <c r="F4648" s="2">
        <v>752.53</v>
      </c>
      <c r="G4648" s="2">
        <v>108.08</v>
      </c>
      <c r="H4648" s="2" t="s">
        <v>19</v>
      </c>
      <c r="I4648" s="2" t="s">
        <v>29</v>
      </c>
    </row>
    <row r="4649" spans="1:9" x14ac:dyDescent="0.35">
      <c r="A4649" s="2" t="s">
        <v>4695</v>
      </c>
      <c r="B4649" s="3">
        <v>45359</v>
      </c>
      <c r="C4649" s="2" t="s">
        <v>22</v>
      </c>
      <c r="D4649" s="2" t="s">
        <v>57</v>
      </c>
      <c r="E4649" s="2" t="s">
        <v>27</v>
      </c>
      <c r="F4649" s="2">
        <v>127.77</v>
      </c>
      <c r="G4649" s="2">
        <v>31</v>
      </c>
      <c r="H4649" s="2" t="s">
        <v>28</v>
      </c>
      <c r="I4649" s="2" t="s">
        <v>34</v>
      </c>
    </row>
    <row r="4650" spans="1:9" x14ac:dyDescent="0.35">
      <c r="A4650" s="2" t="s">
        <v>4696</v>
      </c>
      <c r="B4650" s="3">
        <v>44899</v>
      </c>
      <c r="C4650" s="2" t="s">
        <v>10</v>
      </c>
      <c r="D4650" s="2" t="s">
        <v>41</v>
      </c>
      <c r="E4650" s="2" t="s">
        <v>12</v>
      </c>
      <c r="F4650" s="2">
        <v>696.6</v>
      </c>
      <c r="G4650" s="2">
        <v>196.82</v>
      </c>
      <c r="H4650" s="2" t="s">
        <v>19</v>
      </c>
      <c r="I4650" s="2" t="s">
        <v>34</v>
      </c>
    </row>
    <row r="4651" spans="1:9" x14ac:dyDescent="0.35">
      <c r="A4651" s="2" t="s">
        <v>4697</v>
      </c>
      <c r="B4651" s="3">
        <v>44788</v>
      </c>
      <c r="C4651" s="2" t="s">
        <v>16</v>
      </c>
      <c r="D4651" s="2" t="s">
        <v>57</v>
      </c>
      <c r="E4651" s="2" t="s">
        <v>27</v>
      </c>
      <c r="F4651" s="2">
        <v>479.44</v>
      </c>
      <c r="G4651" s="2">
        <v>35.17</v>
      </c>
      <c r="H4651" s="2" t="s">
        <v>13</v>
      </c>
      <c r="I4651" s="2" t="s">
        <v>34</v>
      </c>
    </row>
    <row r="4652" spans="1:9" x14ac:dyDescent="0.35">
      <c r="A4652" s="2" t="s">
        <v>4698</v>
      </c>
      <c r="B4652" s="3">
        <v>45049</v>
      </c>
      <c r="C4652" s="2" t="s">
        <v>10</v>
      </c>
      <c r="D4652" s="2" t="s">
        <v>46</v>
      </c>
      <c r="E4652" s="2" t="s">
        <v>18</v>
      </c>
      <c r="F4652" s="2">
        <v>822.48</v>
      </c>
      <c r="G4652" s="2">
        <v>138.54</v>
      </c>
      <c r="H4652" s="2" t="s">
        <v>13</v>
      </c>
      <c r="I4652" s="2" t="s">
        <v>34</v>
      </c>
    </row>
    <row r="4653" spans="1:9" x14ac:dyDescent="0.35">
      <c r="A4653" s="2" t="s">
        <v>4699</v>
      </c>
      <c r="B4653" s="3">
        <v>45319</v>
      </c>
      <c r="C4653" s="2" t="s">
        <v>22</v>
      </c>
      <c r="D4653" s="2" t="s">
        <v>11</v>
      </c>
      <c r="E4653" s="2" t="s">
        <v>12</v>
      </c>
      <c r="F4653" s="2">
        <v>797.87</v>
      </c>
      <c r="G4653" s="2">
        <v>203.42</v>
      </c>
      <c r="H4653" s="2" t="s">
        <v>19</v>
      </c>
      <c r="I4653" s="2" t="s">
        <v>14</v>
      </c>
    </row>
    <row r="4654" spans="1:9" x14ac:dyDescent="0.35">
      <c r="A4654" s="2" t="s">
        <v>4700</v>
      </c>
      <c r="B4654" s="3">
        <v>44627</v>
      </c>
      <c r="C4654" s="2" t="s">
        <v>22</v>
      </c>
      <c r="D4654" s="2" t="s">
        <v>33</v>
      </c>
      <c r="E4654" s="2" t="s">
        <v>18</v>
      </c>
      <c r="F4654" s="2">
        <v>1559.74</v>
      </c>
      <c r="G4654" s="2">
        <v>146.33000000000001</v>
      </c>
      <c r="H4654" s="2" t="s">
        <v>19</v>
      </c>
      <c r="I4654" s="2" t="s">
        <v>29</v>
      </c>
    </row>
    <row r="4655" spans="1:9" x14ac:dyDescent="0.35">
      <c r="A4655" s="2" t="s">
        <v>4701</v>
      </c>
      <c r="B4655" s="3">
        <v>45445</v>
      </c>
      <c r="C4655" s="2" t="s">
        <v>22</v>
      </c>
      <c r="D4655" s="2" t="s">
        <v>95</v>
      </c>
      <c r="E4655" s="2" t="s">
        <v>18</v>
      </c>
      <c r="F4655" s="2">
        <v>1854.09</v>
      </c>
      <c r="G4655" s="2">
        <v>359.89</v>
      </c>
      <c r="H4655" s="2" t="s">
        <v>19</v>
      </c>
      <c r="I4655" s="2" t="s">
        <v>34</v>
      </c>
    </row>
    <row r="4656" spans="1:9" x14ac:dyDescent="0.35">
      <c r="A4656" s="2" t="s">
        <v>4702</v>
      </c>
      <c r="B4656" s="3">
        <v>45559</v>
      </c>
      <c r="C4656" s="2" t="s">
        <v>10</v>
      </c>
      <c r="D4656" s="2" t="s">
        <v>46</v>
      </c>
      <c r="E4656" s="2" t="s">
        <v>18</v>
      </c>
      <c r="F4656" s="2">
        <v>408.82</v>
      </c>
      <c r="G4656" s="2">
        <v>61.33</v>
      </c>
      <c r="H4656" s="2" t="s">
        <v>28</v>
      </c>
      <c r="I4656" s="2" t="s">
        <v>29</v>
      </c>
    </row>
    <row r="4657" spans="1:9" x14ac:dyDescent="0.35">
      <c r="A4657" s="2" t="s">
        <v>4703</v>
      </c>
      <c r="B4657" s="3">
        <v>45359</v>
      </c>
      <c r="C4657" s="2" t="s">
        <v>25</v>
      </c>
      <c r="D4657" s="2" t="s">
        <v>31</v>
      </c>
      <c r="E4657" s="2" t="s">
        <v>12</v>
      </c>
      <c r="F4657" s="2">
        <v>419.52</v>
      </c>
      <c r="G4657" s="2">
        <v>104.49</v>
      </c>
      <c r="H4657" s="2" t="s">
        <v>19</v>
      </c>
      <c r="I4657" s="2" t="s">
        <v>14</v>
      </c>
    </row>
    <row r="4658" spans="1:9" x14ac:dyDescent="0.35">
      <c r="A4658" s="2" t="s">
        <v>4704</v>
      </c>
      <c r="B4658" s="3">
        <v>44637</v>
      </c>
      <c r="C4658" s="2" t="s">
        <v>10</v>
      </c>
      <c r="D4658" s="2" t="s">
        <v>33</v>
      </c>
      <c r="E4658" s="2" t="s">
        <v>18</v>
      </c>
      <c r="F4658" s="2">
        <v>1112.28</v>
      </c>
      <c r="G4658" s="2">
        <v>94.1</v>
      </c>
      <c r="H4658" s="2" t="s">
        <v>28</v>
      </c>
      <c r="I4658" s="2" t="s">
        <v>20</v>
      </c>
    </row>
    <row r="4659" spans="1:9" x14ac:dyDescent="0.35">
      <c r="A4659" s="2" t="s">
        <v>4705</v>
      </c>
      <c r="B4659" s="3">
        <v>44760</v>
      </c>
      <c r="C4659" s="2" t="s">
        <v>25</v>
      </c>
      <c r="D4659" s="2" t="s">
        <v>57</v>
      </c>
      <c r="E4659" s="2" t="s">
        <v>27</v>
      </c>
      <c r="F4659" s="2">
        <v>901.03</v>
      </c>
      <c r="G4659" s="2">
        <v>249.93</v>
      </c>
      <c r="H4659" s="2" t="s">
        <v>28</v>
      </c>
      <c r="I4659" s="2" t="s">
        <v>20</v>
      </c>
    </row>
    <row r="4660" spans="1:9" x14ac:dyDescent="0.35">
      <c r="A4660" s="2" t="s">
        <v>4706</v>
      </c>
      <c r="B4660" s="3">
        <v>45015</v>
      </c>
      <c r="C4660" s="2" t="s">
        <v>25</v>
      </c>
      <c r="D4660" s="2" t="s">
        <v>41</v>
      </c>
      <c r="E4660" s="2" t="s">
        <v>12</v>
      </c>
      <c r="F4660" s="2">
        <v>1724.62</v>
      </c>
      <c r="G4660" s="2">
        <v>326.77999999999997</v>
      </c>
      <c r="H4660" s="2" t="s">
        <v>19</v>
      </c>
      <c r="I4660" s="2" t="s">
        <v>14</v>
      </c>
    </row>
    <row r="4661" spans="1:9" x14ac:dyDescent="0.35">
      <c r="A4661" s="2" t="s">
        <v>4707</v>
      </c>
      <c r="B4661" s="3">
        <v>44870</v>
      </c>
      <c r="C4661" s="2" t="s">
        <v>25</v>
      </c>
      <c r="D4661" s="2" t="s">
        <v>97</v>
      </c>
      <c r="E4661" s="2" t="s">
        <v>27</v>
      </c>
      <c r="F4661" s="2">
        <v>1690.59</v>
      </c>
      <c r="G4661" s="2">
        <v>321.68</v>
      </c>
      <c r="H4661" s="2" t="s">
        <v>13</v>
      </c>
      <c r="I4661" s="2" t="s">
        <v>14</v>
      </c>
    </row>
    <row r="4662" spans="1:9" x14ac:dyDescent="0.35">
      <c r="A4662" s="2" t="s">
        <v>4708</v>
      </c>
      <c r="B4662" s="3">
        <v>45384</v>
      </c>
      <c r="C4662" s="2" t="s">
        <v>16</v>
      </c>
      <c r="D4662" s="2" t="s">
        <v>62</v>
      </c>
      <c r="E4662" s="2" t="s">
        <v>27</v>
      </c>
      <c r="F4662" s="2">
        <v>1270.3399999999999</v>
      </c>
      <c r="G4662" s="2">
        <v>263.68</v>
      </c>
      <c r="H4662" s="2" t="s">
        <v>13</v>
      </c>
      <c r="I4662" s="2" t="s">
        <v>20</v>
      </c>
    </row>
    <row r="4663" spans="1:9" x14ac:dyDescent="0.35">
      <c r="A4663" s="2" t="s">
        <v>4709</v>
      </c>
      <c r="B4663" s="3">
        <v>45609</v>
      </c>
      <c r="C4663" s="2" t="s">
        <v>25</v>
      </c>
      <c r="D4663" s="2" t="s">
        <v>97</v>
      </c>
      <c r="E4663" s="2" t="s">
        <v>27</v>
      </c>
      <c r="F4663" s="2">
        <v>1220.74</v>
      </c>
      <c r="G4663" s="2">
        <v>143.49</v>
      </c>
      <c r="H4663" s="2" t="s">
        <v>13</v>
      </c>
      <c r="I4663" s="2" t="s">
        <v>29</v>
      </c>
    </row>
    <row r="4664" spans="1:9" x14ac:dyDescent="0.35">
      <c r="A4664" s="2" t="s">
        <v>4710</v>
      </c>
      <c r="B4664" s="3">
        <v>44913</v>
      </c>
      <c r="C4664" s="2" t="s">
        <v>16</v>
      </c>
      <c r="D4664" s="2" t="s">
        <v>50</v>
      </c>
      <c r="E4664" s="2" t="s">
        <v>12</v>
      </c>
      <c r="F4664" s="2">
        <v>1633.39</v>
      </c>
      <c r="G4664" s="2">
        <v>233.91</v>
      </c>
      <c r="H4664" s="2" t="s">
        <v>28</v>
      </c>
      <c r="I4664" s="2" t="s">
        <v>34</v>
      </c>
    </row>
    <row r="4665" spans="1:9" x14ac:dyDescent="0.35">
      <c r="A4665" s="2" t="s">
        <v>4711</v>
      </c>
      <c r="B4665" s="3">
        <v>45446</v>
      </c>
      <c r="C4665" s="2" t="s">
        <v>10</v>
      </c>
      <c r="D4665" s="2" t="s">
        <v>97</v>
      </c>
      <c r="E4665" s="2" t="s">
        <v>27</v>
      </c>
      <c r="F4665" s="2">
        <v>1638.39</v>
      </c>
      <c r="G4665" s="2">
        <v>426.63</v>
      </c>
      <c r="H4665" s="2" t="s">
        <v>13</v>
      </c>
      <c r="I4665" s="2" t="s">
        <v>29</v>
      </c>
    </row>
    <row r="4666" spans="1:9" x14ac:dyDescent="0.35">
      <c r="A4666" s="2" t="s">
        <v>4712</v>
      </c>
      <c r="B4666" s="3">
        <v>45634</v>
      </c>
      <c r="C4666" s="2" t="s">
        <v>16</v>
      </c>
      <c r="D4666" s="2" t="s">
        <v>41</v>
      </c>
      <c r="E4666" s="2" t="s">
        <v>12</v>
      </c>
      <c r="F4666" s="2">
        <v>100.85</v>
      </c>
      <c r="G4666" s="2">
        <v>27.99</v>
      </c>
      <c r="H4666" s="2" t="s">
        <v>13</v>
      </c>
      <c r="I4666" s="2" t="s">
        <v>14</v>
      </c>
    </row>
    <row r="4667" spans="1:9" x14ac:dyDescent="0.35">
      <c r="A4667" s="2" t="s">
        <v>4713</v>
      </c>
      <c r="B4667" s="3">
        <v>45255</v>
      </c>
      <c r="C4667" s="2" t="s">
        <v>16</v>
      </c>
      <c r="D4667" s="2" t="s">
        <v>46</v>
      </c>
      <c r="E4667" s="2" t="s">
        <v>18</v>
      </c>
      <c r="F4667" s="2">
        <v>79.150000000000006</v>
      </c>
      <c r="G4667" s="2">
        <v>11.78</v>
      </c>
      <c r="H4667" s="2" t="s">
        <v>28</v>
      </c>
      <c r="I4667" s="2" t="s">
        <v>14</v>
      </c>
    </row>
    <row r="4668" spans="1:9" x14ac:dyDescent="0.35">
      <c r="A4668" s="2" t="s">
        <v>4714</v>
      </c>
      <c r="B4668" s="3">
        <v>45475</v>
      </c>
      <c r="C4668" s="2" t="s">
        <v>22</v>
      </c>
      <c r="D4668" s="2" t="s">
        <v>17</v>
      </c>
      <c r="E4668" s="2" t="s">
        <v>18</v>
      </c>
      <c r="F4668" s="2">
        <v>897.01</v>
      </c>
      <c r="G4668" s="2">
        <v>236.95</v>
      </c>
      <c r="H4668" s="2" t="s">
        <v>13</v>
      </c>
      <c r="I4668" s="2" t="s">
        <v>14</v>
      </c>
    </row>
    <row r="4669" spans="1:9" x14ac:dyDescent="0.35">
      <c r="A4669" s="2" t="s">
        <v>4715</v>
      </c>
      <c r="B4669" s="3">
        <v>44999</v>
      </c>
      <c r="C4669" s="2" t="s">
        <v>10</v>
      </c>
      <c r="D4669" s="2" t="s">
        <v>23</v>
      </c>
      <c r="E4669" s="2" t="s">
        <v>18</v>
      </c>
      <c r="F4669" s="2">
        <v>494</v>
      </c>
      <c r="G4669" s="2">
        <v>28.83</v>
      </c>
      <c r="H4669" s="2" t="s">
        <v>28</v>
      </c>
      <c r="I4669" s="2" t="s">
        <v>29</v>
      </c>
    </row>
    <row r="4670" spans="1:9" x14ac:dyDescent="0.35">
      <c r="A4670" s="2" t="s">
        <v>4716</v>
      </c>
      <c r="B4670" s="3">
        <v>45429</v>
      </c>
      <c r="C4670" s="2" t="s">
        <v>16</v>
      </c>
      <c r="D4670" s="2" t="s">
        <v>31</v>
      </c>
      <c r="E4670" s="2" t="s">
        <v>12</v>
      </c>
      <c r="F4670" s="2">
        <v>1798.05</v>
      </c>
      <c r="G4670" s="2">
        <v>383.35</v>
      </c>
      <c r="H4670" s="2" t="s">
        <v>28</v>
      </c>
      <c r="I4670" s="2" t="s">
        <v>14</v>
      </c>
    </row>
    <row r="4671" spans="1:9" x14ac:dyDescent="0.35">
      <c r="A4671" s="2" t="s">
        <v>4717</v>
      </c>
      <c r="B4671" s="3">
        <v>45638</v>
      </c>
      <c r="C4671" s="2" t="s">
        <v>25</v>
      </c>
      <c r="D4671" s="2" t="s">
        <v>31</v>
      </c>
      <c r="E4671" s="2" t="s">
        <v>12</v>
      </c>
      <c r="F4671" s="2">
        <v>1841.78</v>
      </c>
      <c r="G4671" s="2">
        <v>307.14</v>
      </c>
      <c r="H4671" s="2" t="s">
        <v>13</v>
      </c>
      <c r="I4671" s="2" t="s">
        <v>29</v>
      </c>
    </row>
    <row r="4672" spans="1:9" x14ac:dyDescent="0.35">
      <c r="A4672" s="2" t="s">
        <v>4718</v>
      </c>
      <c r="B4672" s="3">
        <v>44627</v>
      </c>
      <c r="C4672" s="2" t="s">
        <v>25</v>
      </c>
      <c r="D4672" s="2" t="s">
        <v>50</v>
      </c>
      <c r="E4672" s="2" t="s">
        <v>12</v>
      </c>
      <c r="F4672" s="2">
        <v>240.07</v>
      </c>
      <c r="G4672" s="2">
        <v>16.37</v>
      </c>
      <c r="H4672" s="2" t="s">
        <v>19</v>
      </c>
      <c r="I4672" s="2" t="s">
        <v>29</v>
      </c>
    </row>
    <row r="4673" spans="1:9" x14ac:dyDescent="0.35">
      <c r="A4673" s="2" t="s">
        <v>4719</v>
      </c>
      <c r="B4673" s="3">
        <v>44593</v>
      </c>
      <c r="C4673" s="2" t="s">
        <v>16</v>
      </c>
      <c r="D4673" s="2" t="s">
        <v>41</v>
      </c>
      <c r="E4673" s="2" t="s">
        <v>12</v>
      </c>
      <c r="F4673" s="2">
        <v>453.18</v>
      </c>
      <c r="G4673" s="2">
        <v>119.72</v>
      </c>
      <c r="H4673" s="2" t="s">
        <v>19</v>
      </c>
      <c r="I4673" s="2" t="s">
        <v>29</v>
      </c>
    </row>
    <row r="4674" spans="1:9" x14ac:dyDescent="0.35">
      <c r="A4674" s="2" t="s">
        <v>4720</v>
      </c>
      <c r="B4674" s="3">
        <v>44803</v>
      </c>
      <c r="C4674" s="2" t="s">
        <v>22</v>
      </c>
      <c r="D4674" s="2" t="s">
        <v>97</v>
      </c>
      <c r="E4674" s="2" t="s">
        <v>27</v>
      </c>
      <c r="F4674" s="2">
        <v>369.61</v>
      </c>
      <c r="G4674" s="2">
        <v>22.13</v>
      </c>
      <c r="H4674" s="2" t="s">
        <v>13</v>
      </c>
      <c r="I4674" s="2" t="s">
        <v>20</v>
      </c>
    </row>
    <row r="4675" spans="1:9" x14ac:dyDescent="0.35">
      <c r="A4675" s="2" t="s">
        <v>4721</v>
      </c>
      <c r="B4675" s="3">
        <v>45124</v>
      </c>
      <c r="C4675" s="2" t="s">
        <v>25</v>
      </c>
      <c r="D4675" s="2" t="s">
        <v>62</v>
      </c>
      <c r="E4675" s="2" t="s">
        <v>27</v>
      </c>
      <c r="F4675" s="2">
        <v>1925.2</v>
      </c>
      <c r="G4675" s="2">
        <v>265.95</v>
      </c>
      <c r="H4675" s="2" t="s">
        <v>19</v>
      </c>
      <c r="I4675" s="2" t="s">
        <v>20</v>
      </c>
    </row>
    <row r="4676" spans="1:9" x14ac:dyDescent="0.35">
      <c r="A4676" s="2" t="s">
        <v>4722</v>
      </c>
      <c r="B4676" s="3">
        <v>45015</v>
      </c>
      <c r="C4676" s="2" t="s">
        <v>22</v>
      </c>
      <c r="D4676" s="2" t="s">
        <v>97</v>
      </c>
      <c r="E4676" s="2" t="s">
        <v>27</v>
      </c>
      <c r="F4676" s="2">
        <v>640.36</v>
      </c>
      <c r="G4676" s="2">
        <v>185.09</v>
      </c>
      <c r="H4676" s="2" t="s">
        <v>19</v>
      </c>
      <c r="I4676" s="2" t="s">
        <v>29</v>
      </c>
    </row>
    <row r="4677" spans="1:9" x14ac:dyDescent="0.35">
      <c r="A4677" s="2" t="s">
        <v>4723</v>
      </c>
      <c r="B4677" s="3">
        <v>45074</v>
      </c>
      <c r="C4677" s="2" t="s">
        <v>22</v>
      </c>
      <c r="D4677" s="2" t="s">
        <v>26</v>
      </c>
      <c r="E4677" s="2" t="s">
        <v>27</v>
      </c>
      <c r="F4677" s="2">
        <v>1533.43</v>
      </c>
      <c r="G4677" s="2">
        <v>86.24</v>
      </c>
      <c r="H4677" s="2" t="s">
        <v>13</v>
      </c>
      <c r="I4677" s="2" t="s">
        <v>29</v>
      </c>
    </row>
    <row r="4678" spans="1:9" x14ac:dyDescent="0.35">
      <c r="A4678" s="2" t="s">
        <v>4724</v>
      </c>
      <c r="B4678" s="3">
        <v>45392</v>
      </c>
      <c r="C4678" s="2" t="s">
        <v>25</v>
      </c>
      <c r="D4678" s="2" t="s">
        <v>73</v>
      </c>
      <c r="E4678" s="2" t="s">
        <v>27</v>
      </c>
      <c r="F4678" s="2">
        <v>579.99</v>
      </c>
      <c r="G4678" s="2">
        <v>70.88</v>
      </c>
      <c r="H4678" s="2" t="s">
        <v>28</v>
      </c>
      <c r="I4678" s="2" t="s">
        <v>14</v>
      </c>
    </row>
    <row r="4679" spans="1:9" x14ac:dyDescent="0.35">
      <c r="A4679" s="2" t="s">
        <v>4725</v>
      </c>
      <c r="B4679" s="3">
        <v>44877</v>
      </c>
      <c r="C4679" s="2" t="s">
        <v>16</v>
      </c>
      <c r="D4679" s="2" t="s">
        <v>73</v>
      </c>
      <c r="E4679" s="2" t="s">
        <v>27</v>
      </c>
      <c r="F4679" s="2">
        <v>743.09</v>
      </c>
      <c r="G4679" s="2">
        <v>71.64</v>
      </c>
      <c r="H4679" s="2" t="s">
        <v>13</v>
      </c>
      <c r="I4679" s="2" t="s">
        <v>14</v>
      </c>
    </row>
    <row r="4680" spans="1:9" x14ac:dyDescent="0.35">
      <c r="A4680" s="2" t="s">
        <v>4726</v>
      </c>
      <c r="B4680" s="3">
        <v>44771</v>
      </c>
      <c r="C4680" s="2" t="s">
        <v>25</v>
      </c>
      <c r="D4680" s="2" t="s">
        <v>73</v>
      </c>
      <c r="E4680" s="2" t="s">
        <v>27</v>
      </c>
      <c r="F4680" s="2">
        <v>1748.75</v>
      </c>
      <c r="G4680" s="2">
        <v>164.3</v>
      </c>
      <c r="H4680" s="2" t="s">
        <v>28</v>
      </c>
      <c r="I4680" s="2" t="s">
        <v>14</v>
      </c>
    </row>
    <row r="4681" spans="1:9" x14ac:dyDescent="0.35">
      <c r="A4681" s="2" t="s">
        <v>4727</v>
      </c>
      <c r="B4681" s="3">
        <v>44575</v>
      </c>
      <c r="C4681" s="2" t="s">
        <v>25</v>
      </c>
      <c r="D4681" s="2" t="s">
        <v>41</v>
      </c>
      <c r="E4681" s="2" t="s">
        <v>12</v>
      </c>
      <c r="F4681" s="2">
        <v>1216.81</v>
      </c>
      <c r="G4681" s="2">
        <v>339.12</v>
      </c>
      <c r="H4681" s="2" t="s">
        <v>13</v>
      </c>
      <c r="I4681" s="2" t="s">
        <v>14</v>
      </c>
    </row>
    <row r="4682" spans="1:9" x14ac:dyDescent="0.35">
      <c r="A4682" s="2" t="s">
        <v>4728</v>
      </c>
      <c r="B4682" s="3">
        <v>44952</v>
      </c>
      <c r="C4682" s="2" t="s">
        <v>22</v>
      </c>
      <c r="D4682" s="2" t="s">
        <v>38</v>
      </c>
      <c r="E4682" s="2" t="s">
        <v>12</v>
      </c>
      <c r="F4682" s="2">
        <v>1753.09</v>
      </c>
      <c r="G4682" s="2">
        <v>454.02</v>
      </c>
      <c r="H4682" s="2" t="s">
        <v>19</v>
      </c>
      <c r="I4682" s="2" t="s">
        <v>14</v>
      </c>
    </row>
    <row r="4683" spans="1:9" x14ac:dyDescent="0.35">
      <c r="A4683" s="2" t="s">
        <v>4729</v>
      </c>
      <c r="B4683" s="3">
        <v>44911</v>
      </c>
      <c r="C4683" s="2" t="s">
        <v>25</v>
      </c>
      <c r="D4683" s="2" t="s">
        <v>97</v>
      </c>
      <c r="E4683" s="2" t="s">
        <v>27</v>
      </c>
      <c r="F4683" s="2">
        <v>580.51</v>
      </c>
      <c r="G4683" s="2">
        <v>100.72</v>
      </c>
      <c r="H4683" s="2" t="s">
        <v>13</v>
      </c>
      <c r="I4683" s="2" t="s">
        <v>34</v>
      </c>
    </row>
    <row r="4684" spans="1:9" x14ac:dyDescent="0.35">
      <c r="A4684" s="2" t="s">
        <v>4730</v>
      </c>
      <c r="B4684" s="3">
        <v>45013</v>
      </c>
      <c r="C4684" s="2" t="s">
        <v>25</v>
      </c>
      <c r="D4684" s="2" t="s">
        <v>62</v>
      </c>
      <c r="E4684" s="2" t="s">
        <v>27</v>
      </c>
      <c r="F4684" s="2">
        <v>144.31</v>
      </c>
      <c r="G4684" s="2">
        <v>18.2</v>
      </c>
      <c r="H4684" s="2" t="s">
        <v>13</v>
      </c>
      <c r="I4684" s="2" t="s">
        <v>34</v>
      </c>
    </row>
    <row r="4685" spans="1:9" x14ac:dyDescent="0.35">
      <c r="A4685" s="2" t="s">
        <v>4731</v>
      </c>
      <c r="B4685" s="3">
        <v>44731</v>
      </c>
      <c r="C4685" s="2" t="s">
        <v>10</v>
      </c>
      <c r="D4685" s="2" t="s">
        <v>73</v>
      </c>
      <c r="E4685" s="2" t="s">
        <v>27</v>
      </c>
      <c r="F4685" s="2">
        <v>1502.17</v>
      </c>
      <c r="G4685" s="2">
        <v>85.97</v>
      </c>
      <c r="H4685" s="2" t="s">
        <v>13</v>
      </c>
      <c r="I4685" s="2" t="s">
        <v>20</v>
      </c>
    </row>
    <row r="4686" spans="1:9" x14ac:dyDescent="0.35">
      <c r="A4686" s="2" t="s">
        <v>4732</v>
      </c>
      <c r="B4686" s="3">
        <v>45596</v>
      </c>
      <c r="C4686" s="2" t="s">
        <v>25</v>
      </c>
      <c r="D4686" s="2" t="s">
        <v>23</v>
      </c>
      <c r="E4686" s="2" t="s">
        <v>18</v>
      </c>
      <c r="F4686" s="2">
        <v>656.52</v>
      </c>
      <c r="G4686" s="2">
        <v>100.6</v>
      </c>
      <c r="H4686" s="2" t="s">
        <v>19</v>
      </c>
      <c r="I4686" s="2" t="s">
        <v>34</v>
      </c>
    </row>
    <row r="4687" spans="1:9" x14ac:dyDescent="0.35">
      <c r="A4687" s="2" t="s">
        <v>4733</v>
      </c>
      <c r="B4687" s="3">
        <v>45020</v>
      </c>
      <c r="C4687" s="2" t="s">
        <v>10</v>
      </c>
      <c r="D4687" s="2" t="s">
        <v>41</v>
      </c>
      <c r="E4687" s="2" t="s">
        <v>12</v>
      </c>
      <c r="F4687" s="2">
        <v>266.31</v>
      </c>
      <c r="G4687" s="2">
        <v>23.12</v>
      </c>
      <c r="H4687" s="2" t="s">
        <v>13</v>
      </c>
      <c r="I4687" s="2" t="s">
        <v>14</v>
      </c>
    </row>
    <row r="4688" spans="1:9" x14ac:dyDescent="0.35">
      <c r="A4688" s="2" t="s">
        <v>4734</v>
      </c>
      <c r="B4688" s="3">
        <v>44722</v>
      </c>
      <c r="C4688" s="2" t="s">
        <v>22</v>
      </c>
      <c r="D4688" s="2" t="s">
        <v>46</v>
      </c>
      <c r="E4688" s="2" t="s">
        <v>18</v>
      </c>
      <c r="F4688" s="2">
        <v>1447.37</v>
      </c>
      <c r="G4688" s="2">
        <v>322.18</v>
      </c>
      <c r="H4688" s="2" t="s">
        <v>13</v>
      </c>
      <c r="I4688" s="2" t="s">
        <v>14</v>
      </c>
    </row>
    <row r="4689" spans="1:9" x14ac:dyDescent="0.35">
      <c r="A4689" s="2" t="s">
        <v>4735</v>
      </c>
      <c r="B4689" s="3">
        <v>44770</v>
      </c>
      <c r="C4689" s="2" t="s">
        <v>25</v>
      </c>
      <c r="D4689" s="2" t="s">
        <v>97</v>
      </c>
      <c r="E4689" s="2" t="s">
        <v>27</v>
      </c>
      <c r="F4689" s="2">
        <v>622.15</v>
      </c>
      <c r="G4689" s="2">
        <v>99.75</v>
      </c>
      <c r="H4689" s="2" t="s">
        <v>13</v>
      </c>
      <c r="I4689" s="2" t="s">
        <v>34</v>
      </c>
    </row>
    <row r="4690" spans="1:9" x14ac:dyDescent="0.35">
      <c r="A4690" s="2" t="s">
        <v>4736</v>
      </c>
      <c r="B4690" s="3">
        <v>45087</v>
      </c>
      <c r="C4690" s="2" t="s">
        <v>25</v>
      </c>
      <c r="D4690" s="2" t="s">
        <v>31</v>
      </c>
      <c r="E4690" s="2" t="s">
        <v>12</v>
      </c>
      <c r="F4690" s="2">
        <v>496.54</v>
      </c>
      <c r="G4690" s="2">
        <v>85.83</v>
      </c>
      <c r="H4690" s="2" t="s">
        <v>19</v>
      </c>
      <c r="I4690" s="2" t="s">
        <v>29</v>
      </c>
    </row>
    <row r="4691" spans="1:9" x14ac:dyDescent="0.35">
      <c r="A4691" s="2" t="s">
        <v>4737</v>
      </c>
      <c r="B4691" s="3">
        <v>45135</v>
      </c>
      <c r="C4691" s="2" t="s">
        <v>22</v>
      </c>
      <c r="D4691" s="2" t="s">
        <v>97</v>
      </c>
      <c r="E4691" s="2" t="s">
        <v>27</v>
      </c>
      <c r="F4691" s="2">
        <v>727.44</v>
      </c>
      <c r="G4691" s="2">
        <v>167.69</v>
      </c>
      <c r="H4691" s="2" t="s">
        <v>28</v>
      </c>
      <c r="I4691" s="2" t="s">
        <v>14</v>
      </c>
    </row>
    <row r="4692" spans="1:9" x14ac:dyDescent="0.35">
      <c r="A4692" s="2" t="s">
        <v>4738</v>
      </c>
      <c r="B4692" s="3">
        <v>44661</v>
      </c>
      <c r="C4692" s="2" t="s">
        <v>22</v>
      </c>
      <c r="D4692" s="2" t="s">
        <v>46</v>
      </c>
      <c r="E4692" s="2" t="s">
        <v>18</v>
      </c>
      <c r="F4692" s="2">
        <v>655.03</v>
      </c>
      <c r="G4692" s="2">
        <v>119.98</v>
      </c>
      <c r="H4692" s="2" t="s">
        <v>28</v>
      </c>
      <c r="I4692" s="2" t="s">
        <v>20</v>
      </c>
    </row>
    <row r="4693" spans="1:9" x14ac:dyDescent="0.35">
      <c r="A4693" s="2" t="s">
        <v>4739</v>
      </c>
      <c r="B4693" s="3">
        <v>44711</v>
      </c>
      <c r="C4693" s="2" t="s">
        <v>16</v>
      </c>
      <c r="D4693" s="2" t="s">
        <v>46</v>
      </c>
      <c r="E4693" s="2" t="s">
        <v>18</v>
      </c>
      <c r="F4693" s="2">
        <v>1964.7</v>
      </c>
      <c r="G4693" s="2">
        <v>225.3</v>
      </c>
      <c r="H4693" s="2" t="s">
        <v>13</v>
      </c>
      <c r="I4693" s="2" t="s">
        <v>29</v>
      </c>
    </row>
    <row r="4694" spans="1:9" x14ac:dyDescent="0.35">
      <c r="A4694" s="2" t="s">
        <v>4740</v>
      </c>
      <c r="B4694" s="3">
        <v>45142</v>
      </c>
      <c r="C4694" s="2" t="s">
        <v>25</v>
      </c>
      <c r="D4694" s="2" t="s">
        <v>41</v>
      </c>
      <c r="E4694" s="2" t="s">
        <v>12</v>
      </c>
      <c r="F4694" s="2">
        <v>1108.98</v>
      </c>
      <c r="G4694" s="2">
        <v>99.88</v>
      </c>
      <c r="H4694" s="2" t="s">
        <v>28</v>
      </c>
      <c r="I4694" s="2" t="s">
        <v>20</v>
      </c>
    </row>
    <row r="4695" spans="1:9" x14ac:dyDescent="0.35">
      <c r="A4695" s="2" t="s">
        <v>4741</v>
      </c>
      <c r="B4695" s="3">
        <v>45076</v>
      </c>
      <c r="C4695" s="2" t="s">
        <v>22</v>
      </c>
      <c r="D4695" s="2" t="s">
        <v>41</v>
      </c>
      <c r="E4695" s="2" t="s">
        <v>12</v>
      </c>
      <c r="F4695" s="2">
        <v>1036.33</v>
      </c>
      <c r="G4695" s="2">
        <v>272.27</v>
      </c>
      <c r="H4695" s="2" t="s">
        <v>28</v>
      </c>
      <c r="I4695" s="2" t="s">
        <v>29</v>
      </c>
    </row>
    <row r="4696" spans="1:9" x14ac:dyDescent="0.35">
      <c r="A4696" s="2" t="s">
        <v>4742</v>
      </c>
      <c r="B4696" s="3">
        <v>45313</v>
      </c>
      <c r="C4696" s="2" t="s">
        <v>22</v>
      </c>
      <c r="D4696" s="2" t="s">
        <v>26</v>
      </c>
      <c r="E4696" s="2" t="s">
        <v>27</v>
      </c>
      <c r="F4696" s="2">
        <v>1296.0999999999999</v>
      </c>
      <c r="G4696" s="2">
        <v>328.37</v>
      </c>
      <c r="H4696" s="2" t="s">
        <v>19</v>
      </c>
      <c r="I4696" s="2" t="s">
        <v>14</v>
      </c>
    </row>
    <row r="4697" spans="1:9" x14ac:dyDescent="0.35">
      <c r="A4697" s="2" t="s">
        <v>4743</v>
      </c>
      <c r="B4697" s="3">
        <v>45170</v>
      </c>
      <c r="C4697" s="2" t="s">
        <v>10</v>
      </c>
      <c r="D4697" s="2" t="s">
        <v>17</v>
      </c>
      <c r="E4697" s="2" t="s">
        <v>18</v>
      </c>
      <c r="F4697" s="2">
        <v>699.88</v>
      </c>
      <c r="G4697" s="2">
        <v>171.62</v>
      </c>
      <c r="H4697" s="2" t="s">
        <v>19</v>
      </c>
      <c r="I4697" s="2" t="s">
        <v>20</v>
      </c>
    </row>
    <row r="4698" spans="1:9" x14ac:dyDescent="0.35">
      <c r="A4698" s="2" t="s">
        <v>4744</v>
      </c>
      <c r="B4698" s="3">
        <v>45514</v>
      </c>
      <c r="C4698" s="2" t="s">
        <v>22</v>
      </c>
      <c r="D4698" s="2" t="s">
        <v>33</v>
      </c>
      <c r="E4698" s="2" t="s">
        <v>18</v>
      </c>
      <c r="F4698" s="2">
        <v>1105.2</v>
      </c>
      <c r="G4698" s="2">
        <v>201.84</v>
      </c>
      <c r="H4698" s="2" t="s">
        <v>28</v>
      </c>
      <c r="I4698" s="2" t="s">
        <v>34</v>
      </c>
    </row>
    <row r="4699" spans="1:9" x14ac:dyDescent="0.35">
      <c r="A4699" s="2" t="s">
        <v>4745</v>
      </c>
      <c r="B4699" s="3">
        <v>44982</v>
      </c>
      <c r="C4699" s="2" t="s">
        <v>16</v>
      </c>
      <c r="D4699" s="2" t="s">
        <v>26</v>
      </c>
      <c r="E4699" s="2" t="s">
        <v>27</v>
      </c>
      <c r="F4699" s="2">
        <v>1242.0899999999999</v>
      </c>
      <c r="G4699" s="2">
        <v>142.91</v>
      </c>
      <c r="H4699" s="2" t="s">
        <v>13</v>
      </c>
      <c r="I4699" s="2" t="s">
        <v>14</v>
      </c>
    </row>
    <row r="4700" spans="1:9" x14ac:dyDescent="0.35">
      <c r="A4700" s="2" t="s">
        <v>4746</v>
      </c>
      <c r="B4700" s="3">
        <v>44972</v>
      </c>
      <c r="C4700" s="2" t="s">
        <v>10</v>
      </c>
      <c r="D4700" s="2" t="s">
        <v>23</v>
      </c>
      <c r="E4700" s="2" t="s">
        <v>18</v>
      </c>
      <c r="F4700" s="2">
        <v>846.28</v>
      </c>
      <c r="G4700" s="2">
        <v>148.88999999999999</v>
      </c>
      <c r="H4700" s="2" t="s">
        <v>28</v>
      </c>
      <c r="I4700" s="2" t="s">
        <v>29</v>
      </c>
    </row>
    <row r="4701" spans="1:9" x14ac:dyDescent="0.35">
      <c r="A4701" s="2" t="s">
        <v>4747</v>
      </c>
      <c r="B4701" s="3">
        <v>45307</v>
      </c>
      <c r="C4701" s="2" t="s">
        <v>10</v>
      </c>
      <c r="D4701" s="2" t="s">
        <v>41</v>
      </c>
      <c r="E4701" s="2" t="s">
        <v>12</v>
      </c>
      <c r="F4701" s="2">
        <v>1528.76</v>
      </c>
      <c r="G4701" s="2">
        <v>282.42</v>
      </c>
      <c r="H4701" s="2" t="s">
        <v>19</v>
      </c>
      <c r="I4701" s="2" t="s">
        <v>14</v>
      </c>
    </row>
    <row r="4702" spans="1:9" x14ac:dyDescent="0.35">
      <c r="A4702" s="2" t="s">
        <v>4748</v>
      </c>
      <c r="B4702" s="3">
        <v>45205</v>
      </c>
      <c r="C4702" s="2" t="s">
        <v>16</v>
      </c>
      <c r="D4702" s="2" t="s">
        <v>33</v>
      </c>
      <c r="E4702" s="2" t="s">
        <v>18</v>
      </c>
      <c r="F4702" s="2">
        <v>281.07</v>
      </c>
      <c r="G4702" s="2">
        <v>47.81</v>
      </c>
      <c r="H4702" s="2" t="s">
        <v>13</v>
      </c>
      <c r="I4702" s="2" t="s">
        <v>14</v>
      </c>
    </row>
    <row r="4703" spans="1:9" x14ac:dyDescent="0.35">
      <c r="A4703" s="2" t="s">
        <v>4749</v>
      </c>
      <c r="B4703" s="3">
        <v>45561</v>
      </c>
      <c r="C4703" s="2" t="s">
        <v>22</v>
      </c>
      <c r="D4703" s="2" t="s">
        <v>97</v>
      </c>
      <c r="E4703" s="2" t="s">
        <v>27</v>
      </c>
      <c r="F4703" s="2">
        <v>917.72</v>
      </c>
      <c r="G4703" s="2">
        <v>206.41</v>
      </c>
      <c r="H4703" s="2" t="s">
        <v>13</v>
      </c>
      <c r="I4703" s="2" t="s">
        <v>20</v>
      </c>
    </row>
    <row r="4704" spans="1:9" x14ac:dyDescent="0.35">
      <c r="A4704" s="2" t="s">
        <v>4750</v>
      </c>
      <c r="B4704" s="3">
        <v>44800</v>
      </c>
      <c r="C4704" s="2" t="s">
        <v>10</v>
      </c>
      <c r="D4704" s="2" t="s">
        <v>33</v>
      </c>
      <c r="E4704" s="2" t="s">
        <v>18</v>
      </c>
      <c r="F4704" s="2">
        <v>1794.38</v>
      </c>
      <c r="G4704" s="2">
        <v>399.62</v>
      </c>
      <c r="H4704" s="2" t="s">
        <v>13</v>
      </c>
      <c r="I4704" s="2" t="s">
        <v>14</v>
      </c>
    </row>
    <row r="4705" spans="1:9" x14ac:dyDescent="0.35">
      <c r="A4705" s="2" t="s">
        <v>4751</v>
      </c>
      <c r="B4705" s="3">
        <v>44569</v>
      </c>
      <c r="C4705" s="2" t="s">
        <v>10</v>
      </c>
      <c r="D4705" s="2" t="s">
        <v>46</v>
      </c>
      <c r="E4705" s="2" t="s">
        <v>18</v>
      </c>
      <c r="F4705" s="2">
        <v>596.54999999999995</v>
      </c>
      <c r="G4705" s="2">
        <v>52.67</v>
      </c>
      <c r="H4705" s="2" t="s">
        <v>28</v>
      </c>
      <c r="I4705" s="2" t="s">
        <v>20</v>
      </c>
    </row>
    <row r="4706" spans="1:9" x14ac:dyDescent="0.35">
      <c r="A4706" s="2" t="s">
        <v>4752</v>
      </c>
      <c r="B4706" s="3">
        <v>45292</v>
      </c>
      <c r="C4706" s="2" t="s">
        <v>25</v>
      </c>
      <c r="D4706" s="2" t="s">
        <v>23</v>
      </c>
      <c r="E4706" s="2" t="s">
        <v>18</v>
      </c>
      <c r="F4706" s="2">
        <v>564.64</v>
      </c>
      <c r="G4706" s="2">
        <v>110.87</v>
      </c>
      <c r="H4706" s="2" t="s">
        <v>13</v>
      </c>
      <c r="I4706" s="2" t="s">
        <v>29</v>
      </c>
    </row>
    <row r="4707" spans="1:9" x14ac:dyDescent="0.35">
      <c r="A4707" s="2" t="s">
        <v>4753</v>
      </c>
      <c r="B4707" s="3">
        <v>45584</v>
      </c>
      <c r="C4707" s="2" t="s">
        <v>16</v>
      </c>
      <c r="D4707" s="2" t="s">
        <v>97</v>
      </c>
      <c r="E4707" s="2" t="s">
        <v>27</v>
      </c>
      <c r="F4707" s="2">
        <v>1572.48</v>
      </c>
      <c r="G4707" s="2">
        <v>113.02</v>
      </c>
      <c r="H4707" s="2" t="s">
        <v>28</v>
      </c>
      <c r="I4707" s="2" t="s">
        <v>20</v>
      </c>
    </row>
    <row r="4708" spans="1:9" x14ac:dyDescent="0.35">
      <c r="A4708" s="2" t="s">
        <v>4754</v>
      </c>
      <c r="B4708" s="3">
        <v>44989</v>
      </c>
      <c r="C4708" s="2" t="s">
        <v>10</v>
      </c>
      <c r="D4708" s="2" t="s">
        <v>50</v>
      </c>
      <c r="E4708" s="2" t="s">
        <v>12</v>
      </c>
      <c r="F4708" s="2">
        <v>1328</v>
      </c>
      <c r="G4708" s="2">
        <v>286.63</v>
      </c>
      <c r="H4708" s="2" t="s">
        <v>28</v>
      </c>
      <c r="I4708" s="2" t="s">
        <v>29</v>
      </c>
    </row>
    <row r="4709" spans="1:9" x14ac:dyDescent="0.35">
      <c r="A4709" s="2" t="s">
        <v>4755</v>
      </c>
      <c r="B4709" s="3">
        <v>45271</v>
      </c>
      <c r="C4709" s="2" t="s">
        <v>25</v>
      </c>
      <c r="D4709" s="2" t="s">
        <v>31</v>
      </c>
      <c r="E4709" s="2" t="s">
        <v>12</v>
      </c>
      <c r="F4709" s="2">
        <v>424.64</v>
      </c>
      <c r="G4709" s="2">
        <v>73.05</v>
      </c>
      <c r="H4709" s="2" t="s">
        <v>28</v>
      </c>
      <c r="I4709" s="2" t="s">
        <v>34</v>
      </c>
    </row>
    <row r="4710" spans="1:9" x14ac:dyDescent="0.35">
      <c r="A4710" s="2" t="s">
        <v>4756</v>
      </c>
      <c r="B4710" s="3">
        <v>45280</v>
      </c>
      <c r="C4710" s="2" t="s">
        <v>10</v>
      </c>
      <c r="D4710" s="2" t="s">
        <v>41</v>
      </c>
      <c r="E4710" s="2" t="s">
        <v>12</v>
      </c>
      <c r="F4710" s="2">
        <v>765.83</v>
      </c>
      <c r="G4710" s="2">
        <v>157.97</v>
      </c>
      <c r="H4710" s="2" t="s">
        <v>13</v>
      </c>
      <c r="I4710" s="2" t="s">
        <v>20</v>
      </c>
    </row>
    <row r="4711" spans="1:9" x14ac:dyDescent="0.35">
      <c r="A4711" s="2" t="s">
        <v>4757</v>
      </c>
      <c r="B4711" s="3">
        <v>45246</v>
      </c>
      <c r="C4711" s="2" t="s">
        <v>22</v>
      </c>
      <c r="D4711" s="2" t="s">
        <v>23</v>
      </c>
      <c r="E4711" s="2" t="s">
        <v>18</v>
      </c>
      <c r="F4711" s="2">
        <v>292.01</v>
      </c>
      <c r="G4711" s="2">
        <v>43.07</v>
      </c>
      <c r="H4711" s="2" t="s">
        <v>19</v>
      </c>
      <c r="I4711" s="2" t="s">
        <v>14</v>
      </c>
    </row>
    <row r="4712" spans="1:9" x14ac:dyDescent="0.35">
      <c r="A4712" s="2" t="s">
        <v>4758</v>
      </c>
      <c r="B4712" s="3">
        <v>45354</v>
      </c>
      <c r="C4712" s="2" t="s">
        <v>25</v>
      </c>
      <c r="D4712" s="2" t="s">
        <v>62</v>
      </c>
      <c r="E4712" s="2" t="s">
        <v>27</v>
      </c>
      <c r="F4712" s="2">
        <v>814.33</v>
      </c>
      <c r="G4712" s="2">
        <v>176.1</v>
      </c>
      <c r="H4712" s="2" t="s">
        <v>13</v>
      </c>
      <c r="I4712" s="2" t="s">
        <v>34</v>
      </c>
    </row>
    <row r="4713" spans="1:9" x14ac:dyDescent="0.35">
      <c r="A4713" s="2" t="s">
        <v>4759</v>
      </c>
      <c r="B4713" s="3">
        <v>45495</v>
      </c>
      <c r="C4713" s="2" t="s">
        <v>22</v>
      </c>
      <c r="D4713" s="2" t="s">
        <v>23</v>
      </c>
      <c r="E4713" s="2" t="s">
        <v>18</v>
      </c>
      <c r="F4713" s="2">
        <v>1658.77</v>
      </c>
      <c r="G4713" s="2">
        <v>257.58999999999997</v>
      </c>
      <c r="H4713" s="2" t="s">
        <v>13</v>
      </c>
      <c r="I4713" s="2" t="s">
        <v>29</v>
      </c>
    </row>
    <row r="4714" spans="1:9" x14ac:dyDescent="0.35">
      <c r="A4714" s="2" t="s">
        <v>4761</v>
      </c>
      <c r="B4714" s="3">
        <v>44895</v>
      </c>
      <c r="C4714" s="2" t="s">
        <v>16</v>
      </c>
      <c r="D4714" s="2" t="s">
        <v>97</v>
      </c>
      <c r="E4714" s="2" t="s">
        <v>27</v>
      </c>
      <c r="F4714" s="2">
        <v>245.08</v>
      </c>
      <c r="G4714" s="2">
        <v>35.15</v>
      </c>
      <c r="H4714" s="2" t="s">
        <v>28</v>
      </c>
      <c r="I4714" s="2" t="s">
        <v>14</v>
      </c>
    </row>
    <row r="4715" spans="1:9" x14ac:dyDescent="0.35">
      <c r="A4715" s="2" t="s">
        <v>4762</v>
      </c>
      <c r="B4715" s="3">
        <v>45526</v>
      </c>
      <c r="C4715" s="2" t="s">
        <v>22</v>
      </c>
      <c r="D4715" s="2" t="s">
        <v>31</v>
      </c>
      <c r="E4715" s="2" t="s">
        <v>12</v>
      </c>
      <c r="F4715" s="2">
        <v>613.79</v>
      </c>
      <c r="G4715" s="2">
        <v>81.83</v>
      </c>
      <c r="H4715" s="2" t="s">
        <v>28</v>
      </c>
      <c r="I4715" s="2" t="s">
        <v>29</v>
      </c>
    </row>
    <row r="4716" spans="1:9" x14ac:dyDescent="0.35">
      <c r="A4716" s="2" t="s">
        <v>4763</v>
      </c>
      <c r="B4716" s="3">
        <v>44951</v>
      </c>
      <c r="C4716" s="2" t="s">
        <v>10</v>
      </c>
      <c r="D4716" s="2" t="s">
        <v>46</v>
      </c>
      <c r="E4716" s="2" t="s">
        <v>18</v>
      </c>
      <c r="F4716" s="2">
        <v>153.43</v>
      </c>
      <c r="G4716" s="2">
        <v>19.63</v>
      </c>
      <c r="H4716" s="2" t="s">
        <v>19</v>
      </c>
      <c r="I4716" s="2" t="s">
        <v>20</v>
      </c>
    </row>
    <row r="4717" spans="1:9" x14ac:dyDescent="0.35">
      <c r="A4717" s="2" t="s">
        <v>4764</v>
      </c>
      <c r="B4717" s="3">
        <v>44903</v>
      </c>
      <c r="C4717" s="2" t="s">
        <v>16</v>
      </c>
      <c r="D4717" s="2" t="s">
        <v>73</v>
      </c>
      <c r="E4717" s="2" t="s">
        <v>27</v>
      </c>
      <c r="F4717" s="2">
        <v>1535.13</v>
      </c>
      <c r="G4717" s="2">
        <v>114.64</v>
      </c>
      <c r="H4717" s="2" t="s">
        <v>28</v>
      </c>
      <c r="I4717" s="2" t="s">
        <v>29</v>
      </c>
    </row>
    <row r="4718" spans="1:9" x14ac:dyDescent="0.35">
      <c r="A4718" s="2" t="s">
        <v>4765</v>
      </c>
      <c r="B4718" s="3">
        <v>45402</v>
      </c>
      <c r="C4718" s="2" t="s">
        <v>16</v>
      </c>
      <c r="D4718" s="2" t="s">
        <v>97</v>
      </c>
      <c r="E4718" s="2" t="s">
        <v>27</v>
      </c>
      <c r="F4718" s="2">
        <v>1818.88</v>
      </c>
      <c r="G4718" s="2">
        <v>513.96</v>
      </c>
      <c r="H4718" s="2" t="s">
        <v>13</v>
      </c>
      <c r="I4718" s="2" t="s">
        <v>34</v>
      </c>
    </row>
    <row r="4719" spans="1:9" x14ac:dyDescent="0.35">
      <c r="A4719" s="2" t="s">
        <v>4766</v>
      </c>
      <c r="B4719" s="3">
        <v>44747</v>
      </c>
      <c r="C4719" s="2" t="s">
        <v>22</v>
      </c>
      <c r="D4719" s="2" t="s">
        <v>33</v>
      </c>
      <c r="E4719" s="2" t="s">
        <v>18</v>
      </c>
      <c r="F4719" s="2">
        <v>616.17999999999995</v>
      </c>
      <c r="G4719" s="2">
        <v>121.56</v>
      </c>
      <c r="H4719" s="2" t="s">
        <v>13</v>
      </c>
      <c r="I4719" s="2" t="s">
        <v>20</v>
      </c>
    </row>
    <row r="4720" spans="1:9" x14ac:dyDescent="0.35">
      <c r="A4720" s="2" t="s">
        <v>4767</v>
      </c>
      <c r="B4720" s="3">
        <v>45152</v>
      </c>
      <c r="C4720" s="2" t="s">
        <v>22</v>
      </c>
      <c r="D4720" s="2" t="s">
        <v>46</v>
      </c>
      <c r="E4720" s="2" t="s">
        <v>18</v>
      </c>
      <c r="F4720" s="2">
        <v>848.84</v>
      </c>
      <c r="G4720" s="2">
        <v>50.73</v>
      </c>
      <c r="H4720" s="2" t="s">
        <v>28</v>
      </c>
      <c r="I4720" s="2" t="s">
        <v>29</v>
      </c>
    </row>
    <row r="4721" spans="1:9" x14ac:dyDescent="0.35">
      <c r="A4721" s="2" t="s">
        <v>4768</v>
      </c>
      <c r="B4721" s="3">
        <v>45203</v>
      </c>
      <c r="C4721" s="2" t="s">
        <v>10</v>
      </c>
      <c r="D4721" s="2" t="s">
        <v>50</v>
      </c>
      <c r="E4721" s="2" t="s">
        <v>12</v>
      </c>
      <c r="F4721" s="2">
        <v>256.06</v>
      </c>
      <c r="G4721" s="2">
        <v>37.79</v>
      </c>
      <c r="H4721" s="2" t="s">
        <v>13</v>
      </c>
      <c r="I4721" s="2" t="s">
        <v>29</v>
      </c>
    </row>
    <row r="4722" spans="1:9" x14ac:dyDescent="0.35">
      <c r="A4722" s="2" t="s">
        <v>4769</v>
      </c>
      <c r="B4722" s="3">
        <v>44586</v>
      </c>
      <c r="C4722" s="2" t="s">
        <v>16</v>
      </c>
      <c r="D4722" s="2" t="s">
        <v>17</v>
      </c>
      <c r="E4722" s="2" t="s">
        <v>18</v>
      </c>
      <c r="F4722" s="2">
        <v>1585.56</v>
      </c>
      <c r="G4722" s="2">
        <v>126.82</v>
      </c>
      <c r="H4722" s="2" t="s">
        <v>13</v>
      </c>
      <c r="I4722" s="2" t="s">
        <v>34</v>
      </c>
    </row>
    <row r="4723" spans="1:9" x14ac:dyDescent="0.35">
      <c r="A4723" s="2" t="s">
        <v>4770</v>
      </c>
      <c r="B4723" s="3">
        <v>44864</v>
      </c>
      <c r="C4723" s="2" t="s">
        <v>16</v>
      </c>
      <c r="D4723" s="2" t="s">
        <v>38</v>
      </c>
      <c r="E4723" s="2" t="s">
        <v>12</v>
      </c>
      <c r="F4723" s="2">
        <v>128.36000000000001</v>
      </c>
      <c r="G4723" s="2">
        <v>26.02</v>
      </c>
      <c r="H4723" s="2" t="s">
        <v>28</v>
      </c>
      <c r="I4723" s="2" t="s">
        <v>20</v>
      </c>
    </row>
    <row r="4724" spans="1:9" x14ac:dyDescent="0.35">
      <c r="A4724" s="2" t="s">
        <v>4771</v>
      </c>
      <c r="B4724" s="3">
        <v>45264</v>
      </c>
      <c r="C4724" s="2" t="s">
        <v>22</v>
      </c>
      <c r="D4724" s="2" t="s">
        <v>26</v>
      </c>
      <c r="E4724" s="2" t="s">
        <v>27</v>
      </c>
      <c r="F4724" s="2">
        <v>1329.25</v>
      </c>
      <c r="G4724" s="2">
        <v>245.21</v>
      </c>
      <c r="H4724" s="2" t="s">
        <v>28</v>
      </c>
      <c r="I4724" s="2" t="s">
        <v>34</v>
      </c>
    </row>
    <row r="4725" spans="1:9" x14ac:dyDescent="0.35">
      <c r="A4725" s="2" t="s">
        <v>4772</v>
      </c>
      <c r="B4725" s="3">
        <v>44913</v>
      </c>
      <c r="C4725" s="2" t="s">
        <v>16</v>
      </c>
      <c r="D4725" s="2" t="s">
        <v>46</v>
      </c>
      <c r="E4725" s="2" t="s">
        <v>18</v>
      </c>
      <c r="F4725" s="2">
        <v>1526.81</v>
      </c>
      <c r="G4725" s="2">
        <v>280.55</v>
      </c>
      <c r="H4725" s="2" t="s">
        <v>28</v>
      </c>
      <c r="I4725" s="2" t="s">
        <v>29</v>
      </c>
    </row>
    <row r="4726" spans="1:9" x14ac:dyDescent="0.35">
      <c r="A4726" s="2" t="s">
        <v>4773</v>
      </c>
      <c r="B4726" s="3">
        <v>45390</v>
      </c>
      <c r="C4726" s="2" t="s">
        <v>22</v>
      </c>
      <c r="D4726" s="2" t="s">
        <v>23</v>
      </c>
      <c r="E4726" s="2" t="s">
        <v>18</v>
      </c>
      <c r="F4726" s="2">
        <v>1744.45</v>
      </c>
      <c r="G4726" s="2">
        <v>463.19</v>
      </c>
      <c r="H4726" s="2" t="s">
        <v>13</v>
      </c>
      <c r="I4726" s="2" t="s">
        <v>29</v>
      </c>
    </row>
    <row r="4727" spans="1:9" x14ac:dyDescent="0.35">
      <c r="A4727" s="2" t="s">
        <v>4774</v>
      </c>
      <c r="B4727" s="3">
        <v>45304</v>
      </c>
      <c r="C4727" s="2" t="s">
        <v>10</v>
      </c>
      <c r="D4727" s="2" t="s">
        <v>46</v>
      </c>
      <c r="E4727" s="2" t="s">
        <v>18</v>
      </c>
      <c r="F4727" s="2">
        <v>1223.1500000000001</v>
      </c>
      <c r="G4727" s="2">
        <v>262.25</v>
      </c>
      <c r="H4727" s="2" t="s">
        <v>13</v>
      </c>
      <c r="I4727" s="2" t="s">
        <v>14</v>
      </c>
    </row>
    <row r="4728" spans="1:9" x14ac:dyDescent="0.35">
      <c r="A4728" s="2" t="s">
        <v>4775</v>
      </c>
      <c r="B4728" s="3">
        <v>44986</v>
      </c>
      <c r="C4728" s="2" t="s">
        <v>16</v>
      </c>
      <c r="D4728" s="2" t="s">
        <v>57</v>
      </c>
      <c r="E4728" s="2" t="s">
        <v>27</v>
      </c>
      <c r="F4728" s="2">
        <v>886.55</v>
      </c>
      <c r="G4728" s="2">
        <v>154.16</v>
      </c>
      <c r="H4728" s="2" t="s">
        <v>13</v>
      </c>
      <c r="I4728" s="2" t="s">
        <v>29</v>
      </c>
    </row>
    <row r="4729" spans="1:9" x14ac:dyDescent="0.35">
      <c r="A4729" s="2" t="s">
        <v>4777</v>
      </c>
      <c r="B4729" s="3">
        <v>45383</v>
      </c>
      <c r="C4729" s="2" t="s">
        <v>25</v>
      </c>
      <c r="D4729" s="2" t="s">
        <v>33</v>
      </c>
      <c r="E4729" s="2" t="s">
        <v>18</v>
      </c>
      <c r="F4729" s="2">
        <v>721.26</v>
      </c>
      <c r="G4729" s="2">
        <v>90.3</v>
      </c>
      <c r="H4729" s="2" t="s">
        <v>19</v>
      </c>
      <c r="I4729" s="2" t="s">
        <v>14</v>
      </c>
    </row>
    <row r="4730" spans="1:9" x14ac:dyDescent="0.35">
      <c r="A4730" s="2" t="s">
        <v>4778</v>
      </c>
      <c r="B4730" s="3">
        <v>45011</v>
      </c>
      <c r="C4730" s="2" t="s">
        <v>22</v>
      </c>
      <c r="D4730" s="2" t="s">
        <v>23</v>
      </c>
      <c r="E4730" s="2" t="s">
        <v>18</v>
      </c>
      <c r="F4730" s="2">
        <v>905.38</v>
      </c>
      <c r="G4730" s="2">
        <v>222.98</v>
      </c>
      <c r="H4730" s="2" t="s">
        <v>13</v>
      </c>
      <c r="I4730" s="2" t="s">
        <v>34</v>
      </c>
    </row>
    <row r="4731" spans="1:9" x14ac:dyDescent="0.35">
      <c r="A4731" s="2" t="s">
        <v>4779</v>
      </c>
      <c r="B4731" s="3">
        <v>44646</v>
      </c>
      <c r="C4731" s="2" t="s">
        <v>25</v>
      </c>
      <c r="D4731" s="2" t="s">
        <v>38</v>
      </c>
      <c r="E4731" s="2" t="s">
        <v>12</v>
      </c>
      <c r="F4731" s="2">
        <v>1274.76</v>
      </c>
      <c r="G4731" s="2">
        <v>106.02</v>
      </c>
      <c r="H4731" s="2" t="s">
        <v>19</v>
      </c>
      <c r="I4731" s="2" t="s">
        <v>34</v>
      </c>
    </row>
    <row r="4732" spans="1:9" x14ac:dyDescent="0.35">
      <c r="A4732" s="2" t="s">
        <v>4780</v>
      </c>
      <c r="B4732" s="3">
        <v>45540</v>
      </c>
      <c r="C4732" s="2" t="s">
        <v>10</v>
      </c>
      <c r="D4732" s="2" t="s">
        <v>38</v>
      </c>
      <c r="E4732" s="2" t="s">
        <v>12</v>
      </c>
      <c r="F4732" s="2">
        <v>440.61</v>
      </c>
      <c r="G4732" s="2">
        <v>91.16</v>
      </c>
      <c r="H4732" s="2" t="s">
        <v>28</v>
      </c>
      <c r="I4732" s="2" t="s">
        <v>29</v>
      </c>
    </row>
    <row r="4733" spans="1:9" x14ac:dyDescent="0.35">
      <c r="A4733" s="2" t="s">
        <v>4781</v>
      </c>
      <c r="B4733" s="3">
        <v>45316</v>
      </c>
      <c r="C4733" s="2" t="s">
        <v>16</v>
      </c>
      <c r="D4733" s="2" t="s">
        <v>46</v>
      </c>
      <c r="E4733" s="2" t="s">
        <v>18</v>
      </c>
      <c r="F4733" s="2">
        <v>961.31</v>
      </c>
      <c r="G4733" s="2">
        <v>251.91</v>
      </c>
      <c r="H4733" s="2" t="s">
        <v>28</v>
      </c>
      <c r="I4733" s="2" t="s">
        <v>20</v>
      </c>
    </row>
    <row r="4734" spans="1:9" x14ac:dyDescent="0.35">
      <c r="A4734" s="2" t="s">
        <v>4782</v>
      </c>
      <c r="B4734" s="3">
        <v>44583</v>
      </c>
      <c r="C4734" s="2" t="s">
        <v>22</v>
      </c>
      <c r="D4734" s="2" t="s">
        <v>31</v>
      </c>
      <c r="E4734" s="2" t="s">
        <v>12</v>
      </c>
      <c r="F4734" s="2">
        <v>1424.67</v>
      </c>
      <c r="G4734" s="2">
        <v>294.58</v>
      </c>
      <c r="H4734" s="2" t="s">
        <v>19</v>
      </c>
      <c r="I4734" s="2" t="s">
        <v>34</v>
      </c>
    </row>
    <row r="4735" spans="1:9" x14ac:dyDescent="0.35">
      <c r="A4735" s="2" t="s">
        <v>4783</v>
      </c>
      <c r="B4735" s="3">
        <v>45304</v>
      </c>
      <c r="C4735" s="2" t="s">
        <v>25</v>
      </c>
      <c r="D4735" s="2" t="s">
        <v>95</v>
      </c>
      <c r="E4735" s="2" t="s">
        <v>18</v>
      </c>
      <c r="F4735" s="2">
        <v>159.38</v>
      </c>
      <c r="G4735" s="2">
        <v>9.2100000000000009</v>
      </c>
      <c r="H4735" s="2" t="s">
        <v>19</v>
      </c>
      <c r="I4735" s="2" t="s">
        <v>20</v>
      </c>
    </row>
    <row r="4736" spans="1:9" x14ac:dyDescent="0.35">
      <c r="A4736" s="2" t="s">
        <v>4784</v>
      </c>
      <c r="B4736" s="3">
        <v>45362</v>
      </c>
      <c r="C4736" s="2" t="s">
        <v>22</v>
      </c>
      <c r="D4736" s="2" t="s">
        <v>46</v>
      </c>
      <c r="E4736" s="2" t="s">
        <v>18</v>
      </c>
      <c r="F4736" s="2">
        <v>446.18</v>
      </c>
      <c r="G4736" s="2">
        <v>33.58</v>
      </c>
      <c r="H4736" s="2" t="s">
        <v>13</v>
      </c>
      <c r="I4736" s="2" t="s">
        <v>20</v>
      </c>
    </row>
    <row r="4737" spans="1:9" x14ac:dyDescent="0.35">
      <c r="A4737" s="2" t="s">
        <v>4785</v>
      </c>
      <c r="B4737" s="3">
        <v>44948</v>
      </c>
      <c r="C4737" s="2" t="s">
        <v>16</v>
      </c>
      <c r="D4737" s="2" t="s">
        <v>41</v>
      </c>
      <c r="E4737" s="2" t="s">
        <v>12</v>
      </c>
      <c r="F4737" s="2">
        <v>1260.1099999999999</v>
      </c>
      <c r="G4737" s="2">
        <v>253.48</v>
      </c>
      <c r="H4737" s="2" t="s">
        <v>28</v>
      </c>
      <c r="I4737" s="2" t="s">
        <v>20</v>
      </c>
    </row>
    <row r="4738" spans="1:9" x14ac:dyDescent="0.35">
      <c r="A4738" s="2" t="s">
        <v>4786</v>
      </c>
      <c r="B4738" s="3">
        <v>44853</v>
      </c>
      <c r="C4738" s="2" t="s">
        <v>16</v>
      </c>
      <c r="D4738" s="2" t="s">
        <v>95</v>
      </c>
      <c r="E4738" s="2" t="s">
        <v>18</v>
      </c>
      <c r="F4738" s="2">
        <v>1586.83</v>
      </c>
      <c r="G4738" s="2">
        <v>390.48</v>
      </c>
      <c r="H4738" s="2" t="s">
        <v>19</v>
      </c>
      <c r="I4738" s="2" t="s">
        <v>14</v>
      </c>
    </row>
    <row r="4739" spans="1:9" x14ac:dyDescent="0.35">
      <c r="A4739" s="2" t="s">
        <v>4787</v>
      </c>
      <c r="B4739" s="3">
        <v>45297</v>
      </c>
      <c r="C4739" s="2" t="s">
        <v>25</v>
      </c>
      <c r="D4739" s="2" t="s">
        <v>46</v>
      </c>
      <c r="E4739" s="2" t="s">
        <v>18</v>
      </c>
      <c r="F4739" s="2">
        <v>660.83</v>
      </c>
      <c r="G4739" s="2">
        <v>148.49</v>
      </c>
      <c r="H4739" s="2" t="s">
        <v>28</v>
      </c>
      <c r="I4739" s="2" t="s">
        <v>20</v>
      </c>
    </row>
    <row r="4740" spans="1:9" x14ac:dyDescent="0.35">
      <c r="A4740" s="2" t="s">
        <v>4788</v>
      </c>
      <c r="B4740" s="3">
        <v>44957</v>
      </c>
      <c r="C4740" s="2" t="s">
        <v>10</v>
      </c>
      <c r="D4740" s="2" t="s">
        <v>17</v>
      </c>
      <c r="E4740" s="2" t="s">
        <v>18</v>
      </c>
      <c r="F4740" s="2">
        <v>948.94</v>
      </c>
      <c r="G4740" s="2">
        <v>123.49</v>
      </c>
      <c r="H4740" s="2" t="s">
        <v>19</v>
      </c>
      <c r="I4740" s="2" t="s">
        <v>34</v>
      </c>
    </row>
    <row r="4741" spans="1:9" x14ac:dyDescent="0.35">
      <c r="A4741" s="2" t="s">
        <v>4789</v>
      </c>
      <c r="B4741" s="3">
        <v>44910</v>
      </c>
      <c r="C4741" s="2" t="s">
        <v>16</v>
      </c>
      <c r="D4741" s="2" t="s">
        <v>23</v>
      </c>
      <c r="E4741" s="2" t="s">
        <v>18</v>
      </c>
      <c r="F4741" s="2">
        <v>827.46</v>
      </c>
      <c r="G4741" s="2">
        <v>160.4</v>
      </c>
      <c r="H4741" s="2" t="s">
        <v>13</v>
      </c>
      <c r="I4741" s="2" t="s">
        <v>34</v>
      </c>
    </row>
    <row r="4742" spans="1:9" x14ac:dyDescent="0.35">
      <c r="A4742" s="2" t="s">
        <v>4790</v>
      </c>
      <c r="B4742" s="3">
        <v>44839</v>
      </c>
      <c r="C4742" s="2" t="s">
        <v>16</v>
      </c>
      <c r="D4742" s="2" t="s">
        <v>95</v>
      </c>
      <c r="E4742" s="2" t="s">
        <v>18</v>
      </c>
      <c r="F4742" s="2">
        <v>1112.3800000000001</v>
      </c>
      <c r="G4742" s="2">
        <v>325.01</v>
      </c>
      <c r="H4742" s="2" t="s">
        <v>13</v>
      </c>
      <c r="I4742" s="2" t="s">
        <v>14</v>
      </c>
    </row>
    <row r="4743" spans="1:9" x14ac:dyDescent="0.35">
      <c r="A4743" s="2" t="s">
        <v>4791</v>
      </c>
      <c r="B4743" s="3">
        <v>44562</v>
      </c>
      <c r="C4743" s="2" t="s">
        <v>22</v>
      </c>
      <c r="D4743" s="2" t="s">
        <v>23</v>
      </c>
      <c r="E4743" s="2" t="s">
        <v>18</v>
      </c>
      <c r="F4743" s="2">
        <v>215.73</v>
      </c>
      <c r="G4743" s="2">
        <v>16.43</v>
      </c>
      <c r="H4743" s="2" t="s">
        <v>28</v>
      </c>
      <c r="I4743" s="2" t="s">
        <v>14</v>
      </c>
    </row>
    <row r="4744" spans="1:9" x14ac:dyDescent="0.35">
      <c r="A4744" s="2" t="s">
        <v>4792</v>
      </c>
      <c r="B4744" s="3">
        <v>45513</v>
      </c>
      <c r="C4744" s="2" t="s">
        <v>25</v>
      </c>
      <c r="D4744" s="2" t="s">
        <v>33</v>
      </c>
      <c r="E4744" s="2" t="s">
        <v>18</v>
      </c>
      <c r="F4744" s="2">
        <v>444.93</v>
      </c>
      <c r="G4744" s="2">
        <v>73.930000000000007</v>
      </c>
      <c r="H4744" s="2" t="s">
        <v>28</v>
      </c>
      <c r="I4744" s="2" t="s">
        <v>20</v>
      </c>
    </row>
    <row r="4745" spans="1:9" x14ac:dyDescent="0.35">
      <c r="A4745" s="2" t="s">
        <v>4793</v>
      </c>
      <c r="B4745" s="3">
        <v>45161</v>
      </c>
      <c r="C4745" s="2" t="s">
        <v>10</v>
      </c>
      <c r="D4745" s="2" t="s">
        <v>31</v>
      </c>
      <c r="E4745" s="2" t="s">
        <v>12</v>
      </c>
      <c r="F4745" s="2">
        <v>644.36</v>
      </c>
      <c r="G4745" s="2">
        <v>93.86</v>
      </c>
      <c r="H4745" s="2" t="s">
        <v>13</v>
      </c>
      <c r="I4745" s="2" t="s">
        <v>34</v>
      </c>
    </row>
    <row r="4746" spans="1:9" x14ac:dyDescent="0.35">
      <c r="A4746" s="2" t="s">
        <v>4794</v>
      </c>
      <c r="B4746" s="3">
        <v>45518</v>
      </c>
      <c r="C4746" s="2" t="s">
        <v>22</v>
      </c>
      <c r="D4746" s="2" t="s">
        <v>97</v>
      </c>
      <c r="E4746" s="2" t="s">
        <v>27</v>
      </c>
      <c r="F4746" s="2">
        <v>1233.67</v>
      </c>
      <c r="G4746" s="2">
        <v>80.150000000000006</v>
      </c>
      <c r="H4746" s="2" t="s">
        <v>19</v>
      </c>
      <c r="I4746" s="2" t="s">
        <v>29</v>
      </c>
    </row>
    <row r="4747" spans="1:9" x14ac:dyDescent="0.35">
      <c r="A4747" s="2" t="s">
        <v>4795</v>
      </c>
      <c r="B4747" s="3">
        <v>44718</v>
      </c>
      <c r="C4747" s="2" t="s">
        <v>16</v>
      </c>
      <c r="D4747" s="2" t="s">
        <v>50</v>
      </c>
      <c r="E4747" s="2" t="s">
        <v>12</v>
      </c>
      <c r="F4747" s="2">
        <v>836.08</v>
      </c>
      <c r="G4747" s="2">
        <v>75.97</v>
      </c>
      <c r="H4747" s="2" t="s">
        <v>13</v>
      </c>
      <c r="I4747" s="2" t="s">
        <v>14</v>
      </c>
    </row>
    <row r="4748" spans="1:9" x14ac:dyDescent="0.35">
      <c r="A4748" s="2" t="s">
        <v>4796</v>
      </c>
      <c r="B4748" s="3">
        <v>45426</v>
      </c>
      <c r="C4748" s="2" t="s">
        <v>10</v>
      </c>
      <c r="D4748" s="2" t="s">
        <v>33</v>
      </c>
      <c r="E4748" s="2" t="s">
        <v>18</v>
      </c>
      <c r="F4748" s="2">
        <v>570.83000000000004</v>
      </c>
      <c r="G4748" s="2">
        <v>154.38</v>
      </c>
      <c r="H4748" s="2" t="s">
        <v>28</v>
      </c>
      <c r="I4748" s="2" t="s">
        <v>20</v>
      </c>
    </row>
    <row r="4749" spans="1:9" x14ac:dyDescent="0.35">
      <c r="A4749" s="2" t="s">
        <v>4797</v>
      </c>
      <c r="B4749" s="3">
        <v>45408</v>
      </c>
      <c r="C4749" s="2" t="s">
        <v>22</v>
      </c>
      <c r="D4749" s="2" t="s">
        <v>62</v>
      </c>
      <c r="E4749" s="2" t="s">
        <v>27</v>
      </c>
      <c r="F4749" s="2">
        <v>1606.79</v>
      </c>
      <c r="G4749" s="2">
        <v>472.19</v>
      </c>
      <c r="H4749" s="2" t="s">
        <v>28</v>
      </c>
      <c r="I4749" s="2" t="s">
        <v>14</v>
      </c>
    </row>
    <row r="4750" spans="1:9" x14ac:dyDescent="0.35">
      <c r="A4750" s="2" t="s">
        <v>4798</v>
      </c>
      <c r="B4750" s="3">
        <v>45263</v>
      </c>
      <c r="C4750" s="2" t="s">
        <v>25</v>
      </c>
      <c r="D4750" s="2" t="s">
        <v>11</v>
      </c>
      <c r="E4750" s="2" t="s">
        <v>12</v>
      </c>
      <c r="F4750" s="2">
        <v>798.06</v>
      </c>
      <c r="G4750" s="2">
        <v>218.52</v>
      </c>
      <c r="H4750" s="2" t="s">
        <v>28</v>
      </c>
      <c r="I4750" s="2" t="s">
        <v>20</v>
      </c>
    </row>
    <row r="4751" spans="1:9" x14ac:dyDescent="0.35">
      <c r="A4751" s="2" t="s">
        <v>4799</v>
      </c>
      <c r="B4751" s="3">
        <v>45278</v>
      </c>
      <c r="C4751" s="2" t="s">
        <v>22</v>
      </c>
      <c r="D4751" s="2" t="s">
        <v>97</v>
      </c>
      <c r="E4751" s="2" t="s">
        <v>27</v>
      </c>
      <c r="F4751" s="2">
        <v>1916.68</v>
      </c>
      <c r="G4751" s="2">
        <v>515.24</v>
      </c>
      <c r="H4751" s="2" t="s">
        <v>19</v>
      </c>
      <c r="I4751" s="2" t="s">
        <v>20</v>
      </c>
    </row>
    <row r="4752" spans="1:9" x14ac:dyDescent="0.35">
      <c r="A4752" s="2" t="s">
        <v>4800</v>
      </c>
      <c r="B4752" s="3">
        <v>45426</v>
      </c>
      <c r="C4752" s="2" t="s">
        <v>22</v>
      </c>
      <c r="D4752" s="2" t="s">
        <v>46</v>
      </c>
      <c r="E4752" s="2" t="s">
        <v>18</v>
      </c>
      <c r="F4752" s="2">
        <v>186.84</v>
      </c>
      <c r="G4752" s="2">
        <v>18.61</v>
      </c>
      <c r="H4752" s="2" t="s">
        <v>13</v>
      </c>
      <c r="I4752" s="2" t="s">
        <v>14</v>
      </c>
    </row>
    <row r="4753" spans="1:9" x14ac:dyDescent="0.35">
      <c r="A4753" s="2" t="s">
        <v>4801</v>
      </c>
      <c r="B4753" s="3">
        <v>44724</v>
      </c>
      <c r="C4753" s="2" t="s">
        <v>16</v>
      </c>
      <c r="D4753" s="2" t="s">
        <v>57</v>
      </c>
      <c r="E4753" s="2" t="s">
        <v>27</v>
      </c>
      <c r="F4753" s="2">
        <v>900.01</v>
      </c>
      <c r="G4753" s="2">
        <v>105.41</v>
      </c>
      <c r="H4753" s="2" t="s">
        <v>28</v>
      </c>
      <c r="I4753" s="2" t="s">
        <v>29</v>
      </c>
    </row>
    <row r="4754" spans="1:9" x14ac:dyDescent="0.35">
      <c r="A4754" s="2" t="s">
        <v>4802</v>
      </c>
      <c r="B4754" s="3">
        <v>44617</v>
      </c>
      <c r="C4754" s="2" t="s">
        <v>22</v>
      </c>
      <c r="D4754" s="2" t="s">
        <v>50</v>
      </c>
      <c r="E4754" s="2" t="s">
        <v>12</v>
      </c>
      <c r="F4754" s="2">
        <v>1295.69</v>
      </c>
      <c r="G4754" s="2">
        <v>210.06</v>
      </c>
      <c r="H4754" s="2" t="s">
        <v>13</v>
      </c>
      <c r="I4754" s="2" t="s">
        <v>34</v>
      </c>
    </row>
    <row r="4755" spans="1:9" x14ac:dyDescent="0.35">
      <c r="A4755" s="2" t="s">
        <v>4803</v>
      </c>
      <c r="B4755" s="3">
        <v>45539</v>
      </c>
      <c r="C4755" s="2" t="s">
        <v>10</v>
      </c>
      <c r="D4755" s="2" t="s">
        <v>73</v>
      </c>
      <c r="E4755" s="2" t="s">
        <v>27</v>
      </c>
      <c r="F4755" s="2">
        <v>1854.61</v>
      </c>
      <c r="G4755" s="2">
        <v>387.24</v>
      </c>
      <c r="H4755" s="2" t="s">
        <v>19</v>
      </c>
      <c r="I4755" s="2" t="s">
        <v>14</v>
      </c>
    </row>
    <row r="4756" spans="1:9" x14ac:dyDescent="0.35">
      <c r="A4756" s="2" t="s">
        <v>4804</v>
      </c>
      <c r="B4756" s="3">
        <v>45400</v>
      </c>
      <c r="C4756" s="2" t="s">
        <v>25</v>
      </c>
      <c r="D4756" s="2" t="s">
        <v>11</v>
      </c>
      <c r="E4756" s="2" t="s">
        <v>12</v>
      </c>
      <c r="F4756" s="2">
        <v>602.85</v>
      </c>
      <c r="G4756" s="2">
        <v>130.13</v>
      </c>
      <c r="H4756" s="2" t="s">
        <v>13</v>
      </c>
      <c r="I4756" s="2" t="s">
        <v>29</v>
      </c>
    </row>
    <row r="4757" spans="1:9" x14ac:dyDescent="0.35">
      <c r="A4757" s="2" t="s">
        <v>4805</v>
      </c>
      <c r="B4757" s="3">
        <v>45009</v>
      </c>
      <c r="C4757" s="2" t="s">
        <v>22</v>
      </c>
      <c r="D4757" s="2" t="s">
        <v>73</v>
      </c>
      <c r="E4757" s="2" t="s">
        <v>27</v>
      </c>
      <c r="F4757" s="2">
        <v>423.46</v>
      </c>
      <c r="G4757" s="2">
        <v>84.5</v>
      </c>
      <c r="H4757" s="2" t="s">
        <v>13</v>
      </c>
      <c r="I4757" s="2" t="s">
        <v>20</v>
      </c>
    </row>
    <row r="4758" spans="1:9" x14ac:dyDescent="0.35">
      <c r="A4758" s="2" t="s">
        <v>4806</v>
      </c>
      <c r="B4758" s="3">
        <v>44939</v>
      </c>
      <c r="C4758" s="2" t="s">
        <v>22</v>
      </c>
      <c r="D4758" s="2" t="s">
        <v>23</v>
      </c>
      <c r="E4758" s="2" t="s">
        <v>18</v>
      </c>
      <c r="F4758" s="2">
        <v>894.59</v>
      </c>
      <c r="G4758" s="2">
        <v>173.55</v>
      </c>
      <c r="H4758" s="2" t="s">
        <v>13</v>
      </c>
      <c r="I4758" s="2" t="s">
        <v>20</v>
      </c>
    </row>
    <row r="4759" spans="1:9" x14ac:dyDescent="0.35">
      <c r="A4759" s="2" t="s">
        <v>4807</v>
      </c>
      <c r="B4759" s="3">
        <v>45471</v>
      </c>
      <c r="C4759" s="2" t="s">
        <v>16</v>
      </c>
      <c r="D4759" s="2" t="s">
        <v>62</v>
      </c>
      <c r="E4759" s="2" t="s">
        <v>27</v>
      </c>
      <c r="F4759" s="2">
        <v>392.08</v>
      </c>
      <c r="G4759" s="2">
        <v>47.39</v>
      </c>
      <c r="H4759" s="2" t="s">
        <v>19</v>
      </c>
      <c r="I4759" s="2" t="s">
        <v>29</v>
      </c>
    </row>
    <row r="4760" spans="1:9" x14ac:dyDescent="0.35">
      <c r="A4760" s="2" t="s">
        <v>4808</v>
      </c>
      <c r="B4760" s="3">
        <v>45269</v>
      </c>
      <c r="C4760" s="2" t="s">
        <v>16</v>
      </c>
      <c r="D4760" s="2" t="s">
        <v>95</v>
      </c>
      <c r="E4760" s="2" t="s">
        <v>18</v>
      </c>
      <c r="F4760" s="2">
        <v>913.41</v>
      </c>
      <c r="G4760" s="2">
        <v>189.11</v>
      </c>
      <c r="H4760" s="2" t="s">
        <v>19</v>
      </c>
      <c r="I4760" s="2" t="s">
        <v>34</v>
      </c>
    </row>
    <row r="4761" spans="1:9" x14ac:dyDescent="0.35">
      <c r="A4761" s="2" t="s">
        <v>4809</v>
      </c>
      <c r="B4761" s="3">
        <v>45401</v>
      </c>
      <c r="C4761" s="2" t="s">
        <v>16</v>
      </c>
      <c r="D4761" s="2" t="s">
        <v>23</v>
      </c>
      <c r="E4761" s="2" t="s">
        <v>18</v>
      </c>
      <c r="F4761" s="2">
        <v>1525.62</v>
      </c>
      <c r="G4761" s="2">
        <v>265.98</v>
      </c>
      <c r="H4761" s="2" t="s">
        <v>19</v>
      </c>
      <c r="I4761" s="2" t="s">
        <v>29</v>
      </c>
    </row>
    <row r="4762" spans="1:9" x14ac:dyDescent="0.35">
      <c r="A4762" s="2" t="s">
        <v>4810</v>
      </c>
      <c r="B4762" s="3">
        <v>45168</v>
      </c>
      <c r="C4762" s="2" t="s">
        <v>10</v>
      </c>
      <c r="D4762" s="2" t="s">
        <v>97</v>
      </c>
      <c r="E4762" s="2" t="s">
        <v>27</v>
      </c>
      <c r="F4762" s="2">
        <v>1829.11</v>
      </c>
      <c r="G4762" s="2">
        <v>471.17</v>
      </c>
      <c r="H4762" s="2" t="s">
        <v>19</v>
      </c>
      <c r="I4762" s="2" t="s">
        <v>29</v>
      </c>
    </row>
    <row r="4763" spans="1:9" x14ac:dyDescent="0.35">
      <c r="A4763" s="2" t="s">
        <v>4811</v>
      </c>
      <c r="B4763" s="3">
        <v>45356</v>
      </c>
      <c r="C4763" s="2" t="s">
        <v>22</v>
      </c>
      <c r="D4763" s="2" t="s">
        <v>17</v>
      </c>
      <c r="E4763" s="2" t="s">
        <v>18</v>
      </c>
      <c r="F4763" s="2">
        <v>679.8</v>
      </c>
      <c r="G4763" s="2">
        <v>124.26</v>
      </c>
      <c r="H4763" s="2" t="s">
        <v>13</v>
      </c>
      <c r="I4763" s="2" t="s">
        <v>34</v>
      </c>
    </row>
    <row r="4764" spans="1:9" x14ac:dyDescent="0.35">
      <c r="A4764" s="2" t="s">
        <v>4812</v>
      </c>
      <c r="B4764" s="3">
        <v>45247</v>
      </c>
      <c r="C4764" s="2" t="s">
        <v>22</v>
      </c>
      <c r="D4764" s="2" t="s">
        <v>38</v>
      </c>
      <c r="E4764" s="2" t="s">
        <v>12</v>
      </c>
      <c r="F4764" s="2">
        <v>1044.7</v>
      </c>
      <c r="G4764" s="2">
        <v>206.32</v>
      </c>
      <c r="H4764" s="2" t="s">
        <v>28</v>
      </c>
      <c r="I4764" s="2" t="s">
        <v>29</v>
      </c>
    </row>
    <row r="4765" spans="1:9" x14ac:dyDescent="0.35">
      <c r="A4765" s="2" t="s">
        <v>4813</v>
      </c>
      <c r="B4765" s="3">
        <v>45517</v>
      </c>
      <c r="C4765" s="2" t="s">
        <v>25</v>
      </c>
      <c r="D4765" s="2" t="s">
        <v>73</v>
      </c>
      <c r="E4765" s="2" t="s">
        <v>27</v>
      </c>
      <c r="F4765" s="2">
        <v>417.72</v>
      </c>
      <c r="G4765" s="2">
        <v>122.54</v>
      </c>
      <c r="H4765" s="2" t="s">
        <v>28</v>
      </c>
      <c r="I4765" s="2" t="s">
        <v>29</v>
      </c>
    </row>
    <row r="4766" spans="1:9" x14ac:dyDescent="0.35">
      <c r="A4766" s="2" t="s">
        <v>4814</v>
      </c>
      <c r="B4766" s="3">
        <v>45482</v>
      </c>
      <c r="C4766" s="2" t="s">
        <v>10</v>
      </c>
      <c r="D4766" s="2" t="s">
        <v>26</v>
      </c>
      <c r="E4766" s="2" t="s">
        <v>27</v>
      </c>
      <c r="F4766" s="2">
        <v>1077.6099999999999</v>
      </c>
      <c r="G4766" s="2">
        <v>94.51</v>
      </c>
      <c r="H4766" s="2" t="s">
        <v>13</v>
      </c>
      <c r="I4766" s="2" t="s">
        <v>29</v>
      </c>
    </row>
    <row r="4767" spans="1:9" x14ac:dyDescent="0.35">
      <c r="A4767" s="2" t="s">
        <v>4815</v>
      </c>
      <c r="B4767" s="3">
        <v>45470</v>
      </c>
      <c r="C4767" s="2" t="s">
        <v>10</v>
      </c>
      <c r="D4767" s="2" t="s">
        <v>62</v>
      </c>
      <c r="E4767" s="2" t="s">
        <v>27</v>
      </c>
      <c r="F4767" s="2">
        <v>1862.86</v>
      </c>
      <c r="G4767" s="2">
        <v>378.99</v>
      </c>
      <c r="H4767" s="2" t="s">
        <v>13</v>
      </c>
      <c r="I4767" s="2" t="s">
        <v>14</v>
      </c>
    </row>
    <row r="4768" spans="1:9" x14ac:dyDescent="0.35">
      <c r="A4768" s="2" t="s">
        <v>4816</v>
      </c>
      <c r="B4768" s="3">
        <v>45292</v>
      </c>
      <c r="C4768" s="2" t="s">
        <v>10</v>
      </c>
      <c r="D4768" s="2" t="s">
        <v>50</v>
      </c>
      <c r="E4768" s="2" t="s">
        <v>12</v>
      </c>
      <c r="F4768" s="2">
        <v>1941.49</v>
      </c>
      <c r="G4768" s="2">
        <v>574.20000000000005</v>
      </c>
      <c r="H4768" s="2" t="s">
        <v>19</v>
      </c>
      <c r="I4768" s="2" t="s">
        <v>29</v>
      </c>
    </row>
    <row r="4769" spans="1:9" x14ac:dyDescent="0.35">
      <c r="A4769" s="2" t="s">
        <v>4817</v>
      </c>
      <c r="B4769" s="3">
        <v>45222</v>
      </c>
      <c r="C4769" s="2" t="s">
        <v>16</v>
      </c>
      <c r="D4769" s="2" t="s">
        <v>17</v>
      </c>
      <c r="E4769" s="2" t="s">
        <v>18</v>
      </c>
      <c r="F4769" s="2">
        <v>290.58</v>
      </c>
      <c r="G4769" s="2">
        <v>78.680000000000007</v>
      </c>
      <c r="H4769" s="2" t="s">
        <v>28</v>
      </c>
      <c r="I4769" s="2" t="s">
        <v>29</v>
      </c>
    </row>
    <row r="4770" spans="1:9" x14ac:dyDescent="0.35">
      <c r="A4770" s="2" t="s">
        <v>4818</v>
      </c>
      <c r="B4770" s="3">
        <v>45109</v>
      </c>
      <c r="C4770" s="2" t="s">
        <v>16</v>
      </c>
      <c r="D4770" s="2" t="s">
        <v>46</v>
      </c>
      <c r="E4770" s="2" t="s">
        <v>18</v>
      </c>
      <c r="F4770" s="2">
        <v>714.1</v>
      </c>
      <c r="G4770" s="2">
        <v>49.94</v>
      </c>
      <c r="H4770" s="2" t="s">
        <v>13</v>
      </c>
      <c r="I4770" s="2" t="s">
        <v>29</v>
      </c>
    </row>
    <row r="4771" spans="1:9" x14ac:dyDescent="0.35">
      <c r="A4771" s="2" t="s">
        <v>4819</v>
      </c>
      <c r="B4771" s="3">
        <v>45357</v>
      </c>
      <c r="C4771" s="2" t="s">
        <v>16</v>
      </c>
      <c r="D4771" s="2" t="s">
        <v>17</v>
      </c>
      <c r="E4771" s="2" t="s">
        <v>18</v>
      </c>
      <c r="F4771" s="2">
        <v>173.04</v>
      </c>
      <c r="G4771" s="2">
        <v>15.1</v>
      </c>
      <c r="H4771" s="2" t="s">
        <v>19</v>
      </c>
      <c r="I4771" s="2" t="s">
        <v>20</v>
      </c>
    </row>
    <row r="4772" spans="1:9" x14ac:dyDescent="0.35">
      <c r="A4772" s="2" t="s">
        <v>4820</v>
      </c>
      <c r="B4772" s="3">
        <v>44994</v>
      </c>
      <c r="C4772" s="2" t="s">
        <v>16</v>
      </c>
      <c r="D4772" s="2" t="s">
        <v>57</v>
      </c>
      <c r="E4772" s="2" t="s">
        <v>27</v>
      </c>
      <c r="F4772" s="2">
        <v>1962.48</v>
      </c>
      <c r="G4772" s="2">
        <v>311.27999999999997</v>
      </c>
      <c r="H4772" s="2" t="s">
        <v>13</v>
      </c>
      <c r="I4772" s="2" t="s">
        <v>14</v>
      </c>
    </row>
    <row r="4773" spans="1:9" x14ac:dyDescent="0.35">
      <c r="A4773" s="2" t="s">
        <v>4821</v>
      </c>
      <c r="B4773" s="3">
        <v>45112</v>
      </c>
      <c r="C4773" s="2" t="s">
        <v>10</v>
      </c>
      <c r="D4773" s="2" t="s">
        <v>31</v>
      </c>
      <c r="E4773" s="2" t="s">
        <v>12</v>
      </c>
      <c r="F4773" s="2">
        <v>1224.98</v>
      </c>
      <c r="G4773" s="2">
        <v>80.86</v>
      </c>
      <c r="H4773" s="2" t="s">
        <v>28</v>
      </c>
      <c r="I4773" s="2" t="s">
        <v>34</v>
      </c>
    </row>
    <row r="4774" spans="1:9" x14ac:dyDescent="0.35">
      <c r="A4774" s="2" t="s">
        <v>4822</v>
      </c>
      <c r="B4774" s="3">
        <v>45171</v>
      </c>
      <c r="C4774" s="2" t="s">
        <v>10</v>
      </c>
      <c r="D4774" s="2" t="s">
        <v>38</v>
      </c>
      <c r="E4774" s="2" t="s">
        <v>12</v>
      </c>
      <c r="F4774" s="2">
        <v>305.8</v>
      </c>
      <c r="G4774" s="2">
        <v>78.92</v>
      </c>
      <c r="H4774" s="2" t="s">
        <v>28</v>
      </c>
      <c r="I4774" s="2" t="s">
        <v>34</v>
      </c>
    </row>
    <row r="4775" spans="1:9" x14ac:dyDescent="0.35">
      <c r="A4775" s="2" t="s">
        <v>4823</v>
      </c>
      <c r="B4775" s="3">
        <v>45131</v>
      </c>
      <c r="C4775" s="2" t="s">
        <v>22</v>
      </c>
      <c r="D4775" s="2" t="s">
        <v>26</v>
      </c>
      <c r="E4775" s="2" t="s">
        <v>27</v>
      </c>
      <c r="F4775" s="2">
        <v>1141.43</v>
      </c>
      <c r="G4775" s="2">
        <v>195.06</v>
      </c>
      <c r="H4775" s="2" t="s">
        <v>28</v>
      </c>
      <c r="I4775" s="2" t="s">
        <v>20</v>
      </c>
    </row>
    <row r="4776" spans="1:9" x14ac:dyDescent="0.35">
      <c r="A4776" s="2" t="s">
        <v>4824</v>
      </c>
      <c r="B4776" s="3">
        <v>45251</v>
      </c>
      <c r="C4776" s="2" t="s">
        <v>16</v>
      </c>
      <c r="D4776" s="2" t="s">
        <v>57</v>
      </c>
      <c r="E4776" s="2" t="s">
        <v>27</v>
      </c>
      <c r="F4776" s="2">
        <v>1931.28</v>
      </c>
      <c r="G4776" s="2">
        <v>386.82</v>
      </c>
      <c r="H4776" s="2" t="s">
        <v>19</v>
      </c>
      <c r="I4776" s="2" t="s">
        <v>20</v>
      </c>
    </row>
    <row r="4777" spans="1:9" x14ac:dyDescent="0.35">
      <c r="A4777" s="2" t="s">
        <v>4825</v>
      </c>
      <c r="B4777" s="3">
        <v>44954</v>
      </c>
      <c r="C4777" s="2" t="s">
        <v>22</v>
      </c>
      <c r="D4777" s="2" t="s">
        <v>57</v>
      </c>
      <c r="E4777" s="2" t="s">
        <v>27</v>
      </c>
      <c r="F4777" s="2">
        <v>1231.75</v>
      </c>
      <c r="G4777" s="2">
        <v>296.14999999999998</v>
      </c>
      <c r="H4777" s="2" t="s">
        <v>19</v>
      </c>
      <c r="I4777" s="2" t="s">
        <v>29</v>
      </c>
    </row>
    <row r="4778" spans="1:9" x14ac:dyDescent="0.35">
      <c r="A4778" s="2" t="s">
        <v>4826</v>
      </c>
      <c r="B4778" s="3">
        <v>44610</v>
      </c>
      <c r="C4778" s="2" t="s">
        <v>25</v>
      </c>
      <c r="D4778" s="2" t="s">
        <v>73</v>
      </c>
      <c r="E4778" s="2" t="s">
        <v>27</v>
      </c>
      <c r="F4778" s="2">
        <v>174.66</v>
      </c>
      <c r="G4778" s="2">
        <v>28.3</v>
      </c>
      <c r="H4778" s="2" t="s">
        <v>28</v>
      </c>
      <c r="I4778" s="2" t="s">
        <v>20</v>
      </c>
    </row>
    <row r="4779" spans="1:9" x14ac:dyDescent="0.35">
      <c r="A4779" s="2" t="s">
        <v>4827</v>
      </c>
      <c r="B4779" s="3">
        <v>44918</v>
      </c>
      <c r="C4779" s="2" t="s">
        <v>22</v>
      </c>
      <c r="D4779" s="2" t="s">
        <v>31</v>
      </c>
      <c r="E4779" s="2" t="s">
        <v>12</v>
      </c>
      <c r="F4779" s="2">
        <v>297.05</v>
      </c>
      <c r="G4779" s="2">
        <v>67.34</v>
      </c>
      <c r="H4779" s="2" t="s">
        <v>13</v>
      </c>
      <c r="I4779" s="2" t="s">
        <v>14</v>
      </c>
    </row>
    <row r="4780" spans="1:9" x14ac:dyDescent="0.35">
      <c r="A4780" s="2" t="s">
        <v>4828</v>
      </c>
      <c r="B4780" s="3">
        <v>44826</v>
      </c>
      <c r="C4780" s="2" t="s">
        <v>10</v>
      </c>
      <c r="D4780" s="2" t="s">
        <v>38</v>
      </c>
      <c r="E4780" s="2" t="s">
        <v>12</v>
      </c>
      <c r="F4780" s="2">
        <v>682.87</v>
      </c>
      <c r="G4780" s="2">
        <v>149.88</v>
      </c>
      <c r="H4780" s="2" t="s">
        <v>13</v>
      </c>
      <c r="I4780" s="2" t="s">
        <v>20</v>
      </c>
    </row>
    <row r="4781" spans="1:9" x14ac:dyDescent="0.35">
      <c r="A4781" s="2" t="s">
        <v>4829</v>
      </c>
      <c r="B4781" s="3">
        <v>44604</v>
      </c>
      <c r="C4781" s="2" t="s">
        <v>10</v>
      </c>
      <c r="D4781" s="2" t="s">
        <v>38</v>
      </c>
      <c r="E4781" s="2" t="s">
        <v>12</v>
      </c>
      <c r="F4781" s="2">
        <v>366.21</v>
      </c>
      <c r="G4781" s="2">
        <v>78.89</v>
      </c>
      <c r="H4781" s="2" t="s">
        <v>13</v>
      </c>
      <c r="I4781" s="2" t="s">
        <v>34</v>
      </c>
    </row>
    <row r="4782" spans="1:9" x14ac:dyDescent="0.35">
      <c r="A4782" s="2" t="s">
        <v>4830</v>
      </c>
      <c r="B4782" s="3">
        <v>45242</v>
      </c>
      <c r="C4782" s="2" t="s">
        <v>22</v>
      </c>
      <c r="D4782" s="2" t="s">
        <v>50</v>
      </c>
      <c r="E4782" s="2" t="s">
        <v>12</v>
      </c>
      <c r="F4782" s="2">
        <v>1167.71</v>
      </c>
      <c r="G4782" s="2">
        <v>210.88</v>
      </c>
      <c r="H4782" s="2" t="s">
        <v>28</v>
      </c>
      <c r="I4782" s="2" t="s">
        <v>29</v>
      </c>
    </row>
    <row r="4783" spans="1:9" x14ac:dyDescent="0.35">
      <c r="A4783" s="2" t="s">
        <v>4831</v>
      </c>
      <c r="B4783" s="3">
        <v>45243</v>
      </c>
      <c r="C4783" s="2" t="s">
        <v>16</v>
      </c>
      <c r="D4783" s="2" t="s">
        <v>62</v>
      </c>
      <c r="E4783" s="2" t="s">
        <v>27</v>
      </c>
      <c r="F4783" s="2">
        <v>1324.58</v>
      </c>
      <c r="G4783" s="2">
        <v>95.34</v>
      </c>
      <c r="H4783" s="2" t="s">
        <v>19</v>
      </c>
      <c r="I4783" s="2" t="s">
        <v>14</v>
      </c>
    </row>
    <row r="4784" spans="1:9" x14ac:dyDescent="0.35">
      <c r="A4784" s="2" t="s">
        <v>4832</v>
      </c>
      <c r="B4784" s="3">
        <v>45260</v>
      </c>
      <c r="C4784" s="2" t="s">
        <v>22</v>
      </c>
      <c r="D4784" s="2" t="s">
        <v>38</v>
      </c>
      <c r="E4784" s="2" t="s">
        <v>12</v>
      </c>
      <c r="F4784" s="2">
        <v>1546.18</v>
      </c>
      <c r="G4784" s="2">
        <v>151.38999999999999</v>
      </c>
      <c r="H4784" s="2" t="s">
        <v>28</v>
      </c>
      <c r="I4784" s="2" t="s">
        <v>14</v>
      </c>
    </row>
    <row r="4785" spans="1:9" x14ac:dyDescent="0.35">
      <c r="A4785" s="2" t="s">
        <v>4833</v>
      </c>
      <c r="B4785" s="3">
        <v>45411</v>
      </c>
      <c r="C4785" s="2" t="s">
        <v>25</v>
      </c>
      <c r="D4785" s="2" t="s">
        <v>26</v>
      </c>
      <c r="E4785" s="2" t="s">
        <v>27</v>
      </c>
      <c r="F4785" s="2">
        <v>1494.45</v>
      </c>
      <c r="G4785" s="2">
        <v>327.01</v>
      </c>
      <c r="H4785" s="2" t="s">
        <v>19</v>
      </c>
      <c r="I4785" s="2" t="s">
        <v>20</v>
      </c>
    </row>
    <row r="4786" spans="1:9" x14ac:dyDescent="0.35">
      <c r="A4786" s="2" t="s">
        <v>4834</v>
      </c>
      <c r="B4786" s="3">
        <v>45466</v>
      </c>
      <c r="C4786" s="2" t="s">
        <v>25</v>
      </c>
      <c r="D4786" s="2" t="s">
        <v>97</v>
      </c>
      <c r="E4786" s="2" t="s">
        <v>27</v>
      </c>
      <c r="F4786" s="2">
        <v>631.03</v>
      </c>
      <c r="G4786" s="2">
        <v>62.55</v>
      </c>
      <c r="H4786" s="2" t="s">
        <v>28</v>
      </c>
      <c r="I4786" s="2" t="s">
        <v>34</v>
      </c>
    </row>
    <row r="4787" spans="1:9" x14ac:dyDescent="0.35">
      <c r="A4787" s="2" t="s">
        <v>4835</v>
      </c>
      <c r="B4787" s="3">
        <v>45436</v>
      </c>
      <c r="C4787" s="2" t="s">
        <v>25</v>
      </c>
      <c r="D4787" s="2" t="s">
        <v>95</v>
      </c>
      <c r="E4787" s="2" t="s">
        <v>18</v>
      </c>
      <c r="F4787" s="2">
        <v>1357.93</v>
      </c>
      <c r="G4787" s="2">
        <v>210.66</v>
      </c>
      <c r="H4787" s="2" t="s">
        <v>19</v>
      </c>
      <c r="I4787" s="2" t="s">
        <v>20</v>
      </c>
    </row>
    <row r="4788" spans="1:9" x14ac:dyDescent="0.35">
      <c r="A4788" s="2" t="s">
        <v>4836</v>
      </c>
      <c r="B4788" s="3">
        <v>44704</v>
      </c>
      <c r="C4788" s="2" t="s">
        <v>10</v>
      </c>
      <c r="D4788" s="2" t="s">
        <v>33</v>
      </c>
      <c r="E4788" s="2" t="s">
        <v>18</v>
      </c>
      <c r="F4788" s="2">
        <v>213.82</v>
      </c>
      <c r="G4788" s="2">
        <v>49.84</v>
      </c>
      <c r="H4788" s="2" t="s">
        <v>13</v>
      </c>
      <c r="I4788" s="2" t="s">
        <v>14</v>
      </c>
    </row>
    <row r="4789" spans="1:9" x14ac:dyDescent="0.35">
      <c r="A4789" s="2" t="s">
        <v>4837</v>
      </c>
      <c r="B4789" s="3">
        <v>45279</v>
      </c>
      <c r="C4789" s="2" t="s">
        <v>22</v>
      </c>
      <c r="D4789" s="2" t="s">
        <v>41</v>
      </c>
      <c r="E4789" s="2" t="s">
        <v>12</v>
      </c>
      <c r="F4789" s="2">
        <v>1733.51</v>
      </c>
      <c r="G4789" s="2">
        <v>394.21</v>
      </c>
      <c r="H4789" s="2" t="s">
        <v>28</v>
      </c>
      <c r="I4789" s="2" t="s">
        <v>14</v>
      </c>
    </row>
    <row r="4790" spans="1:9" x14ac:dyDescent="0.35">
      <c r="A4790" s="2" t="s">
        <v>4838</v>
      </c>
      <c r="B4790" s="3">
        <v>44776</v>
      </c>
      <c r="C4790" s="2" t="s">
        <v>22</v>
      </c>
      <c r="D4790" s="2" t="s">
        <v>95</v>
      </c>
      <c r="E4790" s="2" t="s">
        <v>18</v>
      </c>
      <c r="F4790" s="2">
        <v>766.11</v>
      </c>
      <c r="G4790" s="2">
        <v>228.3</v>
      </c>
      <c r="H4790" s="2" t="s">
        <v>13</v>
      </c>
      <c r="I4790" s="2" t="s">
        <v>29</v>
      </c>
    </row>
    <row r="4791" spans="1:9" x14ac:dyDescent="0.35">
      <c r="A4791" s="2" t="s">
        <v>4839</v>
      </c>
      <c r="B4791" s="3">
        <v>45266</v>
      </c>
      <c r="C4791" s="2" t="s">
        <v>22</v>
      </c>
      <c r="D4791" s="2" t="s">
        <v>41</v>
      </c>
      <c r="E4791" s="2" t="s">
        <v>12</v>
      </c>
      <c r="F4791" s="2">
        <v>1920.06</v>
      </c>
      <c r="G4791" s="2">
        <v>387.51</v>
      </c>
      <c r="H4791" s="2" t="s">
        <v>28</v>
      </c>
      <c r="I4791" s="2" t="s">
        <v>20</v>
      </c>
    </row>
    <row r="4792" spans="1:9" x14ac:dyDescent="0.35">
      <c r="A4792" s="2" t="s">
        <v>4840</v>
      </c>
      <c r="B4792" s="3">
        <v>45422</v>
      </c>
      <c r="C4792" s="2" t="s">
        <v>10</v>
      </c>
      <c r="D4792" s="2" t="s">
        <v>38</v>
      </c>
      <c r="E4792" s="2" t="s">
        <v>12</v>
      </c>
      <c r="F4792" s="2">
        <v>1613.49</v>
      </c>
      <c r="G4792" s="2">
        <v>310.36</v>
      </c>
      <c r="H4792" s="2" t="s">
        <v>19</v>
      </c>
      <c r="I4792" s="2" t="s">
        <v>20</v>
      </c>
    </row>
    <row r="4793" spans="1:9" x14ac:dyDescent="0.35">
      <c r="A4793" s="2" t="s">
        <v>4841</v>
      </c>
      <c r="B4793" s="3">
        <v>44692</v>
      </c>
      <c r="C4793" s="2" t="s">
        <v>16</v>
      </c>
      <c r="D4793" s="2" t="s">
        <v>97</v>
      </c>
      <c r="E4793" s="2" t="s">
        <v>27</v>
      </c>
      <c r="F4793" s="2">
        <v>1638.32</v>
      </c>
      <c r="G4793" s="2">
        <v>193.96</v>
      </c>
      <c r="H4793" s="2" t="s">
        <v>28</v>
      </c>
      <c r="I4793" s="2" t="s">
        <v>29</v>
      </c>
    </row>
    <row r="4794" spans="1:9" x14ac:dyDescent="0.35">
      <c r="A4794" s="2" t="s">
        <v>4842</v>
      </c>
      <c r="B4794" s="3">
        <v>45106</v>
      </c>
      <c r="C4794" s="2" t="s">
        <v>10</v>
      </c>
      <c r="D4794" s="2" t="s">
        <v>50</v>
      </c>
      <c r="E4794" s="2" t="s">
        <v>12</v>
      </c>
      <c r="F4794" s="2">
        <v>1419.3</v>
      </c>
      <c r="G4794" s="2">
        <v>270.05</v>
      </c>
      <c r="H4794" s="2" t="s">
        <v>28</v>
      </c>
      <c r="I4794" s="2" t="s">
        <v>34</v>
      </c>
    </row>
    <row r="4795" spans="1:9" x14ac:dyDescent="0.35">
      <c r="A4795" s="2" t="s">
        <v>4843</v>
      </c>
      <c r="B4795" s="3">
        <v>44941</v>
      </c>
      <c r="C4795" s="2" t="s">
        <v>25</v>
      </c>
      <c r="D4795" s="2" t="s">
        <v>26</v>
      </c>
      <c r="E4795" s="2" t="s">
        <v>27</v>
      </c>
      <c r="F4795" s="2">
        <v>1512.98</v>
      </c>
      <c r="G4795" s="2">
        <v>140.16999999999999</v>
      </c>
      <c r="H4795" s="2" t="s">
        <v>19</v>
      </c>
      <c r="I4795" s="2" t="s">
        <v>14</v>
      </c>
    </row>
    <row r="4796" spans="1:9" x14ac:dyDescent="0.35">
      <c r="A4796" s="2" t="s">
        <v>4844</v>
      </c>
      <c r="B4796" s="3">
        <v>44889</v>
      </c>
      <c r="C4796" s="2" t="s">
        <v>10</v>
      </c>
      <c r="D4796" s="2" t="s">
        <v>33</v>
      </c>
      <c r="E4796" s="2" t="s">
        <v>18</v>
      </c>
      <c r="F4796" s="2">
        <v>355.11</v>
      </c>
      <c r="G4796" s="2">
        <v>27.88</v>
      </c>
      <c r="H4796" s="2" t="s">
        <v>19</v>
      </c>
      <c r="I4796" s="2" t="s">
        <v>34</v>
      </c>
    </row>
    <row r="4797" spans="1:9" x14ac:dyDescent="0.35">
      <c r="A4797" s="2" t="s">
        <v>4845</v>
      </c>
      <c r="B4797" s="3">
        <v>44850</v>
      </c>
      <c r="C4797" s="2" t="s">
        <v>25</v>
      </c>
      <c r="D4797" s="2" t="s">
        <v>95</v>
      </c>
      <c r="E4797" s="2" t="s">
        <v>18</v>
      </c>
      <c r="F4797" s="2">
        <v>338.45</v>
      </c>
      <c r="G4797" s="2">
        <v>23.35</v>
      </c>
      <c r="H4797" s="2" t="s">
        <v>19</v>
      </c>
      <c r="I4797" s="2" t="s">
        <v>29</v>
      </c>
    </row>
    <row r="4798" spans="1:9" x14ac:dyDescent="0.35">
      <c r="A4798" s="2" t="s">
        <v>4846</v>
      </c>
      <c r="B4798" s="3">
        <v>45501</v>
      </c>
      <c r="C4798" s="2" t="s">
        <v>22</v>
      </c>
      <c r="D4798" s="2" t="s">
        <v>95</v>
      </c>
      <c r="E4798" s="2" t="s">
        <v>18</v>
      </c>
      <c r="F4798" s="2">
        <v>1540.78</v>
      </c>
      <c r="G4798" s="2">
        <v>90.57</v>
      </c>
      <c r="H4798" s="2" t="s">
        <v>28</v>
      </c>
      <c r="I4798" s="2" t="s">
        <v>34</v>
      </c>
    </row>
    <row r="4799" spans="1:9" x14ac:dyDescent="0.35">
      <c r="A4799" s="2" t="s">
        <v>4847</v>
      </c>
      <c r="B4799" s="3">
        <v>45477</v>
      </c>
      <c r="C4799" s="2" t="s">
        <v>22</v>
      </c>
      <c r="D4799" s="2" t="s">
        <v>41</v>
      </c>
      <c r="E4799" s="2" t="s">
        <v>12</v>
      </c>
      <c r="F4799" s="2">
        <v>1940.44</v>
      </c>
      <c r="G4799" s="2">
        <v>276.27999999999997</v>
      </c>
      <c r="H4799" s="2" t="s">
        <v>19</v>
      </c>
      <c r="I4799" s="2" t="s">
        <v>34</v>
      </c>
    </row>
    <row r="4800" spans="1:9" x14ac:dyDescent="0.35">
      <c r="A4800" s="2" t="s">
        <v>4848</v>
      </c>
      <c r="B4800" s="3">
        <v>44840</v>
      </c>
      <c r="C4800" s="2" t="s">
        <v>22</v>
      </c>
      <c r="D4800" s="2" t="s">
        <v>26</v>
      </c>
      <c r="E4800" s="2" t="s">
        <v>27</v>
      </c>
      <c r="F4800" s="2">
        <v>560.33000000000004</v>
      </c>
      <c r="G4800" s="2">
        <v>100.87</v>
      </c>
      <c r="H4800" s="2" t="s">
        <v>19</v>
      </c>
      <c r="I4800" s="2" t="s">
        <v>20</v>
      </c>
    </row>
    <row r="4801" spans="1:9" x14ac:dyDescent="0.35">
      <c r="A4801" s="2" t="s">
        <v>4849</v>
      </c>
      <c r="B4801" s="3">
        <v>44882</v>
      </c>
      <c r="C4801" s="2" t="s">
        <v>16</v>
      </c>
      <c r="D4801" s="2" t="s">
        <v>26</v>
      </c>
      <c r="E4801" s="2" t="s">
        <v>27</v>
      </c>
      <c r="F4801" s="2">
        <v>1475.35</v>
      </c>
      <c r="G4801" s="2">
        <v>301.32</v>
      </c>
      <c r="H4801" s="2" t="s">
        <v>13</v>
      </c>
      <c r="I4801" s="2" t="s">
        <v>29</v>
      </c>
    </row>
    <row r="4802" spans="1:9" x14ac:dyDescent="0.35">
      <c r="A4802" s="2" t="s">
        <v>4850</v>
      </c>
      <c r="B4802" s="3">
        <v>44950</v>
      </c>
      <c r="C4802" s="2" t="s">
        <v>25</v>
      </c>
      <c r="D4802" s="2" t="s">
        <v>50</v>
      </c>
      <c r="E4802" s="2" t="s">
        <v>12</v>
      </c>
      <c r="F4802" s="2">
        <v>1261.98</v>
      </c>
      <c r="G4802" s="2">
        <v>230.97</v>
      </c>
      <c r="H4802" s="2" t="s">
        <v>28</v>
      </c>
      <c r="I4802" s="2" t="s">
        <v>14</v>
      </c>
    </row>
    <row r="4803" spans="1:9" x14ac:dyDescent="0.35">
      <c r="A4803" s="2" t="s">
        <v>4851</v>
      </c>
      <c r="B4803" s="3">
        <v>45420</v>
      </c>
      <c r="C4803" s="2" t="s">
        <v>25</v>
      </c>
      <c r="D4803" s="2" t="s">
        <v>41</v>
      </c>
      <c r="E4803" s="2" t="s">
        <v>12</v>
      </c>
      <c r="F4803" s="2">
        <v>1218.74</v>
      </c>
      <c r="G4803" s="2">
        <v>136.19</v>
      </c>
      <c r="H4803" s="2" t="s">
        <v>19</v>
      </c>
      <c r="I4803" s="2" t="s">
        <v>34</v>
      </c>
    </row>
    <row r="4804" spans="1:9" x14ac:dyDescent="0.35">
      <c r="A4804" s="2" t="s">
        <v>4852</v>
      </c>
      <c r="B4804" s="3">
        <v>45346</v>
      </c>
      <c r="C4804" s="2" t="s">
        <v>10</v>
      </c>
      <c r="D4804" s="2" t="s">
        <v>57</v>
      </c>
      <c r="E4804" s="2" t="s">
        <v>27</v>
      </c>
      <c r="F4804" s="2">
        <v>613.98</v>
      </c>
      <c r="G4804" s="2">
        <v>136.88</v>
      </c>
      <c r="H4804" s="2" t="s">
        <v>13</v>
      </c>
      <c r="I4804" s="2" t="s">
        <v>20</v>
      </c>
    </row>
    <row r="4805" spans="1:9" x14ac:dyDescent="0.35">
      <c r="A4805" s="2" t="s">
        <v>4853</v>
      </c>
      <c r="B4805" s="3">
        <v>44794</v>
      </c>
      <c r="C4805" s="2" t="s">
        <v>25</v>
      </c>
      <c r="D4805" s="2" t="s">
        <v>17</v>
      </c>
      <c r="E4805" s="2" t="s">
        <v>18</v>
      </c>
      <c r="F4805" s="2">
        <v>1746.21</v>
      </c>
      <c r="G4805" s="2">
        <v>434.37</v>
      </c>
      <c r="H4805" s="2" t="s">
        <v>28</v>
      </c>
      <c r="I4805" s="2" t="s">
        <v>20</v>
      </c>
    </row>
    <row r="4806" spans="1:9" x14ac:dyDescent="0.35">
      <c r="A4806" s="2" t="s">
        <v>4854</v>
      </c>
      <c r="B4806" s="3">
        <v>45125</v>
      </c>
      <c r="C4806" s="2" t="s">
        <v>16</v>
      </c>
      <c r="D4806" s="2" t="s">
        <v>50</v>
      </c>
      <c r="E4806" s="2" t="s">
        <v>12</v>
      </c>
      <c r="F4806" s="2">
        <v>467.53</v>
      </c>
      <c r="G4806" s="2">
        <v>33.22</v>
      </c>
      <c r="H4806" s="2" t="s">
        <v>28</v>
      </c>
      <c r="I4806" s="2" t="s">
        <v>29</v>
      </c>
    </row>
    <row r="4807" spans="1:9" x14ac:dyDescent="0.35">
      <c r="A4807" s="2" t="s">
        <v>4855</v>
      </c>
      <c r="B4807" s="3">
        <v>45437</v>
      </c>
      <c r="C4807" s="2" t="s">
        <v>16</v>
      </c>
      <c r="D4807" s="2" t="s">
        <v>17</v>
      </c>
      <c r="E4807" s="2" t="s">
        <v>18</v>
      </c>
      <c r="F4807" s="2">
        <v>1672.02</v>
      </c>
      <c r="G4807" s="2">
        <v>470.1</v>
      </c>
      <c r="H4807" s="2" t="s">
        <v>13</v>
      </c>
      <c r="I4807" s="2" t="s">
        <v>14</v>
      </c>
    </row>
    <row r="4808" spans="1:9" x14ac:dyDescent="0.35">
      <c r="A4808" s="2" t="s">
        <v>4856</v>
      </c>
      <c r="B4808" s="3">
        <v>44856</v>
      </c>
      <c r="C4808" s="2" t="s">
        <v>22</v>
      </c>
      <c r="D4808" s="2" t="s">
        <v>46</v>
      </c>
      <c r="E4808" s="2" t="s">
        <v>18</v>
      </c>
      <c r="F4808" s="2">
        <v>358.63</v>
      </c>
      <c r="G4808" s="2">
        <v>90.46</v>
      </c>
      <c r="H4808" s="2" t="s">
        <v>13</v>
      </c>
      <c r="I4808" s="2" t="s">
        <v>34</v>
      </c>
    </row>
    <row r="4809" spans="1:9" x14ac:dyDescent="0.35">
      <c r="A4809" s="2" t="s">
        <v>4857</v>
      </c>
      <c r="B4809" s="3">
        <v>45256</v>
      </c>
      <c r="C4809" s="2" t="s">
        <v>25</v>
      </c>
      <c r="D4809" s="2" t="s">
        <v>17</v>
      </c>
      <c r="E4809" s="2" t="s">
        <v>18</v>
      </c>
      <c r="F4809" s="2">
        <v>1133.17</v>
      </c>
      <c r="G4809" s="2">
        <v>171.22</v>
      </c>
      <c r="H4809" s="2" t="s">
        <v>19</v>
      </c>
      <c r="I4809" s="2" t="s">
        <v>34</v>
      </c>
    </row>
    <row r="4810" spans="1:9" x14ac:dyDescent="0.35">
      <c r="A4810" s="2" t="s">
        <v>4858</v>
      </c>
      <c r="B4810" s="3">
        <v>45469</v>
      </c>
      <c r="C4810" s="2" t="s">
        <v>22</v>
      </c>
      <c r="D4810" s="2" t="s">
        <v>11</v>
      </c>
      <c r="E4810" s="2" t="s">
        <v>12</v>
      </c>
      <c r="F4810" s="2">
        <v>1325.77</v>
      </c>
      <c r="G4810" s="2">
        <v>132.46</v>
      </c>
      <c r="H4810" s="2" t="s">
        <v>19</v>
      </c>
      <c r="I4810" s="2" t="s">
        <v>29</v>
      </c>
    </row>
    <row r="4811" spans="1:9" x14ac:dyDescent="0.35">
      <c r="A4811" s="2" t="s">
        <v>4859</v>
      </c>
      <c r="B4811" s="3">
        <v>44691</v>
      </c>
      <c r="C4811" s="2" t="s">
        <v>10</v>
      </c>
      <c r="D4811" s="2" t="s">
        <v>38</v>
      </c>
      <c r="E4811" s="2" t="s">
        <v>12</v>
      </c>
      <c r="F4811" s="2">
        <v>609.04999999999995</v>
      </c>
      <c r="G4811" s="2">
        <v>108.58</v>
      </c>
      <c r="H4811" s="2" t="s">
        <v>19</v>
      </c>
      <c r="I4811" s="2" t="s">
        <v>29</v>
      </c>
    </row>
    <row r="4812" spans="1:9" x14ac:dyDescent="0.35">
      <c r="A4812" s="2" t="s">
        <v>4860</v>
      </c>
      <c r="B4812" s="3">
        <v>45313</v>
      </c>
      <c r="C4812" s="2" t="s">
        <v>22</v>
      </c>
      <c r="D4812" s="2" t="s">
        <v>11</v>
      </c>
      <c r="E4812" s="2" t="s">
        <v>12</v>
      </c>
      <c r="F4812" s="2">
        <v>1163.79</v>
      </c>
      <c r="G4812" s="2">
        <v>127.23</v>
      </c>
      <c r="H4812" s="2" t="s">
        <v>19</v>
      </c>
      <c r="I4812" s="2" t="s">
        <v>20</v>
      </c>
    </row>
    <row r="4813" spans="1:9" x14ac:dyDescent="0.35">
      <c r="A4813" s="2" t="s">
        <v>4861</v>
      </c>
      <c r="B4813" s="3">
        <v>44834</v>
      </c>
      <c r="C4813" s="2" t="s">
        <v>22</v>
      </c>
      <c r="D4813" s="2" t="s">
        <v>46</v>
      </c>
      <c r="E4813" s="2" t="s">
        <v>18</v>
      </c>
      <c r="F4813" s="2">
        <v>1125.46</v>
      </c>
      <c r="G4813" s="2">
        <v>171.92</v>
      </c>
      <c r="H4813" s="2" t="s">
        <v>19</v>
      </c>
      <c r="I4813" s="2" t="s">
        <v>34</v>
      </c>
    </row>
    <row r="4814" spans="1:9" x14ac:dyDescent="0.35">
      <c r="A4814" s="2" t="s">
        <v>4862</v>
      </c>
      <c r="B4814" s="3">
        <v>44832</v>
      </c>
      <c r="C4814" s="2" t="s">
        <v>25</v>
      </c>
      <c r="D4814" s="2" t="s">
        <v>95</v>
      </c>
      <c r="E4814" s="2" t="s">
        <v>18</v>
      </c>
      <c r="F4814" s="2">
        <v>1965.88</v>
      </c>
      <c r="G4814" s="2">
        <v>342.62</v>
      </c>
      <c r="H4814" s="2" t="s">
        <v>13</v>
      </c>
      <c r="I4814" s="2" t="s">
        <v>34</v>
      </c>
    </row>
    <row r="4815" spans="1:9" x14ac:dyDescent="0.35">
      <c r="A4815" s="2" t="s">
        <v>4864</v>
      </c>
      <c r="B4815" s="3">
        <v>44967</v>
      </c>
      <c r="C4815" s="2" t="s">
        <v>16</v>
      </c>
      <c r="D4815" s="2" t="s">
        <v>41</v>
      </c>
      <c r="E4815" s="2" t="s">
        <v>12</v>
      </c>
      <c r="F4815" s="2">
        <v>854.76</v>
      </c>
      <c r="G4815" s="2">
        <v>137.75</v>
      </c>
      <c r="H4815" s="2" t="s">
        <v>19</v>
      </c>
      <c r="I4815" s="2" t="s">
        <v>20</v>
      </c>
    </row>
    <row r="4816" spans="1:9" x14ac:dyDescent="0.35">
      <c r="A4816" s="2" t="s">
        <v>4865</v>
      </c>
      <c r="B4816" s="3">
        <v>45258</v>
      </c>
      <c r="C4816" s="2" t="s">
        <v>25</v>
      </c>
      <c r="D4816" s="2" t="s">
        <v>17</v>
      </c>
      <c r="E4816" s="2" t="s">
        <v>18</v>
      </c>
      <c r="F4816" s="2">
        <v>1082.5899999999999</v>
      </c>
      <c r="G4816" s="2">
        <v>58.68</v>
      </c>
      <c r="H4816" s="2" t="s">
        <v>19</v>
      </c>
      <c r="I4816" s="2" t="s">
        <v>29</v>
      </c>
    </row>
    <row r="4817" spans="1:9" x14ac:dyDescent="0.35">
      <c r="A4817" s="2" t="s">
        <v>4866</v>
      </c>
      <c r="B4817" s="3">
        <v>45411</v>
      </c>
      <c r="C4817" s="2" t="s">
        <v>16</v>
      </c>
      <c r="D4817" s="2" t="s">
        <v>62</v>
      </c>
      <c r="E4817" s="2" t="s">
        <v>27</v>
      </c>
      <c r="F4817" s="2">
        <v>384.37</v>
      </c>
      <c r="G4817" s="2">
        <v>66.59</v>
      </c>
      <c r="H4817" s="2" t="s">
        <v>13</v>
      </c>
      <c r="I4817" s="2" t="s">
        <v>20</v>
      </c>
    </row>
    <row r="4818" spans="1:9" x14ac:dyDescent="0.35">
      <c r="A4818" s="2" t="s">
        <v>4867</v>
      </c>
      <c r="B4818" s="3">
        <v>45016</v>
      </c>
      <c r="C4818" s="2" t="s">
        <v>25</v>
      </c>
      <c r="D4818" s="2" t="s">
        <v>38</v>
      </c>
      <c r="E4818" s="2" t="s">
        <v>12</v>
      </c>
      <c r="F4818" s="2">
        <v>1361.62</v>
      </c>
      <c r="G4818" s="2">
        <v>404.63</v>
      </c>
      <c r="H4818" s="2" t="s">
        <v>19</v>
      </c>
      <c r="I4818" s="2" t="s">
        <v>20</v>
      </c>
    </row>
    <row r="4819" spans="1:9" x14ac:dyDescent="0.35">
      <c r="A4819" s="2" t="s">
        <v>4868</v>
      </c>
      <c r="B4819" s="3">
        <v>45609</v>
      </c>
      <c r="C4819" s="2" t="s">
        <v>25</v>
      </c>
      <c r="D4819" s="2" t="s">
        <v>97</v>
      </c>
      <c r="E4819" s="2" t="s">
        <v>27</v>
      </c>
      <c r="F4819" s="2">
        <v>1663.49</v>
      </c>
      <c r="G4819" s="2">
        <v>251.1</v>
      </c>
      <c r="H4819" s="2" t="s">
        <v>28</v>
      </c>
      <c r="I4819" s="2" t="s">
        <v>14</v>
      </c>
    </row>
    <row r="4820" spans="1:9" x14ac:dyDescent="0.35">
      <c r="A4820" s="2" t="s">
        <v>4869</v>
      </c>
      <c r="B4820" s="3">
        <v>45067</v>
      </c>
      <c r="C4820" s="2" t="s">
        <v>16</v>
      </c>
      <c r="D4820" s="2" t="s">
        <v>50</v>
      </c>
      <c r="E4820" s="2" t="s">
        <v>12</v>
      </c>
      <c r="F4820" s="2">
        <v>154.86000000000001</v>
      </c>
      <c r="G4820" s="2">
        <v>38.47</v>
      </c>
      <c r="H4820" s="2" t="s">
        <v>28</v>
      </c>
      <c r="I4820" s="2" t="s">
        <v>29</v>
      </c>
    </row>
    <row r="4821" spans="1:9" x14ac:dyDescent="0.35">
      <c r="A4821" s="2" t="s">
        <v>4870</v>
      </c>
      <c r="B4821" s="3">
        <v>44885</v>
      </c>
      <c r="C4821" s="2" t="s">
        <v>16</v>
      </c>
      <c r="D4821" s="2" t="s">
        <v>38</v>
      </c>
      <c r="E4821" s="2" t="s">
        <v>12</v>
      </c>
      <c r="F4821" s="2">
        <v>274.62</v>
      </c>
      <c r="G4821" s="2">
        <v>67.08</v>
      </c>
      <c r="H4821" s="2" t="s">
        <v>19</v>
      </c>
      <c r="I4821" s="2" t="s">
        <v>34</v>
      </c>
    </row>
    <row r="4822" spans="1:9" x14ac:dyDescent="0.35">
      <c r="A4822" s="2" t="s">
        <v>4871</v>
      </c>
      <c r="B4822" s="3">
        <v>45495</v>
      </c>
      <c r="C4822" s="2" t="s">
        <v>10</v>
      </c>
      <c r="D4822" s="2" t="s">
        <v>26</v>
      </c>
      <c r="E4822" s="2" t="s">
        <v>27</v>
      </c>
      <c r="F4822" s="2">
        <v>82.81</v>
      </c>
      <c r="G4822" s="2">
        <v>15.61</v>
      </c>
      <c r="H4822" s="2" t="s">
        <v>19</v>
      </c>
      <c r="I4822" s="2" t="s">
        <v>14</v>
      </c>
    </row>
    <row r="4823" spans="1:9" x14ac:dyDescent="0.35">
      <c r="A4823" s="2" t="s">
        <v>4872</v>
      </c>
      <c r="B4823" s="3">
        <v>44569</v>
      </c>
      <c r="C4823" s="2" t="s">
        <v>22</v>
      </c>
      <c r="D4823" s="2" t="s">
        <v>46</v>
      </c>
      <c r="E4823" s="2" t="s">
        <v>18</v>
      </c>
      <c r="F4823" s="2">
        <v>1066.47</v>
      </c>
      <c r="G4823" s="2">
        <v>308.25</v>
      </c>
      <c r="H4823" s="2" t="s">
        <v>19</v>
      </c>
      <c r="I4823" s="2" t="s">
        <v>14</v>
      </c>
    </row>
    <row r="4824" spans="1:9" x14ac:dyDescent="0.35">
      <c r="A4824" s="2" t="s">
        <v>4873</v>
      </c>
      <c r="B4824" s="3">
        <v>45012</v>
      </c>
      <c r="C4824" s="2" t="s">
        <v>10</v>
      </c>
      <c r="D4824" s="2" t="s">
        <v>33</v>
      </c>
      <c r="E4824" s="2" t="s">
        <v>18</v>
      </c>
      <c r="F4824" s="2">
        <v>247</v>
      </c>
      <c r="G4824" s="2">
        <v>17.670000000000002</v>
      </c>
      <c r="H4824" s="2" t="s">
        <v>28</v>
      </c>
      <c r="I4824" s="2" t="s">
        <v>20</v>
      </c>
    </row>
    <row r="4825" spans="1:9" x14ac:dyDescent="0.35">
      <c r="A4825" s="2" t="s">
        <v>4874</v>
      </c>
      <c r="B4825" s="3">
        <v>45497</v>
      </c>
      <c r="C4825" s="2" t="s">
        <v>22</v>
      </c>
      <c r="D4825" s="2" t="s">
        <v>26</v>
      </c>
      <c r="E4825" s="2" t="s">
        <v>27</v>
      </c>
      <c r="F4825" s="2">
        <v>1724.95</v>
      </c>
      <c r="G4825" s="2">
        <v>219.56</v>
      </c>
      <c r="H4825" s="2" t="s">
        <v>19</v>
      </c>
      <c r="I4825" s="2" t="s">
        <v>29</v>
      </c>
    </row>
    <row r="4826" spans="1:9" x14ac:dyDescent="0.35">
      <c r="A4826" s="2" t="s">
        <v>4875</v>
      </c>
      <c r="B4826" s="3">
        <v>44682</v>
      </c>
      <c r="C4826" s="2" t="s">
        <v>10</v>
      </c>
      <c r="D4826" s="2" t="s">
        <v>26</v>
      </c>
      <c r="E4826" s="2" t="s">
        <v>27</v>
      </c>
      <c r="F4826" s="2">
        <v>1295.8900000000001</v>
      </c>
      <c r="G4826" s="2">
        <v>306.95</v>
      </c>
      <c r="H4826" s="2" t="s">
        <v>28</v>
      </c>
      <c r="I4826" s="2" t="s">
        <v>20</v>
      </c>
    </row>
    <row r="4827" spans="1:9" x14ac:dyDescent="0.35">
      <c r="A4827" s="2" t="s">
        <v>4876</v>
      </c>
      <c r="B4827" s="3">
        <v>45003</v>
      </c>
      <c r="C4827" s="2" t="s">
        <v>10</v>
      </c>
      <c r="D4827" s="2" t="s">
        <v>73</v>
      </c>
      <c r="E4827" s="2" t="s">
        <v>27</v>
      </c>
      <c r="F4827" s="2">
        <v>921.94</v>
      </c>
      <c r="G4827" s="2">
        <v>238.24</v>
      </c>
      <c r="H4827" s="2" t="s">
        <v>13</v>
      </c>
      <c r="I4827" s="2" t="s">
        <v>34</v>
      </c>
    </row>
    <row r="4828" spans="1:9" x14ac:dyDescent="0.35">
      <c r="A4828" s="2" t="s">
        <v>4877</v>
      </c>
      <c r="B4828" s="3">
        <v>45601</v>
      </c>
      <c r="C4828" s="2" t="s">
        <v>25</v>
      </c>
      <c r="D4828" s="2" t="s">
        <v>73</v>
      </c>
      <c r="E4828" s="2" t="s">
        <v>27</v>
      </c>
      <c r="F4828" s="2">
        <v>218.65</v>
      </c>
      <c r="G4828" s="2">
        <v>20.58</v>
      </c>
      <c r="H4828" s="2" t="s">
        <v>19</v>
      </c>
      <c r="I4828" s="2" t="s">
        <v>29</v>
      </c>
    </row>
    <row r="4829" spans="1:9" x14ac:dyDescent="0.35">
      <c r="A4829" s="2" t="s">
        <v>4878</v>
      </c>
      <c r="B4829" s="3">
        <v>45620</v>
      </c>
      <c r="C4829" s="2" t="s">
        <v>16</v>
      </c>
      <c r="D4829" s="2" t="s">
        <v>26</v>
      </c>
      <c r="E4829" s="2" t="s">
        <v>27</v>
      </c>
      <c r="F4829" s="2">
        <v>778.24</v>
      </c>
      <c r="G4829" s="2">
        <v>119.6</v>
      </c>
      <c r="H4829" s="2" t="s">
        <v>13</v>
      </c>
      <c r="I4829" s="2" t="s">
        <v>34</v>
      </c>
    </row>
    <row r="4830" spans="1:9" x14ac:dyDescent="0.35">
      <c r="A4830" s="2" t="s">
        <v>4879</v>
      </c>
      <c r="B4830" s="3">
        <v>45445</v>
      </c>
      <c r="C4830" s="2" t="s">
        <v>10</v>
      </c>
      <c r="D4830" s="2" t="s">
        <v>73</v>
      </c>
      <c r="E4830" s="2" t="s">
        <v>27</v>
      </c>
      <c r="F4830" s="2">
        <v>1685.77</v>
      </c>
      <c r="G4830" s="2">
        <v>407.05</v>
      </c>
      <c r="H4830" s="2" t="s">
        <v>19</v>
      </c>
      <c r="I4830" s="2" t="s">
        <v>34</v>
      </c>
    </row>
    <row r="4831" spans="1:9" x14ac:dyDescent="0.35">
      <c r="A4831" s="2" t="s">
        <v>4880</v>
      </c>
      <c r="B4831" s="3">
        <v>45247</v>
      </c>
      <c r="C4831" s="2" t="s">
        <v>22</v>
      </c>
      <c r="D4831" s="2" t="s">
        <v>23</v>
      </c>
      <c r="E4831" s="2" t="s">
        <v>18</v>
      </c>
      <c r="F4831" s="2">
        <v>1165.9100000000001</v>
      </c>
      <c r="G4831" s="2">
        <v>98.24</v>
      </c>
      <c r="H4831" s="2" t="s">
        <v>13</v>
      </c>
      <c r="I4831" s="2" t="s">
        <v>29</v>
      </c>
    </row>
    <row r="4832" spans="1:9" x14ac:dyDescent="0.35">
      <c r="A4832" s="2" t="s">
        <v>4881</v>
      </c>
      <c r="B4832" s="3">
        <v>44986</v>
      </c>
      <c r="C4832" s="2" t="s">
        <v>25</v>
      </c>
      <c r="D4832" s="2" t="s">
        <v>50</v>
      </c>
      <c r="E4832" s="2" t="s">
        <v>12</v>
      </c>
      <c r="F4832" s="2">
        <v>1990.97</v>
      </c>
      <c r="G4832" s="2">
        <v>324.95999999999998</v>
      </c>
      <c r="H4832" s="2" t="s">
        <v>19</v>
      </c>
      <c r="I4832" s="2" t="s">
        <v>29</v>
      </c>
    </row>
    <row r="4833" spans="1:9" x14ac:dyDescent="0.35">
      <c r="A4833" s="2" t="s">
        <v>4882</v>
      </c>
      <c r="B4833" s="3">
        <v>45138</v>
      </c>
      <c r="C4833" s="2" t="s">
        <v>10</v>
      </c>
      <c r="D4833" s="2" t="s">
        <v>41</v>
      </c>
      <c r="E4833" s="2" t="s">
        <v>12</v>
      </c>
      <c r="F4833" s="2">
        <v>1551.3</v>
      </c>
      <c r="G4833" s="2">
        <v>444.27</v>
      </c>
      <c r="H4833" s="2" t="s">
        <v>19</v>
      </c>
      <c r="I4833" s="2" t="s">
        <v>20</v>
      </c>
    </row>
    <row r="4834" spans="1:9" x14ac:dyDescent="0.35">
      <c r="A4834" s="2" t="s">
        <v>4883</v>
      </c>
      <c r="B4834" s="3">
        <v>45463</v>
      </c>
      <c r="C4834" s="2" t="s">
        <v>16</v>
      </c>
      <c r="D4834" s="2" t="s">
        <v>50</v>
      </c>
      <c r="E4834" s="2" t="s">
        <v>12</v>
      </c>
      <c r="F4834" s="2">
        <v>368.92</v>
      </c>
      <c r="G4834" s="2">
        <v>26.32</v>
      </c>
      <c r="H4834" s="2" t="s">
        <v>13</v>
      </c>
      <c r="I4834" s="2" t="s">
        <v>34</v>
      </c>
    </row>
    <row r="4835" spans="1:9" x14ac:dyDescent="0.35">
      <c r="A4835" s="2" t="s">
        <v>4884</v>
      </c>
      <c r="B4835" s="3">
        <v>44830</v>
      </c>
      <c r="C4835" s="2" t="s">
        <v>22</v>
      </c>
      <c r="D4835" s="2" t="s">
        <v>41</v>
      </c>
      <c r="E4835" s="2" t="s">
        <v>12</v>
      </c>
      <c r="F4835" s="2">
        <v>134.18</v>
      </c>
      <c r="G4835" s="2">
        <v>29.13</v>
      </c>
      <c r="H4835" s="2" t="s">
        <v>28</v>
      </c>
      <c r="I4835" s="2" t="s">
        <v>14</v>
      </c>
    </row>
    <row r="4836" spans="1:9" x14ac:dyDescent="0.35">
      <c r="A4836" s="2" t="s">
        <v>4885</v>
      </c>
      <c r="B4836" s="3">
        <v>44606</v>
      </c>
      <c r="C4836" s="2" t="s">
        <v>16</v>
      </c>
      <c r="D4836" s="2" t="s">
        <v>95</v>
      </c>
      <c r="E4836" s="2" t="s">
        <v>18</v>
      </c>
      <c r="F4836" s="2">
        <v>864.29</v>
      </c>
      <c r="G4836" s="2">
        <v>74.88</v>
      </c>
      <c r="H4836" s="2" t="s">
        <v>19</v>
      </c>
      <c r="I4836" s="2" t="s">
        <v>29</v>
      </c>
    </row>
    <row r="4837" spans="1:9" x14ac:dyDescent="0.35">
      <c r="A4837" s="2" t="s">
        <v>4886</v>
      </c>
      <c r="B4837" s="3">
        <v>44682</v>
      </c>
      <c r="C4837" s="2" t="s">
        <v>10</v>
      </c>
      <c r="D4837" s="2" t="s">
        <v>46</v>
      </c>
      <c r="E4837" s="2" t="s">
        <v>18</v>
      </c>
      <c r="F4837" s="2">
        <v>1470.11</v>
      </c>
      <c r="G4837" s="2">
        <v>301.42</v>
      </c>
      <c r="H4837" s="2" t="s">
        <v>28</v>
      </c>
      <c r="I4837" s="2" t="s">
        <v>14</v>
      </c>
    </row>
    <row r="4838" spans="1:9" x14ac:dyDescent="0.35">
      <c r="A4838" s="2" t="s">
        <v>4887</v>
      </c>
      <c r="B4838" s="3">
        <v>45049</v>
      </c>
      <c r="C4838" s="2" t="s">
        <v>25</v>
      </c>
      <c r="D4838" s="2" t="s">
        <v>41</v>
      </c>
      <c r="E4838" s="2" t="s">
        <v>12</v>
      </c>
      <c r="F4838" s="2">
        <v>102.21</v>
      </c>
      <c r="G4838" s="2">
        <v>6.05</v>
      </c>
      <c r="H4838" s="2" t="s">
        <v>19</v>
      </c>
      <c r="I4838" s="2" t="s">
        <v>20</v>
      </c>
    </row>
    <row r="4839" spans="1:9" x14ac:dyDescent="0.35">
      <c r="A4839" s="2" t="s">
        <v>4888</v>
      </c>
      <c r="B4839" s="3">
        <v>45524</v>
      </c>
      <c r="C4839" s="2" t="s">
        <v>16</v>
      </c>
      <c r="D4839" s="2" t="s">
        <v>26</v>
      </c>
      <c r="E4839" s="2" t="s">
        <v>27</v>
      </c>
      <c r="F4839" s="2">
        <v>125.16</v>
      </c>
      <c r="G4839" s="2">
        <v>19.09</v>
      </c>
      <c r="H4839" s="2" t="s">
        <v>19</v>
      </c>
      <c r="I4839" s="2" t="s">
        <v>34</v>
      </c>
    </row>
    <row r="4840" spans="1:9" x14ac:dyDescent="0.35">
      <c r="A4840" s="2" t="s">
        <v>4889</v>
      </c>
      <c r="B4840" s="3">
        <v>45269</v>
      </c>
      <c r="C4840" s="2" t="s">
        <v>25</v>
      </c>
      <c r="D4840" s="2" t="s">
        <v>31</v>
      </c>
      <c r="E4840" s="2" t="s">
        <v>12</v>
      </c>
      <c r="F4840" s="2">
        <v>1242.1600000000001</v>
      </c>
      <c r="G4840" s="2">
        <v>73.64</v>
      </c>
      <c r="H4840" s="2" t="s">
        <v>13</v>
      </c>
      <c r="I4840" s="2" t="s">
        <v>14</v>
      </c>
    </row>
    <row r="4841" spans="1:9" x14ac:dyDescent="0.35">
      <c r="A4841" s="2" t="s">
        <v>4890</v>
      </c>
      <c r="B4841" s="3">
        <v>45364</v>
      </c>
      <c r="C4841" s="2" t="s">
        <v>25</v>
      </c>
      <c r="D4841" s="2" t="s">
        <v>73</v>
      </c>
      <c r="E4841" s="2" t="s">
        <v>27</v>
      </c>
      <c r="F4841" s="2">
        <v>120.44</v>
      </c>
      <c r="G4841" s="2">
        <v>15.81</v>
      </c>
      <c r="H4841" s="2" t="s">
        <v>19</v>
      </c>
      <c r="I4841" s="2" t="s">
        <v>34</v>
      </c>
    </row>
    <row r="4842" spans="1:9" x14ac:dyDescent="0.35">
      <c r="A4842" s="2" t="s">
        <v>4891</v>
      </c>
      <c r="B4842" s="3">
        <v>45250</v>
      </c>
      <c r="C4842" s="2" t="s">
        <v>22</v>
      </c>
      <c r="D4842" s="2" t="s">
        <v>38</v>
      </c>
      <c r="E4842" s="2" t="s">
        <v>12</v>
      </c>
      <c r="F4842" s="2">
        <v>1459.34</v>
      </c>
      <c r="G4842" s="2">
        <v>424.38</v>
      </c>
      <c r="H4842" s="2" t="s">
        <v>13</v>
      </c>
      <c r="I4842" s="2" t="s">
        <v>20</v>
      </c>
    </row>
    <row r="4843" spans="1:9" x14ac:dyDescent="0.35">
      <c r="A4843" s="2" t="s">
        <v>4892</v>
      </c>
      <c r="B4843" s="3">
        <v>45530</v>
      </c>
      <c r="C4843" s="2" t="s">
        <v>25</v>
      </c>
      <c r="D4843" s="2" t="s">
        <v>62</v>
      </c>
      <c r="E4843" s="2" t="s">
        <v>27</v>
      </c>
      <c r="F4843" s="2">
        <v>1925.27</v>
      </c>
      <c r="G4843" s="2">
        <v>442.46</v>
      </c>
      <c r="H4843" s="2" t="s">
        <v>13</v>
      </c>
      <c r="I4843" s="2" t="s">
        <v>20</v>
      </c>
    </row>
    <row r="4844" spans="1:9" x14ac:dyDescent="0.35">
      <c r="A4844" s="2" t="s">
        <v>4893</v>
      </c>
      <c r="B4844" s="3">
        <v>45174</v>
      </c>
      <c r="C4844" s="2" t="s">
        <v>22</v>
      </c>
      <c r="D4844" s="2" t="s">
        <v>17</v>
      </c>
      <c r="E4844" s="2" t="s">
        <v>18</v>
      </c>
      <c r="F4844" s="2">
        <v>1129.71</v>
      </c>
      <c r="G4844" s="2">
        <v>99.44</v>
      </c>
      <c r="H4844" s="2" t="s">
        <v>28</v>
      </c>
      <c r="I4844" s="2" t="s">
        <v>29</v>
      </c>
    </row>
    <row r="4845" spans="1:9" x14ac:dyDescent="0.35">
      <c r="A4845" s="2" t="s">
        <v>4894</v>
      </c>
      <c r="B4845" s="3">
        <v>44858</v>
      </c>
      <c r="C4845" s="2" t="s">
        <v>25</v>
      </c>
      <c r="D4845" s="2" t="s">
        <v>95</v>
      </c>
      <c r="E4845" s="2" t="s">
        <v>18</v>
      </c>
      <c r="F4845" s="2">
        <v>1113.72</v>
      </c>
      <c r="G4845" s="2">
        <v>98.71</v>
      </c>
      <c r="H4845" s="2" t="s">
        <v>13</v>
      </c>
      <c r="I4845" s="2" t="s">
        <v>34</v>
      </c>
    </row>
    <row r="4846" spans="1:9" x14ac:dyDescent="0.35">
      <c r="A4846" s="2" t="s">
        <v>4895</v>
      </c>
      <c r="B4846" s="3">
        <v>45621</v>
      </c>
      <c r="C4846" s="2" t="s">
        <v>25</v>
      </c>
      <c r="D4846" s="2" t="s">
        <v>11</v>
      </c>
      <c r="E4846" s="2" t="s">
        <v>12</v>
      </c>
      <c r="F4846" s="2">
        <v>1392.16</v>
      </c>
      <c r="G4846" s="2">
        <v>276.85000000000002</v>
      </c>
      <c r="H4846" s="2" t="s">
        <v>13</v>
      </c>
      <c r="I4846" s="2" t="s">
        <v>20</v>
      </c>
    </row>
    <row r="4847" spans="1:9" x14ac:dyDescent="0.35">
      <c r="A4847" s="2" t="s">
        <v>4896</v>
      </c>
      <c r="B4847" s="3">
        <v>45382</v>
      </c>
      <c r="C4847" s="2" t="s">
        <v>22</v>
      </c>
      <c r="D4847" s="2" t="s">
        <v>33</v>
      </c>
      <c r="E4847" s="2" t="s">
        <v>18</v>
      </c>
      <c r="F4847" s="2">
        <v>996.65</v>
      </c>
      <c r="G4847" s="2">
        <v>60.8</v>
      </c>
      <c r="H4847" s="2" t="s">
        <v>28</v>
      </c>
      <c r="I4847" s="2" t="s">
        <v>14</v>
      </c>
    </row>
    <row r="4848" spans="1:9" x14ac:dyDescent="0.35">
      <c r="A4848" s="2" t="s">
        <v>4897</v>
      </c>
      <c r="B4848" s="3">
        <v>44931</v>
      </c>
      <c r="C4848" s="2" t="s">
        <v>10</v>
      </c>
      <c r="D4848" s="2" t="s">
        <v>62</v>
      </c>
      <c r="E4848" s="2" t="s">
        <v>27</v>
      </c>
      <c r="F4848" s="2">
        <v>1249.51</v>
      </c>
      <c r="G4848" s="2">
        <v>351.99</v>
      </c>
      <c r="H4848" s="2" t="s">
        <v>13</v>
      </c>
      <c r="I4848" s="2" t="s">
        <v>29</v>
      </c>
    </row>
    <row r="4849" spans="1:9" x14ac:dyDescent="0.35">
      <c r="A4849" s="2" t="s">
        <v>4898</v>
      </c>
      <c r="B4849" s="3">
        <v>45473</v>
      </c>
      <c r="C4849" s="2" t="s">
        <v>25</v>
      </c>
      <c r="D4849" s="2" t="s">
        <v>17</v>
      </c>
      <c r="E4849" s="2" t="s">
        <v>18</v>
      </c>
      <c r="F4849" s="2">
        <v>1897.76</v>
      </c>
      <c r="G4849" s="2">
        <v>342.73</v>
      </c>
      <c r="H4849" s="2" t="s">
        <v>19</v>
      </c>
      <c r="I4849" s="2" t="s">
        <v>34</v>
      </c>
    </row>
    <row r="4850" spans="1:9" x14ac:dyDescent="0.35">
      <c r="A4850" s="2" t="s">
        <v>4899</v>
      </c>
      <c r="B4850" s="3">
        <v>44728</v>
      </c>
      <c r="C4850" s="2" t="s">
        <v>10</v>
      </c>
      <c r="D4850" s="2" t="s">
        <v>11</v>
      </c>
      <c r="E4850" s="2" t="s">
        <v>12</v>
      </c>
      <c r="F4850" s="2">
        <v>671.44</v>
      </c>
      <c r="G4850" s="2">
        <v>89.36</v>
      </c>
      <c r="H4850" s="2" t="s">
        <v>19</v>
      </c>
      <c r="I4850" s="2" t="s">
        <v>20</v>
      </c>
    </row>
    <row r="4851" spans="1:9" x14ac:dyDescent="0.35">
      <c r="A4851" s="2" t="s">
        <v>4900</v>
      </c>
      <c r="B4851" s="3">
        <v>44952</v>
      </c>
      <c r="C4851" s="2" t="s">
        <v>25</v>
      </c>
      <c r="D4851" s="2" t="s">
        <v>11</v>
      </c>
      <c r="E4851" s="2" t="s">
        <v>12</v>
      </c>
      <c r="F4851" s="2">
        <v>188.5</v>
      </c>
      <c r="G4851" s="2">
        <v>10.94</v>
      </c>
      <c r="H4851" s="2" t="s">
        <v>13</v>
      </c>
      <c r="I4851" s="2" t="s">
        <v>14</v>
      </c>
    </row>
    <row r="4852" spans="1:9" x14ac:dyDescent="0.35">
      <c r="A4852" s="2" t="s">
        <v>4901</v>
      </c>
      <c r="B4852" s="3">
        <v>45414</v>
      </c>
      <c r="C4852" s="2" t="s">
        <v>10</v>
      </c>
      <c r="D4852" s="2" t="s">
        <v>31</v>
      </c>
      <c r="E4852" s="2" t="s">
        <v>12</v>
      </c>
      <c r="F4852" s="2">
        <v>311.92</v>
      </c>
      <c r="G4852" s="2">
        <v>64.64</v>
      </c>
      <c r="H4852" s="2" t="s">
        <v>13</v>
      </c>
      <c r="I4852" s="2" t="s">
        <v>14</v>
      </c>
    </row>
    <row r="4853" spans="1:9" x14ac:dyDescent="0.35">
      <c r="A4853" s="2" t="s">
        <v>4902</v>
      </c>
      <c r="B4853" s="3">
        <v>44677</v>
      </c>
      <c r="C4853" s="2" t="s">
        <v>22</v>
      </c>
      <c r="D4853" s="2" t="s">
        <v>23</v>
      </c>
      <c r="E4853" s="2" t="s">
        <v>18</v>
      </c>
      <c r="F4853" s="2">
        <v>1014.4</v>
      </c>
      <c r="G4853" s="2">
        <v>78.14</v>
      </c>
      <c r="H4853" s="2" t="s">
        <v>13</v>
      </c>
      <c r="I4853" s="2" t="s">
        <v>20</v>
      </c>
    </row>
    <row r="4854" spans="1:9" x14ac:dyDescent="0.35">
      <c r="A4854" s="2" t="s">
        <v>4903</v>
      </c>
      <c r="B4854" s="3">
        <v>45216</v>
      </c>
      <c r="C4854" s="2" t="s">
        <v>10</v>
      </c>
      <c r="D4854" s="2" t="s">
        <v>23</v>
      </c>
      <c r="E4854" s="2" t="s">
        <v>18</v>
      </c>
      <c r="F4854" s="2">
        <v>1517.24</v>
      </c>
      <c r="G4854" s="2">
        <v>145.36000000000001</v>
      </c>
      <c r="H4854" s="2" t="s">
        <v>19</v>
      </c>
      <c r="I4854" s="2" t="s">
        <v>29</v>
      </c>
    </row>
    <row r="4855" spans="1:9" x14ac:dyDescent="0.35">
      <c r="A4855" s="2" t="s">
        <v>4904</v>
      </c>
      <c r="B4855" s="3">
        <v>45243</v>
      </c>
      <c r="C4855" s="2" t="s">
        <v>10</v>
      </c>
      <c r="D4855" s="2" t="s">
        <v>95</v>
      </c>
      <c r="E4855" s="2" t="s">
        <v>18</v>
      </c>
      <c r="F4855" s="2">
        <v>839.14</v>
      </c>
      <c r="G4855" s="2">
        <v>140.32</v>
      </c>
      <c r="H4855" s="2" t="s">
        <v>19</v>
      </c>
      <c r="I4855" s="2" t="s">
        <v>34</v>
      </c>
    </row>
    <row r="4856" spans="1:9" x14ac:dyDescent="0.35">
      <c r="A4856" s="2" t="s">
        <v>4905</v>
      </c>
      <c r="B4856" s="3">
        <v>44886</v>
      </c>
      <c r="C4856" s="2" t="s">
        <v>16</v>
      </c>
      <c r="D4856" s="2" t="s">
        <v>31</v>
      </c>
      <c r="E4856" s="2" t="s">
        <v>12</v>
      </c>
      <c r="F4856" s="2">
        <v>1909.89</v>
      </c>
      <c r="G4856" s="2">
        <v>159.25</v>
      </c>
      <c r="H4856" s="2" t="s">
        <v>19</v>
      </c>
      <c r="I4856" s="2" t="s">
        <v>20</v>
      </c>
    </row>
    <row r="4857" spans="1:9" x14ac:dyDescent="0.35">
      <c r="A4857" s="2" t="s">
        <v>4906</v>
      </c>
      <c r="B4857" s="3">
        <v>45631</v>
      </c>
      <c r="C4857" s="2" t="s">
        <v>10</v>
      </c>
      <c r="D4857" s="2" t="s">
        <v>73</v>
      </c>
      <c r="E4857" s="2" t="s">
        <v>27</v>
      </c>
      <c r="F4857" s="2">
        <v>1308.6300000000001</v>
      </c>
      <c r="G4857" s="2">
        <v>211.78</v>
      </c>
      <c r="H4857" s="2" t="s">
        <v>13</v>
      </c>
      <c r="I4857" s="2" t="s">
        <v>34</v>
      </c>
    </row>
    <row r="4858" spans="1:9" x14ac:dyDescent="0.35">
      <c r="A4858" s="2" t="s">
        <v>4907</v>
      </c>
      <c r="B4858" s="3">
        <v>45515</v>
      </c>
      <c r="C4858" s="2" t="s">
        <v>22</v>
      </c>
      <c r="D4858" s="2" t="s">
        <v>23</v>
      </c>
      <c r="E4858" s="2" t="s">
        <v>18</v>
      </c>
      <c r="F4858" s="2">
        <v>1058.05</v>
      </c>
      <c r="G4858" s="2">
        <v>310.06</v>
      </c>
      <c r="H4858" s="2" t="s">
        <v>19</v>
      </c>
      <c r="I4858" s="2" t="s">
        <v>29</v>
      </c>
    </row>
    <row r="4859" spans="1:9" x14ac:dyDescent="0.35">
      <c r="A4859" s="2" t="s">
        <v>4908</v>
      </c>
      <c r="B4859" s="3">
        <v>44586</v>
      </c>
      <c r="C4859" s="2" t="s">
        <v>10</v>
      </c>
      <c r="D4859" s="2" t="s">
        <v>11</v>
      </c>
      <c r="E4859" s="2" t="s">
        <v>12</v>
      </c>
      <c r="F4859" s="2">
        <v>670.05</v>
      </c>
      <c r="G4859" s="2">
        <v>130.91999999999999</v>
      </c>
      <c r="H4859" s="2" t="s">
        <v>13</v>
      </c>
      <c r="I4859" s="2" t="s">
        <v>34</v>
      </c>
    </row>
    <row r="4860" spans="1:9" x14ac:dyDescent="0.35">
      <c r="A4860" s="2" t="s">
        <v>4909</v>
      </c>
      <c r="B4860" s="3">
        <v>44607</v>
      </c>
      <c r="C4860" s="2" t="s">
        <v>16</v>
      </c>
      <c r="D4860" s="2" t="s">
        <v>95</v>
      </c>
      <c r="E4860" s="2" t="s">
        <v>18</v>
      </c>
      <c r="F4860" s="2">
        <v>1908.08</v>
      </c>
      <c r="G4860" s="2">
        <v>538.34</v>
      </c>
      <c r="H4860" s="2" t="s">
        <v>19</v>
      </c>
      <c r="I4860" s="2" t="s">
        <v>29</v>
      </c>
    </row>
    <row r="4861" spans="1:9" x14ac:dyDescent="0.35">
      <c r="A4861" s="2" t="s">
        <v>4910</v>
      </c>
      <c r="B4861" s="3">
        <v>45578</v>
      </c>
      <c r="C4861" s="2" t="s">
        <v>10</v>
      </c>
      <c r="D4861" s="2" t="s">
        <v>41</v>
      </c>
      <c r="E4861" s="2" t="s">
        <v>12</v>
      </c>
      <c r="F4861" s="2">
        <v>1784.61</v>
      </c>
      <c r="G4861" s="2">
        <v>523.72</v>
      </c>
      <c r="H4861" s="2" t="s">
        <v>13</v>
      </c>
      <c r="I4861" s="2" t="s">
        <v>20</v>
      </c>
    </row>
    <row r="4862" spans="1:9" x14ac:dyDescent="0.35">
      <c r="A4862" s="2" t="s">
        <v>4911</v>
      </c>
      <c r="B4862" s="3">
        <v>45060</v>
      </c>
      <c r="C4862" s="2" t="s">
        <v>16</v>
      </c>
      <c r="D4862" s="2" t="s">
        <v>41</v>
      </c>
      <c r="E4862" s="2" t="s">
        <v>12</v>
      </c>
      <c r="F4862" s="2">
        <v>1796.58</v>
      </c>
      <c r="G4862" s="2">
        <v>102.57</v>
      </c>
      <c r="H4862" s="2" t="s">
        <v>13</v>
      </c>
      <c r="I4862" s="2" t="s">
        <v>14</v>
      </c>
    </row>
    <row r="4863" spans="1:9" x14ac:dyDescent="0.35">
      <c r="A4863" s="2" t="s">
        <v>4912</v>
      </c>
      <c r="B4863" s="3">
        <v>45623</v>
      </c>
      <c r="C4863" s="2" t="s">
        <v>10</v>
      </c>
      <c r="D4863" s="2" t="s">
        <v>57</v>
      </c>
      <c r="E4863" s="2" t="s">
        <v>27</v>
      </c>
      <c r="F4863" s="2">
        <v>268.36</v>
      </c>
      <c r="G4863" s="2">
        <v>61.37</v>
      </c>
      <c r="H4863" s="2" t="s">
        <v>13</v>
      </c>
      <c r="I4863" s="2" t="s">
        <v>29</v>
      </c>
    </row>
    <row r="4864" spans="1:9" x14ac:dyDescent="0.35">
      <c r="A4864" s="2" t="s">
        <v>4913</v>
      </c>
      <c r="B4864" s="3">
        <v>44842</v>
      </c>
      <c r="C4864" s="2" t="s">
        <v>10</v>
      </c>
      <c r="D4864" s="2" t="s">
        <v>31</v>
      </c>
      <c r="E4864" s="2" t="s">
        <v>12</v>
      </c>
      <c r="F4864" s="2">
        <v>1855.66</v>
      </c>
      <c r="G4864" s="2">
        <v>241.02</v>
      </c>
      <c r="H4864" s="2" t="s">
        <v>28</v>
      </c>
      <c r="I4864" s="2" t="s">
        <v>34</v>
      </c>
    </row>
    <row r="4865" spans="1:9" x14ac:dyDescent="0.35">
      <c r="A4865" s="2" t="s">
        <v>4914</v>
      </c>
      <c r="B4865" s="3">
        <v>45573</v>
      </c>
      <c r="C4865" s="2" t="s">
        <v>22</v>
      </c>
      <c r="D4865" s="2" t="s">
        <v>33</v>
      </c>
      <c r="E4865" s="2" t="s">
        <v>18</v>
      </c>
      <c r="F4865" s="2">
        <v>380.18</v>
      </c>
      <c r="G4865" s="2">
        <v>31.74</v>
      </c>
      <c r="H4865" s="2" t="s">
        <v>13</v>
      </c>
      <c r="I4865" s="2" t="s">
        <v>20</v>
      </c>
    </row>
    <row r="4866" spans="1:9" x14ac:dyDescent="0.35">
      <c r="A4866" s="2" t="s">
        <v>4915</v>
      </c>
      <c r="B4866" s="3">
        <v>45430</v>
      </c>
      <c r="C4866" s="2" t="s">
        <v>10</v>
      </c>
      <c r="D4866" s="2" t="s">
        <v>17</v>
      </c>
      <c r="E4866" s="2" t="s">
        <v>18</v>
      </c>
      <c r="F4866" s="2">
        <v>1579.73</v>
      </c>
      <c r="G4866" s="2">
        <v>192.9</v>
      </c>
      <c r="H4866" s="2" t="s">
        <v>28</v>
      </c>
      <c r="I4866" s="2" t="s">
        <v>14</v>
      </c>
    </row>
    <row r="4867" spans="1:9" x14ac:dyDescent="0.35">
      <c r="A4867" s="2" t="s">
        <v>4916</v>
      </c>
      <c r="B4867" s="3">
        <v>45062</v>
      </c>
      <c r="C4867" s="2" t="s">
        <v>25</v>
      </c>
      <c r="D4867" s="2" t="s">
        <v>23</v>
      </c>
      <c r="E4867" s="2" t="s">
        <v>18</v>
      </c>
      <c r="F4867" s="2">
        <v>1792.79</v>
      </c>
      <c r="G4867" s="2">
        <v>527.64</v>
      </c>
      <c r="H4867" s="2" t="s">
        <v>19</v>
      </c>
      <c r="I4867" s="2" t="s">
        <v>14</v>
      </c>
    </row>
    <row r="4868" spans="1:9" x14ac:dyDescent="0.35">
      <c r="A4868" s="2" t="s">
        <v>4917</v>
      </c>
      <c r="B4868" s="3">
        <v>44932</v>
      </c>
      <c r="C4868" s="2" t="s">
        <v>25</v>
      </c>
      <c r="D4868" s="2" t="s">
        <v>46</v>
      </c>
      <c r="E4868" s="2" t="s">
        <v>18</v>
      </c>
      <c r="F4868" s="2">
        <v>1904.53</v>
      </c>
      <c r="G4868" s="2">
        <v>519.47</v>
      </c>
      <c r="H4868" s="2" t="s">
        <v>28</v>
      </c>
      <c r="I4868" s="2" t="s">
        <v>29</v>
      </c>
    </row>
    <row r="4869" spans="1:9" x14ac:dyDescent="0.35">
      <c r="A4869" s="2" t="s">
        <v>4918</v>
      </c>
      <c r="B4869" s="3">
        <v>45656</v>
      </c>
      <c r="C4869" s="2" t="s">
        <v>10</v>
      </c>
      <c r="D4869" s="2" t="s">
        <v>38</v>
      </c>
      <c r="E4869" s="2" t="s">
        <v>12</v>
      </c>
      <c r="F4869" s="2">
        <v>1170.95</v>
      </c>
      <c r="G4869" s="2">
        <v>281.14999999999998</v>
      </c>
      <c r="H4869" s="2" t="s">
        <v>19</v>
      </c>
      <c r="I4869" s="2" t="s">
        <v>20</v>
      </c>
    </row>
    <row r="4870" spans="1:9" x14ac:dyDescent="0.35">
      <c r="A4870" s="2" t="s">
        <v>4919</v>
      </c>
      <c r="B4870" s="3">
        <v>44967</v>
      </c>
      <c r="C4870" s="2" t="s">
        <v>10</v>
      </c>
      <c r="D4870" s="2" t="s">
        <v>31</v>
      </c>
      <c r="E4870" s="2" t="s">
        <v>12</v>
      </c>
      <c r="F4870" s="2">
        <v>196.56</v>
      </c>
      <c r="G4870" s="2">
        <v>10.84</v>
      </c>
      <c r="H4870" s="2" t="s">
        <v>13</v>
      </c>
      <c r="I4870" s="2" t="s">
        <v>34</v>
      </c>
    </row>
    <row r="4871" spans="1:9" x14ac:dyDescent="0.35">
      <c r="A4871" s="2" t="s">
        <v>4920</v>
      </c>
      <c r="B4871" s="3">
        <v>45562</v>
      </c>
      <c r="C4871" s="2" t="s">
        <v>22</v>
      </c>
      <c r="D4871" s="2" t="s">
        <v>97</v>
      </c>
      <c r="E4871" s="2" t="s">
        <v>27</v>
      </c>
      <c r="F4871" s="2">
        <v>1988.03</v>
      </c>
      <c r="G4871" s="2">
        <v>565.9</v>
      </c>
      <c r="H4871" s="2" t="s">
        <v>19</v>
      </c>
      <c r="I4871" s="2" t="s">
        <v>34</v>
      </c>
    </row>
    <row r="4872" spans="1:9" x14ac:dyDescent="0.35">
      <c r="A4872" s="2" t="s">
        <v>4921</v>
      </c>
      <c r="B4872" s="3">
        <v>45526</v>
      </c>
      <c r="C4872" s="2" t="s">
        <v>22</v>
      </c>
      <c r="D4872" s="2" t="s">
        <v>11</v>
      </c>
      <c r="E4872" s="2" t="s">
        <v>12</v>
      </c>
      <c r="F4872" s="2">
        <v>889.36</v>
      </c>
      <c r="G4872" s="2">
        <v>82.5</v>
      </c>
      <c r="H4872" s="2" t="s">
        <v>13</v>
      </c>
      <c r="I4872" s="2" t="s">
        <v>20</v>
      </c>
    </row>
    <row r="4873" spans="1:9" x14ac:dyDescent="0.35">
      <c r="A4873" s="2" t="s">
        <v>4922</v>
      </c>
      <c r="B4873" s="3">
        <v>44815</v>
      </c>
      <c r="C4873" s="2" t="s">
        <v>25</v>
      </c>
      <c r="D4873" s="2" t="s">
        <v>38</v>
      </c>
      <c r="E4873" s="2" t="s">
        <v>12</v>
      </c>
      <c r="F4873" s="2">
        <v>317.64</v>
      </c>
      <c r="G4873" s="2">
        <v>73.819999999999993</v>
      </c>
      <c r="H4873" s="2" t="s">
        <v>13</v>
      </c>
      <c r="I4873" s="2" t="s">
        <v>20</v>
      </c>
    </row>
    <row r="4874" spans="1:9" x14ac:dyDescent="0.35">
      <c r="A4874" s="2" t="s">
        <v>4923</v>
      </c>
      <c r="B4874" s="3">
        <v>45123</v>
      </c>
      <c r="C4874" s="2" t="s">
        <v>10</v>
      </c>
      <c r="D4874" s="2" t="s">
        <v>11</v>
      </c>
      <c r="E4874" s="2" t="s">
        <v>12</v>
      </c>
      <c r="F4874" s="2">
        <v>736.39</v>
      </c>
      <c r="G4874" s="2">
        <v>72.05</v>
      </c>
      <c r="H4874" s="2" t="s">
        <v>19</v>
      </c>
      <c r="I4874" s="2" t="s">
        <v>14</v>
      </c>
    </row>
    <row r="4875" spans="1:9" x14ac:dyDescent="0.35">
      <c r="A4875" s="2" t="s">
        <v>4924</v>
      </c>
      <c r="B4875" s="3">
        <v>45068</v>
      </c>
      <c r="C4875" s="2" t="s">
        <v>22</v>
      </c>
      <c r="D4875" s="2" t="s">
        <v>11</v>
      </c>
      <c r="E4875" s="2" t="s">
        <v>12</v>
      </c>
      <c r="F4875" s="2">
        <v>247.32</v>
      </c>
      <c r="G4875" s="2">
        <v>62.36</v>
      </c>
      <c r="H4875" s="2" t="s">
        <v>28</v>
      </c>
      <c r="I4875" s="2" t="s">
        <v>29</v>
      </c>
    </row>
    <row r="4876" spans="1:9" x14ac:dyDescent="0.35">
      <c r="A4876" s="2" t="s">
        <v>4925</v>
      </c>
      <c r="B4876" s="3">
        <v>44879</v>
      </c>
      <c r="C4876" s="2" t="s">
        <v>25</v>
      </c>
      <c r="D4876" s="2" t="s">
        <v>57</v>
      </c>
      <c r="E4876" s="2" t="s">
        <v>27</v>
      </c>
      <c r="F4876" s="2">
        <v>503.11</v>
      </c>
      <c r="G4876" s="2">
        <v>79.45</v>
      </c>
      <c r="H4876" s="2" t="s">
        <v>19</v>
      </c>
      <c r="I4876" s="2" t="s">
        <v>29</v>
      </c>
    </row>
    <row r="4877" spans="1:9" x14ac:dyDescent="0.35">
      <c r="A4877" s="2" t="s">
        <v>4926</v>
      </c>
      <c r="B4877" s="3">
        <v>44786</v>
      </c>
      <c r="C4877" s="2" t="s">
        <v>25</v>
      </c>
      <c r="D4877" s="2" t="s">
        <v>46</v>
      </c>
      <c r="E4877" s="2" t="s">
        <v>18</v>
      </c>
      <c r="F4877" s="2">
        <v>441.67</v>
      </c>
      <c r="G4877" s="2">
        <v>129.61000000000001</v>
      </c>
      <c r="H4877" s="2" t="s">
        <v>28</v>
      </c>
      <c r="I4877" s="2" t="s">
        <v>34</v>
      </c>
    </row>
    <row r="4878" spans="1:9" x14ac:dyDescent="0.35">
      <c r="A4878" s="2" t="s">
        <v>4927</v>
      </c>
      <c r="B4878" s="3">
        <v>45464</v>
      </c>
      <c r="C4878" s="2" t="s">
        <v>22</v>
      </c>
      <c r="D4878" s="2" t="s">
        <v>62</v>
      </c>
      <c r="E4878" s="2" t="s">
        <v>27</v>
      </c>
      <c r="F4878" s="2">
        <v>1820.61</v>
      </c>
      <c r="G4878" s="2">
        <v>197.44</v>
      </c>
      <c r="H4878" s="2" t="s">
        <v>28</v>
      </c>
      <c r="I4878" s="2" t="s">
        <v>20</v>
      </c>
    </row>
    <row r="4879" spans="1:9" x14ac:dyDescent="0.35">
      <c r="A4879" s="2" t="s">
        <v>4928</v>
      </c>
      <c r="B4879" s="3">
        <v>45124</v>
      </c>
      <c r="C4879" s="2" t="s">
        <v>16</v>
      </c>
      <c r="D4879" s="2" t="s">
        <v>95</v>
      </c>
      <c r="E4879" s="2" t="s">
        <v>18</v>
      </c>
      <c r="F4879" s="2">
        <v>1244.28</v>
      </c>
      <c r="G4879" s="2">
        <v>328.65</v>
      </c>
      <c r="H4879" s="2" t="s">
        <v>19</v>
      </c>
      <c r="I4879" s="2" t="s">
        <v>34</v>
      </c>
    </row>
    <row r="4880" spans="1:9" x14ac:dyDescent="0.35">
      <c r="A4880" s="2" t="s">
        <v>4929</v>
      </c>
      <c r="B4880" s="3">
        <v>45317</v>
      </c>
      <c r="C4880" s="2" t="s">
        <v>10</v>
      </c>
      <c r="D4880" s="2" t="s">
        <v>62</v>
      </c>
      <c r="E4880" s="2" t="s">
        <v>27</v>
      </c>
      <c r="F4880" s="2">
        <v>1810.27</v>
      </c>
      <c r="G4880" s="2">
        <v>405.32</v>
      </c>
      <c r="H4880" s="2" t="s">
        <v>28</v>
      </c>
      <c r="I4880" s="2" t="s">
        <v>34</v>
      </c>
    </row>
    <row r="4881" spans="1:9" x14ac:dyDescent="0.35">
      <c r="A4881" s="2" t="s">
        <v>4930</v>
      </c>
      <c r="B4881" s="3">
        <v>45302</v>
      </c>
      <c r="C4881" s="2" t="s">
        <v>22</v>
      </c>
      <c r="D4881" s="2" t="s">
        <v>31</v>
      </c>
      <c r="E4881" s="2" t="s">
        <v>12</v>
      </c>
      <c r="F4881" s="2">
        <v>1730.16</v>
      </c>
      <c r="G4881" s="2">
        <v>115.35</v>
      </c>
      <c r="H4881" s="2" t="s">
        <v>19</v>
      </c>
      <c r="I4881" s="2" t="s">
        <v>29</v>
      </c>
    </row>
    <row r="4882" spans="1:9" x14ac:dyDescent="0.35">
      <c r="A4882" s="2" t="s">
        <v>4931</v>
      </c>
      <c r="B4882" s="3">
        <v>45577</v>
      </c>
      <c r="C4882" s="2" t="s">
        <v>16</v>
      </c>
      <c r="D4882" s="2" t="s">
        <v>33</v>
      </c>
      <c r="E4882" s="2" t="s">
        <v>18</v>
      </c>
      <c r="F4882" s="2">
        <v>965.31</v>
      </c>
      <c r="G4882" s="2">
        <v>58.71</v>
      </c>
      <c r="H4882" s="2" t="s">
        <v>13</v>
      </c>
      <c r="I4882" s="2" t="s">
        <v>14</v>
      </c>
    </row>
    <row r="4883" spans="1:9" x14ac:dyDescent="0.35">
      <c r="A4883" s="2" t="s">
        <v>4932</v>
      </c>
      <c r="B4883" s="3">
        <v>45584</v>
      </c>
      <c r="C4883" s="2" t="s">
        <v>10</v>
      </c>
      <c r="D4883" s="2" t="s">
        <v>23</v>
      </c>
      <c r="E4883" s="2" t="s">
        <v>18</v>
      </c>
      <c r="F4883" s="2">
        <v>874.35</v>
      </c>
      <c r="G4883" s="2">
        <v>97.63</v>
      </c>
      <c r="H4883" s="2" t="s">
        <v>19</v>
      </c>
      <c r="I4883" s="2" t="s">
        <v>29</v>
      </c>
    </row>
    <row r="4884" spans="1:9" x14ac:dyDescent="0.35">
      <c r="A4884" s="2" t="s">
        <v>4933</v>
      </c>
      <c r="B4884" s="3">
        <v>44808</v>
      </c>
      <c r="C4884" s="2" t="s">
        <v>22</v>
      </c>
      <c r="D4884" s="2" t="s">
        <v>17</v>
      </c>
      <c r="E4884" s="2" t="s">
        <v>18</v>
      </c>
      <c r="F4884" s="2">
        <v>231.99</v>
      </c>
      <c r="G4884" s="2">
        <v>22.11</v>
      </c>
      <c r="H4884" s="2" t="s">
        <v>28</v>
      </c>
      <c r="I4884" s="2" t="s">
        <v>14</v>
      </c>
    </row>
    <row r="4885" spans="1:9" x14ac:dyDescent="0.35">
      <c r="A4885" s="2" t="s">
        <v>4934</v>
      </c>
      <c r="B4885" s="3">
        <v>45250</v>
      </c>
      <c r="C4885" s="2" t="s">
        <v>16</v>
      </c>
      <c r="D4885" s="2" t="s">
        <v>41</v>
      </c>
      <c r="E4885" s="2" t="s">
        <v>12</v>
      </c>
      <c r="F4885" s="2">
        <v>1630.92</v>
      </c>
      <c r="G4885" s="2">
        <v>396.33</v>
      </c>
      <c r="H4885" s="2" t="s">
        <v>13</v>
      </c>
      <c r="I4885" s="2" t="s">
        <v>20</v>
      </c>
    </row>
    <row r="4886" spans="1:9" x14ac:dyDescent="0.35">
      <c r="A4886" s="2" t="s">
        <v>4935</v>
      </c>
      <c r="B4886" s="3">
        <v>45656</v>
      </c>
      <c r="C4886" s="2" t="s">
        <v>10</v>
      </c>
      <c r="D4886" s="2" t="s">
        <v>57</v>
      </c>
      <c r="E4886" s="2" t="s">
        <v>27</v>
      </c>
      <c r="F4886" s="2">
        <v>1561.21</v>
      </c>
      <c r="G4886" s="2">
        <v>142.74</v>
      </c>
      <c r="H4886" s="2" t="s">
        <v>13</v>
      </c>
      <c r="I4886" s="2" t="s">
        <v>34</v>
      </c>
    </row>
    <row r="4887" spans="1:9" x14ac:dyDescent="0.35">
      <c r="A4887" s="2" t="s">
        <v>4936</v>
      </c>
      <c r="B4887" s="3">
        <v>45070</v>
      </c>
      <c r="C4887" s="2" t="s">
        <v>16</v>
      </c>
      <c r="D4887" s="2" t="s">
        <v>97</v>
      </c>
      <c r="E4887" s="2" t="s">
        <v>27</v>
      </c>
      <c r="F4887" s="2">
        <v>1470.73</v>
      </c>
      <c r="G4887" s="2">
        <v>241.36</v>
      </c>
      <c r="H4887" s="2" t="s">
        <v>19</v>
      </c>
      <c r="I4887" s="2" t="s">
        <v>20</v>
      </c>
    </row>
    <row r="4888" spans="1:9" x14ac:dyDescent="0.35">
      <c r="A4888" s="2" t="s">
        <v>4937</v>
      </c>
      <c r="B4888" s="3">
        <v>44565</v>
      </c>
      <c r="C4888" s="2" t="s">
        <v>16</v>
      </c>
      <c r="D4888" s="2" t="s">
        <v>57</v>
      </c>
      <c r="E4888" s="2" t="s">
        <v>27</v>
      </c>
      <c r="F4888" s="2">
        <v>776.37</v>
      </c>
      <c r="G4888" s="2">
        <v>100.34</v>
      </c>
      <c r="H4888" s="2" t="s">
        <v>19</v>
      </c>
      <c r="I4888" s="2" t="s">
        <v>20</v>
      </c>
    </row>
    <row r="4889" spans="1:9" x14ac:dyDescent="0.35">
      <c r="A4889" s="2" t="s">
        <v>4938</v>
      </c>
      <c r="B4889" s="3">
        <v>45503</v>
      </c>
      <c r="C4889" s="2" t="s">
        <v>25</v>
      </c>
      <c r="D4889" s="2" t="s">
        <v>62</v>
      </c>
      <c r="E4889" s="2" t="s">
        <v>27</v>
      </c>
      <c r="F4889" s="2">
        <v>628.66999999999996</v>
      </c>
      <c r="G4889" s="2">
        <v>118.74</v>
      </c>
      <c r="H4889" s="2" t="s">
        <v>28</v>
      </c>
      <c r="I4889" s="2" t="s">
        <v>29</v>
      </c>
    </row>
    <row r="4890" spans="1:9" x14ac:dyDescent="0.35">
      <c r="A4890" s="2" t="s">
        <v>4939</v>
      </c>
      <c r="B4890" s="3">
        <v>45322</v>
      </c>
      <c r="C4890" s="2" t="s">
        <v>16</v>
      </c>
      <c r="D4890" s="2" t="s">
        <v>97</v>
      </c>
      <c r="E4890" s="2" t="s">
        <v>27</v>
      </c>
      <c r="F4890" s="2">
        <v>1041.8599999999999</v>
      </c>
      <c r="G4890" s="2">
        <v>208.85</v>
      </c>
      <c r="H4890" s="2" t="s">
        <v>13</v>
      </c>
      <c r="I4890" s="2" t="s">
        <v>29</v>
      </c>
    </row>
    <row r="4891" spans="1:9" x14ac:dyDescent="0.35">
      <c r="A4891" s="2" t="s">
        <v>4940</v>
      </c>
      <c r="B4891" s="3">
        <v>45236</v>
      </c>
      <c r="C4891" s="2" t="s">
        <v>25</v>
      </c>
      <c r="D4891" s="2" t="s">
        <v>38</v>
      </c>
      <c r="E4891" s="2" t="s">
        <v>12</v>
      </c>
      <c r="F4891" s="2">
        <v>1342.72</v>
      </c>
      <c r="G4891" s="2">
        <v>376.5</v>
      </c>
      <c r="H4891" s="2" t="s">
        <v>19</v>
      </c>
      <c r="I4891" s="2" t="s">
        <v>29</v>
      </c>
    </row>
    <row r="4892" spans="1:9" x14ac:dyDescent="0.35">
      <c r="A4892" s="2" t="s">
        <v>4941</v>
      </c>
      <c r="B4892" s="3">
        <v>44775</v>
      </c>
      <c r="C4892" s="2" t="s">
        <v>25</v>
      </c>
      <c r="D4892" s="2" t="s">
        <v>17</v>
      </c>
      <c r="E4892" s="2" t="s">
        <v>18</v>
      </c>
      <c r="F4892" s="2">
        <v>1702.69</v>
      </c>
      <c r="G4892" s="2">
        <v>255.83</v>
      </c>
      <c r="H4892" s="2" t="s">
        <v>19</v>
      </c>
      <c r="I4892" s="2" t="s">
        <v>14</v>
      </c>
    </row>
    <row r="4893" spans="1:9" x14ac:dyDescent="0.35">
      <c r="A4893" s="2" t="s">
        <v>4942</v>
      </c>
      <c r="B4893" s="3">
        <v>44852</v>
      </c>
      <c r="C4893" s="2" t="s">
        <v>22</v>
      </c>
      <c r="D4893" s="2" t="s">
        <v>33</v>
      </c>
      <c r="E4893" s="2" t="s">
        <v>18</v>
      </c>
      <c r="F4893" s="2">
        <v>1382.28</v>
      </c>
      <c r="G4893" s="2">
        <v>170.02</v>
      </c>
      <c r="H4893" s="2" t="s">
        <v>28</v>
      </c>
      <c r="I4893" s="2" t="s">
        <v>34</v>
      </c>
    </row>
    <row r="4894" spans="1:9" x14ac:dyDescent="0.35">
      <c r="A4894" s="2" t="s">
        <v>4943</v>
      </c>
      <c r="B4894" s="3">
        <v>45430</v>
      </c>
      <c r="C4894" s="2" t="s">
        <v>25</v>
      </c>
      <c r="D4894" s="2" t="s">
        <v>97</v>
      </c>
      <c r="E4894" s="2" t="s">
        <v>27</v>
      </c>
      <c r="F4894" s="2">
        <v>772.45</v>
      </c>
      <c r="G4894" s="2">
        <v>179.71</v>
      </c>
      <c r="H4894" s="2" t="s">
        <v>19</v>
      </c>
      <c r="I4894" s="2" t="s">
        <v>14</v>
      </c>
    </row>
    <row r="4895" spans="1:9" x14ac:dyDescent="0.35">
      <c r="A4895" s="2" t="s">
        <v>4944</v>
      </c>
      <c r="B4895" s="3">
        <v>45405</v>
      </c>
      <c r="C4895" s="2" t="s">
        <v>25</v>
      </c>
      <c r="D4895" s="2" t="s">
        <v>95</v>
      </c>
      <c r="E4895" s="2" t="s">
        <v>18</v>
      </c>
      <c r="F4895" s="2">
        <v>118.07</v>
      </c>
      <c r="G4895" s="2">
        <v>24.44</v>
      </c>
      <c r="H4895" s="2" t="s">
        <v>19</v>
      </c>
      <c r="I4895" s="2" t="s">
        <v>20</v>
      </c>
    </row>
    <row r="4896" spans="1:9" x14ac:dyDescent="0.35">
      <c r="A4896" s="2" t="s">
        <v>4945</v>
      </c>
      <c r="B4896" s="3">
        <v>44965</v>
      </c>
      <c r="C4896" s="2" t="s">
        <v>22</v>
      </c>
      <c r="D4896" s="2" t="s">
        <v>46</v>
      </c>
      <c r="E4896" s="2" t="s">
        <v>18</v>
      </c>
      <c r="F4896" s="2">
        <v>107.11</v>
      </c>
      <c r="G4896" s="2">
        <v>30.44</v>
      </c>
      <c r="H4896" s="2" t="s">
        <v>19</v>
      </c>
      <c r="I4896" s="2" t="s">
        <v>14</v>
      </c>
    </row>
    <row r="4897" spans="1:9" x14ac:dyDescent="0.35">
      <c r="A4897" s="2" t="s">
        <v>4946</v>
      </c>
      <c r="B4897" s="3">
        <v>44848</v>
      </c>
      <c r="C4897" s="2" t="s">
        <v>16</v>
      </c>
      <c r="D4897" s="2" t="s">
        <v>41</v>
      </c>
      <c r="E4897" s="2" t="s">
        <v>12</v>
      </c>
      <c r="F4897" s="2">
        <v>174</v>
      </c>
      <c r="G4897" s="2">
        <v>47.75</v>
      </c>
      <c r="H4897" s="2" t="s">
        <v>19</v>
      </c>
      <c r="I4897" s="2" t="s">
        <v>34</v>
      </c>
    </row>
    <row r="4898" spans="1:9" x14ac:dyDescent="0.35">
      <c r="A4898" s="2" t="s">
        <v>4947</v>
      </c>
      <c r="B4898" s="3">
        <v>44831</v>
      </c>
      <c r="C4898" s="2" t="s">
        <v>16</v>
      </c>
      <c r="D4898" s="2" t="s">
        <v>41</v>
      </c>
      <c r="E4898" s="2" t="s">
        <v>12</v>
      </c>
      <c r="F4898" s="2">
        <v>1898.75</v>
      </c>
      <c r="G4898" s="2">
        <v>148.57</v>
      </c>
      <c r="H4898" s="2" t="s">
        <v>13</v>
      </c>
      <c r="I4898" s="2" t="s">
        <v>20</v>
      </c>
    </row>
    <row r="4899" spans="1:9" x14ac:dyDescent="0.35">
      <c r="A4899" s="2" t="s">
        <v>4949</v>
      </c>
      <c r="B4899" s="3">
        <v>44935</v>
      </c>
      <c r="C4899" s="2" t="s">
        <v>16</v>
      </c>
      <c r="D4899" s="2" t="s">
        <v>97</v>
      </c>
      <c r="E4899" s="2" t="s">
        <v>27</v>
      </c>
      <c r="F4899" s="2">
        <v>1562.95</v>
      </c>
      <c r="G4899" s="2">
        <v>162.13</v>
      </c>
      <c r="H4899" s="2" t="s">
        <v>19</v>
      </c>
      <c r="I4899" s="2" t="s">
        <v>34</v>
      </c>
    </row>
    <row r="4900" spans="1:9" x14ac:dyDescent="0.35">
      <c r="A4900" s="2" t="s">
        <v>4950</v>
      </c>
      <c r="B4900" s="3">
        <v>45656</v>
      </c>
      <c r="C4900" s="2" t="s">
        <v>10</v>
      </c>
      <c r="D4900" s="2" t="s">
        <v>50</v>
      </c>
      <c r="E4900" s="2" t="s">
        <v>12</v>
      </c>
      <c r="F4900" s="2">
        <v>90.22</v>
      </c>
      <c r="G4900" s="2">
        <v>5.63</v>
      </c>
      <c r="H4900" s="2" t="s">
        <v>19</v>
      </c>
      <c r="I4900" s="2" t="s">
        <v>34</v>
      </c>
    </row>
    <row r="4901" spans="1:9" x14ac:dyDescent="0.35">
      <c r="A4901" s="2" t="s">
        <v>4951</v>
      </c>
      <c r="B4901" s="3">
        <v>45556</v>
      </c>
      <c r="C4901" s="2" t="s">
        <v>22</v>
      </c>
      <c r="D4901" s="2" t="s">
        <v>17</v>
      </c>
      <c r="E4901" s="2" t="s">
        <v>18</v>
      </c>
      <c r="F4901" s="2">
        <v>797.13</v>
      </c>
      <c r="G4901" s="2">
        <v>40.25</v>
      </c>
      <c r="H4901" s="2" t="s">
        <v>28</v>
      </c>
      <c r="I4901" s="2" t="s">
        <v>14</v>
      </c>
    </row>
    <row r="4902" spans="1:9" x14ac:dyDescent="0.35">
      <c r="A4902" s="2" t="s">
        <v>4952</v>
      </c>
      <c r="B4902" s="3">
        <v>45315</v>
      </c>
      <c r="C4902" s="2" t="s">
        <v>10</v>
      </c>
      <c r="D4902" s="2" t="s">
        <v>31</v>
      </c>
      <c r="E4902" s="2" t="s">
        <v>12</v>
      </c>
      <c r="F4902" s="2">
        <v>998.39</v>
      </c>
      <c r="G4902" s="2">
        <v>145.5</v>
      </c>
      <c r="H4902" s="2" t="s">
        <v>13</v>
      </c>
      <c r="I4902" s="2" t="s">
        <v>14</v>
      </c>
    </row>
    <row r="4903" spans="1:9" x14ac:dyDescent="0.35">
      <c r="A4903" s="2" t="s">
        <v>4953</v>
      </c>
      <c r="B4903" s="3">
        <v>44964</v>
      </c>
      <c r="C4903" s="2" t="s">
        <v>25</v>
      </c>
      <c r="D4903" s="2" t="s">
        <v>11</v>
      </c>
      <c r="E4903" s="2" t="s">
        <v>12</v>
      </c>
      <c r="F4903" s="2">
        <v>1891.9</v>
      </c>
      <c r="G4903" s="2">
        <v>523.91</v>
      </c>
      <c r="H4903" s="2" t="s">
        <v>13</v>
      </c>
      <c r="I4903" s="2" t="s">
        <v>20</v>
      </c>
    </row>
    <row r="4904" spans="1:9" x14ac:dyDescent="0.35">
      <c r="A4904" s="2" t="s">
        <v>4954</v>
      </c>
      <c r="B4904" s="3">
        <v>44684</v>
      </c>
      <c r="C4904" s="2" t="s">
        <v>25</v>
      </c>
      <c r="D4904" s="2" t="s">
        <v>57</v>
      </c>
      <c r="E4904" s="2" t="s">
        <v>27</v>
      </c>
      <c r="F4904" s="2">
        <v>382.86</v>
      </c>
      <c r="G4904" s="2">
        <v>74.5</v>
      </c>
      <c r="H4904" s="2" t="s">
        <v>13</v>
      </c>
      <c r="I4904" s="2" t="s">
        <v>34</v>
      </c>
    </row>
    <row r="4905" spans="1:9" x14ac:dyDescent="0.35">
      <c r="A4905" s="2" t="s">
        <v>4955</v>
      </c>
      <c r="B4905" s="3">
        <v>45621</v>
      </c>
      <c r="C4905" s="2" t="s">
        <v>10</v>
      </c>
      <c r="D4905" s="2" t="s">
        <v>41</v>
      </c>
      <c r="E4905" s="2" t="s">
        <v>12</v>
      </c>
      <c r="F4905" s="2">
        <v>134.72</v>
      </c>
      <c r="G4905" s="2">
        <v>39.72</v>
      </c>
      <c r="H4905" s="2" t="s">
        <v>28</v>
      </c>
      <c r="I4905" s="2" t="s">
        <v>29</v>
      </c>
    </row>
    <row r="4906" spans="1:9" x14ac:dyDescent="0.35">
      <c r="A4906" s="2" t="s">
        <v>4956</v>
      </c>
      <c r="B4906" s="3">
        <v>45343</v>
      </c>
      <c r="C4906" s="2" t="s">
        <v>25</v>
      </c>
      <c r="D4906" s="2" t="s">
        <v>23</v>
      </c>
      <c r="E4906" s="2" t="s">
        <v>18</v>
      </c>
      <c r="F4906" s="2">
        <v>1480.41</v>
      </c>
      <c r="G4906" s="2">
        <v>264.98</v>
      </c>
      <c r="H4906" s="2" t="s">
        <v>19</v>
      </c>
      <c r="I4906" s="2" t="s">
        <v>20</v>
      </c>
    </row>
    <row r="4907" spans="1:9" x14ac:dyDescent="0.35">
      <c r="A4907" s="2" t="s">
        <v>4957</v>
      </c>
      <c r="B4907" s="3">
        <v>45579</v>
      </c>
      <c r="C4907" s="2" t="s">
        <v>22</v>
      </c>
      <c r="D4907" s="2" t="s">
        <v>46</v>
      </c>
      <c r="E4907" s="2" t="s">
        <v>18</v>
      </c>
      <c r="F4907" s="2">
        <v>1328.74</v>
      </c>
      <c r="G4907" s="2">
        <v>303.38</v>
      </c>
      <c r="H4907" s="2" t="s">
        <v>19</v>
      </c>
      <c r="I4907" s="2" t="s">
        <v>20</v>
      </c>
    </row>
    <row r="4908" spans="1:9" x14ac:dyDescent="0.35">
      <c r="A4908" s="2" t="s">
        <v>4958</v>
      </c>
      <c r="B4908" s="3">
        <v>45364</v>
      </c>
      <c r="C4908" s="2" t="s">
        <v>16</v>
      </c>
      <c r="D4908" s="2" t="s">
        <v>23</v>
      </c>
      <c r="E4908" s="2" t="s">
        <v>18</v>
      </c>
      <c r="F4908" s="2">
        <v>942.57</v>
      </c>
      <c r="G4908" s="2">
        <v>57.96</v>
      </c>
      <c r="H4908" s="2" t="s">
        <v>13</v>
      </c>
      <c r="I4908" s="2" t="s">
        <v>20</v>
      </c>
    </row>
    <row r="4909" spans="1:9" x14ac:dyDescent="0.35">
      <c r="A4909" s="2" t="s">
        <v>4959</v>
      </c>
      <c r="B4909" s="3">
        <v>44605</v>
      </c>
      <c r="C4909" s="2" t="s">
        <v>25</v>
      </c>
      <c r="D4909" s="2" t="s">
        <v>46</v>
      </c>
      <c r="E4909" s="2" t="s">
        <v>18</v>
      </c>
      <c r="F4909" s="2">
        <v>352.25</v>
      </c>
      <c r="G4909" s="2">
        <v>41.52</v>
      </c>
      <c r="H4909" s="2" t="s">
        <v>28</v>
      </c>
      <c r="I4909" s="2" t="s">
        <v>34</v>
      </c>
    </row>
    <row r="4910" spans="1:9" x14ac:dyDescent="0.35">
      <c r="A4910" s="2" t="s">
        <v>4960</v>
      </c>
      <c r="B4910" s="3">
        <v>44709</v>
      </c>
      <c r="C4910" s="2" t="s">
        <v>16</v>
      </c>
      <c r="D4910" s="2" t="s">
        <v>23</v>
      </c>
      <c r="E4910" s="2" t="s">
        <v>18</v>
      </c>
      <c r="F4910" s="2">
        <v>858.69</v>
      </c>
      <c r="G4910" s="2">
        <v>159.47999999999999</v>
      </c>
      <c r="H4910" s="2" t="s">
        <v>28</v>
      </c>
      <c r="I4910" s="2" t="s">
        <v>29</v>
      </c>
    </row>
    <row r="4911" spans="1:9" x14ac:dyDescent="0.35">
      <c r="A4911" s="2" t="s">
        <v>4961</v>
      </c>
      <c r="B4911" s="3">
        <v>45360</v>
      </c>
      <c r="C4911" s="2" t="s">
        <v>25</v>
      </c>
      <c r="D4911" s="2" t="s">
        <v>73</v>
      </c>
      <c r="E4911" s="2" t="s">
        <v>27</v>
      </c>
      <c r="F4911" s="2">
        <v>957.09</v>
      </c>
      <c r="G4911" s="2">
        <v>248.17</v>
      </c>
      <c r="H4911" s="2" t="s">
        <v>13</v>
      </c>
      <c r="I4911" s="2" t="s">
        <v>34</v>
      </c>
    </row>
    <row r="4912" spans="1:9" x14ac:dyDescent="0.35">
      <c r="A4912" s="2" t="s">
        <v>4962</v>
      </c>
      <c r="B4912" s="3">
        <v>45151</v>
      </c>
      <c r="C4912" s="2" t="s">
        <v>25</v>
      </c>
      <c r="D4912" s="2" t="s">
        <v>97</v>
      </c>
      <c r="E4912" s="2" t="s">
        <v>27</v>
      </c>
      <c r="F4912" s="2">
        <v>1041.53</v>
      </c>
      <c r="G4912" s="2">
        <v>148.38</v>
      </c>
      <c r="H4912" s="2" t="s">
        <v>19</v>
      </c>
      <c r="I4912" s="2" t="s">
        <v>29</v>
      </c>
    </row>
    <row r="4913" spans="1:9" x14ac:dyDescent="0.35">
      <c r="A4913" s="2" t="s">
        <v>4963</v>
      </c>
      <c r="B4913" s="3">
        <v>45115</v>
      </c>
      <c r="C4913" s="2" t="s">
        <v>22</v>
      </c>
      <c r="D4913" s="2" t="s">
        <v>97</v>
      </c>
      <c r="E4913" s="2" t="s">
        <v>27</v>
      </c>
      <c r="F4913" s="2">
        <v>68.150000000000006</v>
      </c>
      <c r="G4913" s="2">
        <v>9.23</v>
      </c>
      <c r="H4913" s="2" t="s">
        <v>19</v>
      </c>
      <c r="I4913" s="2" t="s">
        <v>20</v>
      </c>
    </row>
    <row r="4914" spans="1:9" x14ac:dyDescent="0.35">
      <c r="A4914" s="2" t="s">
        <v>4964</v>
      </c>
      <c r="B4914" s="3">
        <v>44688</v>
      </c>
      <c r="C4914" s="2" t="s">
        <v>16</v>
      </c>
      <c r="D4914" s="2" t="s">
        <v>26</v>
      </c>
      <c r="E4914" s="2" t="s">
        <v>27</v>
      </c>
      <c r="F4914" s="2">
        <v>335.45</v>
      </c>
      <c r="G4914" s="2">
        <v>33.56</v>
      </c>
      <c r="H4914" s="2" t="s">
        <v>28</v>
      </c>
      <c r="I4914" s="2" t="s">
        <v>20</v>
      </c>
    </row>
    <row r="4915" spans="1:9" x14ac:dyDescent="0.35">
      <c r="A4915" s="2" t="s">
        <v>4965</v>
      </c>
      <c r="B4915" s="3">
        <v>44772</v>
      </c>
      <c r="C4915" s="2" t="s">
        <v>22</v>
      </c>
      <c r="D4915" s="2" t="s">
        <v>23</v>
      </c>
      <c r="E4915" s="2" t="s">
        <v>18</v>
      </c>
      <c r="F4915" s="2">
        <v>1306.3699999999999</v>
      </c>
      <c r="G4915" s="2">
        <v>261.63</v>
      </c>
      <c r="H4915" s="2" t="s">
        <v>19</v>
      </c>
      <c r="I4915" s="2" t="s">
        <v>20</v>
      </c>
    </row>
    <row r="4916" spans="1:9" x14ac:dyDescent="0.35">
      <c r="A4916" s="2" t="s">
        <v>4966</v>
      </c>
      <c r="B4916" s="3">
        <v>44883</v>
      </c>
      <c r="C4916" s="2" t="s">
        <v>10</v>
      </c>
      <c r="D4916" s="2" t="s">
        <v>23</v>
      </c>
      <c r="E4916" s="2" t="s">
        <v>18</v>
      </c>
      <c r="F4916" s="2">
        <v>270.45999999999998</v>
      </c>
      <c r="G4916" s="2">
        <v>70.900000000000006</v>
      </c>
      <c r="H4916" s="2" t="s">
        <v>19</v>
      </c>
      <c r="I4916" s="2" t="s">
        <v>29</v>
      </c>
    </row>
    <row r="4917" spans="1:9" x14ac:dyDescent="0.35">
      <c r="A4917" s="2" t="s">
        <v>4967</v>
      </c>
      <c r="B4917" s="3">
        <v>45072</v>
      </c>
      <c r="C4917" s="2" t="s">
        <v>22</v>
      </c>
      <c r="D4917" s="2" t="s">
        <v>23</v>
      </c>
      <c r="E4917" s="2" t="s">
        <v>18</v>
      </c>
      <c r="F4917" s="2">
        <v>706.41</v>
      </c>
      <c r="G4917" s="2">
        <v>202.7</v>
      </c>
      <c r="H4917" s="2" t="s">
        <v>28</v>
      </c>
      <c r="I4917" s="2" t="s">
        <v>14</v>
      </c>
    </row>
    <row r="4918" spans="1:9" x14ac:dyDescent="0.35">
      <c r="A4918" s="2" t="s">
        <v>4968</v>
      </c>
      <c r="B4918" s="3">
        <v>44863</v>
      </c>
      <c r="C4918" s="2" t="s">
        <v>16</v>
      </c>
      <c r="D4918" s="2" t="s">
        <v>17</v>
      </c>
      <c r="E4918" s="2" t="s">
        <v>18</v>
      </c>
      <c r="F4918" s="2">
        <v>696.38</v>
      </c>
      <c r="G4918" s="2">
        <v>119.33</v>
      </c>
      <c r="H4918" s="2" t="s">
        <v>19</v>
      </c>
      <c r="I4918" s="2" t="s">
        <v>14</v>
      </c>
    </row>
    <row r="4919" spans="1:9" x14ac:dyDescent="0.35">
      <c r="A4919" s="2" t="s">
        <v>4969</v>
      </c>
      <c r="B4919" s="3">
        <v>44751</v>
      </c>
      <c r="C4919" s="2" t="s">
        <v>22</v>
      </c>
      <c r="D4919" s="2" t="s">
        <v>11</v>
      </c>
      <c r="E4919" s="2" t="s">
        <v>12</v>
      </c>
      <c r="F4919" s="2">
        <v>1481.04</v>
      </c>
      <c r="G4919" s="2">
        <v>146.72999999999999</v>
      </c>
      <c r="H4919" s="2" t="s">
        <v>13</v>
      </c>
      <c r="I4919" s="2" t="s">
        <v>14</v>
      </c>
    </row>
    <row r="4920" spans="1:9" x14ac:dyDescent="0.35">
      <c r="A4920" s="2" t="s">
        <v>4970</v>
      </c>
      <c r="B4920" s="3">
        <v>45399</v>
      </c>
      <c r="C4920" s="2" t="s">
        <v>10</v>
      </c>
      <c r="D4920" s="2" t="s">
        <v>11</v>
      </c>
      <c r="E4920" s="2" t="s">
        <v>12</v>
      </c>
      <c r="F4920" s="2">
        <v>1401.37</v>
      </c>
      <c r="G4920" s="2">
        <v>389.21</v>
      </c>
      <c r="H4920" s="2" t="s">
        <v>13</v>
      </c>
      <c r="I4920" s="2" t="s">
        <v>14</v>
      </c>
    </row>
    <row r="4921" spans="1:9" x14ac:dyDescent="0.35">
      <c r="A4921" s="2" t="s">
        <v>4971</v>
      </c>
      <c r="B4921" s="3">
        <v>45150</v>
      </c>
      <c r="C4921" s="2" t="s">
        <v>25</v>
      </c>
      <c r="D4921" s="2" t="s">
        <v>97</v>
      </c>
      <c r="E4921" s="2" t="s">
        <v>27</v>
      </c>
      <c r="F4921" s="2">
        <v>1696.13</v>
      </c>
      <c r="G4921" s="2">
        <v>290.10000000000002</v>
      </c>
      <c r="H4921" s="2" t="s">
        <v>19</v>
      </c>
      <c r="I4921" s="2" t="s">
        <v>14</v>
      </c>
    </row>
    <row r="4922" spans="1:9" x14ac:dyDescent="0.35">
      <c r="A4922" s="2" t="s">
        <v>4972</v>
      </c>
      <c r="B4922" s="3">
        <v>44924</v>
      </c>
      <c r="C4922" s="2" t="s">
        <v>25</v>
      </c>
      <c r="D4922" s="2" t="s">
        <v>11</v>
      </c>
      <c r="E4922" s="2" t="s">
        <v>12</v>
      </c>
      <c r="F4922" s="2">
        <v>1468.97</v>
      </c>
      <c r="G4922" s="2">
        <v>288.62</v>
      </c>
      <c r="H4922" s="2" t="s">
        <v>13</v>
      </c>
      <c r="I4922" s="2" t="s">
        <v>20</v>
      </c>
    </row>
    <row r="4923" spans="1:9" x14ac:dyDescent="0.35">
      <c r="A4923" s="2" t="s">
        <v>4973</v>
      </c>
      <c r="B4923" s="3">
        <v>44853</v>
      </c>
      <c r="C4923" s="2" t="s">
        <v>10</v>
      </c>
      <c r="D4923" s="2" t="s">
        <v>62</v>
      </c>
      <c r="E4923" s="2" t="s">
        <v>27</v>
      </c>
      <c r="F4923" s="2">
        <v>581.57000000000005</v>
      </c>
      <c r="G4923" s="2">
        <v>87.53</v>
      </c>
      <c r="H4923" s="2" t="s">
        <v>28</v>
      </c>
      <c r="I4923" s="2" t="s">
        <v>29</v>
      </c>
    </row>
    <row r="4924" spans="1:9" x14ac:dyDescent="0.35">
      <c r="A4924" s="2" t="s">
        <v>4974</v>
      </c>
      <c r="B4924" s="3">
        <v>45047</v>
      </c>
      <c r="C4924" s="2" t="s">
        <v>16</v>
      </c>
      <c r="D4924" s="2" t="s">
        <v>57</v>
      </c>
      <c r="E4924" s="2" t="s">
        <v>27</v>
      </c>
      <c r="F4924" s="2">
        <v>1790.2</v>
      </c>
      <c r="G4924" s="2">
        <v>240.97</v>
      </c>
      <c r="H4924" s="2" t="s">
        <v>28</v>
      </c>
      <c r="I4924" s="2" t="s">
        <v>34</v>
      </c>
    </row>
    <row r="4925" spans="1:9" x14ac:dyDescent="0.35">
      <c r="A4925" s="2" t="s">
        <v>4975</v>
      </c>
      <c r="B4925" s="3">
        <v>44891</v>
      </c>
      <c r="C4925" s="2" t="s">
        <v>25</v>
      </c>
      <c r="D4925" s="2" t="s">
        <v>33</v>
      </c>
      <c r="E4925" s="2" t="s">
        <v>18</v>
      </c>
      <c r="F4925" s="2">
        <v>892.86</v>
      </c>
      <c r="G4925" s="2">
        <v>254.5</v>
      </c>
      <c r="H4925" s="2" t="s">
        <v>28</v>
      </c>
      <c r="I4925" s="2" t="s">
        <v>14</v>
      </c>
    </row>
    <row r="4926" spans="1:9" x14ac:dyDescent="0.35">
      <c r="A4926" s="2" t="s">
        <v>4976</v>
      </c>
      <c r="B4926" s="3">
        <v>44796</v>
      </c>
      <c r="C4926" s="2" t="s">
        <v>25</v>
      </c>
      <c r="D4926" s="2" t="s">
        <v>57</v>
      </c>
      <c r="E4926" s="2" t="s">
        <v>27</v>
      </c>
      <c r="F4926" s="2">
        <v>1125.6500000000001</v>
      </c>
      <c r="G4926" s="2">
        <v>250.06</v>
      </c>
      <c r="H4926" s="2" t="s">
        <v>28</v>
      </c>
      <c r="I4926" s="2" t="s">
        <v>14</v>
      </c>
    </row>
    <row r="4927" spans="1:9" x14ac:dyDescent="0.35">
      <c r="A4927" s="2" t="s">
        <v>4977</v>
      </c>
      <c r="B4927" s="3">
        <v>45154</v>
      </c>
      <c r="C4927" s="2" t="s">
        <v>22</v>
      </c>
      <c r="D4927" s="2" t="s">
        <v>73</v>
      </c>
      <c r="E4927" s="2" t="s">
        <v>27</v>
      </c>
      <c r="F4927" s="2">
        <v>1015.04</v>
      </c>
      <c r="G4927" s="2">
        <v>148.47999999999999</v>
      </c>
      <c r="H4927" s="2" t="s">
        <v>19</v>
      </c>
      <c r="I4927" s="2" t="s">
        <v>29</v>
      </c>
    </row>
    <row r="4928" spans="1:9" x14ac:dyDescent="0.35">
      <c r="A4928" s="2" t="s">
        <v>4978</v>
      </c>
      <c r="B4928" s="3">
        <v>45484</v>
      </c>
      <c r="C4928" s="2" t="s">
        <v>16</v>
      </c>
      <c r="D4928" s="2" t="s">
        <v>97</v>
      </c>
      <c r="E4928" s="2" t="s">
        <v>27</v>
      </c>
      <c r="F4928" s="2">
        <v>1109.48</v>
      </c>
      <c r="G4928" s="2">
        <v>135.72999999999999</v>
      </c>
      <c r="H4928" s="2" t="s">
        <v>13</v>
      </c>
      <c r="I4928" s="2" t="s">
        <v>20</v>
      </c>
    </row>
    <row r="4929" spans="1:9" x14ac:dyDescent="0.35">
      <c r="A4929" s="2" t="s">
        <v>4979</v>
      </c>
      <c r="B4929" s="3">
        <v>44979</v>
      </c>
      <c r="C4929" s="2" t="s">
        <v>25</v>
      </c>
      <c r="D4929" s="2" t="s">
        <v>41</v>
      </c>
      <c r="E4929" s="2" t="s">
        <v>12</v>
      </c>
      <c r="F4929" s="2">
        <v>1457.2</v>
      </c>
      <c r="G4929" s="2">
        <v>148.43</v>
      </c>
      <c r="H4929" s="2" t="s">
        <v>28</v>
      </c>
      <c r="I4929" s="2" t="s">
        <v>34</v>
      </c>
    </row>
    <row r="4930" spans="1:9" x14ac:dyDescent="0.35">
      <c r="A4930" s="2" t="s">
        <v>4980</v>
      </c>
      <c r="B4930" s="3">
        <v>45245</v>
      </c>
      <c r="C4930" s="2" t="s">
        <v>22</v>
      </c>
      <c r="D4930" s="2" t="s">
        <v>11</v>
      </c>
      <c r="E4930" s="2" t="s">
        <v>12</v>
      </c>
      <c r="F4930" s="2">
        <v>1456.43</v>
      </c>
      <c r="G4930" s="2">
        <v>137.93</v>
      </c>
      <c r="H4930" s="2" t="s">
        <v>19</v>
      </c>
      <c r="I4930" s="2" t="s">
        <v>29</v>
      </c>
    </row>
    <row r="4931" spans="1:9" x14ac:dyDescent="0.35">
      <c r="A4931" s="2" t="s">
        <v>4981</v>
      </c>
      <c r="B4931" s="3">
        <v>45172</v>
      </c>
      <c r="C4931" s="2" t="s">
        <v>22</v>
      </c>
      <c r="D4931" s="2" t="s">
        <v>57</v>
      </c>
      <c r="E4931" s="2" t="s">
        <v>27</v>
      </c>
      <c r="F4931" s="2">
        <v>576.9</v>
      </c>
      <c r="G4931" s="2">
        <v>135.44</v>
      </c>
      <c r="H4931" s="2" t="s">
        <v>19</v>
      </c>
      <c r="I4931" s="2" t="s">
        <v>14</v>
      </c>
    </row>
    <row r="4932" spans="1:9" x14ac:dyDescent="0.35">
      <c r="A4932" s="2" t="s">
        <v>4982</v>
      </c>
      <c r="B4932" s="3">
        <v>45228</v>
      </c>
      <c r="C4932" s="2" t="s">
        <v>10</v>
      </c>
      <c r="D4932" s="2" t="s">
        <v>11</v>
      </c>
      <c r="E4932" s="2" t="s">
        <v>12</v>
      </c>
      <c r="F4932" s="2">
        <v>164.25</v>
      </c>
      <c r="G4932" s="2">
        <v>33.04</v>
      </c>
      <c r="H4932" s="2" t="s">
        <v>28</v>
      </c>
      <c r="I4932" s="2" t="s">
        <v>20</v>
      </c>
    </row>
    <row r="4933" spans="1:9" x14ac:dyDescent="0.35">
      <c r="A4933" s="2" t="s">
        <v>4983</v>
      </c>
      <c r="B4933" s="3">
        <v>45481</v>
      </c>
      <c r="C4933" s="2" t="s">
        <v>22</v>
      </c>
      <c r="D4933" s="2" t="s">
        <v>41</v>
      </c>
      <c r="E4933" s="2" t="s">
        <v>12</v>
      </c>
      <c r="F4933" s="2">
        <v>498.93</v>
      </c>
      <c r="G4933" s="2">
        <v>99.62</v>
      </c>
      <c r="H4933" s="2" t="s">
        <v>13</v>
      </c>
      <c r="I4933" s="2" t="s">
        <v>20</v>
      </c>
    </row>
    <row r="4934" spans="1:9" x14ac:dyDescent="0.35">
      <c r="A4934" s="2" t="s">
        <v>4984</v>
      </c>
      <c r="B4934" s="3">
        <v>45221</v>
      </c>
      <c r="C4934" s="2" t="s">
        <v>25</v>
      </c>
      <c r="D4934" s="2" t="s">
        <v>46</v>
      </c>
      <c r="E4934" s="2" t="s">
        <v>18</v>
      </c>
      <c r="F4934" s="2">
        <v>1604.4</v>
      </c>
      <c r="G4934" s="2">
        <v>98.57</v>
      </c>
      <c r="H4934" s="2" t="s">
        <v>28</v>
      </c>
      <c r="I4934" s="2" t="s">
        <v>34</v>
      </c>
    </row>
    <row r="4935" spans="1:9" x14ac:dyDescent="0.35">
      <c r="A4935" s="2" t="s">
        <v>4985</v>
      </c>
      <c r="B4935" s="3">
        <v>44654</v>
      </c>
      <c r="C4935" s="2" t="s">
        <v>10</v>
      </c>
      <c r="D4935" s="2" t="s">
        <v>95</v>
      </c>
      <c r="E4935" s="2" t="s">
        <v>18</v>
      </c>
      <c r="F4935" s="2">
        <v>877.29</v>
      </c>
      <c r="G4935" s="2">
        <v>228</v>
      </c>
      <c r="H4935" s="2" t="s">
        <v>28</v>
      </c>
      <c r="I4935" s="2" t="s">
        <v>34</v>
      </c>
    </row>
    <row r="4936" spans="1:9" x14ac:dyDescent="0.35">
      <c r="A4936" s="2" t="s">
        <v>4986</v>
      </c>
      <c r="B4936" s="3">
        <v>45627</v>
      </c>
      <c r="C4936" s="2" t="s">
        <v>16</v>
      </c>
      <c r="D4936" s="2" t="s">
        <v>26</v>
      </c>
      <c r="E4936" s="2" t="s">
        <v>27</v>
      </c>
      <c r="F4936" s="2">
        <v>475.86</v>
      </c>
      <c r="G4936" s="2">
        <v>44.57</v>
      </c>
      <c r="H4936" s="2" t="s">
        <v>13</v>
      </c>
      <c r="I4936" s="2" t="s">
        <v>29</v>
      </c>
    </row>
    <row r="4937" spans="1:9" x14ac:dyDescent="0.35">
      <c r="A4937" s="2" t="s">
        <v>4987</v>
      </c>
      <c r="B4937" s="3">
        <v>45241</v>
      </c>
      <c r="C4937" s="2" t="s">
        <v>10</v>
      </c>
      <c r="D4937" s="2" t="s">
        <v>31</v>
      </c>
      <c r="E4937" s="2" t="s">
        <v>12</v>
      </c>
      <c r="F4937" s="2">
        <v>1427.93</v>
      </c>
      <c r="G4937" s="2">
        <v>412.2</v>
      </c>
      <c r="H4937" s="2" t="s">
        <v>28</v>
      </c>
      <c r="I4937" s="2" t="s">
        <v>34</v>
      </c>
    </row>
    <row r="4938" spans="1:9" x14ac:dyDescent="0.35">
      <c r="A4938" s="2" t="s">
        <v>4988</v>
      </c>
      <c r="B4938" s="3">
        <v>44747</v>
      </c>
      <c r="C4938" s="2" t="s">
        <v>25</v>
      </c>
      <c r="D4938" s="2" t="s">
        <v>46</v>
      </c>
      <c r="E4938" s="2" t="s">
        <v>18</v>
      </c>
      <c r="F4938" s="2">
        <v>1590.08</v>
      </c>
      <c r="G4938" s="2">
        <v>259.66000000000003</v>
      </c>
      <c r="H4938" s="2" t="s">
        <v>19</v>
      </c>
      <c r="I4938" s="2" t="s">
        <v>20</v>
      </c>
    </row>
    <row r="4939" spans="1:9" x14ac:dyDescent="0.35">
      <c r="A4939" s="2" t="s">
        <v>4989</v>
      </c>
      <c r="B4939" s="3">
        <v>44691</v>
      </c>
      <c r="C4939" s="2" t="s">
        <v>16</v>
      </c>
      <c r="D4939" s="2" t="s">
        <v>26</v>
      </c>
      <c r="E4939" s="2" t="s">
        <v>27</v>
      </c>
      <c r="F4939" s="2">
        <v>1000.38</v>
      </c>
      <c r="G4939" s="2">
        <v>160.46</v>
      </c>
      <c r="H4939" s="2" t="s">
        <v>28</v>
      </c>
      <c r="I4939" s="2" t="s">
        <v>14</v>
      </c>
    </row>
    <row r="4940" spans="1:9" x14ac:dyDescent="0.35">
      <c r="A4940" s="2" t="s">
        <v>4990</v>
      </c>
      <c r="B4940" s="3">
        <v>45472</v>
      </c>
      <c r="C4940" s="2" t="s">
        <v>16</v>
      </c>
      <c r="D4940" s="2" t="s">
        <v>62</v>
      </c>
      <c r="E4940" s="2" t="s">
        <v>27</v>
      </c>
      <c r="F4940" s="2">
        <v>1006.29</v>
      </c>
      <c r="G4940" s="2">
        <v>176.64</v>
      </c>
      <c r="H4940" s="2" t="s">
        <v>13</v>
      </c>
      <c r="I4940" s="2" t="s">
        <v>29</v>
      </c>
    </row>
    <row r="4941" spans="1:9" x14ac:dyDescent="0.35">
      <c r="A4941" s="2" t="s">
        <v>4991</v>
      </c>
      <c r="B4941" s="3">
        <v>45322</v>
      </c>
      <c r="C4941" s="2" t="s">
        <v>22</v>
      </c>
      <c r="D4941" s="2" t="s">
        <v>41</v>
      </c>
      <c r="E4941" s="2" t="s">
        <v>12</v>
      </c>
      <c r="F4941" s="2">
        <v>1411.24</v>
      </c>
      <c r="G4941" s="2">
        <v>415.75</v>
      </c>
      <c r="H4941" s="2" t="s">
        <v>19</v>
      </c>
      <c r="I4941" s="2" t="s">
        <v>29</v>
      </c>
    </row>
    <row r="4942" spans="1:9" x14ac:dyDescent="0.35">
      <c r="A4942" s="2" t="s">
        <v>4992</v>
      </c>
      <c r="B4942" s="3">
        <v>45607</v>
      </c>
      <c r="C4942" s="2" t="s">
        <v>16</v>
      </c>
      <c r="D4942" s="2" t="s">
        <v>23</v>
      </c>
      <c r="E4942" s="2" t="s">
        <v>18</v>
      </c>
      <c r="F4942" s="2">
        <v>1827.92</v>
      </c>
      <c r="G4942" s="2">
        <v>318.75</v>
      </c>
      <c r="H4942" s="2" t="s">
        <v>28</v>
      </c>
      <c r="I4942" s="2" t="s">
        <v>20</v>
      </c>
    </row>
    <row r="4943" spans="1:9" x14ac:dyDescent="0.35">
      <c r="A4943" s="2" t="s">
        <v>4993</v>
      </c>
      <c r="B4943" s="3">
        <v>45329</v>
      </c>
      <c r="C4943" s="2" t="s">
        <v>16</v>
      </c>
      <c r="D4943" s="2" t="s">
        <v>11</v>
      </c>
      <c r="E4943" s="2" t="s">
        <v>12</v>
      </c>
      <c r="F4943" s="2">
        <v>519.79999999999995</v>
      </c>
      <c r="G4943" s="2">
        <v>128.86000000000001</v>
      </c>
      <c r="H4943" s="2" t="s">
        <v>28</v>
      </c>
      <c r="I4943" s="2" t="s">
        <v>29</v>
      </c>
    </row>
    <row r="4944" spans="1:9" x14ac:dyDescent="0.35">
      <c r="A4944" s="2" t="s">
        <v>4994</v>
      </c>
      <c r="B4944" s="3">
        <v>44719</v>
      </c>
      <c r="C4944" s="2" t="s">
        <v>25</v>
      </c>
      <c r="D4944" s="2" t="s">
        <v>11</v>
      </c>
      <c r="E4944" s="2" t="s">
        <v>12</v>
      </c>
      <c r="F4944" s="2">
        <v>1999.75</v>
      </c>
      <c r="G4944" s="2">
        <v>455.73</v>
      </c>
      <c r="H4944" s="2" t="s">
        <v>13</v>
      </c>
      <c r="I4944" s="2" t="s">
        <v>20</v>
      </c>
    </row>
    <row r="4945" spans="1:9" x14ac:dyDescent="0.35">
      <c r="A4945" s="2" t="s">
        <v>4995</v>
      </c>
      <c r="B4945" s="3">
        <v>45544</v>
      </c>
      <c r="C4945" s="2" t="s">
        <v>22</v>
      </c>
      <c r="D4945" s="2" t="s">
        <v>57</v>
      </c>
      <c r="E4945" s="2" t="s">
        <v>27</v>
      </c>
      <c r="F4945" s="2">
        <v>1420.04</v>
      </c>
      <c r="G4945" s="2">
        <v>156.13</v>
      </c>
      <c r="H4945" s="2" t="s">
        <v>19</v>
      </c>
      <c r="I4945" s="2" t="s">
        <v>29</v>
      </c>
    </row>
    <row r="4946" spans="1:9" x14ac:dyDescent="0.35">
      <c r="A4946" s="2" t="s">
        <v>4996</v>
      </c>
      <c r="B4946" s="3">
        <v>45546</v>
      </c>
      <c r="C4946" s="2" t="s">
        <v>10</v>
      </c>
      <c r="D4946" s="2" t="s">
        <v>17</v>
      </c>
      <c r="E4946" s="2" t="s">
        <v>18</v>
      </c>
      <c r="F4946" s="2">
        <v>1837.63</v>
      </c>
      <c r="G4946" s="2">
        <v>284.94</v>
      </c>
      <c r="H4946" s="2" t="s">
        <v>13</v>
      </c>
      <c r="I4946" s="2" t="s">
        <v>14</v>
      </c>
    </row>
    <row r="4947" spans="1:9" x14ac:dyDescent="0.35">
      <c r="A4947" s="2" t="s">
        <v>4997</v>
      </c>
      <c r="B4947" s="3">
        <v>44959</v>
      </c>
      <c r="C4947" s="2" t="s">
        <v>22</v>
      </c>
      <c r="D4947" s="2" t="s">
        <v>23</v>
      </c>
      <c r="E4947" s="2" t="s">
        <v>18</v>
      </c>
      <c r="F4947" s="2">
        <v>494.23</v>
      </c>
      <c r="G4947" s="2">
        <v>75.45</v>
      </c>
      <c r="H4947" s="2" t="s">
        <v>28</v>
      </c>
      <c r="I4947" s="2" t="s">
        <v>14</v>
      </c>
    </row>
    <row r="4948" spans="1:9" x14ac:dyDescent="0.35">
      <c r="A4948" s="2" t="s">
        <v>4998</v>
      </c>
      <c r="B4948" s="3">
        <v>44928</v>
      </c>
      <c r="C4948" s="2" t="s">
        <v>25</v>
      </c>
      <c r="D4948" s="2" t="s">
        <v>57</v>
      </c>
      <c r="E4948" s="2" t="s">
        <v>27</v>
      </c>
      <c r="F4948" s="2">
        <v>1913.56</v>
      </c>
      <c r="G4948" s="2">
        <v>489.99</v>
      </c>
      <c r="H4948" s="2" t="s">
        <v>19</v>
      </c>
      <c r="I4948" s="2" t="s">
        <v>29</v>
      </c>
    </row>
    <row r="4949" spans="1:9" x14ac:dyDescent="0.35">
      <c r="A4949" s="2" t="s">
        <v>4999</v>
      </c>
      <c r="B4949" s="3">
        <v>45525</v>
      </c>
      <c r="C4949" s="2" t="s">
        <v>22</v>
      </c>
      <c r="D4949" s="2" t="s">
        <v>62</v>
      </c>
      <c r="E4949" s="2" t="s">
        <v>27</v>
      </c>
      <c r="F4949" s="2">
        <v>655.53</v>
      </c>
      <c r="G4949" s="2">
        <v>101.79</v>
      </c>
      <c r="H4949" s="2" t="s">
        <v>28</v>
      </c>
      <c r="I4949" s="2" t="s">
        <v>20</v>
      </c>
    </row>
    <row r="4950" spans="1:9" x14ac:dyDescent="0.35">
      <c r="A4950" s="2" t="s">
        <v>5000</v>
      </c>
      <c r="B4950" s="3">
        <v>44807</v>
      </c>
      <c r="C4950" s="2" t="s">
        <v>10</v>
      </c>
      <c r="D4950" s="2" t="s">
        <v>38</v>
      </c>
      <c r="E4950" s="2" t="s">
        <v>12</v>
      </c>
      <c r="F4950" s="2">
        <v>1860.05</v>
      </c>
      <c r="G4950" s="2">
        <v>122.4</v>
      </c>
      <c r="H4950" s="2" t="s">
        <v>19</v>
      </c>
      <c r="I4950" s="2" t="s">
        <v>20</v>
      </c>
    </row>
    <row r="4951" spans="1:9" x14ac:dyDescent="0.35">
      <c r="A4951" s="2" t="s">
        <v>5001</v>
      </c>
      <c r="B4951" s="3">
        <v>44688</v>
      </c>
      <c r="C4951" s="2" t="s">
        <v>25</v>
      </c>
      <c r="D4951" s="2" t="s">
        <v>97</v>
      </c>
      <c r="E4951" s="2" t="s">
        <v>27</v>
      </c>
      <c r="F4951" s="2">
        <v>109.35</v>
      </c>
      <c r="G4951" s="2">
        <v>17.809999999999999</v>
      </c>
      <c r="H4951" s="2" t="s">
        <v>13</v>
      </c>
      <c r="I4951" s="2" t="s">
        <v>29</v>
      </c>
    </row>
    <row r="4952" spans="1:9" x14ac:dyDescent="0.35">
      <c r="A4952" s="2" t="s">
        <v>5002</v>
      </c>
      <c r="B4952" s="3">
        <v>45214</v>
      </c>
      <c r="C4952" s="2" t="s">
        <v>22</v>
      </c>
      <c r="D4952" s="2" t="s">
        <v>41</v>
      </c>
      <c r="E4952" s="2" t="s">
        <v>12</v>
      </c>
      <c r="F4952" s="2">
        <v>1727.72</v>
      </c>
      <c r="G4952" s="2">
        <v>370.04</v>
      </c>
      <c r="H4952" s="2" t="s">
        <v>13</v>
      </c>
      <c r="I4952" s="2" t="s">
        <v>34</v>
      </c>
    </row>
    <row r="4953" spans="1:9" x14ac:dyDescent="0.35">
      <c r="A4953" s="2" t="s">
        <v>5003</v>
      </c>
      <c r="B4953" s="3">
        <v>44601</v>
      </c>
      <c r="C4953" s="2" t="s">
        <v>22</v>
      </c>
      <c r="D4953" s="2" t="s">
        <v>17</v>
      </c>
      <c r="E4953" s="2" t="s">
        <v>18</v>
      </c>
      <c r="F4953" s="2">
        <v>154.29</v>
      </c>
      <c r="G4953" s="2">
        <v>15.99</v>
      </c>
      <c r="H4953" s="2" t="s">
        <v>19</v>
      </c>
      <c r="I4953" s="2" t="s">
        <v>20</v>
      </c>
    </row>
    <row r="4954" spans="1:9" x14ac:dyDescent="0.35">
      <c r="A4954" s="2" t="s">
        <v>5004</v>
      </c>
      <c r="B4954" s="3">
        <v>44618</v>
      </c>
      <c r="C4954" s="2" t="s">
        <v>22</v>
      </c>
      <c r="D4954" s="2" t="s">
        <v>50</v>
      </c>
      <c r="E4954" s="2" t="s">
        <v>12</v>
      </c>
      <c r="F4954" s="2">
        <v>152.28</v>
      </c>
      <c r="G4954" s="2">
        <v>14.92</v>
      </c>
      <c r="H4954" s="2" t="s">
        <v>28</v>
      </c>
      <c r="I4954" s="2" t="s">
        <v>14</v>
      </c>
    </row>
    <row r="4955" spans="1:9" x14ac:dyDescent="0.35">
      <c r="A4955" s="2" t="s">
        <v>5005</v>
      </c>
      <c r="B4955" s="3">
        <v>45296</v>
      </c>
      <c r="C4955" s="2" t="s">
        <v>16</v>
      </c>
      <c r="D4955" s="2" t="s">
        <v>38</v>
      </c>
      <c r="E4955" s="2" t="s">
        <v>12</v>
      </c>
      <c r="F4955" s="2">
        <v>1979.05</v>
      </c>
      <c r="G4955" s="2">
        <v>269.44</v>
      </c>
      <c r="H4955" s="2" t="s">
        <v>13</v>
      </c>
      <c r="I4955" s="2" t="s">
        <v>20</v>
      </c>
    </row>
    <row r="4956" spans="1:9" x14ac:dyDescent="0.35">
      <c r="A4956" s="2" t="s">
        <v>5006</v>
      </c>
      <c r="B4956" s="3">
        <v>44592</v>
      </c>
      <c r="C4956" s="2" t="s">
        <v>25</v>
      </c>
      <c r="D4956" s="2" t="s">
        <v>26</v>
      </c>
      <c r="E4956" s="2" t="s">
        <v>27</v>
      </c>
      <c r="F4956" s="2">
        <v>973.6</v>
      </c>
      <c r="G4956" s="2">
        <v>170.72</v>
      </c>
      <c r="H4956" s="2" t="s">
        <v>28</v>
      </c>
      <c r="I4956" s="2" t="s">
        <v>29</v>
      </c>
    </row>
    <row r="4957" spans="1:9" x14ac:dyDescent="0.35">
      <c r="A4957" s="2" t="s">
        <v>5007</v>
      </c>
      <c r="B4957" s="3">
        <v>44740</v>
      </c>
      <c r="C4957" s="2" t="s">
        <v>16</v>
      </c>
      <c r="D4957" s="2" t="s">
        <v>57</v>
      </c>
      <c r="E4957" s="2" t="s">
        <v>27</v>
      </c>
      <c r="F4957" s="2">
        <v>725.58</v>
      </c>
      <c r="G4957" s="2">
        <v>200.61</v>
      </c>
      <c r="H4957" s="2" t="s">
        <v>19</v>
      </c>
      <c r="I4957" s="2" t="s">
        <v>34</v>
      </c>
    </row>
    <row r="4958" spans="1:9" x14ac:dyDescent="0.35">
      <c r="A4958" s="2" t="s">
        <v>5008</v>
      </c>
      <c r="B4958" s="3">
        <v>45139</v>
      </c>
      <c r="C4958" s="2" t="s">
        <v>16</v>
      </c>
      <c r="D4958" s="2" t="s">
        <v>46</v>
      </c>
      <c r="E4958" s="2" t="s">
        <v>18</v>
      </c>
      <c r="F4958" s="2">
        <v>1033.76</v>
      </c>
      <c r="G4958" s="2">
        <v>173.65</v>
      </c>
      <c r="H4958" s="2" t="s">
        <v>19</v>
      </c>
      <c r="I4958" s="2" t="s">
        <v>29</v>
      </c>
    </row>
    <row r="4959" spans="1:9" x14ac:dyDescent="0.35">
      <c r="A4959" s="2" t="s">
        <v>5009</v>
      </c>
      <c r="B4959" s="3">
        <v>44973</v>
      </c>
      <c r="C4959" s="2" t="s">
        <v>25</v>
      </c>
      <c r="D4959" s="2" t="s">
        <v>17</v>
      </c>
      <c r="E4959" s="2" t="s">
        <v>18</v>
      </c>
      <c r="F4959" s="2">
        <v>1722.01</v>
      </c>
      <c r="G4959" s="2">
        <v>237.21</v>
      </c>
      <c r="H4959" s="2" t="s">
        <v>28</v>
      </c>
      <c r="I4959" s="2" t="s">
        <v>14</v>
      </c>
    </row>
    <row r="4960" spans="1:9" x14ac:dyDescent="0.35">
      <c r="A4960" s="2" t="s">
        <v>5010</v>
      </c>
      <c r="B4960" s="3">
        <v>45507</v>
      </c>
      <c r="C4960" s="2" t="s">
        <v>10</v>
      </c>
      <c r="D4960" s="2" t="s">
        <v>17</v>
      </c>
      <c r="E4960" s="2" t="s">
        <v>18</v>
      </c>
      <c r="F4960" s="2">
        <v>130.69</v>
      </c>
      <c r="G4960" s="2">
        <v>11.74</v>
      </c>
      <c r="H4960" s="2" t="s">
        <v>13</v>
      </c>
      <c r="I4960" s="2" t="s">
        <v>20</v>
      </c>
    </row>
    <row r="4961" spans="1:9" x14ac:dyDescent="0.35">
      <c r="A4961" s="2" t="s">
        <v>5011</v>
      </c>
      <c r="B4961" s="3">
        <v>45544</v>
      </c>
      <c r="C4961" s="2" t="s">
        <v>22</v>
      </c>
      <c r="D4961" s="2" t="s">
        <v>57</v>
      </c>
      <c r="E4961" s="2" t="s">
        <v>27</v>
      </c>
      <c r="F4961" s="2">
        <v>628.1</v>
      </c>
      <c r="G4961" s="2">
        <v>130.88999999999999</v>
      </c>
      <c r="H4961" s="2" t="s">
        <v>28</v>
      </c>
      <c r="I4961" s="2" t="s">
        <v>14</v>
      </c>
    </row>
    <row r="4962" spans="1:9" x14ac:dyDescent="0.35">
      <c r="A4962" s="2" t="s">
        <v>5012</v>
      </c>
      <c r="B4962" s="3">
        <v>45358</v>
      </c>
      <c r="C4962" s="2" t="s">
        <v>22</v>
      </c>
      <c r="D4962" s="2" t="s">
        <v>11</v>
      </c>
      <c r="E4962" s="2" t="s">
        <v>12</v>
      </c>
      <c r="F4962" s="2">
        <v>718.67</v>
      </c>
      <c r="G4962" s="2">
        <v>112.67</v>
      </c>
      <c r="H4962" s="2" t="s">
        <v>19</v>
      </c>
      <c r="I4962" s="2" t="s">
        <v>20</v>
      </c>
    </row>
    <row r="4963" spans="1:9" x14ac:dyDescent="0.35">
      <c r="A4963" s="2" t="s">
        <v>5013</v>
      </c>
      <c r="B4963" s="3">
        <v>45057</v>
      </c>
      <c r="C4963" s="2" t="s">
        <v>22</v>
      </c>
      <c r="D4963" s="2" t="s">
        <v>97</v>
      </c>
      <c r="E4963" s="2" t="s">
        <v>27</v>
      </c>
      <c r="F4963" s="2">
        <v>1028.96</v>
      </c>
      <c r="G4963" s="2">
        <v>250.15</v>
      </c>
      <c r="H4963" s="2" t="s">
        <v>28</v>
      </c>
      <c r="I4963" s="2" t="s">
        <v>14</v>
      </c>
    </row>
    <row r="4964" spans="1:9" x14ac:dyDescent="0.35">
      <c r="A4964" s="2" t="s">
        <v>5014</v>
      </c>
      <c r="B4964" s="3">
        <v>45143</v>
      </c>
      <c r="C4964" s="2" t="s">
        <v>10</v>
      </c>
      <c r="D4964" s="2" t="s">
        <v>57</v>
      </c>
      <c r="E4964" s="2" t="s">
        <v>27</v>
      </c>
      <c r="F4964" s="2">
        <v>1698.25</v>
      </c>
      <c r="G4964" s="2">
        <v>111.09</v>
      </c>
      <c r="H4964" s="2" t="s">
        <v>13</v>
      </c>
      <c r="I4964" s="2" t="s">
        <v>34</v>
      </c>
    </row>
    <row r="4965" spans="1:9" x14ac:dyDescent="0.35">
      <c r="A4965" s="2" t="s">
        <v>5015</v>
      </c>
      <c r="B4965" s="3">
        <v>44782</v>
      </c>
      <c r="C4965" s="2" t="s">
        <v>22</v>
      </c>
      <c r="D4965" s="2" t="s">
        <v>57</v>
      </c>
      <c r="E4965" s="2" t="s">
        <v>27</v>
      </c>
      <c r="F4965" s="2">
        <v>1397.49</v>
      </c>
      <c r="G4965" s="2">
        <v>97.65</v>
      </c>
      <c r="H4965" s="2" t="s">
        <v>19</v>
      </c>
      <c r="I4965" s="2" t="s">
        <v>14</v>
      </c>
    </row>
    <row r="4966" spans="1:9" x14ac:dyDescent="0.35">
      <c r="A4966" s="2" t="s">
        <v>5016</v>
      </c>
      <c r="B4966" s="3">
        <v>45287</v>
      </c>
      <c r="C4966" s="2" t="s">
        <v>25</v>
      </c>
      <c r="D4966" s="2" t="s">
        <v>11</v>
      </c>
      <c r="E4966" s="2" t="s">
        <v>12</v>
      </c>
      <c r="F4966" s="2">
        <v>696.58</v>
      </c>
      <c r="G4966" s="2">
        <v>199.88</v>
      </c>
      <c r="H4966" s="2" t="s">
        <v>19</v>
      </c>
      <c r="I4966" s="2" t="s">
        <v>34</v>
      </c>
    </row>
    <row r="4967" spans="1:9" x14ac:dyDescent="0.35">
      <c r="A4967" s="2" t="s">
        <v>5017</v>
      </c>
      <c r="B4967" s="3">
        <v>45227</v>
      </c>
      <c r="C4967" s="2" t="s">
        <v>22</v>
      </c>
      <c r="D4967" s="2" t="s">
        <v>41</v>
      </c>
      <c r="E4967" s="2" t="s">
        <v>12</v>
      </c>
      <c r="F4967" s="2">
        <v>748</v>
      </c>
      <c r="G4967" s="2">
        <v>103.56</v>
      </c>
      <c r="H4967" s="2" t="s">
        <v>28</v>
      </c>
      <c r="I4967" s="2" t="s">
        <v>14</v>
      </c>
    </row>
    <row r="4968" spans="1:9" x14ac:dyDescent="0.35">
      <c r="A4968" s="2" t="s">
        <v>5018</v>
      </c>
      <c r="B4968" s="3">
        <v>44618</v>
      </c>
      <c r="C4968" s="2" t="s">
        <v>25</v>
      </c>
      <c r="D4968" s="2" t="s">
        <v>73</v>
      </c>
      <c r="E4968" s="2" t="s">
        <v>27</v>
      </c>
      <c r="F4968" s="2">
        <v>994.07</v>
      </c>
      <c r="G4968" s="2">
        <v>51.2</v>
      </c>
      <c r="H4968" s="2" t="s">
        <v>19</v>
      </c>
      <c r="I4968" s="2" t="s">
        <v>14</v>
      </c>
    </row>
    <row r="4969" spans="1:9" x14ac:dyDescent="0.35">
      <c r="A4969" s="2" t="s">
        <v>5019</v>
      </c>
      <c r="B4969" s="3">
        <v>44572</v>
      </c>
      <c r="C4969" s="2" t="s">
        <v>22</v>
      </c>
      <c r="D4969" s="2" t="s">
        <v>50</v>
      </c>
      <c r="E4969" s="2" t="s">
        <v>12</v>
      </c>
      <c r="F4969" s="2">
        <v>959.88</v>
      </c>
      <c r="G4969" s="2">
        <v>235.85</v>
      </c>
      <c r="H4969" s="2" t="s">
        <v>28</v>
      </c>
      <c r="I4969" s="2" t="s">
        <v>34</v>
      </c>
    </row>
    <row r="4970" spans="1:9" x14ac:dyDescent="0.35">
      <c r="A4970" s="2" t="s">
        <v>5020</v>
      </c>
      <c r="B4970" s="3">
        <v>45439</v>
      </c>
      <c r="C4970" s="2" t="s">
        <v>10</v>
      </c>
      <c r="D4970" s="2" t="s">
        <v>97</v>
      </c>
      <c r="E4970" s="2" t="s">
        <v>27</v>
      </c>
      <c r="F4970" s="2">
        <v>1098.45</v>
      </c>
      <c r="G4970" s="2">
        <v>196.03</v>
      </c>
      <c r="H4970" s="2" t="s">
        <v>13</v>
      </c>
      <c r="I4970" s="2" t="s">
        <v>14</v>
      </c>
    </row>
    <row r="4971" spans="1:9" x14ac:dyDescent="0.35">
      <c r="A4971" s="2" t="s">
        <v>5021</v>
      </c>
      <c r="B4971" s="3">
        <v>45439</v>
      </c>
      <c r="C4971" s="2" t="s">
        <v>25</v>
      </c>
      <c r="D4971" s="2" t="s">
        <v>11</v>
      </c>
      <c r="E4971" s="2" t="s">
        <v>12</v>
      </c>
      <c r="F4971" s="2">
        <v>1895.96</v>
      </c>
      <c r="G4971" s="2">
        <v>260.98</v>
      </c>
      <c r="H4971" s="2" t="s">
        <v>19</v>
      </c>
      <c r="I4971" s="2" t="s">
        <v>20</v>
      </c>
    </row>
    <row r="4972" spans="1:9" x14ac:dyDescent="0.35">
      <c r="A4972" s="2" t="s">
        <v>5022</v>
      </c>
      <c r="B4972" s="3">
        <v>45449</v>
      </c>
      <c r="C4972" s="2" t="s">
        <v>16</v>
      </c>
      <c r="D4972" s="2" t="s">
        <v>38</v>
      </c>
      <c r="E4972" s="2" t="s">
        <v>12</v>
      </c>
      <c r="F4972" s="2">
        <v>160.34</v>
      </c>
      <c r="G4972" s="2">
        <v>30.94</v>
      </c>
      <c r="H4972" s="2" t="s">
        <v>28</v>
      </c>
      <c r="I4972" s="2" t="s">
        <v>14</v>
      </c>
    </row>
    <row r="4973" spans="1:9" x14ac:dyDescent="0.35">
      <c r="A4973" s="2" t="s">
        <v>5023</v>
      </c>
      <c r="B4973" s="3">
        <v>45048</v>
      </c>
      <c r="C4973" s="2" t="s">
        <v>10</v>
      </c>
      <c r="D4973" s="2" t="s">
        <v>33</v>
      </c>
      <c r="E4973" s="2" t="s">
        <v>18</v>
      </c>
      <c r="F4973" s="2">
        <v>460.6</v>
      </c>
      <c r="G4973" s="2">
        <v>122.6</v>
      </c>
      <c r="H4973" s="2" t="s">
        <v>28</v>
      </c>
      <c r="I4973" s="2" t="s">
        <v>34</v>
      </c>
    </row>
    <row r="4974" spans="1:9" x14ac:dyDescent="0.35">
      <c r="A4974" s="2" t="s">
        <v>5024</v>
      </c>
      <c r="B4974" s="3">
        <v>44638</v>
      </c>
      <c r="C4974" s="2" t="s">
        <v>16</v>
      </c>
      <c r="D4974" s="2" t="s">
        <v>11</v>
      </c>
      <c r="E4974" s="2" t="s">
        <v>12</v>
      </c>
      <c r="F4974" s="2">
        <v>465.51</v>
      </c>
      <c r="G4974" s="2">
        <v>75.73</v>
      </c>
      <c r="H4974" s="2" t="s">
        <v>28</v>
      </c>
      <c r="I4974" s="2" t="s">
        <v>20</v>
      </c>
    </row>
    <row r="4975" spans="1:9" x14ac:dyDescent="0.35">
      <c r="A4975" s="2" t="s">
        <v>5025</v>
      </c>
      <c r="B4975" s="3">
        <v>44819</v>
      </c>
      <c r="C4975" s="2" t="s">
        <v>16</v>
      </c>
      <c r="D4975" s="2" t="s">
        <v>31</v>
      </c>
      <c r="E4975" s="2" t="s">
        <v>12</v>
      </c>
      <c r="F4975" s="2">
        <v>1887.15</v>
      </c>
      <c r="G4975" s="2">
        <v>311.45999999999998</v>
      </c>
      <c r="H4975" s="2" t="s">
        <v>13</v>
      </c>
      <c r="I4975" s="2" t="s">
        <v>14</v>
      </c>
    </row>
    <row r="4976" spans="1:9" x14ac:dyDescent="0.35">
      <c r="A4976" s="2" t="s">
        <v>5026</v>
      </c>
      <c r="B4976" s="3">
        <v>45563</v>
      </c>
      <c r="C4976" s="2" t="s">
        <v>25</v>
      </c>
      <c r="D4976" s="2" t="s">
        <v>62</v>
      </c>
      <c r="E4976" s="2" t="s">
        <v>27</v>
      </c>
      <c r="F4976" s="2">
        <v>1659.26</v>
      </c>
      <c r="G4976" s="2">
        <v>277.16000000000003</v>
      </c>
      <c r="H4976" s="2" t="s">
        <v>19</v>
      </c>
      <c r="I4976" s="2" t="s">
        <v>14</v>
      </c>
    </row>
    <row r="4977" spans="1:9" x14ac:dyDescent="0.35">
      <c r="A4977" s="2" t="s">
        <v>5027</v>
      </c>
      <c r="B4977" s="3">
        <v>45048</v>
      </c>
      <c r="C4977" s="2" t="s">
        <v>10</v>
      </c>
      <c r="D4977" s="2" t="s">
        <v>23</v>
      </c>
      <c r="E4977" s="2" t="s">
        <v>18</v>
      </c>
      <c r="F4977" s="2">
        <v>1974.83</v>
      </c>
      <c r="G4977" s="2">
        <v>523.75</v>
      </c>
      <c r="H4977" s="2" t="s">
        <v>28</v>
      </c>
      <c r="I4977" s="2" t="s">
        <v>14</v>
      </c>
    </row>
    <row r="4978" spans="1:9" x14ac:dyDescent="0.35">
      <c r="A4978" s="2" t="s">
        <v>5028</v>
      </c>
      <c r="B4978" s="3">
        <v>44644</v>
      </c>
      <c r="C4978" s="2" t="s">
        <v>25</v>
      </c>
      <c r="D4978" s="2" t="s">
        <v>46</v>
      </c>
      <c r="E4978" s="2" t="s">
        <v>18</v>
      </c>
      <c r="F4978" s="2">
        <v>1906.25</v>
      </c>
      <c r="G4978" s="2">
        <v>331.22</v>
      </c>
      <c r="H4978" s="2" t="s">
        <v>13</v>
      </c>
      <c r="I4978" s="2" t="s">
        <v>34</v>
      </c>
    </row>
    <row r="4979" spans="1:9" x14ac:dyDescent="0.35">
      <c r="A4979" s="2" t="s">
        <v>5029</v>
      </c>
      <c r="B4979" s="3">
        <v>45303</v>
      </c>
      <c r="C4979" s="2" t="s">
        <v>10</v>
      </c>
      <c r="D4979" s="2" t="s">
        <v>26</v>
      </c>
      <c r="E4979" s="2" t="s">
        <v>27</v>
      </c>
      <c r="F4979" s="2">
        <v>577.07000000000005</v>
      </c>
      <c r="G4979" s="2">
        <v>51.43</v>
      </c>
      <c r="H4979" s="2" t="s">
        <v>28</v>
      </c>
      <c r="I4979" s="2" t="s">
        <v>34</v>
      </c>
    </row>
    <row r="4980" spans="1:9" x14ac:dyDescent="0.35">
      <c r="A4980" s="2" t="s">
        <v>5030</v>
      </c>
      <c r="B4980" s="3">
        <v>44883</v>
      </c>
      <c r="C4980" s="2" t="s">
        <v>22</v>
      </c>
      <c r="D4980" s="2" t="s">
        <v>41</v>
      </c>
      <c r="E4980" s="2" t="s">
        <v>12</v>
      </c>
      <c r="F4980" s="2">
        <v>1633.88</v>
      </c>
      <c r="G4980" s="2">
        <v>384.58</v>
      </c>
      <c r="H4980" s="2" t="s">
        <v>28</v>
      </c>
      <c r="I4980" s="2" t="s">
        <v>14</v>
      </c>
    </row>
    <row r="4981" spans="1:9" x14ac:dyDescent="0.35">
      <c r="A4981" s="2" t="s">
        <v>5031</v>
      </c>
      <c r="B4981" s="3">
        <v>44870</v>
      </c>
      <c r="C4981" s="2" t="s">
        <v>10</v>
      </c>
      <c r="D4981" s="2" t="s">
        <v>73</v>
      </c>
      <c r="E4981" s="2" t="s">
        <v>27</v>
      </c>
      <c r="F4981" s="2">
        <v>1197.24</v>
      </c>
      <c r="G4981" s="2">
        <v>327.23</v>
      </c>
      <c r="H4981" s="2" t="s">
        <v>19</v>
      </c>
      <c r="I4981" s="2" t="s">
        <v>29</v>
      </c>
    </row>
    <row r="4982" spans="1:9" x14ac:dyDescent="0.35">
      <c r="A4982" s="2" t="s">
        <v>5032</v>
      </c>
      <c r="B4982" s="3">
        <v>44596</v>
      </c>
      <c r="C4982" s="2" t="s">
        <v>16</v>
      </c>
      <c r="D4982" s="2" t="s">
        <v>26</v>
      </c>
      <c r="E4982" s="2" t="s">
        <v>27</v>
      </c>
      <c r="F4982" s="2">
        <v>1116.8599999999999</v>
      </c>
      <c r="G4982" s="2">
        <v>256.93</v>
      </c>
      <c r="H4982" s="2" t="s">
        <v>13</v>
      </c>
      <c r="I4982" s="2" t="s">
        <v>20</v>
      </c>
    </row>
    <row r="4983" spans="1:9" x14ac:dyDescent="0.35">
      <c r="A4983" s="2" t="s">
        <v>5033</v>
      </c>
      <c r="B4983" s="3">
        <v>45033</v>
      </c>
      <c r="C4983" s="2" t="s">
        <v>10</v>
      </c>
      <c r="D4983" s="2" t="s">
        <v>57</v>
      </c>
      <c r="E4983" s="2" t="s">
        <v>27</v>
      </c>
      <c r="F4983" s="2">
        <v>992.51</v>
      </c>
      <c r="G4983" s="2">
        <v>278.19</v>
      </c>
      <c r="H4983" s="2" t="s">
        <v>28</v>
      </c>
      <c r="I4983" s="2" t="s">
        <v>20</v>
      </c>
    </row>
    <row r="4984" spans="1:9" x14ac:dyDescent="0.35">
      <c r="A4984" s="2" t="s">
        <v>5034</v>
      </c>
      <c r="B4984" s="3">
        <v>45487</v>
      </c>
      <c r="C4984" s="2" t="s">
        <v>16</v>
      </c>
      <c r="D4984" s="2" t="s">
        <v>26</v>
      </c>
      <c r="E4984" s="2" t="s">
        <v>27</v>
      </c>
      <c r="F4984" s="2">
        <v>1093.32</v>
      </c>
      <c r="G4984" s="2">
        <v>274.58</v>
      </c>
      <c r="H4984" s="2" t="s">
        <v>19</v>
      </c>
      <c r="I4984" s="2" t="s">
        <v>14</v>
      </c>
    </row>
    <row r="4985" spans="1:9" x14ac:dyDescent="0.35">
      <c r="A4985" s="2" t="s">
        <v>5035</v>
      </c>
      <c r="B4985" s="3">
        <v>45078</v>
      </c>
      <c r="C4985" s="2" t="s">
        <v>22</v>
      </c>
      <c r="D4985" s="2" t="s">
        <v>17</v>
      </c>
      <c r="E4985" s="2" t="s">
        <v>18</v>
      </c>
      <c r="F4985" s="2">
        <v>359.33</v>
      </c>
      <c r="G4985" s="2">
        <v>31.18</v>
      </c>
      <c r="H4985" s="2" t="s">
        <v>19</v>
      </c>
      <c r="I4985" s="2" t="s">
        <v>14</v>
      </c>
    </row>
    <row r="4986" spans="1:9" x14ac:dyDescent="0.35">
      <c r="A4986" s="2" t="s">
        <v>5036</v>
      </c>
      <c r="B4986" s="3">
        <v>45011</v>
      </c>
      <c r="C4986" s="2" t="s">
        <v>22</v>
      </c>
      <c r="D4986" s="2" t="s">
        <v>95</v>
      </c>
      <c r="E4986" s="2" t="s">
        <v>18</v>
      </c>
      <c r="F4986" s="2">
        <v>1184.46</v>
      </c>
      <c r="G4986" s="2">
        <v>339.53</v>
      </c>
      <c r="H4986" s="2" t="s">
        <v>28</v>
      </c>
      <c r="I4986" s="2" t="s">
        <v>29</v>
      </c>
    </row>
    <row r="4987" spans="1:9" x14ac:dyDescent="0.35">
      <c r="A4987" s="2" t="s">
        <v>5037</v>
      </c>
      <c r="B4987" s="3">
        <v>45099</v>
      </c>
      <c r="C4987" s="2" t="s">
        <v>22</v>
      </c>
      <c r="D4987" s="2" t="s">
        <v>11</v>
      </c>
      <c r="E4987" s="2" t="s">
        <v>12</v>
      </c>
      <c r="F4987" s="2">
        <v>1008.3</v>
      </c>
      <c r="G4987" s="2">
        <v>78.41</v>
      </c>
      <c r="H4987" s="2" t="s">
        <v>13</v>
      </c>
      <c r="I4987" s="2" t="s">
        <v>29</v>
      </c>
    </row>
    <row r="4988" spans="1:9" x14ac:dyDescent="0.35">
      <c r="A4988"/>
      <c r="B4988"/>
      <c r="C4988"/>
      <c r="D4988"/>
      <c r="E4988"/>
      <c r="F4988"/>
      <c r="G4988"/>
      <c r="H4988"/>
      <c r="I4988"/>
    </row>
    <row r="4989" spans="1:9" x14ac:dyDescent="0.35">
      <c r="A4989"/>
      <c r="B4989"/>
      <c r="C4989"/>
      <c r="D4989"/>
      <c r="E4989"/>
      <c r="F4989"/>
      <c r="G4989"/>
      <c r="H4989"/>
      <c r="I4989"/>
    </row>
    <row r="4990" spans="1:9" x14ac:dyDescent="0.35">
      <c r="A4990"/>
      <c r="B4990"/>
      <c r="C4990"/>
      <c r="D4990"/>
      <c r="E4990"/>
      <c r="F4990"/>
      <c r="G4990"/>
      <c r="H4990"/>
      <c r="I4990"/>
    </row>
    <row r="4991" spans="1:9" x14ac:dyDescent="0.35">
      <c r="A4991"/>
      <c r="B4991"/>
      <c r="C4991"/>
      <c r="D4991"/>
      <c r="E4991"/>
      <c r="F4991"/>
      <c r="G4991"/>
      <c r="H4991"/>
      <c r="I4991"/>
    </row>
    <row r="4992" spans="1:9" x14ac:dyDescent="0.35">
      <c r="A4992"/>
      <c r="B4992"/>
      <c r="C4992"/>
      <c r="D4992"/>
      <c r="E4992"/>
      <c r="F4992"/>
      <c r="G4992"/>
      <c r="H4992"/>
      <c r="I4992"/>
    </row>
    <row r="4993" customFormat="1" x14ac:dyDescent="0.35"/>
    <row r="4994" customFormat="1" x14ac:dyDescent="0.35"/>
    <row r="4995" customFormat="1" x14ac:dyDescent="0.35"/>
    <row r="4996" customFormat="1" x14ac:dyDescent="0.35"/>
    <row r="4997" customFormat="1" x14ac:dyDescent="0.35"/>
    <row r="4998" customFormat="1" x14ac:dyDescent="0.35"/>
    <row r="4999" customFormat="1" x14ac:dyDescent="0.35"/>
    <row r="5000" customFormat="1" x14ac:dyDescent="0.35"/>
    <row r="5001" customFormat="1" x14ac:dyDescent="0.35"/>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72986-414E-4F1C-A150-04842BF55798}">
  <dimension ref="B1:O15"/>
  <sheetViews>
    <sheetView zoomScale="57" workbookViewId="0">
      <selection activeCell="AL91" sqref="AL91"/>
    </sheetView>
  </sheetViews>
  <sheetFormatPr defaultRowHeight="14.5" x14ac:dyDescent="0.35"/>
  <cols>
    <col min="2" max="2" width="14.7265625" bestFit="1" customWidth="1"/>
    <col min="3" max="3" width="12.1796875" bestFit="1" customWidth="1"/>
    <col min="4" max="4" width="12.54296875" bestFit="1" customWidth="1"/>
    <col min="6" max="6" width="13.1796875" bestFit="1" customWidth="1"/>
    <col min="7" max="7" width="11.26953125" bestFit="1" customWidth="1"/>
    <col min="8" max="8" width="11.81640625" bestFit="1" customWidth="1"/>
    <col min="10" max="10" width="12.453125" bestFit="1" customWidth="1"/>
    <col min="11" max="11" width="11.26953125" bestFit="1" customWidth="1"/>
    <col min="13" max="13" width="12.453125" bestFit="1" customWidth="1"/>
    <col min="14" max="14" width="26.54296875" bestFit="1" customWidth="1"/>
    <col min="15" max="15" width="11.26953125" bestFit="1" customWidth="1"/>
  </cols>
  <sheetData>
    <row r="1" spans="2:15" x14ac:dyDescent="0.35">
      <c r="B1" s="7" t="s">
        <v>5042</v>
      </c>
      <c r="C1" s="7"/>
      <c r="F1" s="7" t="s">
        <v>5043</v>
      </c>
      <c r="G1" s="7"/>
      <c r="J1" s="7" t="s">
        <v>5044</v>
      </c>
      <c r="K1" s="7"/>
      <c r="M1" s="7" t="s">
        <v>5045</v>
      </c>
      <c r="N1" s="7"/>
    </row>
    <row r="2" spans="2:15" x14ac:dyDescent="0.35">
      <c r="B2" s="5" t="s">
        <v>5046</v>
      </c>
      <c r="C2" t="s">
        <v>5047</v>
      </c>
      <c r="D2" t="s">
        <v>5048</v>
      </c>
      <c r="F2" s="5" t="s">
        <v>5046</v>
      </c>
      <c r="G2" t="s">
        <v>5047</v>
      </c>
      <c r="H2" t="s">
        <v>5048</v>
      </c>
      <c r="J2" s="5" t="s">
        <v>5046</v>
      </c>
      <c r="K2" t="s">
        <v>5047</v>
      </c>
      <c r="M2" s="5" t="s">
        <v>5046</v>
      </c>
      <c r="N2" t="s">
        <v>5049</v>
      </c>
      <c r="O2" t="s">
        <v>5047</v>
      </c>
    </row>
    <row r="3" spans="2:15" x14ac:dyDescent="0.35">
      <c r="B3" s="4" t="s">
        <v>22</v>
      </c>
      <c r="C3">
        <v>1278807.3800000004</v>
      </c>
      <c r="D3">
        <v>225345.55999999971</v>
      </c>
      <c r="F3" s="4" t="s">
        <v>27</v>
      </c>
      <c r="G3">
        <v>1671923.5300000021</v>
      </c>
      <c r="H3">
        <v>290653.02999999985</v>
      </c>
      <c r="J3" s="4" t="s">
        <v>97</v>
      </c>
      <c r="K3">
        <v>367958.77000000014</v>
      </c>
      <c r="M3" s="4" t="s">
        <v>5050</v>
      </c>
      <c r="N3">
        <v>451</v>
      </c>
      <c r="O3">
        <v>452027.8699999997</v>
      </c>
    </row>
    <row r="4" spans="2:15" x14ac:dyDescent="0.35">
      <c r="B4" s="4" t="s">
        <v>25</v>
      </c>
      <c r="C4">
        <v>1282733.4300000013</v>
      </c>
      <c r="D4">
        <v>222672.26999999993</v>
      </c>
      <c r="F4" s="4" t="s">
        <v>18</v>
      </c>
      <c r="G4">
        <v>1690794.7199999967</v>
      </c>
      <c r="H4">
        <v>293473.83999999991</v>
      </c>
      <c r="J4" s="4" t="s">
        <v>31</v>
      </c>
      <c r="K4">
        <v>363830.0099999996</v>
      </c>
      <c r="M4" s="4" t="s">
        <v>5051</v>
      </c>
      <c r="N4">
        <v>379</v>
      </c>
      <c r="O4">
        <v>397619.22999999992</v>
      </c>
    </row>
    <row r="5" spans="2:15" x14ac:dyDescent="0.35">
      <c r="B5" s="4" t="s">
        <v>16</v>
      </c>
      <c r="C5">
        <v>1293222.6400000011</v>
      </c>
      <c r="D5">
        <v>218824.96000000008</v>
      </c>
      <c r="F5" s="4" t="s">
        <v>12</v>
      </c>
      <c r="G5">
        <v>1719866.6100000036</v>
      </c>
      <c r="H5">
        <v>297706.39</v>
      </c>
      <c r="J5" s="4" t="s">
        <v>38</v>
      </c>
      <c r="K5">
        <v>363450.21000000025</v>
      </c>
      <c r="M5" s="4" t="s">
        <v>5052</v>
      </c>
      <c r="N5">
        <v>415</v>
      </c>
      <c r="O5">
        <v>403302.70000000024</v>
      </c>
    </row>
    <row r="6" spans="2:15" x14ac:dyDescent="0.35">
      <c r="B6" s="4" t="s">
        <v>10</v>
      </c>
      <c r="C6">
        <v>1227821.4100000004</v>
      </c>
      <c r="D6">
        <v>214990.46999999986</v>
      </c>
      <c r="F6" s="4" t="s">
        <v>5053</v>
      </c>
      <c r="G6">
        <v>5082584.8600000031</v>
      </c>
      <c r="H6">
        <v>881833.25999999978</v>
      </c>
      <c r="J6" s="4" t="s">
        <v>73</v>
      </c>
      <c r="K6">
        <v>361039.40999999992</v>
      </c>
      <c r="M6" s="4" t="s">
        <v>5054</v>
      </c>
      <c r="N6">
        <v>404</v>
      </c>
      <c r="O6">
        <v>402920.96000000014</v>
      </c>
    </row>
    <row r="7" spans="2:15" x14ac:dyDescent="0.35">
      <c r="B7" s="4" t="s">
        <v>5053</v>
      </c>
      <c r="C7">
        <v>5082584.8600000031</v>
      </c>
      <c r="D7">
        <v>881833.25999999954</v>
      </c>
      <c r="J7" s="4" t="s">
        <v>95</v>
      </c>
      <c r="K7">
        <v>358931.18999999994</v>
      </c>
      <c r="M7" s="4" t="s">
        <v>5055</v>
      </c>
      <c r="N7">
        <v>459</v>
      </c>
      <c r="O7">
        <v>484007.5</v>
      </c>
    </row>
    <row r="8" spans="2:15" x14ac:dyDescent="0.35">
      <c r="J8" s="4" t="s">
        <v>5053</v>
      </c>
      <c r="K8">
        <v>1815209.5899999999</v>
      </c>
      <c r="M8" s="4" t="s">
        <v>5056</v>
      </c>
      <c r="N8">
        <v>388</v>
      </c>
      <c r="O8">
        <v>384417.68999999994</v>
      </c>
    </row>
    <row r="9" spans="2:15" x14ac:dyDescent="0.35">
      <c r="M9" s="4" t="s">
        <v>5057</v>
      </c>
      <c r="N9">
        <v>432</v>
      </c>
      <c r="O9">
        <v>441730.28000000009</v>
      </c>
    </row>
    <row r="10" spans="2:15" x14ac:dyDescent="0.35">
      <c r="M10" s="4" t="s">
        <v>5058</v>
      </c>
      <c r="N10">
        <v>425</v>
      </c>
      <c r="O10">
        <v>416987.60999999987</v>
      </c>
    </row>
    <row r="11" spans="2:15" x14ac:dyDescent="0.35">
      <c r="M11" s="4" t="s">
        <v>5059</v>
      </c>
      <c r="N11">
        <v>383</v>
      </c>
      <c r="O11">
        <v>399644.33999999962</v>
      </c>
    </row>
    <row r="12" spans="2:15" x14ac:dyDescent="0.35">
      <c r="M12" s="4" t="s">
        <v>5060</v>
      </c>
      <c r="N12">
        <v>407</v>
      </c>
      <c r="O12">
        <v>417305.19</v>
      </c>
    </row>
    <row r="13" spans="2:15" x14ac:dyDescent="0.35">
      <c r="M13" s="4" t="s">
        <v>5061</v>
      </c>
      <c r="N13">
        <v>409</v>
      </c>
      <c r="O13">
        <v>428940.1399999999</v>
      </c>
    </row>
    <row r="14" spans="2:15" x14ac:dyDescent="0.35">
      <c r="M14" s="4" t="s">
        <v>5062</v>
      </c>
      <c r="N14">
        <v>434</v>
      </c>
      <c r="O14">
        <v>453681.35000000009</v>
      </c>
    </row>
    <row r="15" spans="2:15" x14ac:dyDescent="0.35">
      <c r="M15" s="4" t="s">
        <v>5053</v>
      </c>
      <c r="N15">
        <v>4986</v>
      </c>
      <c r="O15">
        <v>5082584.8599999817</v>
      </c>
    </row>
  </sheetData>
  <mergeCells count="4">
    <mergeCell ref="B1:C1"/>
    <mergeCell ref="F1:G1"/>
    <mergeCell ref="J1:K1"/>
    <mergeCell ref="M1:N1"/>
  </mergeCells>
  <pageMargins left="0.7" right="0.7" top="0.75" bottom="0.75" header="0.3" footer="0.3"/>
  <drawing r:id="rId5"/>
  <extLst>
    <ext xmlns:x14="http://schemas.microsoft.com/office/spreadsheetml/2009/9/main" uri="{05C60535-1F16-4fd2-B633-F4F36F0B64E0}">
      <x14:sparklineGroups xmlns:xm="http://schemas.microsoft.com/office/excel/2006/main">
        <x14:sparklineGroup displayEmptyCellsAs="gap" xr2:uid="{2C3B9D57-6CCE-4AA8-AA0E-A5FEC3064819}">
          <x14:colorSeries rgb="FF376092"/>
          <x14:colorNegative rgb="FFD00000"/>
          <x14:colorAxis rgb="FF000000"/>
          <x14:colorMarkers rgb="FFD00000"/>
          <x14:colorFirst rgb="FFD00000"/>
          <x14:colorLast rgb="FFD00000"/>
          <x14:colorHigh rgb="FFD00000"/>
          <x14:colorLow rgb="FFD00000"/>
          <x14:sparklines>
            <x14:sparkline>
              <xm:f>'pivote table'!J2:J2</xm:f>
              <xm:sqref>J10</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7EBB0-1F22-4879-8A38-9378DDF38CD2}">
  <sheetPr>
    <tabColor theme="5" tint="-0.249977111117893"/>
  </sheetPr>
  <dimension ref="A1"/>
  <sheetViews>
    <sheetView showGridLines="0" tabSelected="1" topLeftCell="Q1" zoomScale="30" zoomScaleNormal="30" workbookViewId="0">
      <selection activeCell="Y30" sqref="Y30"/>
    </sheetView>
  </sheetViews>
  <sheetFormatPr defaultRowHeight="14.5" x14ac:dyDescent="0.35"/>
  <sheetData/>
  <pageMargins left="0.23622047244094491" right="0.23622047244094491" top="0.74803149606299213" bottom="0.74803149606299213" header="0.31496062992125984" footer="0.31496062992125984"/>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retail_sales_dataset(1)</vt:lpstr>
      <vt:lpstr>Cleaned data</vt:lpstr>
      <vt:lpstr>pivote table</vt:lpstr>
      <vt:lpstr>Sheet5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ANURADHA SINGH</cp:lastModifiedBy>
  <cp:revision/>
  <dcterms:created xsi:type="dcterms:W3CDTF">2025-08-09T12:52:37Z</dcterms:created>
  <dcterms:modified xsi:type="dcterms:W3CDTF">2025-09-14T17:09:51Z</dcterms:modified>
  <cp:category/>
  <cp:contentStatus/>
</cp:coreProperties>
</file>